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6a9f4e25a4fcebeb/Documents/Project Portfolio/Finished Projects/03_Superstore_Reports/Project 3 - Retail Sales Performance Analysis/"/>
    </mc:Choice>
  </mc:AlternateContent>
  <xr:revisionPtr revIDLastSave="3344" documentId="8_{70ACFD33-7B58-42CC-B7A0-CCFA5C94CF17}" xr6:coauthVersionLast="47" xr6:coauthVersionMax="47" xr10:uidLastSave="{1CC990E0-8E7D-48F2-B89C-073E89706D59}"/>
  <bookViews>
    <workbookView xWindow="-110" yWindow="-110" windowWidth="19420" windowHeight="11500" tabRatio="845" activeTab="3" xr2:uid="{27128DE1-2F2D-4B5C-AC09-DD51101916EA}"/>
  </bookViews>
  <sheets>
    <sheet name="Sales Performance" sheetId="3" r:id="rId1"/>
    <sheet name="Customer Details" sheetId="8" r:id="rId2"/>
    <sheet name="Calendar" sheetId="10" r:id="rId3"/>
    <sheet name="Simple Dashboard" sheetId="17" r:id="rId4"/>
  </sheets>
  <definedNames>
    <definedName name="_xlcn.WorksheetConnection_02_DataModellingandVisualization.xlsxCalendar_Table1" hidden="1">Calendar_Table[]</definedName>
    <definedName name="_xlcn.WorksheetConnection_02_DataModellingandVisualization.xlsxCustomer_Details1" hidden="1">Customer_Details[]</definedName>
    <definedName name="_xlcn.WorksheetConnection_02_DataModellingandVisualization.xlsxSales_Performance1" hidden="1">Sales_Performance[]</definedName>
    <definedName name="ExternalData_1" localSheetId="0" hidden="1">'Sales Performance'!$A$1:$I$1001</definedName>
    <definedName name="ExternalData_2" localSheetId="1" hidden="1">'Customer Details'!$A$1:$A$495</definedName>
    <definedName name="Slicer_Product_Category">#N/A</definedName>
    <definedName name="Slicer_Year">#N/A</definedName>
  </definedNames>
  <calcPr calcId="191029" iterateDelta="1E-4"/>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Performance" name="Sales_Performance" connection="WorksheetConnection_02_Data Modelling and Visualization.xlsx!Sales_Performance"/>
          <x15:modelTable id="Customer_Details" name="Customer_Details" connection="WorksheetConnection_02_Data Modelling and Visualization.xlsx!Customer_Details"/>
          <x15:modelTable id="Calendar_Table" name="Calendar_Table" connection="WorksheetConnection_02_Data Modelling and Visualization.xlsx!Calendar_Table"/>
        </x15:modelTables>
        <x15:modelRelationships>
          <x15:modelRelationship fromTable="Sales_Performance" fromColumn="Customer ID" toTable="Customer_Details" toColumn="Customer ID"/>
          <x15:modelRelationship fromTable="Sales_Performance" fromColumn="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 tableName="Calendar_Table"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 tableName="Calendar_Table" columnName="Month Name" columnId="Month Name">
                <x16:calculatedTimeColumn columnName="Month Name (Month Index)" columnId="Month Name (Month Index)" contentType="monthsindex" isSelected="1"/>
                <x16:calculatedTimeColumn columnName="Month Name (Month)" columnId="Month Na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17" l="1"/>
  <c r="B7" i="17"/>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D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E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B378" i="8"/>
  <c r="B30" i="8"/>
  <c r="B54" i="8"/>
  <c r="B53" i="8"/>
  <c r="B182" i="8"/>
  <c r="B323" i="8"/>
  <c r="B42" i="8"/>
  <c r="B405" i="8"/>
  <c r="B161" i="8"/>
  <c r="B321" i="8"/>
  <c r="B31" i="8"/>
  <c r="B450" i="8"/>
  <c r="B93" i="8"/>
  <c r="B360" i="8"/>
  <c r="B143" i="8"/>
  <c r="B84" i="8"/>
  <c r="B401" i="8"/>
  <c r="B482" i="8"/>
  <c r="B58" i="8"/>
  <c r="B67" i="8"/>
  <c r="B275" i="8"/>
  <c r="B173" i="8"/>
  <c r="B337" i="8"/>
  <c r="B259" i="8"/>
  <c r="B377" i="8"/>
  <c r="B317" i="8"/>
  <c r="B355" i="8"/>
  <c r="B205" i="8"/>
  <c r="B411" i="8"/>
  <c r="B274" i="8"/>
  <c r="B48" i="8"/>
  <c r="B302" i="8"/>
  <c r="B184" i="8"/>
  <c r="B151" i="8"/>
  <c r="B400" i="8"/>
  <c r="B102" i="8"/>
  <c r="B175" i="8"/>
  <c r="B71" i="8"/>
  <c r="B269" i="8"/>
  <c r="B365" i="8"/>
  <c r="B164" i="8"/>
  <c r="B331" i="8"/>
  <c r="B308" i="8"/>
  <c r="B340" i="8"/>
  <c r="B110" i="8"/>
  <c r="B51" i="8"/>
  <c r="B212" i="8"/>
  <c r="B100" i="8"/>
  <c r="B86" i="8"/>
  <c r="B224" i="8"/>
  <c r="B222" i="8"/>
  <c r="B439" i="8"/>
  <c r="B148" i="8"/>
  <c r="B3" i="8"/>
  <c r="B214" i="8"/>
  <c r="B44" i="8"/>
  <c r="B390" i="8"/>
  <c r="B305" i="8"/>
  <c r="B76" i="8"/>
  <c r="B59" i="8"/>
  <c r="B150" i="8"/>
  <c r="B99" i="8"/>
  <c r="B248" i="8"/>
  <c r="B174" i="8"/>
  <c r="B406" i="8"/>
  <c r="B192" i="8"/>
  <c r="B165" i="8"/>
  <c r="B138" i="8"/>
  <c r="B404" i="8"/>
  <c r="B263" i="8"/>
  <c r="B325" i="8"/>
  <c r="B37" i="8"/>
  <c r="B34" i="8"/>
  <c r="B25" i="8"/>
  <c r="B134" i="8"/>
  <c r="B468" i="8"/>
  <c r="B36" i="8"/>
  <c r="B13" i="8"/>
  <c r="B140" i="8"/>
  <c r="B9" i="8"/>
  <c r="B126" i="8"/>
  <c r="B45" i="8"/>
  <c r="B309" i="8"/>
  <c r="B389" i="8"/>
  <c r="B303" i="8"/>
  <c r="B186" i="8"/>
  <c r="B328" i="8"/>
  <c r="B203" i="8"/>
  <c r="B217" i="8"/>
  <c r="B426" i="8"/>
  <c r="B105" i="8"/>
  <c r="B197" i="8"/>
  <c r="B432" i="8"/>
  <c r="B29" i="8"/>
  <c r="B367" i="8"/>
  <c r="B246" i="8"/>
  <c r="B422" i="8"/>
  <c r="B237" i="8"/>
  <c r="B18" i="8"/>
  <c r="B267" i="8"/>
  <c r="B265" i="8"/>
  <c r="B73" i="8"/>
  <c r="B402" i="8"/>
  <c r="B490" i="8"/>
  <c r="B101" i="8"/>
  <c r="B249" i="8"/>
  <c r="B413" i="8"/>
  <c r="B277" i="8"/>
  <c r="B291" i="8"/>
  <c r="B273" i="8"/>
  <c r="B420" i="8"/>
  <c r="B146" i="8"/>
  <c r="B127" i="8"/>
  <c r="B144" i="8"/>
  <c r="B87" i="8"/>
  <c r="B49" i="8"/>
  <c r="B218" i="8"/>
  <c r="B92" i="8"/>
  <c r="B324" i="8"/>
  <c r="B28" i="8"/>
  <c r="B294" i="8"/>
  <c r="B39" i="8"/>
  <c r="B304" i="8"/>
  <c r="B262" i="8"/>
  <c r="B338" i="8"/>
  <c r="B307" i="8"/>
  <c r="B141" i="8"/>
  <c r="B283" i="8"/>
  <c r="B272" i="8"/>
  <c r="B431" i="8"/>
  <c r="B70" i="8"/>
  <c r="B407" i="8"/>
  <c r="B121" i="8"/>
  <c r="B288" i="8"/>
  <c r="B5" i="8"/>
  <c r="B219" i="8"/>
  <c r="B383" i="8"/>
  <c r="B313" i="8"/>
  <c r="B91" i="8"/>
  <c r="B418" i="8"/>
  <c r="B352" i="8"/>
  <c r="B369" i="8"/>
  <c r="B124" i="8"/>
  <c r="B268" i="8"/>
  <c r="B172" i="8"/>
  <c r="B370" i="8"/>
  <c r="B347" i="8"/>
  <c r="B444" i="8"/>
  <c r="B122" i="8"/>
  <c r="B26" i="8"/>
  <c r="B332" i="8"/>
  <c r="B168" i="8"/>
  <c r="B247" i="8"/>
  <c r="B109" i="8"/>
  <c r="B23" i="8"/>
  <c r="B385" i="8"/>
  <c r="B178" i="8"/>
  <c r="B261" i="8"/>
  <c r="B38" i="8"/>
  <c r="B4" i="8"/>
  <c r="B476" i="8"/>
  <c r="B235" i="8"/>
  <c r="B11" i="8"/>
  <c r="B234" i="8"/>
  <c r="B392" i="8"/>
  <c r="B351" i="8"/>
  <c r="B103" i="8"/>
  <c r="B279" i="8"/>
  <c r="B6" i="8"/>
  <c r="B198" i="8"/>
  <c r="B299" i="8"/>
  <c r="B425" i="8"/>
  <c r="B94" i="8"/>
  <c r="B112" i="8"/>
  <c r="B339" i="8"/>
  <c r="B166" i="8"/>
  <c r="B257" i="8"/>
  <c r="B334" i="8"/>
  <c r="B40" i="8"/>
  <c r="B477" i="8"/>
  <c r="B453" i="8"/>
  <c r="B242" i="8"/>
  <c r="B399" i="8"/>
  <c r="B61" i="8"/>
  <c r="B139" i="8"/>
  <c r="B395" i="8"/>
  <c r="B223" i="8"/>
  <c r="B376" i="8"/>
  <c r="B284" i="8"/>
  <c r="B287" i="8"/>
  <c r="B129" i="8"/>
  <c r="B183" i="8"/>
  <c r="B409" i="8"/>
  <c r="B208" i="8"/>
  <c r="B326" i="8"/>
  <c r="B88" i="8"/>
  <c r="B300" i="8"/>
  <c r="B97" i="8"/>
  <c r="B357" i="8"/>
  <c r="B373" i="8"/>
  <c r="B329" i="8"/>
  <c r="B77" i="8"/>
  <c r="B137" i="8"/>
  <c r="B130" i="8"/>
  <c r="B74" i="8"/>
  <c r="B368" i="8"/>
  <c r="B133" i="8"/>
  <c r="B46" i="8"/>
  <c r="B145" i="8"/>
  <c r="B276" i="8"/>
  <c r="B79" i="8"/>
  <c r="B64" i="8"/>
  <c r="B361" i="8"/>
  <c r="B466" i="8"/>
  <c r="B359" i="8"/>
  <c r="B142" i="8"/>
  <c r="B251" i="8"/>
  <c r="B155" i="8"/>
  <c r="B187" i="8"/>
  <c r="B353" i="8"/>
  <c r="B454" i="8"/>
  <c r="B414" i="8"/>
  <c r="B387" i="8"/>
  <c r="B493" i="8"/>
  <c r="B319" i="8"/>
  <c r="B20" i="8"/>
  <c r="B27" i="8"/>
  <c r="B250" i="8"/>
  <c r="B65" i="8"/>
  <c r="B107" i="8"/>
  <c r="B14" i="8"/>
  <c r="B333" i="8"/>
  <c r="B374" i="8"/>
  <c r="B57" i="8"/>
  <c r="B255" i="8"/>
  <c r="B33" i="8"/>
  <c r="B252" i="8"/>
  <c r="B382" i="8"/>
  <c r="B412" i="8"/>
  <c r="B226" i="8"/>
  <c r="B292" i="8"/>
  <c r="B167" i="8"/>
  <c r="B270" i="8"/>
  <c r="B354" i="8"/>
  <c r="B241" i="8"/>
  <c r="B264" i="8"/>
  <c r="B349" i="8"/>
  <c r="B310" i="8"/>
  <c r="B207" i="8"/>
  <c r="B180" i="8"/>
  <c r="B260" i="8"/>
  <c r="B119" i="8"/>
  <c r="B185" i="8"/>
  <c r="B311" i="8"/>
  <c r="B296" i="8"/>
  <c r="B55" i="8"/>
  <c r="B170" i="8"/>
  <c r="B494" i="8"/>
  <c r="B471" i="8"/>
  <c r="B486" i="8"/>
  <c r="B379" i="8"/>
  <c r="B189" i="8"/>
  <c r="B410" i="8"/>
  <c r="B157" i="8"/>
  <c r="B90" i="8"/>
  <c r="B427" i="8"/>
  <c r="B111" i="8"/>
  <c r="B202" i="8"/>
  <c r="B116" i="8"/>
  <c r="B22" i="8"/>
  <c r="B384" i="8"/>
  <c r="B190" i="8"/>
  <c r="B396" i="8"/>
  <c r="B63" i="8"/>
  <c r="B82" i="8"/>
  <c r="B19" i="8"/>
  <c r="B394" i="8"/>
  <c r="B341" i="8"/>
  <c r="B280" i="8"/>
  <c r="B169" i="8"/>
  <c r="B397" i="8"/>
  <c r="B41" i="8"/>
  <c r="B10" i="8"/>
  <c r="B343" i="8"/>
  <c r="B238" i="8"/>
  <c r="B106" i="8"/>
  <c r="B115" i="8"/>
  <c r="B350" i="8"/>
  <c r="B293" i="8"/>
  <c r="B322" i="8"/>
  <c r="B149" i="8"/>
  <c r="B199" i="8"/>
  <c r="B282" i="8"/>
  <c r="B474" i="8"/>
  <c r="B239" i="8"/>
  <c r="B216" i="8"/>
  <c r="B285" i="8"/>
  <c r="B24" i="8"/>
  <c r="B181" i="8"/>
  <c r="B62" i="8"/>
  <c r="B446" i="8"/>
  <c r="B177" i="8"/>
  <c r="B388" i="8"/>
  <c r="B47" i="8"/>
  <c r="B461" i="8"/>
  <c r="B21" i="8"/>
  <c r="B467" i="8"/>
  <c r="B204" i="8"/>
  <c r="B460" i="8"/>
  <c r="B81" i="8"/>
  <c r="B297" i="8"/>
  <c r="B231" i="8"/>
  <c r="B12" i="8"/>
  <c r="B315" i="8"/>
  <c r="B301" i="8"/>
  <c r="B429" i="8"/>
  <c r="B8" i="8"/>
  <c r="B345" i="8"/>
  <c r="B225" i="8"/>
  <c r="B201" i="8"/>
  <c r="B135" i="8"/>
  <c r="B96" i="8"/>
  <c r="B440" i="8"/>
  <c r="B442" i="8"/>
  <c r="B196" i="8"/>
  <c r="B478" i="8"/>
  <c r="B7" i="8"/>
  <c r="B327" i="8"/>
  <c r="B50" i="8"/>
  <c r="B298" i="8"/>
  <c r="B495" i="8"/>
  <c r="B449" i="8"/>
  <c r="B156" i="8"/>
  <c r="B75" i="8"/>
  <c r="B232" i="8"/>
  <c r="B438" i="8"/>
  <c r="B160" i="8"/>
  <c r="B472" i="8"/>
  <c r="B358" i="8"/>
  <c r="B131" i="8"/>
  <c r="B72" i="8"/>
  <c r="B314" i="8"/>
  <c r="B114" i="8"/>
  <c r="B136" i="8"/>
  <c r="B154" i="8"/>
  <c r="B32" i="8"/>
  <c r="B2" i="8"/>
  <c r="B371" i="8"/>
  <c r="B89" i="8"/>
  <c r="B458" i="8"/>
  <c r="B342" i="8"/>
  <c r="B104" i="8"/>
  <c r="B66" i="8"/>
  <c r="B386" i="8"/>
  <c r="B162" i="8"/>
  <c r="B463" i="8"/>
  <c r="B356" i="8"/>
  <c r="B393" i="8"/>
  <c r="B118" i="8"/>
  <c r="B484" i="8"/>
  <c r="B221" i="8"/>
  <c r="B35" i="8"/>
  <c r="B43" i="8"/>
  <c r="B98" i="8"/>
  <c r="B362" i="8"/>
  <c r="B123" i="8"/>
  <c r="B113" i="8"/>
  <c r="B286" i="8"/>
  <c r="B117" i="8"/>
  <c r="B366" i="8"/>
  <c r="B176" i="8"/>
  <c r="B456" i="8"/>
  <c r="B320" i="8"/>
  <c r="B457" i="8"/>
  <c r="B179" i="8"/>
  <c r="B480" i="8"/>
  <c r="B215" i="8"/>
  <c r="B434" i="8"/>
  <c r="B441" i="8"/>
  <c r="B83" i="8"/>
  <c r="B344" i="8"/>
  <c r="B52" i="8"/>
  <c r="B348" i="8"/>
  <c r="B80" i="8"/>
  <c r="B128" i="8"/>
  <c r="B240" i="8"/>
  <c r="B289" i="8"/>
  <c r="B452" i="8"/>
  <c r="B229" i="8"/>
  <c r="B462" i="8"/>
  <c r="B69" i="8"/>
  <c r="B278" i="8"/>
  <c r="B195" i="8"/>
  <c r="B295" i="8"/>
  <c r="B335" i="8"/>
  <c r="B306" i="8"/>
  <c r="B209" i="8"/>
  <c r="B465" i="8"/>
  <c r="B445" i="8"/>
  <c r="B210" i="8"/>
  <c r="B244" i="8"/>
  <c r="B243" i="8"/>
  <c r="B459" i="8"/>
  <c r="B437" i="8"/>
  <c r="B316" i="8"/>
  <c r="B271" i="8"/>
  <c r="B318" i="8"/>
  <c r="B419" i="8"/>
  <c r="B253" i="8"/>
  <c r="B256" i="8"/>
  <c r="B15" i="8"/>
  <c r="B489" i="8"/>
  <c r="B381" i="8"/>
  <c r="B430" i="8"/>
  <c r="B85" i="8"/>
  <c r="B266" i="8"/>
  <c r="B152" i="8"/>
  <c r="B233" i="8"/>
  <c r="B171" i="8"/>
  <c r="B16" i="8"/>
  <c r="B416" i="8"/>
  <c r="B372" i="8"/>
  <c r="B78" i="8"/>
  <c r="B330" i="8"/>
  <c r="B473" i="8"/>
  <c r="B483" i="8"/>
  <c r="B200" i="8"/>
  <c r="B220" i="8"/>
  <c r="B424" i="8"/>
  <c r="B415" i="8"/>
  <c r="B132" i="8"/>
  <c r="B120" i="8"/>
  <c r="B281" i="8"/>
  <c r="B188" i="8"/>
  <c r="B230" i="8"/>
  <c r="B428" i="8"/>
  <c r="B159" i="8"/>
  <c r="B469" i="8"/>
  <c r="B398" i="8"/>
  <c r="B191" i="8"/>
  <c r="B213" i="8"/>
  <c r="B451" i="8"/>
  <c r="B475" i="8"/>
  <c r="B158" i="8"/>
  <c r="B236" i="8"/>
  <c r="B125" i="8"/>
  <c r="B153" i="8"/>
  <c r="B245" i="8"/>
  <c r="B56" i="8"/>
  <c r="B423" i="8"/>
  <c r="B470" i="8"/>
  <c r="B364" i="8"/>
  <c r="B436" i="8"/>
  <c r="B488" i="8"/>
  <c r="B421" i="8"/>
  <c r="B485" i="8"/>
  <c r="B380" i="8"/>
  <c r="B211" i="8"/>
  <c r="B147" i="8"/>
  <c r="B391" i="8"/>
  <c r="B290" i="8"/>
  <c r="B206" i="8"/>
  <c r="B435" i="8"/>
  <c r="B443" i="8"/>
  <c r="B194" i="8"/>
  <c r="B403" i="8"/>
  <c r="B491" i="8"/>
  <c r="B17" i="8"/>
  <c r="B448" i="8"/>
  <c r="B363" i="8"/>
  <c r="B464" i="8"/>
  <c r="B492" i="8"/>
  <c r="B95" i="8"/>
  <c r="B227" i="8"/>
  <c r="B228" i="8"/>
  <c r="B312" i="8"/>
  <c r="B60" i="8"/>
  <c r="B68" i="8"/>
  <c r="B408" i="8"/>
  <c r="B479" i="8"/>
  <c r="B433" i="8"/>
  <c r="B487" i="8"/>
  <c r="B447" i="8"/>
  <c r="B254" i="8"/>
  <c r="B193" i="8"/>
  <c r="B346" i="8"/>
  <c r="B163" i="8"/>
  <c r="B417" i="8"/>
  <c r="B455" i="8"/>
  <c r="B258" i="8"/>
  <c r="B336" i="8"/>
  <c r="B108" i="8"/>
  <c r="B375" i="8"/>
  <c r="B481" i="8"/>
  <c r="C378" i="8"/>
  <c r="C30" i="8"/>
  <c r="C54" i="8"/>
  <c r="C53" i="8"/>
  <c r="C182" i="8"/>
  <c r="C323" i="8"/>
  <c r="C42" i="8"/>
  <c r="C405" i="8"/>
  <c r="C161" i="8"/>
  <c r="C321" i="8"/>
  <c r="C31" i="8"/>
  <c r="C450" i="8"/>
  <c r="C93" i="8"/>
  <c r="C360" i="8"/>
  <c r="C143" i="8"/>
  <c r="C84" i="8"/>
  <c r="C401" i="8"/>
  <c r="C482" i="8"/>
  <c r="C58" i="8"/>
  <c r="C67" i="8"/>
  <c r="C275" i="8"/>
  <c r="C173" i="8"/>
  <c r="C337" i="8"/>
  <c r="C259" i="8"/>
  <c r="C377" i="8"/>
  <c r="C317" i="8"/>
  <c r="C355" i="8"/>
  <c r="C205" i="8"/>
  <c r="C411" i="8"/>
  <c r="C274" i="8"/>
  <c r="C48" i="8"/>
  <c r="C302" i="8"/>
  <c r="C184" i="8"/>
  <c r="C151" i="8"/>
  <c r="C400" i="8"/>
  <c r="C102" i="8"/>
  <c r="C175" i="8"/>
  <c r="C71" i="8"/>
  <c r="C269" i="8"/>
  <c r="C365" i="8"/>
  <c r="C164" i="8"/>
  <c r="C331" i="8"/>
  <c r="C308" i="8"/>
  <c r="C340" i="8"/>
  <c r="C110" i="8"/>
  <c r="C51" i="8"/>
  <c r="C212" i="8"/>
  <c r="C100" i="8"/>
  <c r="C86" i="8"/>
  <c r="C224" i="8"/>
  <c r="C222" i="8"/>
  <c r="C439" i="8"/>
  <c r="C148" i="8"/>
  <c r="C3" i="8"/>
  <c r="C214" i="8"/>
  <c r="C44" i="8"/>
  <c r="C390" i="8"/>
  <c r="C305" i="8"/>
  <c r="C76" i="8"/>
  <c r="C59" i="8"/>
  <c r="C150" i="8"/>
  <c r="C99" i="8"/>
  <c r="C248" i="8"/>
  <c r="C174" i="8"/>
  <c r="C406" i="8"/>
  <c r="C192" i="8"/>
  <c r="C165" i="8"/>
  <c r="C138" i="8"/>
  <c r="C404" i="8"/>
  <c r="C263" i="8"/>
  <c r="C325" i="8"/>
  <c r="C37" i="8"/>
  <c r="C34" i="8"/>
  <c r="C25" i="8"/>
  <c r="C134" i="8"/>
  <c r="C468" i="8"/>
  <c r="C36" i="8"/>
  <c r="C13" i="8"/>
  <c r="C140" i="8"/>
  <c r="C9" i="8"/>
  <c r="C126" i="8"/>
  <c r="C45" i="8"/>
  <c r="C309" i="8"/>
  <c r="C389" i="8"/>
  <c r="C303" i="8"/>
  <c r="C186" i="8"/>
  <c r="C328" i="8"/>
  <c r="C203" i="8"/>
  <c r="C217" i="8"/>
  <c r="C426" i="8"/>
  <c r="C105" i="8"/>
  <c r="D105" i="8" s="1" a="1"/>
  <c r="C197" i="8"/>
  <c r="D197" i="8" s="1" a="1"/>
  <c r="C432" i="8"/>
  <c r="D432" i="8" s="1" a="1"/>
  <c r="C29" i="8"/>
  <c r="D29" i="8" s="1" a="1"/>
  <c r="C367" i="8"/>
  <c r="D367" i="8" s="1" a="1"/>
  <c r="C246" i="8"/>
  <c r="D246" i="8" s="1" a="1"/>
  <c r="C422" i="8"/>
  <c r="D422" i="8" s="1" a="1"/>
  <c r="C237" i="8"/>
  <c r="D237" i="8" s="1" a="1"/>
  <c r="C18" i="8"/>
  <c r="D18" i="8" s="1" a="1"/>
  <c r="C267" i="8"/>
  <c r="D267" i="8" s="1" a="1"/>
  <c r="C265" i="8"/>
  <c r="D265" i="8" s="1" a="1"/>
  <c r="C73" i="8"/>
  <c r="D73" i="8" s="1" a="1"/>
  <c r="C402" i="8"/>
  <c r="D402" i="8" s="1" a="1"/>
  <c r="C490" i="8"/>
  <c r="D490" i="8" s="1" a="1"/>
  <c r="C101" i="8"/>
  <c r="D101" i="8" s="1" a="1"/>
  <c r="C249" i="8"/>
  <c r="D249" i="8" s="1" a="1"/>
  <c r="C413" i="8"/>
  <c r="D413" i="8" s="1" a="1"/>
  <c r="C277" i="8"/>
  <c r="D277" i="8" s="1" a="1"/>
  <c r="C291" i="8"/>
  <c r="D291" i="8" s="1" a="1"/>
  <c r="C273" i="8"/>
  <c r="D273" i="8" s="1" a="1"/>
  <c r="C420" i="8"/>
  <c r="D420" i="8" s="1" a="1"/>
  <c r="C146" i="8"/>
  <c r="D146" i="8" s="1" a="1"/>
  <c r="C127" i="8"/>
  <c r="D127" i="8" s="1" a="1"/>
  <c r="C144" i="8"/>
  <c r="D144" i="8" s="1" a="1"/>
  <c r="C87" i="8"/>
  <c r="D87" i="8" s="1" a="1"/>
  <c r="C49" i="8"/>
  <c r="D49" i="8" s="1" a="1"/>
  <c r="C218" i="8"/>
  <c r="D218" i="8" s="1" a="1"/>
  <c r="C92" i="8"/>
  <c r="D92" i="8" s="1" a="1"/>
  <c r="C324" i="8"/>
  <c r="D324" i="8" s="1" a="1"/>
  <c r="C28" i="8"/>
  <c r="D28" i="8" s="1" a="1"/>
  <c r="C294" i="8"/>
  <c r="D294" i="8" s="1" a="1"/>
  <c r="C39" i="8"/>
  <c r="D39" i="8" s="1" a="1"/>
  <c r="C304" i="8"/>
  <c r="D304" i="8" s="1" a="1"/>
  <c r="C262" i="8"/>
  <c r="D262" i="8" s="1" a="1"/>
  <c r="C338" i="8"/>
  <c r="D338" i="8" s="1" a="1"/>
  <c r="C307" i="8"/>
  <c r="D307" i="8" s="1" a="1"/>
  <c r="C141" i="8"/>
  <c r="D141" i="8" s="1" a="1"/>
  <c r="C283" i="8"/>
  <c r="D283" i="8" s="1" a="1"/>
  <c r="C272" i="8"/>
  <c r="D272" i="8" s="1" a="1"/>
  <c r="C431" i="8"/>
  <c r="D431" i="8" s="1" a="1"/>
  <c r="C70" i="8"/>
  <c r="D70" i="8" s="1" a="1"/>
  <c r="C407" i="8"/>
  <c r="D407" i="8" s="1" a="1"/>
  <c r="C121" i="8"/>
  <c r="D121" i="8" s="1" a="1"/>
  <c r="C288" i="8"/>
  <c r="D288" i="8" s="1" a="1"/>
  <c r="C5" i="8"/>
  <c r="D5" i="8" s="1" a="1"/>
  <c r="C219" i="8"/>
  <c r="D219" i="8" s="1" a="1"/>
  <c r="C383" i="8"/>
  <c r="D383" i="8" s="1" a="1"/>
  <c r="C313" i="8"/>
  <c r="D313" i="8" s="1" a="1"/>
  <c r="C91" i="8"/>
  <c r="D91" i="8" s="1" a="1"/>
  <c r="C418" i="8"/>
  <c r="D418" i="8" s="1" a="1"/>
  <c r="C352" i="8"/>
  <c r="D352" i="8" s="1" a="1"/>
  <c r="C369" i="8"/>
  <c r="D369" i="8" s="1" a="1"/>
  <c r="C124" i="8"/>
  <c r="D124" i="8" s="1" a="1"/>
  <c r="C268" i="8"/>
  <c r="D268" i="8" s="1" a="1"/>
  <c r="C172" i="8"/>
  <c r="D172" i="8" s="1" a="1"/>
  <c r="C370" i="8"/>
  <c r="D370" i="8" s="1" a="1"/>
  <c r="C347" i="8"/>
  <c r="D347" i="8" s="1" a="1"/>
  <c r="C444" i="8"/>
  <c r="D444" i="8" s="1" a="1"/>
  <c r="C122" i="8"/>
  <c r="D122" i="8" s="1" a="1"/>
  <c r="C26" i="8"/>
  <c r="D26" i="8" s="1" a="1"/>
  <c r="C332" i="8"/>
  <c r="D332" i="8" s="1" a="1"/>
  <c r="C168" i="8"/>
  <c r="D168" i="8" s="1" a="1"/>
  <c r="C247" i="8"/>
  <c r="D247" i="8" s="1" a="1"/>
  <c r="C109" i="8"/>
  <c r="D109" i="8" s="1" a="1"/>
  <c r="C23" i="8"/>
  <c r="D23" i="8" s="1" a="1"/>
  <c r="C385" i="8"/>
  <c r="D385" i="8" s="1" a="1"/>
  <c r="C178" i="8"/>
  <c r="D178" i="8" s="1" a="1"/>
  <c r="C261" i="8"/>
  <c r="D261" i="8" s="1" a="1"/>
  <c r="C38" i="8"/>
  <c r="D38" i="8" s="1" a="1"/>
  <c r="C4" i="8"/>
  <c r="D4" i="8" s="1" a="1"/>
  <c r="C476" i="8"/>
  <c r="D476" i="8" s="1" a="1"/>
  <c r="C235" i="8"/>
  <c r="D235" i="8" s="1" a="1"/>
  <c r="C11" i="8"/>
  <c r="D11" i="8" s="1" a="1"/>
  <c r="C234" i="8"/>
  <c r="D234" i="8" s="1" a="1"/>
  <c r="C392" i="8"/>
  <c r="D392" i="8" s="1" a="1"/>
  <c r="C351" i="8"/>
  <c r="D351" i="8" s="1" a="1"/>
  <c r="C103" i="8"/>
  <c r="D103" i="8" s="1" a="1"/>
  <c r="C279" i="8"/>
  <c r="D279" i="8" s="1" a="1"/>
  <c r="C6" i="8"/>
  <c r="D6" i="8" s="1" a="1"/>
  <c r="C198" i="8"/>
  <c r="D198" i="8" s="1" a="1"/>
  <c r="C299" i="8"/>
  <c r="D299" i="8" s="1" a="1"/>
  <c r="C425" i="8"/>
  <c r="D425" i="8" s="1" a="1"/>
  <c r="C94" i="8"/>
  <c r="D94" i="8" s="1" a="1"/>
  <c r="C112" i="8"/>
  <c r="D112" i="8" s="1" a="1"/>
  <c r="C339" i="8"/>
  <c r="D339" i="8" s="1" a="1"/>
  <c r="C166" i="8"/>
  <c r="D166" i="8" s="1" a="1"/>
  <c r="C257" i="8"/>
  <c r="D257" i="8" s="1" a="1"/>
  <c r="C334" i="8"/>
  <c r="D334" i="8" s="1" a="1"/>
  <c r="C40" i="8"/>
  <c r="D40" i="8" s="1" a="1"/>
  <c r="C477" i="8"/>
  <c r="D477" i="8" s="1" a="1"/>
  <c r="C453" i="8"/>
  <c r="D453" i="8" s="1" a="1"/>
  <c r="C242" i="8"/>
  <c r="D242" i="8" s="1" a="1"/>
  <c r="C399" i="8"/>
  <c r="D399" i="8" s="1" a="1"/>
  <c r="C61" i="8"/>
  <c r="D61" i="8" s="1" a="1"/>
  <c r="C139" i="8"/>
  <c r="D139" i="8" s="1" a="1"/>
  <c r="C395" i="8"/>
  <c r="D395" i="8" s="1" a="1"/>
  <c r="C223" i="8"/>
  <c r="D223" i="8" s="1" a="1"/>
  <c r="C376" i="8"/>
  <c r="D376" i="8" s="1" a="1"/>
  <c r="C284" i="8"/>
  <c r="D284" i="8" s="1" a="1"/>
  <c r="C287" i="8"/>
  <c r="D287" i="8" s="1" a="1"/>
  <c r="C129" i="8"/>
  <c r="D129" i="8" s="1" a="1"/>
  <c r="C183" i="8"/>
  <c r="D183" i="8" s="1" a="1"/>
  <c r="C409" i="8"/>
  <c r="D409" i="8" s="1" a="1"/>
  <c r="C208" i="8"/>
  <c r="D208" i="8" s="1" a="1"/>
  <c r="C326" i="8"/>
  <c r="D326" i="8" s="1" a="1"/>
  <c r="C88" i="8"/>
  <c r="D88" i="8" s="1" a="1"/>
  <c r="C300" i="8"/>
  <c r="D300" i="8" s="1" a="1"/>
  <c r="C97" i="8"/>
  <c r="D97" i="8" s="1" a="1"/>
  <c r="C357" i="8"/>
  <c r="D357" i="8" s="1" a="1"/>
  <c r="C373" i="8"/>
  <c r="D373" i="8" s="1" a="1"/>
  <c r="C329" i="8"/>
  <c r="D329" i="8" s="1" a="1"/>
  <c r="C77" i="8"/>
  <c r="D77" i="8" s="1" a="1"/>
  <c r="C137" i="8"/>
  <c r="D137" i="8" s="1" a="1"/>
  <c r="C130" i="8"/>
  <c r="D130" i="8" s="1" a="1"/>
  <c r="C74" i="8"/>
  <c r="D74" i="8" s="1" a="1"/>
  <c r="C368" i="8"/>
  <c r="D368" i="8" s="1" a="1"/>
  <c r="C133" i="8"/>
  <c r="D133" i="8" s="1" a="1"/>
  <c r="C46" i="8"/>
  <c r="D46" i="8" s="1" a="1"/>
  <c r="C145" i="8"/>
  <c r="D145" i="8" s="1" a="1"/>
  <c r="C276" i="8"/>
  <c r="D276" i="8" s="1" a="1"/>
  <c r="C79" i="8"/>
  <c r="D79" i="8" s="1" a="1"/>
  <c r="C64" i="8"/>
  <c r="D64" i="8" s="1" a="1"/>
  <c r="C361" i="8"/>
  <c r="D361" i="8" s="1" a="1"/>
  <c r="C466" i="8"/>
  <c r="D466" i="8" s="1" a="1"/>
  <c r="C359" i="8"/>
  <c r="D359" i="8" s="1" a="1"/>
  <c r="C142" i="8"/>
  <c r="D142" i="8" s="1" a="1"/>
  <c r="C251" i="8"/>
  <c r="D251" i="8" s="1" a="1"/>
  <c r="C155" i="8"/>
  <c r="D155" i="8" s="1" a="1"/>
  <c r="C187" i="8"/>
  <c r="D187" i="8" s="1" a="1"/>
  <c r="C353" i="8"/>
  <c r="D353" i="8" s="1" a="1"/>
  <c r="C454" i="8"/>
  <c r="D454" i="8" s="1" a="1"/>
  <c r="C414" i="8"/>
  <c r="D414" i="8" s="1" a="1"/>
  <c r="C387" i="8"/>
  <c r="D387" i="8" s="1" a="1"/>
  <c r="C493" i="8"/>
  <c r="D493" i="8" s="1" a="1"/>
  <c r="C319" i="8"/>
  <c r="D319" i="8" s="1" a="1"/>
  <c r="C20" i="8"/>
  <c r="D20" i="8" s="1" a="1"/>
  <c r="C27" i="8"/>
  <c r="D27" i="8" s="1" a="1"/>
  <c r="C250" i="8"/>
  <c r="D250" i="8" s="1" a="1"/>
  <c r="C65" i="8"/>
  <c r="D65" i="8" s="1" a="1"/>
  <c r="C107" i="8"/>
  <c r="D107" i="8" s="1" a="1"/>
  <c r="C14" i="8"/>
  <c r="D14" i="8" s="1" a="1"/>
  <c r="C333" i="8"/>
  <c r="D333" i="8" s="1" a="1"/>
  <c r="C374" i="8"/>
  <c r="D374" i="8" s="1" a="1"/>
  <c r="C57" i="8"/>
  <c r="D57" i="8" s="1" a="1"/>
  <c r="C255" i="8"/>
  <c r="D255" i="8" s="1" a="1"/>
  <c r="C33" i="8"/>
  <c r="D33" i="8" s="1" a="1"/>
  <c r="C252" i="8"/>
  <c r="D252" i="8" s="1" a="1"/>
  <c r="C382" i="8"/>
  <c r="D382" i="8" s="1" a="1"/>
  <c r="C412" i="8"/>
  <c r="D412" i="8" s="1" a="1"/>
  <c r="C226" i="8"/>
  <c r="D226" i="8" s="1" a="1"/>
  <c r="C292" i="8"/>
  <c r="D292" i="8" s="1" a="1"/>
  <c r="C167" i="8"/>
  <c r="D167" i="8" s="1" a="1"/>
  <c r="C270" i="8"/>
  <c r="D270" i="8" s="1" a="1"/>
  <c r="C354" i="8"/>
  <c r="D354" i="8" s="1" a="1"/>
  <c r="C241" i="8"/>
  <c r="D241" i="8" s="1" a="1"/>
  <c r="C264" i="8"/>
  <c r="D264" i="8" s="1" a="1"/>
  <c r="C349" i="8"/>
  <c r="D349" i="8" s="1" a="1"/>
  <c r="C310" i="8"/>
  <c r="D310" i="8" s="1" a="1"/>
  <c r="C207" i="8"/>
  <c r="D207" i="8" s="1" a="1"/>
  <c r="C180" i="8"/>
  <c r="D180" i="8" s="1" a="1"/>
  <c r="C260" i="8"/>
  <c r="D260" i="8" s="1" a="1"/>
  <c r="C119" i="8"/>
  <c r="D119" i="8" s="1" a="1"/>
  <c r="C185" i="8"/>
  <c r="D185" i="8" s="1" a="1"/>
  <c r="C311" i="8"/>
  <c r="D311" i="8" s="1" a="1"/>
  <c r="C296" i="8"/>
  <c r="D296" i="8" s="1" a="1"/>
  <c r="C55" i="8"/>
  <c r="D55" i="8" s="1" a="1"/>
  <c r="C170" i="8"/>
  <c r="D170" i="8" s="1" a="1"/>
  <c r="C494" i="8"/>
  <c r="D494" i="8" s="1" a="1"/>
  <c r="C471" i="8"/>
  <c r="D471" i="8" s="1" a="1"/>
  <c r="C486" i="8"/>
  <c r="D486" i="8" s="1" a="1"/>
  <c r="C379" i="8"/>
  <c r="D379" i="8" s="1" a="1"/>
  <c r="C189" i="8"/>
  <c r="D189" i="8" s="1" a="1"/>
  <c r="C410" i="8"/>
  <c r="D410" i="8" s="1" a="1"/>
  <c r="C157" i="8"/>
  <c r="D157" i="8" s="1" a="1"/>
  <c r="C90" i="8"/>
  <c r="D90" i="8" s="1" a="1"/>
  <c r="C427" i="8"/>
  <c r="D427" i="8" s="1" a="1"/>
  <c r="C111" i="8"/>
  <c r="D111" i="8" s="1" a="1"/>
  <c r="C202" i="8"/>
  <c r="D202" i="8" s="1" a="1"/>
  <c r="C116" i="8"/>
  <c r="D116" i="8" s="1" a="1"/>
  <c r="C22" i="8"/>
  <c r="D22" i="8" s="1" a="1"/>
  <c r="C384" i="8"/>
  <c r="D384" i="8" s="1" a="1"/>
  <c r="C190" i="8"/>
  <c r="D190" i="8" s="1" a="1"/>
  <c r="C396" i="8"/>
  <c r="D396" i="8" s="1" a="1"/>
  <c r="C63" i="8"/>
  <c r="D63" i="8" s="1" a="1"/>
  <c r="C82" i="8"/>
  <c r="D82" i="8" s="1" a="1"/>
  <c r="C19" i="8"/>
  <c r="D19" i="8" s="1" a="1"/>
  <c r="C394" i="8"/>
  <c r="D394" i="8" s="1" a="1"/>
  <c r="C341" i="8"/>
  <c r="D341" i="8" s="1" a="1"/>
  <c r="C280" i="8"/>
  <c r="D280" i="8" s="1" a="1"/>
  <c r="C169" i="8"/>
  <c r="D169" i="8" s="1" a="1"/>
  <c r="C397" i="8"/>
  <c r="D397" i="8" s="1" a="1"/>
  <c r="C41" i="8"/>
  <c r="D41" i="8" s="1" a="1"/>
  <c r="C10" i="8"/>
  <c r="D10" i="8" s="1" a="1"/>
  <c r="C343" i="8"/>
  <c r="D343" i="8" s="1" a="1"/>
  <c r="C238" i="8"/>
  <c r="D238" i="8" s="1" a="1"/>
  <c r="C106" i="8"/>
  <c r="D106" i="8" s="1" a="1"/>
  <c r="C115" i="8"/>
  <c r="D115" i="8" s="1" a="1"/>
  <c r="C350" i="8"/>
  <c r="D350" i="8" s="1" a="1"/>
  <c r="C293" i="8"/>
  <c r="D293" i="8" s="1" a="1"/>
  <c r="C322" i="8"/>
  <c r="D322" i="8" s="1" a="1"/>
  <c r="C149" i="8"/>
  <c r="D149" i="8" s="1" a="1"/>
  <c r="C199" i="8"/>
  <c r="D199" i="8" s="1" a="1"/>
  <c r="C282" i="8"/>
  <c r="D282" i="8" s="1" a="1"/>
  <c r="C474" i="8"/>
  <c r="D474" i="8" s="1" a="1"/>
  <c r="C239" i="8"/>
  <c r="D239" i="8" s="1" a="1"/>
  <c r="C216" i="8"/>
  <c r="D216" i="8" s="1" a="1"/>
  <c r="C285" i="8"/>
  <c r="D285" i="8" s="1" a="1"/>
  <c r="C24" i="8"/>
  <c r="D24" i="8" s="1" a="1"/>
  <c r="C181" i="8"/>
  <c r="D181" i="8" s="1" a="1"/>
  <c r="C62" i="8"/>
  <c r="D62" i="8" s="1" a="1"/>
  <c r="C446" i="8"/>
  <c r="D446" i="8" s="1" a="1"/>
  <c r="C177" i="8"/>
  <c r="D177" i="8" s="1" a="1"/>
  <c r="C388" i="8"/>
  <c r="D388" i="8" s="1" a="1"/>
  <c r="C47" i="8"/>
  <c r="D47" i="8" s="1" a="1"/>
  <c r="C461" i="8"/>
  <c r="D461" i="8" s="1" a="1"/>
  <c r="C21" i="8"/>
  <c r="D21" i="8" s="1" a="1"/>
  <c r="C467" i="8"/>
  <c r="D467" i="8" s="1" a="1"/>
  <c r="C204" i="8"/>
  <c r="D204" i="8" s="1" a="1"/>
  <c r="C460" i="8"/>
  <c r="D460" i="8" s="1" a="1"/>
  <c r="C81" i="8"/>
  <c r="D81" i="8" s="1" a="1"/>
  <c r="C297" i="8"/>
  <c r="D297" i="8" s="1" a="1"/>
  <c r="C231" i="8"/>
  <c r="D231" i="8" s="1" a="1"/>
  <c r="C12" i="8"/>
  <c r="D12" i="8" s="1" a="1"/>
  <c r="C315" i="8"/>
  <c r="D315" i="8" s="1" a="1"/>
  <c r="C301" i="8"/>
  <c r="D301" i="8" s="1" a="1"/>
  <c r="C429" i="8"/>
  <c r="D429" i="8" s="1" a="1"/>
  <c r="C8" i="8"/>
  <c r="D8" i="8" s="1" a="1"/>
  <c r="C345" i="8"/>
  <c r="D345" i="8" s="1" a="1"/>
  <c r="C225" i="8"/>
  <c r="D225" i="8" s="1" a="1"/>
  <c r="C201" i="8"/>
  <c r="D201" i="8" s="1" a="1"/>
  <c r="C135" i="8"/>
  <c r="D135" i="8" s="1" a="1"/>
  <c r="C96" i="8"/>
  <c r="D96" i="8" s="1" a="1"/>
  <c r="C440" i="8"/>
  <c r="D440" i="8" s="1" a="1"/>
  <c r="C442" i="8"/>
  <c r="D442" i="8" s="1" a="1"/>
  <c r="C196" i="8"/>
  <c r="D196" i="8" s="1" a="1"/>
  <c r="C478" i="8"/>
  <c r="D478" i="8" s="1" a="1"/>
  <c r="C7" i="8"/>
  <c r="D7" i="8" s="1" a="1"/>
  <c r="C327" i="8"/>
  <c r="D327" i="8" s="1" a="1"/>
  <c r="C50" i="8"/>
  <c r="D50" i="8" s="1" a="1"/>
  <c r="C298" i="8"/>
  <c r="D298" i="8" s="1" a="1"/>
  <c r="C495" i="8"/>
  <c r="D495" i="8" s="1" a="1"/>
  <c r="C449" i="8"/>
  <c r="D449" i="8" s="1" a="1"/>
  <c r="C156" i="8"/>
  <c r="D156" i="8" s="1" a="1"/>
  <c r="C75" i="8"/>
  <c r="D75" i="8" s="1" a="1"/>
  <c r="C232" i="8"/>
  <c r="D232" i="8" s="1" a="1"/>
  <c r="C438" i="8"/>
  <c r="D438" i="8" s="1" a="1"/>
  <c r="C160" i="8"/>
  <c r="D160" i="8" s="1" a="1"/>
  <c r="C472" i="8"/>
  <c r="D472" i="8" s="1" a="1"/>
  <c r="C358" i="8"/>
  <c r="D358" i="8" s="1" a="1"/>
  <c r="C131" i="8"/>
  <c r="D131" i="8" s="1" a="1"/>
  <c r="C72" i="8"/>
  <c r="D72" i="8" s="1" a="1"/>
  <c r="C314" i="8"/>
  <c r="D314" i="8" s="1" a="1"/>
  <c r="C114" i="8"/>
  <c r="D114" i="8" s="1" a="1"/>
  <c r="C136" i="8"/>
  <c r="D136" i="8" s="1" a="1"/>
  <c r="C154" i="8"/>
  <c r="D154" i="8" s="1" a="1"/>
  <c r="C32" i="8"/>
  <c r="D32" i="8" s="1" a="1"/>
  <c r="C2" i="8"/>
  <c r="D2" i="8" s="1" a="1"/>
  <c r="C371" i="8"/>
  <c r="D371" i="8" s="1" a="1"/>
  <c r="C89" i="8"/>
  <c r="D89" i="8" s="1" a="1"/>
  <c r="C458" i="8"/>
  <c r="D458" i="8" s="1" a="1"/>
  <c r="C342" i="8"/>
  <c r="D342" i="8" s="1" a="1"/>
  <c r="C104" i="8"/>
  <c r="D104" i="8" s="1" a="1"/>
  <c r="C66" i="8"/>
  <c r="D66" i="8" s="1" a="1"/>
  <c r="C386" i="8"/>
  <c r="D386" i="8" s="1" a="1"/>
  <c r="C162" i="8"/>
  <c r="D162" i="8" s="1" a="1"/>
  <c r="C463" i="8"/>
  <c r="D463" i="8" s="1" a="1"/>
  <c r="C356" i="8"/>
  <c r="D356" i="8" s="1" a="1"/>
  <c r="C393" i="8"/>
  <c r="D393" i="8" s="1" a="1"/>
  <c r="C118" i="8"/>
  <c r="D118" i="8" s="1" a="1"/>
  <c r="C484" i="8"/>
  <c r="D484" i="8" s="1" a="1"/>
  <c r="C221" i="8"/>
  <c r="D221" i="8" s="1" a="1"/>
  <c r="C35" i="8"/>
  <c r="D35" i="8" s="1" a="1"/>
  <c r="C43" i="8"/>
  <c r="D43" i="8" s="1" a="1"/>
  <c r="C98" i="8"/>
  <c r="D98" i="8" s="1" a="1"/>
  <c r="C362" i="8"/>
  <c r="D362" i="8" s="1" a="1"/>
  <c r="C123" i="8"/>
  <c r="D123" i="8" s="1" a="1"/>
  <c r="C113" i="8"/>
  <c r="D113" i="8" s="1" a="1"/>
  <c r="C286" i="8"/>
  <c r="D286" i="8" s="1" a="1"/>
  <c r="C117" i="8"/>
  <c r="D117" i="8" s="1" a="1"/>
  <c r="C366" i="8"/>
  <c r="D366" i="8" s="1" a="1"/>
  <c r="C176" i="8"/>
  <c r="D176" i="8" s="1" a="1"/>
  <c r="C456" i="8"/>
  <c r="D456" i="8" s="1" a="1"/>
  <c r="C320" i="8"/>
  <c r="D320" i="8" s="1" a="1"/>
  <c r="C457" i="8"/>
  <c r="D457" i="8" s="1" a="1"/>
  <c r="C179" i="8"/>
  <c r="D179" i="8" s="1" a="1"/>
  <c r="C480" i="8"/>
  <c r="D480" i="8" s="1" a="1"/>
  <c r="C215" i="8"/>
  <c r="D215" i="8" s="1" a="1"/>
  <c r="C434" i="8"/>
  <c r="D434" i="8" s="1" a="1"/>
  <c r="C441" i="8"/>
  <c r="D441" i="8" s="1" a="1"/>
  <c r="C83" i="8"/>
  <c r="D83" i="8" s="1" a="1"/>
  <c r="C344" i="8"/>
  <c r="D344" i="8" s="1" a="1"/>
  <c r="C52" i="8"/>
  <c r="D52" i="8" s="1" a="1"/>
  <c r="C348" i="8"/>
  <c r="D348" i="8" s="1" a="1"/>
  <c r="C80" i="8"/>
  <c r="D80" i="8" s="1" a="1"/>
  <c r="C128" i="8"/>
  <c r="D128" i="8" s="1" a="1"/>
  <c r="C240" i="8"/>
  <c r="D240" i="8" s="1" a="1"/>
  <c r="C289" i="8"/>
  <c r="D289" i="8" s="1" a="1"/>
  <c r="C452" i="8"/>
  <c r="D452" i="8" s="1" a="1"/>
  <c r="C229" i="8"/>
  <c r="D229" i="8" s="1" a="1"/>
  <c r="C462" i="8"/>
  <c r="D462" i="8" s="1" a="1"/>
  <c r="C69" i="8"/>
  <c r="D69" i="8" s="1" a="1"/>
  <c r="C278" i="8"/>
  <c r="D278" i="8" s="1" a="1"/>
  <c r="C195" i="8"/>
  <c r="D195" i="8" s="1" a="1"/>
  <c r="C295" i="8"/>
  <c r="D295" i="8" s="1" a="1"/>
  <c r="C335" i="8"/>
  <c r="D335" i="8" s="1" a="1"/>
  <c r="C306" i="8"/>
  <c r="D306" i="8" s="1" a="1"/>
  <c r="C209" i="8"/>
  <c r="D209" i="8" s="1" a="1"/>
  <c r="C465" i="8"/>
  <c r="D465" i="8" s="1" a="1"/>
  <c r="C445" i="8"/>
  <c r="D445" i="8" s="1" a="1"/>
  <c r="C210" i="8"/>
  <c r="D210" i="8" s="1" a="1"/>
  <c r="C244" i="8"/>
  <c r="D244" i="8" s="1" a="1"/>
  <c r="C243" i="8"/>
  <c r="D243" i="8" s="1" a="1"/>
  <c r="C459" i="8"/>
  <c r="D459" i="8" s="1" a="1"/>
  <c r="C437" i="8"/>
  <c r="D437" i="8" s="1" a="1"/>
  <c r="C316" i="8"/>
  <c r="D316" i="8" s="1" a="1"/>
  <c r="C271" i="8"/>
  <c r="D271" i="8" s="1" a="1"/>
  <c r="C318" i="8"/>
  <c r="D318" i="8" s="1" a="1"/>
  <c r="C419" i="8"/>
  <c r="D419" i="8" s="1" a="1"/>
  <c r="C253" i="8"/>
  <c r="D253" i="8" s="1" a="1"/>
  <c r="C256" i="8"/>
  <c r="D256" i="8" s="1" a="1"/>
  <c r="C15" i="8"/>
  <c r="D15" i="8" s="1" a="1"/>
  <c r="C489" i="8"/>
  <c r="D489" i="8" s="1" a="1"/>
  <c r="C381" i="8"/>
  <c r="D381" i="8" s="1" a="1"/>
  <c r="C430" i="8"/>
  <c r="D430" i="8" s="1" a="1"/>
  <c r="C85" i="8"/>
  <c r="D85" i="8" s="1" a="1"/>
  <c r="C266" i="8"/>
  <c r="D266" i="8" s="1" a="1"/>
  <c r="C152" i="8"/>
  <c r="D152" i="8" s="1" a="1"/>
  <c r="C233" i="8"/>
  <c r="D233" i="8" s="1" a="1"/>
  <c r="C171" i="8"/>
  <c r="D171" i="8" s="1" a="1"/>
  <c r="C16" i="8"/>
  <c r="D16" i="8" s="1" a="1"/>
  <c r="C416" i="8"/>
  <c r="D416" i="8" s="1" a="1"/>
  <c r="C372" i="8"/>
  <c r="D372" i="8" s="1" a="1"/>
  <c r="C78" i="8"/>
  <c r="D78" i="8" s="1" a="1"/>
  <c r="C330" i="8"/>
  <c r="D330" i="8" s="1" a="1"/>
  <c r="C473" i="8"/>
  <c r="D473" i="8" s="1" a="1"/>
  <c r="C483" i="8"/>
  <c r="D483" i="8" s="1" a="1"/>
  <c r="C200" i="8"/>
  <c r="D200" i="8" s="1" a="1"/>
  <c r="C220" i="8"/>
  <c r="D220" i="8" s="1" a="1"/>
  <c r="C424" i="8"/>
  <c r="D424" i="8" s="1" a="1"/>
  <c r="C415" i="8"/>
  <c r="D415" i="8" s="1" a="1"/>
  <c r="C132" i="8"/>
  <c r="D132" i="8" s="1" a="1"/>
  <c r="C120" i="8"/>
  <c r="D120" i="8" s="1" a="1"/>
  <c r="C281" i="8"/>
  <c r="D281" i="8" s="1" a="1"/>
  <c r="C188" i="8"/>
  <c r="D188" i="8" s="1" a="1"/>
  <c r="C230" i="8"/>
  <c r="D230" i="8" s="1" a="1"/>
  <c r="C428" i="8"/>
  <c r="D428" i="8" s="1" a="1"/>
  <c r="C159" i="8"/>
  <c r="D159" i="8" s="1" a="1"/>
  <c r="C469" i="8"/>
  <c r="D469" i="8" s="1" a="1"/>
  <c r="C398" i="8"/>
  <c r="D398" i="8" s="1" a="1"/>
  <c r="C191" i="8"/>
  <c r="D191" i="8" s="1" a="1"/>
  <c r="C213" i="8"/>
  <c r="D213" i="8" s="1" a="1"/>
  <c r="C451" i="8"/>
  <c r="D451" i="8" s="1" a="1"/>
  <c r="C475" i="8"/>
  <c r="D475" i="8" s="1" a="1"/>
  <c r="C158" i="8"/>
  <c r="D158" i="8" s="1" a="1"/>
  <c r="C236" i="8"/>
  <c r="D236" i="8" s="1" a="1"/>
  <c r="C125" i="8"/>
  <c r="D125" i="8" s="1" a="1"/>
  <c r="C153" i="8"/>
  <c r="D153" i="8" s="1" a="1"/>
  <c r="C245" i="8"/>
  <c r="D245" i="8" s="1" a="1"/>
  <c r="C56" i="8"/>
  <c r="D56" i="8" s="1" a="1"/>
  <c r="C423" i="8"/>
  <c r="D423" i="8" s="1" a="1"/>
  <c r="C470" i="8"/>
  <c r="D470" i="8" s="1" a="1"/>
  <c r="C364" i="8"/>
  <c r="D364" i="8" s="1" a="1"/>
  <c r="C436" i="8"/>
  <c r="D436" i="8" s="1" a="1"/>
  <c r="C488" i="8"/>
  <c r="D488" i="8" s="1" a="1"/>
  <c r="C421" i="8"/>
  <c r="D421" i="8" s="1" a="1"/>
  <c r="C485" i="8"/>
  <c r="D485" i="8" s="1" a="1"/>
  <c r="C380" i="8"/>
  <c r="D380" i="8" s="1" a="1"/>
  <c r="C211" i="8"/>
  <c r="D211" i="8" s="1" a="1"/>
  <c r="C147" i="8"/>
  <c r="D147" i="8" s="1" a="1"/>
  <c r="C391" i="8"/>
  <c r="D391" i="8" s="1" a="1"/>
  <c r="C290" i="8"/>
  <c r="D290" i="8" s="1" a="1"/>
  <c r="C206" i="8"/>
  <c r="D206" i="8" s="1" a="1"/>
  <c r="C435" i="8"/>
  <c r="D435" i="8" s="1" a="1"/>
  <c r="C443" i="8"/>
  <c r="D443" i="8" s="1" a="1"/>
  <c r="C194" i="8"/>
  <c r="D194" i="8" s="1" a="1"/>
  <c r="C403" i="8"/>
  <c r="D403" i="8" s="1" a="1"/>
  <c r="C491" i="8"/>
  <c r="D491" i="8" s="1" a="1"/>
  <c r="C17" i="8"/>
  <c r="D17" i="8" s="1" a="1"/>
  <c r="C448" i="8"/>
  <c r="D448" i="8" s="1" a="1"/>
  <c r="C363" i="8"/>
  <c r="D363" i="8" s="1" a="1"/>
  <c r="C464" i="8"/>
  <c r="D464" i="8" s="1" a="1"/>
  <c r="C492" i="8"/>
  <c r="D492" i="8" s="1" a="1"/>
  <c r="C95" i="8"/>
  <c r="D95" i="8" s="1" a="1"/>
  <c r="C227" i="8"/>
  <c r="D227" i="8" s="1" a="1"/>
  <c r="C228" i="8"/>
  <c r="D228" i="8" s="1" a="1"/>
  <c r="C312" i="8"/>
  <c r="D312" i="8" s="1" a="1"/>
  <c r="C60" i="8"/>
  <c r="D60" i="8" s="1" a="1"/>
  <c r="C68" i="8"/>
  <c r="D68" i="8" s="1" a="1"/>
  <c r="C408" i="8"/>
  <c r="D408" i="8" s="1" a="1"/>
  <c r="C479" i="8"/>
  <c r="D479" i="8" s="1" a="1"/>
  <c r="C433" i="8"/>
  <c r="D433" i="8" s="1" a="1"/>
  <c r="C487" i="8"/>
  <c r="D487" i="8" s="1" a="1"/>
  <c r="C447" i="8"/>
  <c r="D447" i="8" s="1" a="1"/>
  <c r="C254" i="8"/>
  <c r="D254" i="8" s="1" a="1"/>
  <c r="C193" i="8"/>
  <c r="D193" i="8" s="1" a="1"/>
  <c r="C346" i="8"/>
  <c r="D346" i="8" s="1" a="1"/>
  <c r="C163" i="8"/>
  <c r="D163" i="8" s="1" a="1"/>
  <c r="C417" i="8"/>
  <c r="D417" i="8" s="1" a="1"/>
  <c r="C455" i="8"/>
  <c r="D455" i="8" s="1" a="1"/>
  <c r="C258" i="8"/>
  <c r="D258" i="8" s="1" a="1"/>
  <c r="C336" i="8"/>
  <c r="D336" i="8" s="1" a="1"/>
  <c r="C108" i="8"/>
  <c r="D108" i="8" s="1" a="1"/>
  <c r="C375" i="8"/>
  <c r="D375" i="8" s="1" a="1"/>
  <c r="C481" i="8"/>
  <c r="D481" i="8" s="1" a="1"/>
  <c r="D378" i="8" a="1"/>
  <c r="D30" i="8" a="1"/>
  <c r="D54" i="8" a="1"/>
  <c r="D53" i="8" a="1"/>
  <c r="D182" i="8" a="1"/>
  <c r="D323" i="8" a="1"/>
  <c r="D42" i="8" a="1"/>
  <c r="D405" i="8" a="1"/>
  <c r="D161" i="8" a="1"/>
  <c r="D321" i="8" a="1"/>
  <c r="D31" i="8" a="1"/>
  <c r="D450" i="8" a="1"/>
  <c r="D93" i="8" a="1"/>
  <c r="D360" i="8" a="1"/>
  <c r="D143" i="8" a="1"/>
  <c r="D84" i="8" a="1"/>
  <c r="D401" i="8" a="1"/>
  <c r="D482" i="8" a="1"/>
  <c r="D58" i="8" a="1"/>
  <c r="D67" i="8" a="1"/>
  <c r="D275" i="8" a="1"/>
  <c r="D173" i="8" a="1"/>
  <c r="D337" i="8" a="1"/>
  <c r="D259" i="8" a="1"/>
  <c r="D377" i="8" a="1"/>
  <c r="D317" i="8" a="1"/>
  <c r="D355" i="8" a="1"/>
  <c r="D205" i="8" a="1"/>
  <c r="D411" i="8" a="1"/>
  <c r="D274" i="8" a="1"/>
  <c r="D48" i="8" a="1"/>
  <c r="D302" i="8" a="1"/>
  <c r="D184" i="8" a="1"/>
  <c r="D151" i="8" a="1"/>
  <c r="D400" i="8" a="1"/>
  <c r="D102" i="8" a="1"/>
  <c r="D175" i="8" a="1"/>
  <c r="D71" i="8" a="1"/>
  <c r="D269" i="8" a="1"/>
  <c r="D365" i="8" a="1"/>
  <c r="D164" i="8" a="1"/>
  <c r="D331" i="8" a="1"/>
  <c r="D308" i="8" a="1"/>
  <c r="D340" i="8" a="1"/>
  <c r="D110" i="8" a="1"/>
  <c r="D51" i="8" a="1"/>
  <c r="D212" i="8" a="1"/>
  <c r="D100" i="8" a="1"/>
  <c r="D86" i="8" a="1"/>
  <c r="D224" i="8" a="1"/>
  <c r="D222" i="8" a="1"/>
  <c r="D439" i="8" a="1"/>
  <c r="D148" i="8" a="1"/>
  <c r="D3" i="8" a="1"/>
  <c r="D214" i="8" a="1"/>
  <c r="D44" i="8" a="1"/>
  <c r="D390" i="8" a="1"/>
  <c r="D305" i="8" a="1"/>
  <c r="D76" i="8" a="1"/>
  <c r="D59" i="8" a="1"/>
  <c r="D150" i="8" a="1"/>
  <c r="D99" i="8" a="1"/>
  <c r="D248" i="8" a="1"/>
  <c r="D174" i="8" a="1"/>
  <c r="D406" i="8" a="1"/>
  <c r="D192" i="8" a="1"/>
  <c r="D165" i="8" a="1"/>
  <c r="D138" i="8" a="1"/>
  <c r="D404" i="8" a="1"/>
  <c r="D263" i="8" a="1"/>
  <c r="D325" i="8" a="1"/>
  <c r="D37" i="8" a="1"/>
  <c r="D34" i="8" a="1"/>
  <c r="D25" i="8" a="1"/>
  <c r="D134" i="8" a="1"/>
  <c r="D468" i="8" a="1"/>
  <c r="D36" i="8" a="1"/>
  <c r="D13" i="8" a="1"/>
  <c r="D140" i="8" a="1"/>
  <c r="D9" i="8" a="1"/>
  <c r="D126" i="8" a="1"/>
  <c r="D45" i="8" a="1"/>
  <c r="D309" i="8" a="1"/>
  <c r="D389" i="8" a="1"/>
  <c r="D303" i="8" a="1"/>
  <c r="D186" i="8" a="1"/>
  <c r="D328" i="8" a="1"/>
  <c r="D203" i="8" a="1"/>
  <c r="D217" i="8" a="1"/>
  <c r="D426" i="8" a="1"/>
  <c r="J2" i="3"/>
  <c r="J114" i="3"/>
  <c r="J225" i="3"/>
  <c r="J336" i="3"/>
  <c r="J447" i="3"/>
  <c r="J558" i="3"/>
  <c r="J669" i="3"/>
  <c r="J780" i="3"/>
  <c r="J891" i="3"/>
  <c r="J3" i="3"/>
  <c r="J15" i="3"/>
  <c r="J26" i="3"/>
  <c r="J37" i="3"/>
  <c r="J48" i="3"/>
  <c r="J59" i="3"/>
  <c r="J70" i="3"/>
  <c r="J81" i="3"/>
  <c r="J92" i="3"/>
  <c r="J103" i="3"/>
  <c r="J115" i="3"/>
  <c r="J126" i="3"/>
  <c r="J137" i="3"/>
  <c r="J148" i="3"/>
  <c r="J159" i="3"/>
  <c r="J170" i="3"/>
  <c r="J181" i="3"/>
  <c r="J192" i="3"/>
  <c r="J203" i="3"/>
  <c r="J214" i="3"/>
  <c r="J226" i="3"/>
  <c r="J237" i="3"/>
  <c r="J248" i="3"/>
  <c r="J259" i="3"/>
  <c r="J270" i="3"/>
  <c r="J281" i="3"/>
  <c r="J292" i="3"/>
  <c r="J303" i="3"/>
  <c r="J314" i="3"/>
  <c r="J325" i="3"/>
  <c r="J337" i="3"/>
  <c r="J348" i="3"/>
  <c r="J359" i="3"/>
  <c r="J370" i="3"/>
  <c r="J381" i="3"/>
  <c r="J392" i="3"/>
  <c r="J403" i="3"/>
  <c r="J414" i="3"/>
  <c r="J425" i="3"/>
  <c r="J436" i="3"/>
  <c r="J448" i="3"/>
  <c r="J459" i="3"/>
  <c r="J470" i="3"/>
  <c r="J481" i="3"/>
  <c r="J492" i="3"/>
  <c r="J503" i="3"/>
  <c r="J514" i="3"/>
  <c r="J525" i="3"/>
  <c r="J536" i="3"/>
  <c r="J547" i="3"/>
  <c r="J559" i="3"/>
  <c r="J570" i="3"/>
  <c r="J581" i="3"/>
  <c r="J592" i="3"/>
  <c r="J603" i="3"/>
  <c r="J614" i="3"/>
  <c r="J625" i="3"/>
  <c r="J636" i="3"/>
  <c r="J647" i="3"/>
  <c r="J658" i="3"/>
  <c r="J670" i="3"/>
  <c r="J681" i="3"/>
  <c r="J692" i="3"/>
  <c r="J703" i="3"/>
  <c r="J714" i="3"/>
  <c r="J725" i="3"/>
  <c r="J736" i="3"/>
  <c r="J747" i="3"/>
  <c r="J758" i="3"/>
  <c r="J769" i="3"/>
  <c r="J781" i="3"/>
  <c r="J792" i="3"/>
  <c r="J803" i="3"/>
  <c r="J814" i="3"/>
  <c r="J825" i="3"/>
  <c r="J836" i="3"/>
  <c r="J847" i="3"/>
  <c r="J858" i="3"/>
  <c r="J869" i="3"/>
  <c r="J880" i="3"/>
  <c r="J892" i="3"/>
  <c r="J903" i="3"/>
  <c r="J914" i="3"/>
  <c r="J925" i="3"/>
  <c r="J936" i="3"/>
  <c r="J947" i="3"/>
  <c r="J958" i="3"/>
  <c r="J969" i="3"/>
  <c r="J980" i="3"/>
  <c r="J991" i="3"/>
  <c r="J4" i="3"/>
  <c r="J6" i="3"/>
  <c r="J7" i="3"/>
  <c r="J8" i="3"/>
  <c r="J9" i="3"/>
  <c r="J10" i="3"/>
  <c r="J11" i="3"/>
  <c r="J12" i="3"/>
  <c r="J13" i="3"/>
  <c r="J14" i="3"/>
  <c r="J16" i="3"/>
  <c r="J17" i="3"/>
  <c r="J18" i="3"/>
  <c r="J19" i="3"/>
  <c r="J20" i="3"/>
  <c r="J21" i="3"/>
  <c r="J22" i="3"/>
  <c r="J23" i="3"/>
  <c r="J24" i="3"/>
  <c r="J25" i="3"/>
  <c r="J27" i="3"/>
  <c r="J28" i="3"/>
  <c r="J29" i="3"/>
  <c r="J30" i="3"/>
  <c r="J31" i="3"/>
  <c r="J32" i="3"/>
  <c r="J33" i="3"/>
  <c r="J34" i="3"/>
  <c r="J35" i="3"/>
  <c r="J36" i="3"/>
  <c r="J38" i="3"/>
  <c r="J39" i="3"/>
  <c r="J40" i="3"/>
  <c r="J41" i="3"/>
  <c r="J42" i="3"/>
  <c r="J43" i="3"/>
  <c r="J44" i="3"/>
  <c r="J45" i="3"/>
  <c r="J46" i="3"/>
  <c r="J47" i="3"/>
  <c r="J49" i="3"/>
  <c r="J50" i="3"/>
  <c r="J51" i="3"/>
  <c r="J52" i="3"/>
  <c r="J53" i="3"/>
  <c r="J54" i="3"/>
  <c r="J55" i="3"/>
  <c r="J56" i="3"/>
  <c r="J57" i="3"/>
  <c r="J58" i="3"/>
  <c r="J60" i="3"/>
  <c r="J61" i="3"/>
  <c r="J62" i="3"/>
  <c r="J63" i="3"/>
  <c r="J64" i="3"/>
  <c r="J65" i="3"/>
  <c r="J66" i="3"/>
  <c r="J67" i="3"/>
  <c r="J68" i="3"/>
  <c r="J69" i="3"/>
  <c r="J71" i="3"/>
  <c r="J72" i="3"/>
  <c r="J73" i="3"/>
  <c r="J74" i="3"/>
  <c r="J75" i="3"/>
  <c r="J76" i="3"/>
  <c r="J77" i="3"/>
  <c r="J78" i="3"/>
  <c r="J79" i="3"/>
  <c r="J80" i="3"/>
  <c r="J82" i="3"/>
  <c r="J83" i="3"/>
  <c r="J84" i="3"/>
  <c r="J85" i="3"/>
  <c r="J86" i="3"/>
  <c r="J87" i="3"/>
  <c r="J88" i="3"/>
  <c r="J89" i="3"/>
  <c r="J90" i="3"/>
  <c r="J91" i="3"/>
  <c r="J93" i="3"/>
  <c r="J94" i="3"/>
  <c r="J95" i="3"/>
  <c r="J96" i="3"/>
  <c r="J97" i="3"/>
  <c r="J98" i="3"/>
  <c r="J99" i="3"/>
  <c r="J100" i="3"/>
  <c r="J101" i="3"/>
  <c r="J102" i="3"/>
  <c r="J104" i="3"/>
  <c r="J105" i="3"/>
  <c r="J106" i="3"/>
  <c r="J107" i="3"/>
  <c r="J108" i="3"/>
  <c r="J109" i="3"/>
  <c r="J110" i="3"/>
  <c r="J111" i="3"/>
  <c r="J112" i="3"/>
  <c r="J113" i="3"/>
  <c r="J116" i="3"/>
  <c r="J117" i="3"/>
  <c r="J118" i="3"/>
  <c r="J119" i="3"/>
  <c r="J120" i="3"/>
  <c r="J121" i="3"/>
  <c r="J122" i="3"/>
  <c r="J123" i="3"/>
  <c r="J124" i="3"/>
  <c r="J125" i="3"/>
  <c r="J127" i="3"/>
  <c r="J128" i="3"/>
  <c r="J129" i="3"/>
  <c r="J130" i="3"/>
  <c r="J131" i="3"/>
  <c r="J132" i="3"/>
  <c r="J133" i="3"/>
  <c r="J134" i="3"/>
  <c r="J135" i="3"/>
  <c r="J136" i="3"/>
  <c r="J138" i="3"/>
  <c r="J139" i="3"/>
  <c r="J140" i="3"/>
  <c r="J141" i="3"/>
  <c r="J142" i="3"/>
  <c r="J143" i="3"/>
  <c r="J144" i="3"/>
  <c r="J145" i="3"/>
  <c r="J146" i="3"/>
  <c r="J147" i="3"/>
  <c r="J149" i="3"/>
  <c r="J150" i="3"/>
  <c r="J151" i="3"/>
  <c r="J152" i="3"/>
  <c r="J153" i="3"/>
  <c r="J154" i="3"/>
  <c r="J155" i="3"/>
  <c r="J156" i="3"/>
  <c r="J157" i="3"/>
  <c r="J158" i="3"/>
  <c r="J160" i="3"/>
  <c r="J161" i="3"/>
  <c r="J162" i="3"/>
  <c r="J163" i="3"/>
  <c r="J164" i="3"/>
  <c r="J165" i="3"/>
  <c r="J166" i="3"/>
  <c r="J167" i="3"/>
  <c r="J168" i="3"/>
  <c r="J169" i="3"/>
  <c r="J171" i="3"/>
  <c r="J172" i="3"/>
  <c r="J173" i="3"/>
  <c r="J174" i="3"/>
  <c r="J175" i="3"/>
  <c r="J176" i="3"/>
  <c r="J177" i="3"/>
  <c r="J178" i="3"/>
  <c r="J179" i="3"/>
  <c r="J180" i="3"/>
  <c r="J182" i="3"/>
  <c r="J183" i="3"/>
  <c r="J184" i="3"/>
  <c r="J185" i="3"/>
  <c r="J186" i="3"/>
  <c r="J187" i="3"/>
  <c r="J188" i="3"/>
  <c r="J189" i="3"/>
  <c r="J190" i="3"/>
  <c r="J191" i="3"/>
  <c r="J193" i="3"/>
  <c r="J194" i="3"/>
  <c r="J195" i="3"/>
  <c r="J196" i="3"/>
  <c r="J197" i="3"/>
  <c r="J198" i="3"/>
  <c r="J199" i="3"/>
  <c r="J200" i="3"/>
  <c r="J201" i="3"/>
  <c r="J202" i="3"/>
  <c r="J204" i="3"/>
  <c r="J205" i="3"/>
  <c r="J206" i="3"/>
  <c r="J207" i="3"/>
  <c r="J208" i="3"/>
  <c r="J209" i="3"/>
  <c r="J210" i="3"/>
  <c r="J211" i="3"/>
  <c r="J212" i="3"/>
  <c r="J213" i="3"/>
  <c r="J215" i="3"/>
  <c r="J216" i="3"/>
  <c r="J217" i="3"/>
  <c r="J218" i="3"/>
  <c r="J219" i="3"/>
  <c r="J220" i="3"/>
  <c r="J221" i="3"/>
  <c r="J222" i="3"/>
  <c r="J223" i="3"/>
  <c r="J224" i="3"/>
  <c r="J227" i="3"/>
  <c r="J228" i="3"/>
  <c r="J229" i="3"/>
  <c r="J230" i="3"/>
  <c r="J231" i="3"/>
  <c r="J232" i="3"/>
  <c r="J233" i="3"/>
  <c r="J234" i="3"/>
  <c r="J235" i="3"/>
  <c r="J236" i="3"/>
  <c r="J238" i="3"/>
  <c r="J239" i="3"/>
  <c r="J240" i="3"/>
  <c r="J241" i="3"/>
  <c r="J242" i="3"/>
  <c r="J243" i="3"/>
  <c r="J244" i="3"/>
  <c r="J245" i="3"/>
  <c r="J246" i="3"/>
  <c r="J247" i="3"/>
  <c r="J249" i="3"/>
  <c r="J250" i="3"/>
  <c r="J251" i="3"/>
  <c r="J252" i="3"/>
  <c r="J253" i="3"/>
  <c r="J254" i="3"/>
  <c r="J255" i="3"/>
  <c r="J256" i="3"/>
  <c r="J257" i="3"/>
  <c r="J258" i="3"/>
  <c r="J260" i="3"/>
  <c r="J261" i="3"/>
  <c r="J262" i="3"/>
  <c r="J263" i="3"/>
  <c r="J264" i="3"/>
  <c r="J265" i="3"/>
  <c r="J266" i="3"/>
  <c r="J267" i="3"/>
  <c r="J268" i="3"/>
  <c r="J269" i="3"/>
  <c r="J271" i="3"/>
  <c r="J272" i="3"/>
  <c r="J273" i="3"/>
  <c r="J274" i="3"/>
  <c r="J275" i="3"/>
  <c r="J276" i="3"/>
  <c r="J277" i="3"/>
  <c r="J278" i="3"/>
  <c r="J279" i="3"/>
  <c r="J280" i="3"/>
  <c r="J282" i="3"/>
  <c r="J283" i="3"/>
  <c r="J284" i="3"/>
  <c r="J285" i="3"/>
  <c r="J286" i="3"/>
  <c r="J287" i="3"/>
  <c r="J288" i="3"/>
  <c r="J289" i="3"/>
  <c r="J290" i="3"/>
  <c r="J291" i="3"/>
  <c r="J293" i="3"/>
  <c r="J294" i="3"/>
  <c r="J295" i="3"/>
  <c r="J296" i="3"/>
  <c r="J297" i="3"/>
  <c r="J298" i="3"/>
  <c r="J299" i="3"/>
  <c r="J300" i="3"/>
  <c r="J301" i="3"/>
  <c r="J302" i="3"/>
  <c r="J304" i="3"/>
  <c r="J305" i="3"/>
  <c r="J306" i="3"/>
  <c r="J307" i="3"/>
  <c r="J308" i="3"/>
  <c r="J309" i="3"/>
  <c r="J310" i="3"/>
  <c r="J311" i="3"/>
  <c r="J312" i="3"/>
  <c r="J313" i="3"/>
  <c r="J315" i="3"/>
  <c r="J316" i="3"/>
  <c r="J317" i="3"/>
  <c r="J318" i="3"/>
  <c r="J319" i="3"/>
  <c r="J320" i="3"/>
  <c r="J321" i="3"/>
  <c r="J322" i="3"/>
  <c r="J323" i="3"/>
  <c r="J324" i="3"/>
  <c r="J326" i="3"/>
  <c r="J327" i="3"/>
  <c r="J328" i="3"/>
  <c r="J329" i="3"/>
  <c r="J330" i="3"/>
  <c r="J331" i="3"/>
  <c r="J332" i="3"/>
  <c r="J333" i="3"/>
  <c r="J334" i="3"/>
  <c r="J335" i="3"/>
  <c r="J338" i="3"/>
  <c r="J339" i="3"/>
  <c r="J340" i="3"/>
  <c r="J341" i="3"/>
  <c r="J342" i="3"/>
  <c r="J343" i="3"/>
  <c r="J344" i="3"/>
  <c r="J345" i="3"/>
  <c r="J346" i="3"/>
  <c r="J347" i="3"/>
  <c r="J349" i="3"/>
  <c r="J350" i="3"/>
  <c r="J351" i="3"/>
  <c r="J352" i="3"/>
  <c r="J353" i="3"/>
  <c r="J354" i="3"/>
  <c r="J355" i="3"/>
  <c r="J356" i="3"/>
  <c r="J357" i="3"/>
  <c r="J358" i="3"/>
  <c r="J360" i="3"/>
  <c r="J361" i="3"/>
  <c r="J362" i="3"/>
  <c r="J363" i="3"/>
  <c r="J364" i="3"/>
  <c r="J365" i="3"/>
  <c r="J366" i="3"/>
  <c r="J367" i="3"/>
  <c r="J368" i="3"/>
  <c r="J369" i="3"/>
  <c r="J371" i="3"/>
  <c r="J372" i="3"/>
  <c r="J373" i="3"/>
  <c r="J374" i="3"/>
  <c r="J375" i="3"/>
  <c r="J376" i="3"/>
  <c r="J377" i="3"/>
  <c r="J378" i="3"/>
  <c r="J379" i="3"/>
  <c r="J380" i="3"/>
  <c r="J382" i="3"/>
  <c r="J383" i="3"/>
  <c r="J384" i="3"/>
  <c r="J385" i="3"/>
  <c r="J386" i="3"/>
  <c r="J387" i="3"/>
  <c r="J388" i="3"/>
  <c r="J389" i="3"/>
  <c r="J390" i="3"/>
  <c r="J391" i="3"/>
  <c r="J393" i="3"/>
  <c r="J394" i="3"/>
  <c r="J395" i="3"/>
  <c r="J396" i="3"/>
  <c r="J397" i="3"/>
  <c r="J398" i="3"/>
  <c r="J399" i="3"/>
  <c r="J400" i="3"/>
  <c r="J401" i="3"/>
  <c r="J402" i="3"/>
  <c r="J404" i="3"/>
  <c r="J405" i="3"/>
  <c r="J406" i="3"/>
  <c r="J407" i="3"/>
  <c r="J408" i="3"/>
  <c r="J409" i="3"/>
  <c r="J410" i="3"/>
  <c r="J411" i="3"/>
  <c r="J412" i="3"/>
  <c r="J413" i="3"/>
  <c r="J415" i="3"/>
  <c r="J416" i="3"/>
  <c r="J417" i="3"/>
  <c r="J418" i="3"/>
  <c r="J419" i="3"/>
  <c r="J420" i="3"/>
  <c r="J421" i="3"/>
  <c r="J422" i="3"/>
  <c r="J423" i="3"/>
  <c r="J424" i="3"/>
  <c r="J426" i="3"/>
  <c r="J427" i="3"/>
  <c r="J428" i="3"/>
  <c r="J429" i="3"/>
  <c r="J430" i="3"/>
  <c r="J431" i="3"/>
  <c r="J432" i="3"/>
  <c r="J433" i="3"/>
  <c r="J434" i="3"/>
  <c r="J435" i="3"/>
  <c r="J437" i="3"/>
  <c r="J438" i="3"/>
  <c r="J439" i="3"/>
  <c r="J440" i="3"/>
  <c r="J441" i="3"/>
  <c r="J442" i="3"/>
  <c r="J443" i="3"/>
  <c r="J444" i="3"/>
  <c r="J445" i="3"/>
  <c r="J446" i="3"/>
  <c r="J449" i="3"/>
  <c r="J450" i="3"/>
  <c r="J451" i="3"/>
  <c r="J452" i="3"/>
  <c r="J453" i="3"/>
  <c r="J454" i="3"/>
  <c r="J455" i="3"/>
  <c r="J456" i="3"/>
  <c r="J457" i="3"/>
  <c r="J458" i="3"/>
  <c r="J460" i="3"/>
  <c r="J461" i="3"/>
  <c r="J462" i="3"/>
  <c r="J463" i="3"/>
  <c r="J464" i="3"/>
  <c r="J465" i="3"/>
  <c r="J466" i="3"/>
  <c r="J467" i="3"/>
  <c r="J468" i="3"/>
  <c r="J469" i="3"/>
  <c r="J471" i="3"/>
  <c r="J472" i="3"/>
  <c r="J473" i="3"/>
  <c r="J474" i="3"/>
  <c r="J475" i="3"/>
  <c r="J476" i="3"/>
  <c r="J477" i="3"/>
  <c r="J478" i="3"/>
  <c r="J479" i="3"/>
  <c r="J480" i="3"/>
  <c r="J482" i="3"/>
  <c r="J483" i="3"/>
  <c r="J484" i="3"/>
  <c r="J485" i="3"/>
  <c r="J486" i="3"/>
  <c r="J487" i="3"/>
  <c r="J488" i="3"/>
  <c r="J489" i="3"/>
  <c r="J490" i="3"/>
  <c r="J491" i="3"/>
  <c r="J493" i="3"/>
  <c r="J494" i="3"/>
  <c r="J495" i="3"/>
  <c r="J496" i="3"/>
  <c r="J497" i="3"/>
  <c r="J498" i="3"/>
  <c r="J499" i="3"/>
  <c r="J500" i="3"/>
  <c r="J501" i="3"/>
  <c r="J502" i="3"/>
  <c r="J504" i="3"/>
  <c r="J505" i="3"/>
  <c r="J506" i="3"/>
  <c r="J507" i="3"/>
  <c r="J508" i="3"/>
  <c r="J509" i="3"/>
  <c r="J510" i="3"/>
  <c r="J511" i="3"/>
  <c r="J512" i="3"/>
  <c r="J513" i="3"/>
  <c r="J515" i="3"/>
  <c r="J516" i="3"/>
  <c r="J517" i="3"/>
  <c r="J518" i="3"/>
  <c r="J519" i="3"/>
  <c r="J520" i="3"/>
  <c r="J521" i="3"/>
  <c r="J522" i="3"/>
  <c r="J523" i="3"/>
  <c r="J524" i="3"/>
  <c r="J526" i="3"/>
  <c r="J527" i="3"/>
  <c r="J528" i="3"/>
  <c r="J529" i="3"/>
  <c r="J530" i="3"/>
  <c r="J531" i="3"/>
  <c r="J532" i="3"/>
  <c r="J533" i="3"/>
  <c r="J534" i="3"/>
  <c r="J535" i="3"/>
  <c r="J537" i="3"/>
  <c r="J538" i="3"/>
  <c r="J539" i="3"/>
  <c r="J540" i="3"/>
  <c r="J541" i="3"/>
  <c r="J542" i="3"/>
  <c r="J543" i="3"/>
  <c r="J544" i="3"/>
  <c r="J545" i="3"/>
  <c r="J546" i="3"/>
  <c r="J548" i="3"/>
  <c r="J549" i="3"/>
  <c r="J550" i="3"/>
  <c r="J551" i="3"/>
  <c r="J552" i="3"/>
  <c r="J553" i="3"/>
  <c r="J554" i="3"/>
  <c r="J555" i="3"/>
  <c r="J556" i="3"/>
  <c r="J557" i="3"/>
  <c r="J560" i="3"/>
  <c r="J561" i="3"/>
  <c r="J562" i="3"/>
  <c r="J563" i="3"/>
  <c r="J564" i="3"/>
  <c r="J565" i="3"/>
  <c r="J566" i="3"/>
  <c r="J567" i="3"/>
  <c r="J568" i="3"/>
  <c r="J569" i="3"/>
  <c r="J571" i="3"/>
  <c r="J572" i="3"/>
  <c r="J573" i="3"/>
  <c r="J574" i="3"/>
  <c r="J575" i="3"/>
  <c r="J576" i="3"/>
  <c r="J577" i="3"/>
  <c r="J578" i="3"/>
  <c r="J579" i="3"/>
  <c r="J580" i="3"/>
  <c r="J582" i="3"/>
  <c r="J583" i="3"/>
  <c r="J584" i="3"/>
  <c r="J585" i="3"/>
  <c r="J586" i="3"/>
  <c r="J587" i="3"/>
  <c r="J588" i="3"/>
  <c r="J589" i="3"/>
  <c r="J590" i="3"/>
  <c r="J591" i="3"/>
  <c r="J593" i="3"/>
  <c r="J594" i="3"/>
  <c r="J595" i="3"/>
  <c r="J596" i="3"/>
  <c r="J597" i="3"/>
  <c r="J598" i="3"/>
  <c r="J599" i="3"/>
  <c r="J600" i="3"/>
  <c r="J601" i="3"/>
  <c r="J602" i="3"/>
  <c r="J604" i="3"/>
  <c r="J605" i="3"/>
  <c r="J606" i="3"/>
  <c r="J607" i="3"/>
  <c r="J608" i="3"/>
  <c r="J609" i="3"/>
  <c r="J610" i="3"/>
  <c r="J611" i="3"/>
  <c r="J612" i="3"/>
  <c r="J613" i="3"/>
  <c r="J615" i="3"/>
  <c r="J616" i="3"/>
  <c r="J617" i="3"/>
  <c r="J618" i="3"/>
  <c r="J619" i="3"/>
  <c r="J620" i="3"/>
  <c r="J621" i="3"/>
  <c r="J622" i="3"/>
  <c r="J623" i="3"/>
  <c r="J624" i="3"/>
  <c r="J626" i="3"/>
  <c r="J627" i="3"/>
  <c r="J628" i="3"/>
  <c r="J629" i="3"/>
  <c r="J630" i="3"/>
  <c r="J631" i="3"/>
  <c r="J632" i="3"/>
  <c r="J633" i="3"/>
  <c r="J634" i="3"/>
  <c r="J635" i="3"/>
  <c r="J637" i="3"/>
  <c r="J638" i="3"/>
  <c r="J639" i="3"/>
  <c r="J640" i="3"/>
  <c r="J641" i="3"/>
  <c r="J642" i="3"/>
  <c r="J643" i="3"/>
  <c r="J644" i="3"/>
  <c r="J645" i="3"/>
  <c r="J646" i="3"/>
  <c r="J648" i="3"/>
  <c r="J649" i="3"/>
  <c r="J650" i="3"/>
  <c r="J651" i="3"/>
  <c r="J652" i="3"/>
  <c r="J653" i="3"/>
  <c r="J654" i="3"/>
  <c r="J655" i="3"/>
  <c r="J656" i="3"/>
  <c r="J657" i="3"/>
  <c r="J659" i="3"/>
  <c r="J660" i="3"/>
  <c r="J661" i="3"/>
  <c r="J662" i="3"/>
  <c r="J663" i="3"/>
  <c r="J664" i="3"/>
  <c r="J665" i="3"/>
  <c r="J666" i="3"/>
  <c r="J667" i="3"/>
  <c r="J668" i="3"/>
  <c r="J671" i="3"/>
  <c r="J672" i="3"/>
  <c r="J673" i="3"/>
  <c r="J674" i="3"/>
  <c r="J675" i="3"/>
  <c r="J676" i="3"/>
  <c r="J677" i="3"/>
  <c r="J678" i="3"/>
  <c r="J679" i="3"/>
  <c r="J680" i="3"/>
  <c r="J682" i="3"/>
  <c r="J683" i="3"/>
  <c r="J684" i="3"/>
  <c r="J685" i="3"/>
  <c r="J686" i="3"/>
  <c r="J687" i="3"/>
  <c r="J688" i="3"/>
  <c r="J689" i="3"/>
  <c r="J690" i="3"/>
  <c r="J691" i="3"/>
  <c r="J693" i="3"/>
  <c r="J694" i="3"/>
  <c r="J695" i="3"/>
  <c r="J696" i="3"/>
  <c r="J697" i="3"/>
  <c r="J698" i="3"/>
  <c r="J699" i="3"/>
  <c r="J700" i="3"/>
  <c r="J701" i="3"/>
  <c r="J702" i="3"/>
  <c r="J704" i="3"/>
  <c r="J705" i="3"/>
  <c r="J706" i="3"/>
  <c r="J707" i="3"/>
  <c r="J708" i="3"/>
  <c r="J709" i="3"/>
  <c r="J710" i="3"/>
  <c r="J711" i="3"/>
  <c r="J712" i="3"/>
  <c r="J713" i="3"/>
  <c r="J715" i="3"/>
  <c r="J716" i="3"/>
  <c r="J717" i="3"/>
  <c r="J718" i="3"/>
  <c r="J719" i="3"/>
  <c r="J720" i="3"/>
  <c r="J721" i="3"/>
  <c r="J722" i="3"/>
  <c r="J723" i="3"/>
  <c r="J724" i="3"/>
  <c r="J726" i="3"/>
  <c r="J727" i="3"/>
  <c r="J728" i="3"/>
  <c r="J729" i="3"/>
  <c r="J730" i="3"/>
  <c r="J731" i="3"/>
  <c r="J732" i="3"/>
  <c r="J733" i="3"/>
  <c r="J734" i="3"/>
  <c r="J735" i="3"/>
  <c r="J737" i="3"/>
  <c r="J738" i="3"/>
  <c r="J739" i="3"/>
  <c r="J740" i="3"/>
  <c r="J741" i="3"/>
  <c r="J742" i="3"/>
  <c r="J743" i="3"/>
  <c r="J744" i="3"/>
  <c r="J745" i="3"/>
  <c r="J746" i="3"/>
  <c r="J748" i="3"/>
  <c r="J749" i="3"/>
  <c r="J750" i="3"/>
  <c r="J751" i="3"/>
  <c r="J752" i="3"/>
  <c r="J753" i="3"/>
  <c r="J754" i="3"/>
  <c r="J755" i="3"/>
  <c r="J756" i="3"/>
  <c r="J757" i="3"/>
  <c r="J759" i="3"/>
  <c r="J760" i="3"/>
  <c r="J761" i="3"/>
  <c r="J762" i="3"/>
  <c r="J763" i="3"/>
  <c r="J764" i="3"/>
  <c r="J765" i="3"/>
  <c r="J766" i="3"/>
  <c r="J767" i="3"/>
  <c r="J768" i="3"/>
  <c r="J770" i="3"/>
  <c r="J771" i="3"/>
  <c r="J772" i="3"/>
  <c r="J773" i="3"/>
  <c r="J774" i="3"/>
  <c r="J775" i="3"/>
  <c r="J776" i="3"/>
  <c r="J777" i="3"/>
  <c r="J778" i="3"/>
  <c r="J779" i="3"/>
  <c r="J782" i="3"/>
  <c r="J783" i="3"/>
  <c r="J784" i="3"/>
  <c r="J785" i="3"/>
  <c r="J786" i="3"/>
  <c r="J787" i="3"/>
  <c r="J788" i="3"/>
  <c r="J789" i="3"/>
  <c r="J790" i="3"/>
  <c r="J791" i="3"/>
  <c r="J793" i="3"/>
  <c r="J794" i="3"/>
  <c r="J795" i="3"/>
  <c r="J796" i="3"/>
  <c r="J797" i="3"/>
  <c r="J798" i="3"/>
  <c r="J799" i="3"/>
  <c r="J800" i="3"/>
  <c r="J801" i="3"/>
  <c r="J802" i="3"/>
  <c r="J804" i="3"/>
  <c r="J805" i="3"/>
  <c r="J806" i="3"/>
  <c r="J807" i="3"/>
  <c r="J808" i="3"/>
  <c r="J809" i="3"/>
  <c r="J810" i="3"/>
  <c r="J811" i="3"/>
  <c r="J812" i="3"/>
  <c r="J813" i="3"/>
  <c r="J815" i="3"/>
  <c r="J816" i="3"/>
  <c r="J817" i="3"/>
  <c r="J818" i="3"/>
  <c r="J819" i="3"/>
  <c r="J820" i="3"/>
  <c r="J821" i="3"/>
  <c r="J822" i="3"/>
  <c r="J823" i="3"/>
  <c r="J824" i="3"/>
  <c r="J826" i="3"/>
  <c r="J827" i="3"/>
  <c r="J828" i="3"/>
  <c r="J829" i="3"/>
  <c r="J830" i="3"/>
  <c r="J831" i="3"/>
  <c r="J832" i="3"/>
  <c r="J833" i="3"/>
  <c r="J834" i="3"/>
  <c r="J835" i="3"/>
  <c r="J837" i="3"/>
  <c r="J838" i="3"/>
  <c r="J839" i="3"/>
  <c r="J840" i="3"/>
  <c r="J841" i="3"/>
  <c r="J842" i="3"/>
  <c r="J843" i="3"/>
  <c r="J844" i="3"/>
  <c r="J845" i="3"/>
  <c r="J846" i="3"/>
  <c r="J848" i="3"/>
  <c r="J849" i="3"/>
  <c r="J850" i="3"/>
  <c r="J851" i="3"/>
  <c r="J852" i="3"/>
  <c r="J853" i="3"/>
  <c r="J854" i="3"/>
  <c r="J855" i="3"/>
  <c r="J856" i="3"/>
  <c r="J857" i="3"/>
  <c r="J859" i="3"/>
  <c r="J860" i="3"/>
  <c r="J861" i="3"/>
  <c r="J862" i="3"/>
  <c r="J863" i="3"/>
  <c r="J864" i="3"/>
  <c r="J865" i="3"/>
  <c r="J866" i="3"/>
  <c r="J867" i="3"/>
  <c r="J868" i="3"/>
  <c r="J870" i="3"/>
  <c r="J871" i="3"/>
  <c r="J872" i="3"/>
  <c r="J873" i="3"/>
  <c r="J874" i="3"/>
  <c r="J875" i="3"/>
  <c r="J876" i="3"/>
  <c r="J877" i="3"/>
  <c r="J878" i="3"/>
  <c r="J879" i="3"/>
  <c r="J881" i="3"/>
  <c r="J882" i="3"/>
  <c r="J883" i="3"/>
  <c r="J884" i="3"/>
  <c r="J885" i="3"/>
  <c r="J886" i="3"/>
  <c r="J887" i="3"/>
  <c r="J888" i="3"/>
  <c r="J889" i="3"/>
  <c r="J890" i="3"/>
  <c r="J893" i="3"/>
  <c r="J894" i="3"/>
  <c r="J895" i="3"/>
  <c r="J896" i="3"/>
  <c r="J897" i="3"/>
  <c r="J898" i="3"/>
  <c r="J899" i="3"/>
  <c r="J900" i="3"/>
  <c r="J901" i="3"/>
  <c r="J902" i="3"/>
  <c r="J904" i="3"/>
  <c r="J905" i="3"/>
  <c r="J906" i="3"/>
  <c r="J907" i="3"/>
  <c r="J908" i="3"/>
  <c r="J909" i="3"/>
  <c r="J910" i="3"/>
  <c r="J911" i="3"/>
  <c r="J912" i="3"/>
  <c r="J913" i="3"/>
  <c r="J915" i="3"/>
  <c r="J916" i="3"/>
  <c r="J917" i="3"/>
  <c r="J918" i="3"/>
  <c r="J919" i="3"/>
  <c r="J920" i="3"/>
  <c r="J921" i="3"/>
  <c r="J922" i="3"/>
  <c r="J923" i="3"/>
  <c r="J924" i="3"/>
  <c r="J926" i="3"/>
  <c r="J927" i="3"/>
  <c r="J928" i="3"/>
  <c r="J929" i="3"/>
  <c r="J930" i="3"/>
  <c r="J931" i="3"/>
  <c r="J932" i="3"/>
  <c r="J933" i="3"/>
  <c r="J934" i="3"/>
  <c r="J935" i="3"/>
  <c r="J937" i="3"/>
  <c r="J938" i="3"/>
  <c r="J939" i="3"/>
  <c r="J940" i="3"/>
  <c r="J941" i="3"/>
  <c r="J942" i="3"/>
  <c r="J943" i="3"/>
  <c r="J944" i="3"/>
  <c r="J945" i="3"/>
  <c r="J946" i="3"/>
  <c r="J948" i="3"/>
  <c r="J949" i="3"/>
  <c r="J950" i="3"/>
  <c r="J951" i="3"/>
  <c r="J952" i="3"/>
  <c r="J953" i="3"/>
  <c r="J954" i="3"/>
  <c r="J955" i="3"/>
  <c r="J956" i="3"/>
  <c r="J957" i="3"/>
  <c r="J959" i="3"/>
  <c r="J960" i="3"/>
  <c r="J961" i="3"/>
  <c r="J962" i="3"/>
  <c r="J963" i="3"/>
  <c r="J964" i="3"/>
  <c r="J965" i="3"/>
  <c r="J966" i="3"/>
  <c r="J967" i="3"/>
  <c r="J968" i="3"/>
  <c r="J970" i="3"/>
  <c r="J971" i="3"/>
  <c r="J972" i="3"/>
  <c r="J973" i="3"/>
  <c r="J974" i="3"/>
  <c r="J975" i="3"/>
  <c r="J976" i="3"/>
  <c r="J977" i="3"/>
  <c r="J978" i="3"/>
  <c r="J979" i="3"/>
  <c r="J981" i="3"/>
  <c r="J982" i="3"/>
  <c r="J983" i="3"/>
  <c r="J984" i="3"/>
  <c r="J985" i="3"/>
  <c r="J986" i="3"/>
  <c r="J987" i="3"/>
  <c r="J988" i="3"/>
  <c r="J989" i="3"/>
  <c r="J990" i="3"/>
  <c r="J992" i="3"/>
  <c r="J993" i="3"/>
  <c r="J994" i="3"/>
  <c r="J995" i="3"/>
  <c r="J996" i="3"/>
  <c r="J997" i="3"/>
  <c r="J998" i="3"/>
  <c r="J999" i="3"/>
  <c r="J1000" i="3"/>
  <c r="J1001" i="3"/>
  <c r="J5" i="3"/>
  <c r="B5" i="17"/>
  <c r="B8" i="17"/>
  <c r="B3" i="17"/>
  <c r="B4" i="17"/>
  <c r="A2" i="10"/>
  <c r="E359" i="8"/>
  <c r="F359" i="8"/>
  <c r="F446" i="8"/>
  <c r="F260" i="8"/>
  <c r="F441" i="8"/>
  <c r="F217" i="8"/>
  <c r="F427" i="8"/>
  <c r="F3" i="8"/>
  <c r="F105" i="8"/>
  <c r="F383" i="8"/>
  <c r="F308" i="8"/>
  <c r="F191" i="8"/>
  <c r="F388" i="8"/>
  <c r="F487" i="8"/>
  <c r="F492" i="8"/>
  <c r="F165" i="8"/>
  <c r="F344" i="8"/>
  <c r="F413" i="8"/>
  <c r="F160" i="8"/>
  <c r="F117" i="8"/>
  <c r="F443" i="8"/>
  <c r="F151" i="8"/>
  <c r="F233" i="8"/>
  <c r="F379" i="8"/>
  <c r="F319" i="8"/>
  <c r="F321" i="8"/>
  <c r="F293" i="8"/>
  <c r="F313" i="8"/>
  <c r="F10" i="8"/>
  <c r="F56" i="8"/>
  <c r="F486" i="8"/>
  <c r="F7" i="8"/>
  <c r="F219" i="8"/>
  <c r="F398" i="8"/>
  <c r="F159" i="8"/>
  <c r="F279" i="8"/>
  <c r="F277" i="8"/>
  <c r="F153" i="8"/>
  <c r="F353" i="8"/>
  <c r="F484" i="8"/>
  <c r="F472" i="8"/>
  <c r="F351" i="8"/>
  <c r="F121" i="8"/>
  <c r="F20" i="8"/>
  <c r="F11" i="8"/>
  <c r="F236" i="8"/>
  <c r="F52" i="8"/>
  <c r="F59" i="8"/>
  <c r="F430" i="8"/>
  <c r="F79" i="8"/>
  <c r="F482" i="8"/>
  <c r="F426" i="8"/>
  <c r="F16" i="8"/>
  <c r="F90" i="8"/>
  <c r="F348" i="8"/>
  <c r="F287" i="8"/>
  <c r="F29" i="8"/>
  <c r="F69" i="8"/>
  <c r="F374" i="8"/>
  <c r="F377" i="8"/>
  <c r="F175" i="8"/>
  <c r="F46" i="8"/>
  <c r="F250" i="8"/>
  <c r="F145" i="8"/>
  <c r="F373" i="8"/>
  <c r="F211" i="8"/>
  <c r="F239" i="8"/>
  <c r="F92" i="8"/>
  <c r="F104" i="8"/>
  <c r="F88" i="8"/>
  <c r="F208" i="8"/>
  <c r="F296" i="8"/>
  <c r="F274" i="8"/>
  <c r="F290" i="8"/>
  <c r="F36" i="8"/>
  <c r="F51" i="8"/>
  <c r="F149" i="8"/>
  <c r="F340" i="8"/>
  <c r="F262" i="8"/>
  <c r="F437" i="8"/>
  <c r="F138" i="8"/>
  <c r="F270" i="8"/>
  <c r="F206" i="8"/>
  <c r="F229" i="8"/>
  <c r="F302" i="8"/>
  <c r="F490" i="8"/>
  <c r="F309" i="8"/>
  <c r="F122" i="8"/>
  <c r="F178" i="8"/>
  <c r="F316" i="8"/>
  <c r="F329" i="8"/>
  <c r="F419" i="8"/>
  <c r="F91" i="8"/>
  <c r="F61" i="8"/>
  <c r="F325" i="8"/>
  <c r="F108" i="8"/>
  <c r="F147" i="8"/>
  <c r="F37" i="8"/>
  <c r="F435" i="8"/>
  <c r="F481" i="8"/>
  <c r="F248" i="8"/>
  <c r="F62" i="8"/>
  <c r="F376" i="8"/>
  <c r="F312" i="8"/>
  <c r="F18" i="8"/>
  <c r="F434" i="8"/>
  <c r="F385" i="8"/>
  <c r="F251" i="8"/>
  <c r="F87" i="8"/>
  <c r="F94" i="8"/>
  <c r="F470" i="8"/>
  <c r="F432" i="8"/>
  <c r="F169" i="8"/>
  <c r="F268" i="8"/>
  <c r="F240" i="8"/>
  <c r="F473" i="8"/>
  <c r="F283" i="8"/>
  <c r="F55" i="8"/>
  <c r="F78" i="8"/>
  <c r="F100" i="8"/>
  <c r="F360" i="8"/>
  <c r="F369" i="8"/>
  <c r="F331" i="8"/>
  <c r="F80" i="8"/>
  <c r="F234" i="8"/>
  <c r="F244" i="8"/>
  <c r="F390" i="8"/>
  <c r="F167" i="8"/>
  <c r="F485" i="8"/>
  <c r="F266" i="8"/>
  <c r="F198" i="8"/>
  <c r="F58" i="8"/>
  <c r="F176" i="8"/>
  <c r="F199" i="8"/>
  <c r="F225" i="8"/>
  <c r="F47" i="8"/>
  <c r="F24" i="8"/>
  <c r="F72" i="8"/>
  <c r="F387" i="8"/>
  <c r="F414" i="8"/>
  <c r="F183" i="8"/>
  <c r="F264" i="8"/>
  <c r="F286" i="8"/>
  <c r="F259" i="8"/>
  <c r="F200" i="8"/>
  <c r="F339" i="8"/>
  <c r="F317" i="8"/>
  <c r="F363" i="8"/>
  <c r="F431" i="8"/>
  <c r="F471" i="8"/>
  <c r="F341" i="8"/>
  <c r="F38" i="8"/>
  <c r="F273" i="8"/>
  <c r="F216" i="8"/>
  <c r="F102" i="8"/>
  <c r="F393" i="8"/>
  <c r="F452" i="8"/>
  <c r="F192" i="8"/>
  <c r="F128" i="8"/>
  <c r="F384" i="8"/>
  <c r="F26" i="8"/>
  <c r="F71" i="8"/>
  <c r="F230" i="8"/>
  <c r="F330" i="8"/>
  <c r="F66" i="8"/>
  <c r="F291" i="8"/>
  <c r="F271" i="8"/>
  <c r="F483" i="8"/>
  <c r="F423" i="8"/>
  <c r="F194" i="8"/>
  <c r="F475" i="8"/>
  <c r="F185" i="8"/>
  <c r="F223" i="8"/>
  <c r="F418" i="8"/>
  <c r="F310" i="8"/>
  <c r="F193" i="8"/>
  <c r="F129" i="8"/>
  <c r="F315" i="8"/>
  <c r="F213" i="8"/>
  <c r="F2" i="8"/>
  <c r="F154" i="8"/>
  <c r="F161" i="8"/>
  <c r="F227" i="8"/>
  <c r="F202" i="8"/>
  <c r="F182" i="8"/>
  <c r="F180" i="8"/>
  <c r="F113" i="8"/>
  <c r="F480" i="8"/>
  <c r="F364" i="8"/>
  <c r="F467" i="8"/>
  <c r="F19" i="8"/>
  <c r="F67" i="8"/>
  <c r="F378" i="8"/>
  <c r="F416" i="8"/>
  <c r="F126" i="8"/>
  <c r="F324" i="8"/>
  <c r="F460" i="8"/>
  <c r="F305" i="8"/>
  <c r="F238" i="8"/>
  <c r="F142" i="8"/>
  <c r="F63" i="8"/>
  <c r="F284" i="8"/>
  <c r="F462" i="8"/>
  <c r="F85" i="8"/>
  <c r="F477" i="8"/>
  <c r="F352" i="8"/>
  <c r="F368" i="8"/>
  <c r="F459" i="8"/>
  <c r="F106" i="8"/>
  <c r="F166" i="8"/>
  <c r="F380" i="8"/>
  <c r="F30" i="8"/>
  <c r="F171" i="8"/>
  <c r="F49" i="8"/>
  <c r="F187" i="8"/>
  <c r="F28" i="8"/>
  <c r="F454" i="8"/>
  <c r="F123" i="8"/>
  <c r="F447" i="8"/>
  <c r="F243" i="8"/>
  <c r="F127" i="8"/>
  <c r="F289" i="8"/>
  <c r="F133" i="8"/>
  <c r="F392" i="8"/>
  <c r="F357" i="8"/>
  <c r="F328" i="8"/>
  <c r="F436" i="8"/>
  <c r="F358" i="8"/>
  <c r="F40" i="8"/>
  <c r="F494" i="8"/>
  <c r="F442" i="8"/>
  <c r="F252" i="8"/>
  <c r="F298" i="8"/>
  <c r="F449" i="8"/>
  <c r="F221" i="8"/>
  <c r="F74" i="8"/>
  <c r="F417" i="8"/>
  <c r="F355" i="8"/>
  <c r="F405" i="8"/>
  <c r="F272" i="8"/>
  <c r="F4" i="8"/>
  <c r="F253" i="8"/>
  <c r="F415" i="8"/>
  <c r="F247" i="8"/>
  <c r="F220" i="8"/>
  <c r="F143" i="8"/>
  <c r="F411" i="8"/>
  <c r="F64" i="8"/>
  <c r="F45" i="8"/>
  <c r="F203" i="8"/>
  <c r="F152" i="8"/>
  <c r="F463" i="8"/>
  <c r="F235" i="8"/>
  <c r="F93" i="8"/>
  <c r="F464" i="8"/>
  <c r="F114" i="8"/>
  <c r="F27" i="8"/>
  <c r="F318" i="8"/>
  <c r="F141" i="8"/>
  <c r="F488" i="8"/>
  <c r="F263" i="8"/>
  <c r="F256" i="8"/>
  <c r="F489" i="8"/>
  <c r="F422" i="8"/>
  <c r="F110" i="8"/>
  <c r="F41" i="8"/>
  <c r="F491" i="8"/>
  <c r="F408" i="8"/>
  <c r="F207" i="8"/>
  <c r="F461" i="8"/>
  <c r="F84" i="8"/>
  <c r="F453" i="8"/>
  <c r="F54" i="8"/>
  <c r="F299" i="8"/>
  <c r="F391" i="8"/>
  <c r="F382" i="8"/>
  <c r="F136" i="8"/>
  <c r="F132" i="8"/>
  <c r="F300" i="8"/>
  <c r="F495" i="8"/>
  <c r="F83" i="8"/>
  <c r="F157" i="8"/>
  <c r="F402" i="8"/>
  <c r="F144" i="8"/>
  <c r="F81" i="8"/>
  <c r="F119" i="8"/>
  <c r="F120" i="8"/>
  <c r="F294" i="8"/>
  <c r="F465" i="8"/>
  <c r="F303" i="8"/>
  <c r="F32" i="8"/>
  <c r="F164" i="8"/>
  <c r="F306" i="8"/>
  <c r="F181" i="8"/>
  <c r="F118" i="8"/>
  <c r="F307" i="8"/>
  <c r="F455" i="8"/>
  <c r="F424" i="8"/>
  <c r="F333" i="8"/>
  <c r="F320" i="8"/>
  <c r="F420" i="8"/>
  <c r="F311" i="8"/>
  <c r="F386" i="8"/>
  <c r="F254" i="8"/>
  <c r="F115" i="8"/>
  <c r="F97" i="8"/>
  <c r="F86" i="8"/>
  <c r="F222" i="8"/>
  <c r="F22" i="8"/>
  <c r="F428" i="8"/>
  <c r="F394" i="8"/>
  <c r="F295" i="8"/>
  <c r="F111" i="8"/>
  <c r="F21" i="8"/>
  <c r="F218" i="8"/>
  <c r="F362" i="8"/>
  <c r="F337" i="8"/>
  <c r="F214" i="8"/>
  <c r="F457" i="8"/>
  <c r="F130" i="8"/>
  <c r="F401" i="8"/>
  <c r="F131" i="8"/>
  <c r="F140" i="8"/>
  <c r="F265" i="8"/>
  <c r="F101" i="8"/>
  <c r="F75" i="8"/>
  <c r="F400" i="8"/>
  <c r="F365" i="8"/>
  <c r="F288" i="8"/>
  <c r="F23" i="8"/>
  <c r="F232" i="8"/>
  <c r="F215" i="8"/>
  <c r="F17" i="8"/>
  <c r="F137" i="8"/>
  <c r="F425" i="8"/>
  <c r="F35" i="8"/>
  <c r="F177" i="8"/>
  <c r="F109" i="8"/>
  <c r="F389" i="8"/>
  <c r="F226" i="8"/>
  <c r="F406" i="8"/>
  <c r="F281" i="8"/>
  <c r="F107" i="8"/>
  <c r="F50" i="8"/>
  <c r="F197" i="8"/>
  <c r="F326" i="8"/>
  <c r="F346" i="8"/>
  <c r="F255" i="8"/>
  <c r="F375" i="8"/>
  <c r="F438" i="8"/>
  <c r="F174" i="8"/>
  <c r="F15" i="8"/>
  <c r="F399" i="8"/>
  <c r="F493" i="8"/>
  <c r="F25" i="8"/>
  <c r="F397" i="8"/>
  <c r="F163" i="8"/>
  <c r="F76" i="8"/>
  <c r="F53" i="8"/>
  <c r="F469" i="8"/>
  <c r="F179" i="8"/>
  <c r="F479" i="8"/>
  <c r="F361" i="8"/>
  <c r="F395" i="8"/>
  <c r="F282" i="8"/>
  <c r="F335" i="8"/>
  <c r="F14" i="8"/>
  <c r="F156" i="8"/>
  <c r="F354" i="8"/>
  <c r="F89" i="8"/>
  <c r="F70" i="8"/>
  <c r="F258" i="8"/>
  <c r="F474" i="8"/>
  <c r="F242" i="8"/>
  <c r="F33" i="8"/>
  <c r="F60" i="8"/>
  <c r="F124" i="8"/>
  <c r="F228" i="8"/>
  <c r="F350" i="8"/>
  <c r="F403" i="8"/>
  <c r="F257" i="8"/>
  <c r="F476" i="8"/>
  <c r="F186" i="8"/>
  <c r="F458" i="8"/>
  <c r="F280" i="8"/>
  <c r="F98" i="8"/>
  <c r="F68" i="8"/>
  <c r="F184" i="8"/>
  <c r="F409" i="8"/>
  <c r="F205" i="8"/>
  <c r="F134" i="8"/>
  <c r="F125" i="8"/>
  <c r="F349" i="8"/>
  <c r="F210" i="8"/>
  <c r="F112" i="8"/>
  <c r="F367" i="8"/>
  <c r="F478" i="8"/>
  <c r="F231" i="8"/>
  <c r="F189" i="8"/>
  <c r="F155" i="8"/>
  <c r="F292" i="8"/>
  <c r="F204" i="8"/>
  <c r="F429" i="8"/>
  <c r="F237" i="8"/>
  <c r="F170" i="8"/>
  <c r="F345" i="8"/>
  <c r="F77" i="8"/>
  <c r="F6" i="8"/>
  <c r="F297" i="8"/>
  <c r="F269" i="8"/>
  <c r="F448" i="8"/>
  <c r="F342" i="8"/>
  <c r="F404" i="8"/>
  <c r="F410" i="8"/>
  <c r="F301" i="8"/>
  <c r="F371" i="8"/>
  <c r="F366" i="8"/>
  <c r="F241" i="8"/>
  <c r="F396" i="8"/>
  <c r="F196" i="8"/>
  <c r="F8" i="8"/>
  <c r="F188" i="8"/>
  <c r="F65" i="8"/>
  <c r="F44" i="8"/>
  <c r="F347" i="8"/>
  <c r="F162" i="8"/>
  <c r="F96" i="8"/>
  <c r="F172" i="8"/>
  <c r="F5" i="8"/>
  <c r="F322" i="8"/>
  <c r="F278" i="8"/>
  <c r="F267" i="8"/>
  <c r="F456" i="8"/>
  <c r="F444" i="8"/>
  <c r="F407" i="8"/>
  <c r="F304" i="8"/>
  <c r="F412" i="8"/>
  <c r="F468" i="8"/>
  <c r="F370" i="8"/>
  <c r="F146" i="8"/>
  <c r="F343" i="8"/>
  <c r="F276" i="8"/>
  <c r="F433" i="8"/>
  <c r="F195" i="8"/>
  <c r="F158" i="8"/>
  <c r="F338" i="8"/>
  <c r="F201" i="8"/>
  <c r="F334" i="8"/>
  <c r="F209" i="8"/>
  <c r="F150" i="8"/>
  <c r="F42" i="8"/>
  <c r="F451" i="8"/>
  <c r="F450" i="8"/>
  <c r="F148" i="8"/>
  <c r="F43" i="8"/>
  <c r="F336" i="8"/>
  <c r="F13" i="8"/>
  <c r="F249" i="8"/>
  <c r="F245" i="8"/>
  <c r="F332" i="8"/>
  <c r="F95" i="8"/>
  <c r="F261" i="8"/>
  <c r="F39" i="8"/>
  <c r="F12" i="8"/>
  <c r="F9" i="8"/>
  <c r="F34" i="8"/>
  <c r="F135" i="8"/>
  <c r="F103" i="8"/>
  <c r="F73" i="8"/>
  <c r="F31" i="8"/>
  <c r="F445" i="8"/>
  <c r="F173" i="8"/>
  <c r="F168" i="8"/>
  <c r="F224" i="8"/>
  <c r="F99" i="8"/>
  <c r="F116" i="8"/>
  <c r="F246" i="8"/>
  <c r="F212" i="8"/>
  <c r="F275" i="8"/>
  <c r="F57" i="8"/>
  <c r="F372" i="8"/>
  <c r="F190" i="8"/>
  <c r="F466" i="8"/>
  <c r="F139" i="8"/>
  <c r="F381" i="8"/>
  <c r="F421" i="8"/>
  <c r="F439" i="8"/>
  <c r="F323" i="8"/>
  <c r="F285" i="8"/>
  <c r="F82" i="8"/>
  <c r="F48" i="8"/>
  <c r="F356" i="8"/>
  <c r="F327" i="8"/>
  <c r="F314" i="8"/>
  <c r="F440" i="8"/>
  <c r="E421" i="8"/>
  <c r="E196" i="8"/>
  <c r="E367" i="8"/>
  <c r="E107" i="8"/>
  <c r="E7" i="8"/>
  <c r="E470" i="8"/>
  <c r="E32" i="8"/>
  <c r="E429" i="8"/>
  <c r="E22" i="8"/>
  <c r="E406" i="8"/>
  <c r="E259" i="8"/>
  <c r="E285" i="8"/>
  <c r="E13" i="8"/>
  <c r="E293" i="8"/>
  <c r="E182" i="8"/>
  <c r="E449" i="8"/>
  <c r="E153" i="8"/>
  <c r="E280" i="8"/>
  <c r="E418" i="8"/>
  <c r="E400" i="8"/>
  <c r="E45" i="8"/>
  <c r="E36" i="8"/>
  <c r="E224" i="8"/>
  <c r="E368" i="8"/>
  <c r="E356" i="8"/>
  <c r="E304" i="8"/>
  <c r="E373" i="8"/>
  <c r="E270" i="8"/>
  <c r="E317" i="8"/>
  <c r="E484" i="8"/>
  <c r="E354" i="8"/>
  <c r="E157" i="8"/>
  <c r="E457" i="8"/>
  <c r="E44" i="8"/>
  <c r="E315" i="8"/>
  <c r="E80" i="8"/>
  <c r="E249" i="8"/>
  <c r="E66" i="8"/>
  <c r="E57" i="8"/>
  <c r="E167" i="8"/>
  <c r="E358" i="8"/>
  <c r="E425" i="8"/>
  <c r="E160" i="8"/>
  <c r="E434" i="8"/>
  <c r="E288" i="8"/>
  <c r="E120" i="8"/>
  <c r="E466" i="8"/>
  <c r="E12" i="8"/>
  <c r="E130" i="8"/>
  <c r="E275" i="8"/>
  <c r="E56" i="8"/>
  <c r="E365" i="8"/>
  <c r="E115" i="8"/>
  <c r="E395" i="8"/>
  <c r="E230" i="8"/>
  <c r="E158" i="8"/>
  <c r="E42" i="8"/>
  <c r="E441" i="8"/>
  <c r="E295" i="8"/>
  <c r="E439" i="8"/>
  <c r="E319" i="8"/>
  <c r="E481" i="8"/>
  <c r="E71" i="8"/>
  <c r="E26" i="8"/>
  <c r="E352" i="8"/>
  <c r="E113" i="8"/>
  <c r="E144" i="8"/>
  <c r="E438" i="8"/>
  <c r="E247" i="8"/>
  <c r="E122" i="8"/>
  <c r="E229" i="8"/>
  <c r="E477" i="8"/>
  <c r="E490" i="8"/>
  <c r="E226" i="8"/>
  <c r="E201" i="8"/>
  <c r="E184" i="8"/>
  <c r="E68" i="8"/>
  <c r="E73" i="8"/>
  <c r="E17" i="8"/>
  <c r="E137" i="8"/>
  <c r="E214" i="8"/>
  <c r="E308" i="8"/>
  <c r="E99" i="8"/>
  <c r="E337" i="8"/>
  <c r="E403" i="8"/>
  <c r="E216" i="8"/>
  <c r="E258" i="8"/>
  <c r="E353" i="8"/>
  <c r="E479" i="8"/>
  <c r="E221" i="8"/>
  <c r="E173" i="8"/>
  <c r="E9" i="8"/>
  <c r="E271" i="8"/>
  <c r="E232" i="8"/>
  <c r="E272" i="8"/>
  <c r="E237" i="8"/>
  <c r="E419" i="8"/>
  <c r="E251" i="8"/>
  <c r="E253" i="8"/>
  <c r="E95" i="8"/>
  <c r="E390" i="8"/>
  <c r="E432" i="8"/>
  <c r="E381" i="8"/>
  <c r="E47" i="8"/>
  <c r="E103" i="8"/>
  <c r="E145" i="8"/>
  <c r="E102" i="8"/>
  <c r="E301" i="8"/>
  <c r="E156" i="8"/>
  <c r="E422" i="8"/>
  <c r="E342" i="8"/>
  <c r="E463" i="8"/>
  <c r="E194" i="8"/>
  <c r="E323" i="8"/>
  <c r="E263" i="8"/>
  <c r="E297" i="8"/>
  <c r="E168" i="8"/>
  <c r="E303" i="8"/>
  <c r="E162" i="8"/>
  <c r="E298" i="8"/>
  <c r="E292" i="8"/>
  <c r="E344" i="8"/>
  <c r="E471" i="8"/>
  <c r="E440" i="8"/>
  <c r="E59" i="8"/>
  <c r="E81" i="8"/>
  <c r="E391" i="8"/>
  <c r="E141" i="8"/>
  <c r="E286" i="8"/>
  <c r="E461" i="8"/>
  <c r="E151" i="8"/>
  <c r="E372" i="8"/>
  <c r="E294" i="8"/>
  <c r="E149" i="8"/>
  <c r="E332" i="8"/>
  <c r="E11" i="8"/>
  <c r="E316" i="8"/>
  <c r="E330" i="8"/>
  <c r="E351" i="8"/>
  <c r="E430" i="8"/>
  <c r="E357" i="8"/>
  <c r="E238" i="8"/>
  <c r="E206" i="8"/>
  <c r="E428" i="8"/>
  <c r="E487" i="8"/>
  <c r="E87" i="8"/>
  <c r="E203" i="8"/>
  <c r="E299" i="8"/>
  <c r="E191" i="8"/>
  <c r="E204" i="8"/>
  <c r="E142" i="8"/>
  <c r="E43" i="8"/>
  <c r="E60" i="8"/>
  <c r="E38" i="8"/>
  <c r="E462" i="8"/>
  <c r="E291" i="8"/>
  <c r="E242" i="8"/>
  <c r="E492" i="8"/>
  <c r="E31" i="8"/>
  <c r="E21" i="8"/>
  <c r="E459" i="8"/>
  <c r="E445" i="8"/>
  <c r="E289" i="8"/>
  <c r="E363" i="8"/>
  <c r="E91" i="8"/>
  <c r="E360" i="8"/>
  <c r="E105" i="8"/>
  <c r="E483" i="8"/>
  <c r="E175" i="8"/>
  <c r="E14" i="8"/>
  <c r="E376" i="8"/>
  <c r="E190" i="8"/>
  <c r="E385" i="8"/>
  <c r="E199" i="8"/>
  <c r="E264" i="8"/>
  <c r="E70" i="8"/>
  <c r="E345" i="8"/>
  <c r="E183" i="8"/>
  <c r="E23" i="8"/>
  <c r="E244" i="8"/>
  <c r="E284" i="8"/>
  <c r="E240" i="8"/>
  <c r="E267" i="8"/>
  <c r="E117" i="8"/>
  <c r="E155" i="8"/>
  <c r="E278" i="8"/>
  <c r="E283" i="8"/>
  <c r="E4" i="8"/>
  <c r="E442" i="8"/>
  <c r="E97" i="8"/>
  <c r="E485" i="8"/>
  <c r="E296" i="8"/>
  <c r="E488" i="8"/>
  <c r="E266" i="8"/>
  <c r="E225" i="8"/>
  <c r="E450" i="8"/>
  <c r="E423" i="8"/>
  <c r="E119" i="8"/>
  <c r="E146" i="8"/>
  <c r="E233" i="8"/>
  <c r="E277" i="8"/>
  <c r="E314" i="8"/>
  <c r="E118" i="8"/>
  <c r="E436" i="8"/>
  <c r="E474" i="8"/>
  <c r="E458" i="8"/>
  <c r="E310" i="8"/>
  <c r="E197" i="8"/>
  <c r="E362" i="8"/>
  <c r="E186" i="8"/>
  <c r="E170" i="8"/>
  <c r="E52" i="8"/>
  <c r="E223" i="8"/>
  <c r="E493" i="8"/>
  <c r="E306" i="8"/>
  <c r="E89" i="8"/>
  <c r="E75" i="8"/>
  <c r="E378" i="8"/>
  <c r="E260" i="8"/>
  <c r="E49" i="8"/>
  <c r="E176" i="8"/>
  <c r="E40" i="8"/>
  <c r="E396" i="8"/>
  <c r="E210" i="8"/>
  <c r="E108" i="8"/>
  <c r="E443" i="8"/>
  <c r="E217" i="8"/>
  <c r="E236" i="8"/>
  <c r="E409" i="8"/>
  <c r="E327" i="8"/>
  <c r="E369" i="8"/>
  <c r="E195" i="8"/>
  <c r="E135" i="8"/>
  <c r="E219" i="8"/>
  <c r="E389" i="8"/>
  <c r="E234" i="8"/>
  <c r="E269" i="8"/>
  <c r="E116" i="8"/>
  <c r="E252" i="8"/>
  <c r="E469" i="8"/>
  <c r="E495" i="8"/>
  <c r="E387" i="8"/>
  <c r="E453" i="8"/>
  <c r="E178" i="8"/>
  <c r="E207" i="8"/>
  <c r="E67" i="8"/>
  <c r="E3" i="8"/>
  <c r="E416" i="8"/>
  <c r="E24" i="8"/>
  <c r="E325" i="8"/>
  <c r="E152" i="8"/>
  <c r="E33" i="8"/>
  <c r="E143" i="8"/>
  <c r="E18" i="8"/>
  <c r="E370" i="8"/>
  <c r="E311" i="8"/>
  <c r="E335" i="8"/>
  <c r="E8" i="8"/>
  <c r="E129" i="8"/>
  <c r="E382" i="8"/>
  <c r="E388" i="8"/>
  <c r="E215" i="8"/>
  <c r="E34" i="8"/>
  <c r="E413" i="8"/>
  <c r="E447" i="8"/>
  <c r="E112" i="8"/>
  <c r="E164" i="8"/>
  <c r="E250" i="8"/>
  <c r="E64" i="8"/>
  <c r="E62" i="8"/>
  <c r="E169" i="8"/>
  <c r="E394" i="8"/>
  <c r="E305" i="8"/>
  <c r="E361" i="8"/>
  <c r="E77" i="8"/>
  <c r="E5" i="8"/>
  <c r="E431" i="8"/>
  <c r="E426" i="8"/>
  <c r="E104" i="8"/>
  <c r="E139" i="8"/>
  <c r="E324" i="8"/>
  <c r="E320" i="8"/>
  <c r="E88" i="8"/>
  <c r="E452" i="8"/>
  <c r="E331" i="8"/>
  <c r="E177" i="8"/>
  <c r="E69" i="8"/>
  <c r="E393" i="8"/>
  <c r="E261" i="8"/>
  <c r="E467" i="8"/>
  <c r="E241" i="8"/>
  <c r="E455" i="8"/>
  <c r="E15" i="8"/>
  <c r="E110" i="8"/>
  <c r="E338" i="8"/>
  <c r="E20" i="8"/>
  <c r="E347" i="8"/>
  <c r="E309" i="8"/>
  <c r="E460" i="8"/>
  <c r="E78" i="8"/>
  <c r="E489" i="8"/>
  <c r="E61" i="8"/>
  <c r="E336" i="8"/>
  <c r="E397" i="8"/>
  <c r="E282" i="8"/>
  <c r="E136" i="8"/>
  <c r="E257" i="8"/>
  <c r="E346" i="8"/>
  <c r="E486" i="8"/>
  <c r="E123" i="8"/>
  <c r="E200" i="8"/>
  <c r="E437" i="8"/>
  <c r="E313" i="8"/>
  <c r="E274" i="8"/>
  <c r="E392" i="8"/>
  <c r="E51" i="8"/>
  <c r="E300" i="8"/>
  <c r="E161" i="8"/>
  <c r="E83" i="8"/>
  <c r="E334" i="8"/>
  <c r="E163" i="8"/>
  <c r="E383" i="8"/>
  <c r="E433" i="8"/>
  <c r="E464" i="8"/>
  <c r="E48" i="8"/>
  <c r="E407" i="8"/>
  <c r="E417" i="8"/>
  <c r="E174" i="8"/>
  <c r="E29" i="8"/>
  <c r="E121" i="8"/>
  <c r="E248" i="8"/>
  <c r="E380" i="8"/>
  <c r="E147" i="8"/>
  <c r="E213" i="8"/>
  <c r="E451" i="8"/>
  <c r="E140" i="8"/>
  <c r="E111" i="8"/>
  <c r="E37" i="8"/>
  <c r="E228" i="8"/>
  <c r="E398" i="8"/>
  <c r="E476" i="8"/>
  <c r="E127" i="8"/>
  <c r="E41" i="8"/>
  <c r="E63" i="8"/>
  <c r="E165" i="8"/>
  <c r="E85" i="8"/>
  <c r="E212" i="8"/>
  <c r="E106" i="8"/>
  <c r="E193" i="8"/>
  <c r="E28" i="8"/>
  <c r="E125" i="8"/>
  <c r="E128" i="8"/>
  <c r="E94" i="8"/>
  <c r="E192" i="8"/>
  <c r="E222" i="8"/>
  <c r="E468" i="8"/>
  <c r="E235" i="8"/>
  <c r="E402" i="8"/>
  <c r="E355" i="8"/>
  <c r="E350" i="8"/>
  <c r="E473" i="8"/>
  <c r="E401" i="8"/>
  <c r="E126" i="8"/>
  <c r="E480" i="8"/>
  <c r="E379" i="8"/>
  <c r="E302" i="8"/>
  <c r="E220" i="8"/>
  <c r="E93" i="8"/>
  <c r="E16" i="8"/>
  <c r="E239" i="8"/>
  <c r="E189" i="8"/>
  <c r="E198" i="8"/>
  <c r="E410" i="8"/>
  <c r="E399" i="8"/>
  <c r="E10" i="8"/>
  <c r="E333" i="8"/>
  <c r="E384" i="8"/>
  <c r="E446" i="8"/>
  <c r="E386" i="8"/>
  <c r="E124" i="8"/>
  <c r="E133" i="8"/>
  <c r="E76" i="8"/>
  <c r="E343" i="8"/>
  <c r="E218" i="8"/>
  <c r="E364" i="8"/>
  <c r="E188" i="8"/>
  <c r="E478" i="8"/>
  <c r="E424" i="8"/>
  <c r="E72" i="8"/>
  <c r="E494" i="8"/>
  <c r="E159" i="8"/>
  <c r="E444" i="8"/>
  <c r="E415" i="8"/>
  <c r="E132" i="8"/>
  <c r="E411" i="8"/>
  <c r="E185" i="8"/>
  <c r="E171" i="8"/>
  <c r="E465" i="8"/>
  <c r="E412" i="8"/>
  <c r="E100" i="8"/>
  <c r="E134" i="8"/>
  <c r="E227" i="8"/>
  <c r="E340" i="8"/>
  <c r="E27" i="8"/>
  <c r="E420" i="8"/>
  <c r="E414" i="8"/>
  <c r="E254" i="8"/>
  <c r="E366" i="8"/>
  <c r="E375" i="8"/>
  <c r="E318" i="8"/>
  <c r="E404" i="8"/>
  <c r="E172" i="8"/>
  <c r="E209" i="8"/>
  <c r="E482" i="8"/>
  <c r="E427" i="8"/>
  <c r="E262" i="8"/>
  <c r="E86" i="8"/>
  <c r="E329" i="8"/>
  <c r="E148" i="8"/>
  <c r="E2" i="8"/>
  <c r="E35" i="8"/>
  <c r="E405" i="8"/>
  <c r="E307" i="8"/>
  <c r="E82" i="8"/>
  <c r="E109" i="8"/>
  <c r="E25" i="8"/>
  <c r="E245" i="8"/>
  <c r="E435" i="8"/>
  <c r="E243" i="8"/>
  <c r="E374" i="8"/>
  <c r="E491" i="8"/>
  <c r="E101" i="8"/>
  <c r="E58" i="8"/>
  <c r="E205" i="8"/>
  <c r="E187" i="8"/>
  <c r="E322" i="8"/>
  <c r="E79" i="8"/>
  <c r="E377" i="8"/>
  <c r="E268" i="8"/>
  <c r="E98" i="8"/>
  <c r="E19" i="8"/>
  <c r="E74" i="8"/>
  <c r="E90" i="8"/>
  <c r="E55" i="8"/>
  <c r="E348" i="8"/>
  <c r="E181" i="8"/>
  <c r="E246" i="8"/>
  <c r="E114" i="8"/>
  <c r="E131" i="8"/>
  <c r="E46" i="8"/>
  <c r="E202" i="8"/>
  <c r="E281" i="8"/>
  <c r="E208" i="8"/>
  <c r="E54" i="8"/>
  <c r="E287" i="8"/>
  <c r="E256" i="8"/>
  <c r="E255" i="8"/>
  <c r="E276" i="8"/>
  <c r="E326" i="8"/>
  <c r="E166" i="8"/>
  <c r="E339" i="8"/>
  <c r="E448" i="8"/>
  <c r="E371" i="8"/>
  <c r="E408" i="8"/>
  <c r="E154" i="8"/>
  <c r="E231" i="8"/>
  <c r="E279" i="8"/>
  <c r="E454" i="8"/>
  <c r="E321" i="8"/>
  <c r="E6" i="8"/>
  <c r="E265" i="8"/>
  <c r="E180" i="8"/>
  <c r="E475" i="8"/>
  <c r="E92" i="8"/>
  <c r="E150" i="8"/>
  <c r="E341" i="8"/>
  <c r="E312" i="8"/>
  <c r="E211" i="8"/>
  <c r="E96" i="8"/>
  <c r="E328" i="8"/>
  <c r="E456" i="8"/>
  <c r="E50" i="8"/>
  <c r="E273" i="8"/>
  <c r="E30" i="8"/>
  <c r="E39" i="8"/>
  <c r="E84" i="8"/>
  <c r="E138" i="8"/>
  <c r="E53" i="8"/>
  <c r="E349" i="8"/>
  <c r="E472" i="8"/>
  <c r="E290" i="8"/>
  <c r="E179" i="8"/>
  <c r="E65" i="8"/>
  <c r="C2" i="10" l="1"/>
  <c r="F2" i="10"/>
  <c r="H2" i="10" s="1"/>
  <c r="B2" i="10"/>
  <c r="A3" i="10"/>
  <c r="C3" i="10" l="1"/>
  <c r="A4" i="10"/>
  <c r="B3" i="10"/>
  <c r="F3" i="10"/>
  <c r="H3" i="10" s="1"/>
  <c r="A5" i="10" l="1"/>
  <c r="C4" i="10"/>
  <c r="B4" i="10"/>
  <c r="F4" i="10"/>
  <c r="H4" i="10" s="1"/>
  <c r="C5" i="10" l="1"/>
  <c r="B5" i="10"/>
  <c r="F5" i="10"/>
  <c r="H5" i="10" s="1"/>
  <c r="A6" i="10"/>
  <c r="C6" i="10" l="1"/>
  <c r="B6" i="10"/>
  <c r="F6" i="10"/>
  <c r="H6" i="10" s="1"/>
  <c r="A7" i="10"/>
  <c r="C7" i="10" l="1"/>
  <c r="B7" i="10"/>
  <c r="F7" i="10"/>
  <c r="H7" i="10" s="1"/>
  <c r="A8" i="10"/>
  <c r="C8" i="10" l="1"/>
  <c r="B8" i="10"/>
  <c r="F8" i="10"/>
  <c r="H8" i="10" s="1"/>
  <c r="A9" i="10"/>
  <c r="C9" i="10" l="1"/>
  <c r="B9" i="10"/>
  <c r="F9" i="10"/>
  <c r="H9" i="10" s="1"/>
  <c r="A10" i="10"/>
  <c r="C10" i="10" l="1"/>
  <c r="B10" i="10"/>
  <c r="F10" i="10"/>
  <c r="H10" i="10" s="1"/>
  <c r="A11" i="10"/>
  <c r="C11" i="10" l="1"/>
  <c r="B11" i="10"/>
  <c r="F11" i="10"/>
  <c r="H11" i="10" s="1"/>
  <c r="A12" i="10"/>
  <c r="C12" i="10" l="1"/>
  <c r="B12" i="10"/>
  <c r="F12" i="10"/>
  <c r="H12" i="10" s="1"/>
  <c r="A13" i="10"/>
  <c r="C13" i="10" l="1"/>
  <c r="B13" i="10"/>
  <c r="F13" i="10"/>
  <c r="H13" i="10" s="1"/>
  <c r="A14" i="10"/>
  <c r="C14" i="10" l="1"/>
  <c r="B14" i="10"/>
  <c r="F14" i="10"/>
  <c r="H14" i="10" s="1"/>
  <c r="A15" i="10"/>
  <c r="C15" i="10" l="1"/>
  <c r="B15" i="10"/>
  <c r="F15" i="10"/>
  <c r="H15" i="10" s="1"/>
  <c r="A16" i="10"/>
  <c r="C16" i="10" l="1"/>
  <c r="B16" i="10"/>
  <c r="F16" i="10"/>
  <c r="H16" i="10" s="1"/>
  <c r="A17" i="10"/>
  <c r="C17" i="10" l="1"/>
  <c r="B17" i="10"/>
  <c r="F17" i="10"/>
  <c r="H17" i="10" s="1"/>
  <c r="A18" i="10"/>
  <c r="C18" i="10" l="1"/>
  <c r="B18" i="10"/>
  <c r="F18" i="10"/>
  <c r="H18" i="10" s="1"/>
  <c r="A19" i="10"/>
  <c r="C19" i="10" l="1"/>
  <c r="B19" i="10"/>
  <c r="F19" i="10"/>
  <c r="H19" i="10" s="1"/>
  <c r="A20" i="10"/>
  <c r="C20" i="10" l="1"/>
  <c r="B20" i="10"/>
  <c r="F20" i="10"/>
  <c r="H20" i="10" s="1"/>
  <c r="A21" i="10"/>
  <c r="C21" i="10" l="1"/>
  <c r="B21" i="10"/>
  <c r="F21" i="10"/>
  <c r="H21" i="10" s="1"/>
  <c r="A22" i="10"/>
  <c r="C22" i="10" l="1"/>
  <c r="B22" i="10"/>
  <c r="F22" i="10"/>
  <c r="H22" i="10" s="1"/>
  <c r="A23" i="10"/>
  <c r="C23" i="10" l="1"/>
  <c r="B23" i="10"/>
  <c r="F23" i="10"/>
  <c r="H23" i="10" s="1"/>
  <c r="A24" i="10"/>
  <c r="C24" i="10" l="1"/>
  <c r="B24" i="10"/>
  <c r="F24" i="10"/>
  <c r="H24" i="10" s="1"/>
  <c r="A25" i="10"/>
  <c r="C25" i="10" l="1"/>
  <c r="B25" i="10"/>
  <c r="F25" i="10"/>
  <c r="H25" i="10" s="1"/>
  <c r="A26" i="10"/>
  <c r="C26" i="10" l="1"/>
  <c r="B26" i="10"/>
  <c r="F26" i="10"/>
  <c r="H26" i="10" s="1"/>
  <c r="A27" i="10"/>
  <c r="C27" i="10" l="1"/>
  <c r="B27" i="10"/>
  <c r="F27" i="10"/>
  <c r="H27" i="10" s="1"/>
  <c r="A28" i="10"/>
  <c r="C28" i="10" l="1"/>
  <c r="B28" i="10"/>
  <c r="F28" i="10"/>
  <c r="H28" i="10" s="1"/>
  <c r="A29" i="10"/>
  <c r="C29" i="10" l="1"/>
  <c r="B29" i="10"/>
  <c r="F29" i="10"/>
  <c r="H29" i="10" s="1"/>
  <c r="A30" i="10"/>
  <c r="C30" i="10" l="1"/>
  <c r="B30" i="10"/>
  <c r="F30" i="10"/>
  <c r="H30" i="10" s="1"/>
  <c r="A31" i="10"/>
  <c r="C31" i="10" l="1"/>
  <c r="B31" i="10"/>
  <c r="F31" i="10"/>
  <c r="H31" i="10" s="1"/>
  <c r="A32" i="10"/>
  <c r="C32" i="10" l="1"/>
  <c r="B32" i="10"/>
  <c r="F32" i="10"/>
  <c r="H32" i="10" s="1"/>
  <c r="A33" i="10"/>
  <c r="C33" i="10" l="1"/>
  <c r="B33" i="10"/>
  <c r="F33" i="10"/>
  <c r="H33" i="10" s="1"/>
  <c r="A34" i="10"/>
  <c r="C34" i="10" l="1"/>
  <c r="B34" i="10"/>
  <c r="F34" i="10"/>
  <c r="H34" i="10" s="1"/>
  <c r="A35" i="10"/>
  <c r="C35" i="10" l="1"/>
  <c r="B35" i="10"/>
  <c r="F35" i="10"/>
  <c r="H35" i="10" s="1"/>
  <c r="A36" i="10"/>
  <c r="C36" i="10" l="1"/>
  <c r="B36" i="10"/>
  <c r="F36" i="10"/>
  <c r="H36" i="10" s="1"/>
  <c r="A37" i="10"/>
  <c r="C37" i="10" l="1"/>
  <c r="B37" i="10"/>
  <c r="F37" i="10"/>
  <c r="H37" i="10" s="1"/>
  <c r="A38" i="10"/>
  <c r="C38" i="10" l="1"/>
  <c r="B38" i="10"/>
  <c r="F38" i="10"/>
  <c r="H38" i="10" s="1"/>
  <c r="A39" i="10"/>
  <c r="C39" i="10" l="1"/>
  <c r="B39" i="10"/>
  <c r="F39" i="10"/>
  <c r="H39" i="10" s="1"/>
  <c r="A40" i="10"/>
  <c r="C40" i="10" l="1"/>
  <c r="B40" i="10"/>
  <c r="F40" i="10"/>
  <c r="H40" i="10" s="1"/>
  <c r="A41" i="10"/>
  <c r="C41" i="10" l="1"/>
  <c r="B41" i="10"/>
  <c r="F41" i="10"/>
  <c r="H41" i="10" s="1"/>
  <c r="A42" i="10"/>
  <c r="C42" i="10" l="1"/>
  <c r="B42" i="10"/>
  <c r="F42" i="10"/>
  <c r="H42" i="10" s="1"/>
  <c r="A43" i="10"/>
  <c r="C43" i="10" l="1"/>
  <c r="B43" i="10"/>
  <c r="F43" i="10"/>
  <c r="H43" i="10" s="1"/>
  <c r="A44" i="10"/>
  <c r="C44" i="10" l="1"/>
  <c r="B44" i="10"/>
  <c r="F44" i="10"/>
  <c r="H44" i="10" s="1"/>
  <c r="A45" i="10"/>
  <c r="C45" i="10" l="1"/>
  <c r="B45" i="10"/>
  <c r="F45" i="10"/>
  <c r="H45" i="10" s="1"/>
  <c r="A46" i="10"/>
  <c r="C46" i="10" l="1"/>
  <c r="B46" i="10"/>
  <c r="F46" i="10"/>
  <c r="H46" i="10" s="1"/>
  <c r="A47" i="10"/>
  <c r="C47" i="10" l="1"/>
  <c r="B47" i="10"/>
  <c r="F47" i="10"/>
  <c r="H47" i="10" s="1"/>
  <c r="A48" i="10"/>
  <c r="C48" i="10" l="1"/>
  <c r="B48" i="10"/>
  <c r="F48" i="10"/>
  <c r="H48" i="10" s="1"/>
  <c r="A49" i="10"/>
  <c r="C49" i="10" l="1"/>
  <c r="B49" i="10"/>
  <c r="F49" i="10"/>
  <c r="H49" i="10" s="1"/>
  <c r="A50" i="10"/>
  <c r="C50" i="10" l="1"/>
  <c r="B50" i="10"/>
  <c r="F50" i="10"/>
  <c r="H50" i="10" s="1"/>
  <c r="A51" i="10"/>
  <c r="C51" i="10" l="1"/>
  <c r="B51" i="10"/>
  <c r="F51" i="10"/>
  <c r="H51" i="10" s="1"/>
  <c r="A52" i="10"/>
  <c r="C52" i="10" l="1"/>
  <c r="B52" i="10"/>
  <c r="F52" i="10"/>
  <c r="H52" i="10" s="1"/>
  <c r="A53" i="10"/>
  <c r="C53" i="10" l="1"/>
  <c r="B53" i="10"/>
  <c r="F53" i="10"/>
  <c r="H53" i="10" s="1"/>
  <c r="A54" i="10"/>
  <c r="C54" i="10" l="1"/>
  <c r="B54" i="10"/>
  <c r="F54" i="10"/>
  <c r="H54" i="10" s="1"/>
  <c r="A55" i="10"/>
  <c r="C55" i="10" l="1"/>
  <c r="B55" i="10"/>
  <c r="F55" i="10"/>
  <c r="H55" i="10" s="1"/>
  <c r="A56" i="10"/>
  <c r="C56" i="10" l="1"/>
  <c r="B56" i="10"/>
  <c r="F56" i="10"/>
  <c r="H56" i="10" s="1"/>
  <c r="A57" i="10"/>
  <c r="C57" i="10" l="1"/>
  <c r="B57" i="10"/>
  <c r="F57" i="10"/>
  <c r="H57" i="10" s="1"/>
  <c r="A58" i="10"/>
  <c r="C58" i="10" l="1"/>
  <c r="B58" i="10"/>
  <c r="F58" i="10"/>
  <c r="H58" i="10" s="1"/>
  <c r="A59" i="10"/>
  <c r="C59" i="10" l="1"/>
  <c r="B59" i="10"/>
  <c r="F59" i="10"/>
  <c r="H59" i="10" s="1"/>
  <c r="A60" i="10"/>
  <c r="C60" i="10" l="1"/>
  <c r="B60" i="10"/>
  <c r="F60" i="10"/>
  <c r="H60" i="10" s="1"/>
  <c r="A61" i="10"/>
  <c r="C61" i="10" l="1"/>
  <c r="B61" i="10"/>
  <c r="F61" i="10"/>
  <c r="H61" i="10" s="1"/>
  <c r="A62" i="10"/>
  <c r="C62" i="10" l="1"/>
  <c r="B62" i="10"/>
  <c r="F62" i="10"/>
  <c r="H62" i="10" s="1"/>
  <c r="A63" i="10"/>
  <c r="C63" i="10" l="1"/>
  <c r="B63" i="10"/>
  <c r="F63" i="10"/>
  <c r="H63" i="10" s="1"/>
  <c r="A64" i="10"/>
  <c r="C64" i="10" l="1"/>
  <c r="B64" i="10"/>
  <c r="F64" i="10"/>
  <c r="H64" i="10" s="1"/>
  <c r="A65" i="10"/>
  <c r="C65" i="10" l="1"/>
  <c r="B65" i="10"/>
  <c r="F65" i="10"/>
  <c r="H65" i="10" s="1"/>
  <c r="A66" i="10"/>
  <c r="C66" i="10" l="1"/>
  <c r="B66" i="10"/>
  <c r="F66" i="10"/>
  <c r="H66" i="10" s="1"/>
  <c r="A67" i="10"/>
  <c r="C67" i="10" l="1"/>
  <c r="B67" i="10"/>
  <c r="F67" i="10"/>
  <c r="H67" i="10" s="1"/>
  <c r="A68" i="10"/>
  <c r="C68" i="10" l="1"/>
  <c r="B68" i="10"/>
  <c r="F68" i="10"/>
  <c r="H68" i="10" s="1"/>
  <c r="A69" i="10"/>
  <c r="C69" i="10" l="1"/>
  <c r="B69" i="10"/>
  <c r="F69" i="10"/>
  <c r="H69" i="10" s="1"/>
  <c r="A70" i="10"/>
  <c r="C70" i="10" l="1"/>
  <c r="B70" i="10"/>
  <c r="F70" i="10"/>
  <c r="H70" i="10" s="1"/>
  <c r="A71" i="10"/>
  <c r="C71" i="10" l="1"/>
  <c r="B71" i="10"/>
  <c r="F71" i="10"/>
  <c r="H71" i="10" s="1"/>
  <c r="A72" i="10"/>
  <c r="C72" i="10" l="1"/>
  <c r="B72" i="10"/>
  <c r="F72" i="10"/>
  <c r="H72" i="10" s="1"/>
  <c r="A73" i="10"/>
  <c r="C73" i="10" l="1"/>
  <c r="B73" i="10"/>
  <c r="F73" i="10"/>
  <c r="H73" i="10" s="1"/>
  <c r="A74" i="10"/>
  <c r="C74" i="10" l="1"/>
  <c r="B74" i="10"/>
  <c r="F74" i="10"/>
  <c r="H74" i="10" s="1"/>
  <c r="A75" i="10"/>
  <c r="C75" i="10" l="1"/>
  <c r="B75" i="10"/>
  <c r="F75" i="10"/>
  <c r="H75" i="10" s="1"/>
  <c r="A76" i="10"/>
  <c r="C76" i="10" l="1"/>
  <c r="B76" i="10"/>
  <c r="F76" i="10"/>
  <c r="H76" i="10" s="1"/>
  <c r="A77" i="10"/>
  <c r="C77" i="10" l="1"/>
  <c r="B77" i="10"/>
  <c r="F77" i="10"/>
  <c r="H77" i="10" s="1"/>
  <c r="A78" i="10"/>
  <c r="C78" i="10" l="1"/>
  <c r="B78" i="10"/>
  <c r="F78" i="10"/>
  <c r="H78" i="10" s="1"/>
  <c r="A79" i="10"/>
  <c r="C79" i="10" l="1"/>
  <c r="B79" i="10"/>
  <c r="F79" i="10"/>
  <c r="H79" i="10" s="1"/>
  <c r="A80" i="10"/>
  <c r="C80" i="10" l="1"/>
  <c r="B80" i="10"/>
  <c r="F80" i="10"/>
  <c r="H80" i="10" s="1"/>
  <c r="A81" i="10"/>
  <c r="C81" i="10" l="1"/>
  <c r="B81" i="10"/>
  <c r="F81" i="10"/>
  <c r="H81" i="10" s="1"/>
  <c r="A82" i="10"/>
  <c r="C82" i="10" l="1"/>
  <c r="B82" i="10"/>
  <c r="F82" i="10"/>
  <c r="H82" i="10" s="1"/>
  <c r="A83" i="10"/>
  <c r="C83" i="10" l="1"/>
  <c r="B83" i="10"/>
  <c r="F83" i="10"/>
  <c r="H83" i="10" s="1"/>
  <c r="A84" i="10"/>
  <c r="C84" i="10" l="1"/>
  <c r="B84" i="10"/>
  <c r="F84" i="10"/>
  <c r="H84" i="10" s="1"/>
  <c r="A85" i="10"/>
  <c r="C85" i="10" l="1"/>
  <c r="B85" i="10"/>
  <c r="F85" i="10"/>
  <c r="H85" i="10" s="1"/>
  <c r="A86" i="10"/>
  <c r="C86" i="10" l="1"/>
  <c r="B86" i="10"/>
  <c r="F86" i="10"/>
  <c r="H86" i="10" s="1"/>
  <c r="A87" i="10"/>
  <c r="C87" i="10" l="1"/>
  <c r="B87" i="10"/>
  <c r="F87" i="10"/>
  <c r="H87" i="10" s="1"/>
  <c r="A88" i="10"/>
  <c r="C88" i="10" l="1"/>
  <c r="B88" i="10"/>
  <c r="F88" i="10"/>
  <c r="H88" i="10" s="1"/>
  <c r="A89" i="10"/>
  <c r="C89" i="10" l="1"/>
  <c r="B89" i="10"/>
  <c r="F89" i="10"/>
  <c r="H89" i="10" s="1"/>
  <c r="A90" i="10"/>
  <c r="C90" i="10" l="1"/>
  <c r="B90" i="10"/>
  <c r="F90" i="10"/>
  <c r="H90" i="10" s="1"/>
  <c r="A91" i="10"/>
  <c r="C91" i="10" l="1"/>
  <c r="B91" i="10"/>
  <c r="F91" i="10"/>
  <c r="H91" i="10" s="1"/>
  <c r="A92" i="10"/>
  <c r="C92" i="10" l="1"/>
  <c r="B92" i="10"/>
  <c r="F92" i="10"/>
  <c r="H92" i="10" s="1"/>
  <c r="A93" i="10"/>
  <c r="C93" i="10" l="1"/>
  <c r="B93" i="10"/>
  <c r="F93" i="10"/>
  <c r="H93" i="10" s="1"/>
  <c r="A94" i="10"/>
  <c r="C94" i="10" l="1"/>
  <c r="B94" i="10"/>
  <c r="F94" i="10"/>
  <c r="H94" i="10" s="1"/>
  <c r="A95" i="10"/>
  <c r="C95" i="10" l="1"/>
  <c r="B95" i="10"/>
  <c r="F95" i="10"/>
  <c r="H95" i="10" s="1"/>
  <c r="A96" i="10"/>
  <c r="C96" i="10" l="1"/>
  <c r="B96" i="10"/>
  <c r="F96" i="10"/>
  <c r="H96" i="10" s="1"/>
  <c r="A97" i="10"/>
  <c r="C97" i="10" l="1"/>
  <c r="B97" i="10"/>
  <c r="F97" i="10"/>
  <c r="H97" i="10" s="1"/>
  <c r="A98" i="10"/>
  <c r="C98" i="10" l="1"/>
  <c r="B98" i="10"/>
  <c r="F98" i="10"/>
  <c r="H98" i="10" s="1"/>
  <c r="A99" i="10"/>
  <c r="C99" i="10" l="1"/>
  <c r="B99" i="10"/>
  <c r="F99" i="10"/>
  <c r="H99" i="10" s="1"/>
  <c r="A100" i="10"/>
  <c r="C100" i="10" l="1"/>
  <c r="B100" i="10"/>
  <c r="F100" i="10"/>
  <c r="H100" i="10" s="1"/>
  <c r="A101" i="10"/>
  <c r="C101" i="10" l="1"/>
  <c r="B101" i="10"/>
  <c r="F101" i="10"/>
  <c r="H101" i="10" s="1"/>
  <c r="A102" i="10"/>
  <c r="C102" i="10" l="1"/>
  <c r="B102" i="10"/>
  <c r="F102" i="10"/>
  <c r="H102" i="10" s="1"/>
  <c r="A103" i="10"/>
  <c r="C103" i="10" l="1"/>
  <c r="B103" i="10"/>
  <c r="F103" i="10"/>
  <c r="H103" i="10" s="1"/>
  <c r="A104" i="10"/>
  <c r="C104" i="10" l="1"/>
  <c r="B104" i="10"/>
  <c r="F104" i="10"/>
  <c r="H104" i="10" s="1"/>
  <c r="A105" i="10"/>
  <c r="C105" i="10" l="1"/>
  <c r="B105" i="10"/>
  <c r="F105" i="10"/>
  <c r="H105" i="10" s="1"/>
  <c r="A106" i="10"/>
  <c r="C106" i="10" l="1"/>
  <c r="B106" i="10"/>
  <c r="F106" i="10"/>
  <c r="H106" i="10" s="1"/>
  <c r="A107" i="10"/>
  <c r="C107" i="10" l="1"/>
  <c r="B107" i="10"/>
  <c r="F107" i="10"/>
  <c r="H107" i="10" s="1"/>
  <c r="A108" i="10"/>
  <c r="C108" i="10" l="1"/>
  <c r="B108" i="10"/>
  <c r="F108" i="10"/>
  <c r="H108" i="10" s="1"/>
  <c r="A109" i="10"/>
  <c r="C109" i="10" l="1"/>
  <c r="B109" i="10"/>
  <c r="F109" i="10"/>
  <c r="H109" i="10" s="1"/>
  <c r="A110" i="10"/>
  <c r="C110" i="10" l="1"/>
  <c r="B110" i="10"/>
  <c r="F110" i="10"/>
  <c r="H110" i="10" s="1"/>
  <c r="A111" i="10"/>
  <c r="C111" i="10" l="1"/>
  <c r="B111" i="10"/>
  <c r="F111" i="10"/>
  <c r="H111" i="10" s="1"/>
  <c r="A112" i="10"/>
  <c r="C112" i="10" l="1"/>
  <c r="B112" i="10"/>
  <c r="F112" i="10"/>
  <c r="H112" i="10" s="1"/>
  <c r="A113" i="10"/>
  <c r="C113" i="10" l="1"/>
  <c r="B113" i="10"/>
  <c r="F113" i="10"/>
  <c r="H113" i="10" s="1"/>
  <c r="A114" i="10"/>
  <c r="C114" i="10" l="1"/>
  <c r="B114" i="10"/>
  <c r="F114" i="10"/>
  <c r="H114" i="10" s="1"/>
  <c r="A115" i="10"/>
  <c r="C115" i="10" l="1"/>
  <c r="F115" i="10"/>
  <c r="H115" i="10" s="1"/>
  <c r="B115" i="10"/>
  <c r="A116" i="10"/>
  <c r="C116" i="10" l="1"/>
  <c r="B116" i="10"/>
  <c r="F116" i="10"/>
  <c r="H116" i="10" s="1"/>
  <c r="A117" i="10"/>
  <c r="C117" i="10" l="1"/>
  <c r="F117" i="10"/>
  <c r="H117" i="10" s="1"/>
  <c r="B117" i="10"/>
  <c r="A118" i="10"/>
  <c r="C118" i="10" l="1"/>
  <c r="B118" i="10"/>
  <c r="F118" i="10"/>
  <c r="H118" i="10" s="1"/>
  <c r="A119" i="10"/>
  <c r="C119" i="10" l="1"/>
  <c r="B119" i="10"/>
  <c r="F119" i="10"/>
  <c r="H119" i="10" s="1"/>
  <c r="A120" i="10"/>
  <c r="C120" i="10" l="1"/>
  <c r="F120" i="10"/>
  <c r="H120" i="10" s="1"/>
  <c r="B120" i="10"/>
  <c r="A121" i="10"/>
  <c r="C121" i="10" l="1"/>
  <c r="F121" i="10"/>
  <c r="H121" i="10" s="1"/>
  <c r="B121" i="10"/>
  <c r="A122" i="10"/>
  <c r="C122" i="10" l="1"/>
  <c r="B122" i="10"/>
  <c r="F122" i="10"/>
  <c r="H122" i="10" s="1"/>
  <c r="A123" i="10"/>
  <c r="C123" i="10" l="1"/>
  <c r="F123" i="10"/>
  <c r="H123" i="10" s="1"/>
  <c r="B123" i="10"/>
  <c r="A124" i="10"/>
  <c r="C124" i="10" l="1"/>
  <c r="B124" i="10"/>
  <c r="F124" i="10"/>
  <c r="H124" i="10" s="1"/>
  <c r="A125" i="10"/>
  <c r="C125" i="10" l="1"/>
  <c r="B125" i="10"/>
  <c r="F125" i="10"/>
  <c r="H125" i="10" s="1"/>
  <c r="A126" i="10"/>
  <c r="C126" i="10" l="1"/>
  <c r="B126" i="10"/>
  <c r="F126" i="10"/>
  <c r="H126" i="10" s="1"/>
  <c r="A127" i="10"/>
  <c r="C127" i="10" l="1"/>
  <c r="B127" i="10"/>
  <c r="F127" i="10"/>
  <c r="H127" i="10" s="1"/>
  <c r="A128" i="10"/>
  <c r="C128" i="10" l="1"/>
  <c r="B128" i="10"/>
  <c r="F128" i="10"/>
  <c r="H128" i="10" s="1"/>
  <c r="A129" i="10"/>
  <c r="C129" i="10" l="1"/>
  <c r="B129" i="10"/>
  <c r="F129" i="10"/>
  <c r="H129" i="10" s="1"/>
  <c r="A130" i="10"/>
  <c r="C130" i="10" l="1"/>
  <c r="B130" i="10"/>
  <c r="F130" i="10"/>
  <c r="H130" i="10" s="1"/>
  <c r="A131" i="10"/>
  <c r="C131" i="10" l="1"/>
  <c r="B131" i="10"/>
  <c r="F131" i="10"/>
  <c r="H131" i="10" s="1"/>
  <c r="A132" i="10"/>
  <c r="C132" i="10" l="1"/>
  <c r="B132" i="10"/>
  <c r="F132" i="10"/>
  <c r="H132" i="10" s="1"/>
  <c r="A133" i="10"/>
  <c r="C133" i="10" l="1"/>
  <c r="B133" i="10"/>
  <c r="F133" i="10"/>
  <c r="H133" i="10" s="1"/>
  <c r="A134" i="10"/>
  <c r="C134" i="10" l="1"/>
  <c r="B134" i="10"/>
  <c r="F134" i="10"/>
  <c r="H134" i="10" s="1"/>
  <c r="A135" i="10"/>
  <c r="C135" i="10" l="1"/>
  <c r="B135" i="10"/>
  <c r="F135" i="10"/>
  <c r="H135" i="10" s="1"/>
  <c r="A136" i="10"/>
  <c r="C136" i="10" l="1"/>
  <c r="F136" i="10"/>
  <c r="H136" i="10" s="1"/>
  <c r="B136" i="10"/>
  <c r="A137" i="10"/>
  <c r="C137" i="10" l="1"/>
  <c r="B137" i="10"/>
  <c r="F137" i="10"/>
  <c r="H137" i="10" s="1"/>
  <c r="A138" i="10"/>
  <c r="C138" i="10" l="1"/>
  <c r="B138" i="10"/>
  <c r="F138" i="10"/>
  <c r="H138" i="10" s="1"/>
  <c r="A139" i="10"/>
  <c r="C139" i="10" l="1"/>
  <c r="F139" i="10"/>
  <c r="H139" i="10" s="1"/>
  <c r="B139" i="10"/>
  <c r="A140" i="10"/>
  <c r="C140" i="10" l="1"/>
  <c r="B140" i="10"/>
  <c r="F140" i="10"/>
  <c r="H140" i="10" s="1"/>
  <c r="A141" i="10"/>
  <c r="C141" i="10" l="1"/>
  <c r="B141" i="10"/>
  <c r="F141" i="10"/>
  <c r="H141" i="10" s="1"/>
  <c r="A142" i="10"/>
  <c r="C142" i="10" l="1"/>
  <c r="F142" i="10"/>
  <c r="H142" i="10" s="1"/>
  <c r="B142" i="10"/>
  <c r="A143" i="10"/>
  <c r="C143" i="10" l="1"/>
  <c r="F143" i="10"/>
  <c r="H143" i="10" s="1"/>
  <c r="B143" i="10"/>
  <c r="A144" i="10"/>
  <c r="C144" i="10" l="1"/>
  <c r="B144" i="10"/>
  <c r="F144" i="10"/>
  <c r="H144" i="10" s="1"/>
  <c r="A145" i="10"/>
  <c r="C145" i="10" l="1"/>
  <c r="F145" i="10"/>
  <c r="H145" i="10" s="1"/>
  <c r="B145" i="10"/>
  <c r="A146" i="10"/>
  <c r="C146" i="10" l="1"/>
  <c r="B146" i="10"/>
  <c r="F146" i="10"/>
  <c r="H146" i="10" s="1"/>
  <c r="A147" i="10"/>
  <c r="C147" i="10" l="1"/>
  <c r="B147" i="10"/>
  <c r="F147" i="10"/>
  <c r="H147" i="10" s="1"/>
  <c r="A148" i="10"/>
  <c r="C148" i="10" l="1"/>
  <c r="B148" i="10"/>
  <c r="F148" i="10"/>
  <c r="H148" i="10" s="1"/>
  <c r="A149" i="10"/>
  <c r="C149" i="10" l="1"/>
  <c r="F149" i="10"/>
  <c r="H149" i="10" s="1"/>
  <c r="B149" i="10"/>
  <c r="A150" i="10"/>
  <c r="C150" i="10" l="1"/>
  <c r="B150" i="10"/>
  <c r="F150" i="10"/>
  <c r="H150" i="10" s="1"/>
  <c r="A151" i="10"/>
  <c r="C151" i="10" l="1"/>
  <c r="B151" i="10"/>
  <c r="F151" i="10"/>
  <c r="H151" i="10" s="1"/>
  <c r="A152" i="10"/>
  <c r="C152" i="10" l="1"/>
  <c r="F152" i="10"/>
  <c r="H152" i="10" s="1"/>
  <c r="B152" i="10"/>
  <c r="A153" i="10"/>
  <c r="C153" i="10" l="1"/>
  <c r="B153" i="10"/>
  <c r="F153" i="10"/>
  <c r="H153" i="10" s="1"/>
  <c r="A154" i="10"/>
  <c r="C154" i="10" l="1"/>
  <c r="B154" i="10"/>
  <c r="F154" i="10"/>
  <c r="H154" i="10" s="1"/>
  <c r="A155" i="10"/>
  <c r="C155" i="10" l="1"/>
  <c r="F155" i="10"/>
  <c r="H155" i="10" s="1"/>
  <c r="B155" i="10"/>
  <c r="A156" i="10"/>
  <c r="C156" i="10" l="1"/>
  <c r="B156" i="10"/>
  <c r="F156" i="10"/>
  <c r="H156" i="10" s="1"/>
  <c r="A157" i="10"/>
  <c r="C157" i="10" l="1"/>
  <c r="B157" i="10"/>
  <c r="F157" i="10"/>
  <c r="H157" i="10" s="1"/>
  <c r="A158" i="10"/>
  <c r="C158" i="10" l="1"/>
  <c r="B158" i="10"/>
  <c r="F158" i="10"/>
  <c r="H158" i="10" s="1"/>
  <c r="A159" i="10"/>
  <c r="C159" i="10" l="1"/>
  <c r="F159" i="10"/>
  <c r="H159" i="10" s="1"/>
  <c r="B159" i="10"/>
  <c r="A160" i="10"/>
  <c r="C160" i="10" l="1"/>
  <c r="B160" i="10"/>
  <c r="F160" i="10"/>
  <c r="H160" i="10" s="1"/>
  <c r="A161" i="10"/>
  <c r="C161" i="10" l="1"/>
  <c r="B161" i="10"/>
  <c r="F161" i="10"/>
  <c r="H161" i="10" s="1"/>
  <c r="A162" i="10"/>
  <c r="C162" i="10" l="1"/>
  <c r="F162" i="10"/>
  <c r="H162" i="10" s="1"/>
  <c r="B162" i="10"/>
  <c r="A163" i="10"/>
  <c r="C163" i="10" l="1"/>
  <c r="F163" i="10"/>
  <c r="H163" i="10" s="1"/>
  <c r="B163" i="10"/>
  <c r="A164" i="10"/>
  <c r="C164" i="10" l="1"/>
  <c r="B164" i="10"/>
  <c r="F164" i="10"/>
  <c r="H164" i="10" s="1"/>
  <c r="A165" i="10"/>
  <c r="C165" i="10" l="1"/>
  <c r="B165" i="10"/>
  <c r="F165" i="10"/>
  <c r="H165" i="10" s="1"/>
  <c r="A166" i="10"/>
  <c r="C166" i="10" l="1"/>
  <c r="F166" i="10"/>
  <c r="H166" i="10" s="1"/>
  <c r="B166" i="10"/>
  <c r="A167" i="10"/>
  <c r="C167" i="10" l="1"/>
  <c r="B167" i="10"/>
  <c r="F167" i="10"/>
  <c r="H167" i="10" s="1"/>
  <c r="A168" i="10"/>
  <c r="C168" i="10" l="1"/>
  <c r="B168" i="10"/>
  <c r="F168" i="10"/>
  <c r="H168" i="10" s="1"/>
  <c r="A169" i="10"/>
  <c r="C169" i="10" l="1"/>
  <c r="B169" i="10"/>
  <c r="F169" i="10"/>
  <c r="H169" i="10" s="1"/>
  <c r="A170" i="10"/>
  <c r="C170" i="10" l="1"/>
  <c r="F170" i="10"/>
  <c r="H170" i="10" s="1"/>
  <c r="B170" i="10"/>
  <c r="A171" i="10"/>
  <c r="C171" i="10" l="1"/>
  <c r="B171" i="10"/>
  <c r="F171" i="10"/>
  <c r="H171" i="10" s="1"/>
  <c r="A172" i="10"/>
  <c r="C172" i="10" l="1"/>
  <c r="F172" i="10"/>
  <c r="H172" i="10" s="1"/>
  <c r="B172" i="10"/>
  <c r="A173" i="10"/>
  <c r="C173" i="10" l="1"/>
  <c r="F173" i="10"/>
  <c r="H173" i="10" s="1"/>
  <c r="B173" i="10"/>
  <c r="A174" i="10"/>
  <c r="C174" i="10" l="1"/>
  <c r="B174" i="10"/>
  <c r="F174" i="10"/>
  <c r="H174" i="10" s="1"/>
  <c r="A175" i="10"/>
  <c r="C175" i="10" l="1"/>
  <c r="F175" i="10"/>
  <c r="H175" i="10" s="1"/>
  <c r="B175" i="10"/>
  <c r="A176" i="10"/>
  <c r="C176" i="10" l="1"/>
  <c r="B176" i="10"/>
  <c r="F176" i="10"/>
  <c r="H176" i="10" s="1"/>
  <c r="A177" i="10"/>
  <c r="C177" i="10" l="1"/>
  <c r="B177" i="10"/>
  <c r="F177" i="10"/>
  <c r="H177" i="10" s="1"/>
  <c r="A178" i="10"/>
  <c r="C178" i="10" l="1"/>
  <c r="F178" i="10"/>
  <c r="H178" i="10" s="1"/>
  <c r="B178" i="10"/>
  <c r="A179" i="10"/>
  <c r="C179" i="10" l="1"/>
  <c r="B179" i="10"/>
  <c r="F179" i="10"/>
  <c r="H179" i="10" s="1"/>
  <c r="A180" i="10"/>
  <c r="C180" i="10" l="1"/>
  <c r="F180" i="10"/>
  <c r="H180" i="10" s="1"/>
  <c r="B180" i="10"/>
  <c r="A181" i="10"/>
  <c r="C181" i="10" l="1"/>
  <c r="B181" i="10"/>
  <c r="F181" i="10"/>
  <c r="H181" i="10" s="1"/>
  <c r="A182" i="10"/>
  <c r="C182" i="10" l="1"/>
  <c r="F182" i="10"/>
  <c r="H182" i="10" s="1"/>
  <c r="B182" i="10"/>
  <c r="A183" i="10"/>
  <c r="C183" i="10" l="1"/>
  <c r="B183" i="10"/>
  <c r="F183" i="10"/>
  <c r="H183" i="10" s="1"/>
  <c r="A184" i="10"/>
  <c r="C184" i="10" l="1"/>
  <c r="F184" i="10"/>
  <c r="H184" i="10" s="1"/>
  <c r="B184" i="10"/>
  <c r="A185" i="10"/>
  <c r="C185" i="10" l="1"/>
  <c r="B185" i="10"/>
  <c r="F185" i="10"/>
  <c r="H185" i="10" s="1"/>
  <c r="A186" i="10"/>
  <c r="C186" i="10" l="1"/>
  <c r="F186" i="10"/>
  <c r="H186" i="10" s="1"/>
  <c r="B186" i="10"/>
  <c r="A187" i="10"/>
  <c r="C187" i="10" l="1"/>
  <c r="B187" i="10"/>
  <c r="F187" i="10"/>
  <c r="H187" i="10" s="1"/>
  <c r="A188" i="10"/>
  <c r="C188" i="10" l="1"/>
  <c r="B188" i="10"/>
  <c r="F188" i="10"/>
  <c r="H188" i="10" s="1"/>
  <c r="A189" i="10"/>
  <c r="C189" i="10" l="1"/>
  <c r="F189" i="10"/>
  <c r="H189" i="10" s="1"/>
  <c r="B189" i="10"/>
  <c r="A190" i="10"/>
  <c r="C190" i="10" l="1"/>
  <c r="B190" i="10"/>
  <c r="F190" i="10"/>
  <c r="H190" i="10" s="1"/>
  <c r="A191" i="10"/>
  <c r="C191" i="10" l="1"/>
  <c r="B191" i="10"/>
  <c r="F191" i="10"/>
  <c r="H191" i="10" s="1"/>
  <c r="A192" i="10"/>
  <c r="C192" i="10" l="1"/>
  <c r="B192" i="10"/>
  <c r="F192" i="10"/>
  <c r="H192" i="10" s="1"/>
  <c r="A193" i="10"/>
  <c r="C193" i="10" l="1"/>
  <c r="F193" i="10"/>
  <c r="H193" i="10" s="1"/>
  <c r="B193" i="10"/>
  <c r="A194" i="10"/>
  <c r="C194" i="10" l="1"/>
  <c r="B194" i="10"/>
  <c r="F194" i="10"/>
  <c r="H194" i="10" s="1"/>
  <c r="A195" i="10"/>
  <c r="C195" i="10" l="1"/>
  <c r="B195" i="10"/>
  <c r="F195" i="10"/>
  <c r="H195" i="10" s="1"/>
  <c r="A196" i="10"/>
  <c r="C196" i="10" l="1"/>
  <c r="F196" i="10"/>
  <c r="H196" i="10" s="1"/>
  <c r="B196" i="10"/>
  <c r="A197" i="10"/>
  <c r="C197" i="10" l="1"/>
  <c r="B197" i="10"/>
  <c r="F197" i="10"/>
  <c r="H197" i="10" s="1"/>
  <c r="A198" i="10"/>
  <c r="C198" i="10" l="1"/>
  <c r="B198" i="10"/>
  <c r="F198" i="10"/>
  <c r="H198" i="10" s="1"/>
  <c r="A199" i="10"/>
  <c r="C199" i="10" l="1"/>
  <c r="F199" i="10"/>
  <c r="H199" i="10" s="1"/>
  <c r="B199" i="10"/>
  <c r="A200" i="10"/>
  <c r="C200" i="10" l="1"/>
  <c r="B200" i="10"/>
  <c r="F200" i="10"/>
  <c r="H200" i="10" s="1"/>
  <c r="A201" i="10"/>
  <c r="C201" i="10" l="1"/>
  <c r="B201" i="10"/>
  <c r="F201" i="10"/>
  <c r="H201" i="10" s="1"/>
  <c r="A202" i="10"/>
  <c r="C202" i="10" l="1"/>
  <c r="B202" i="10"/>
  <c r="F202" i="10"/>
  <c r="H202" i="10" s="1"/>
  <c r="A203" i="10"/>
  <c r="C203" i="10" l="1"/>
  <c r="B203" i="10"/>
  <c r="F203" i="10"/>
  <c r="H203" i="10" s="1"/>
  <c r="A204" i="10"/>
  <c r="C204" i="10" l="1"/>
  <c r="F204" i="10"/>
  <c r="H204" i="10" s="1"/>
  <c r="B204" i="10"/>
  <c r="A205" i="10"/>
  <c r="C205" i="10" l="1"/>
  <c r="B205" i="10"/>
  <c r="F205" i="10"/>
  <c r="H205" i="10" s="1"/>
  <c r="A206" i="10"/>
  <c r="C206" i="10" l="1"/>
  <c r="B206" i="10"/>
  <c r="F206" i="10"/>
  <c r="H206" i="10" s="1"/>
  <c r="A207" i="10"/>
  <c r="C207" i="10" l="1"/>
  <c r="B207" i="10"/>
  <c r="F207" i="10"/>
  <c r="H207" i="10" s="1"/>
  <c r="A208" i="10"/>
  <c r="C208" i="10" l="1"/>
  <c r="F208" i="10"/>
  <c r="H208" i="10" s="1"/>
  <c r="B208" i="10"/>
  <c r="A209" i="10"/>
  <c r="C209" i="10" l="1"/>
  <c r="B209" i="10"/>
  <c r="F209" i="10"/>
  <c r="H209" i="10" s="1"/>
  <c r="A210" i="10"/>
  <c r="C210" i="10" l="1"/>
  <c r="B210" i="10"/>
  <c r="F210" i="10"/>
  <c r="H210" i="10" s="1"/>
  <c r="A211" i="10"/>
  <c r="C211" i="10" l="1"/>
  <c r="B211" i="10"/>
  <c r="F211" i="10"/>
  <c r="H211" i="10" s="1"/>
  <c r="A212" i="10"/>
  <c r="C212" i="10" l="1"/>
  <c r="F212" i="10"/>
  <c r="H212" i="10" s="1"/>
  <c r="B212" i="10"/>
  <c r="A213" i="10"/>
  <c r="C213" i="10" l="1"/>
  <c r="B213" i="10"/>
  <c r="F213" i="10"/>
  <c r="H213" i="10" s="1"/>
  <c r="A214" i="10"/>
  <c r="C214" i="10" l="1"/>
  <c r="F214" i="10"/>
  <c r="H214" i="10" s="1"/>
  <c r="B214" i="10"/>
  <c r="A215" i="10"/>
  <c r="C215" i="10" l="1"/>
  <c r="B215" i="10"/>
  <c r="F215" i="10"/>
  <c r="H215" i="10" s="1"/>
  <c r="A216" i="10"/>
  <c r="C216" i="10" l="1"/>
  <c r="B216" i="10"/>
  <c r="F216" i="10"/>
  <c r="H216" i="10" s="1"/>
  <c r="A217" i="10"/>
  <c r="C217" i="10" l="1"/>
  <c r="F217" i="10"/>
  <c r="H217" i="10" s="1"/>
  <c r="B217" i="10"/>
  <c r="A218" i="10"/>
  <c r="C218" i="10" l="1"/>
  <c r="B218" i="10"/>
  <c r="F218" i="10"/>
  <c r="H218" i="10" s="1"/>
  <c r="A219" i="10"/>
  <c r="C219" i="10" l="1"/>
  <c r="B219" i="10"/>
  <c r="F219" i="10"/>
  <c r="H219" i="10" s="1"/>
  <c r="A220" i="10"/>
  <c r="C220" i="10" l="1"/>
  <c r="B220" i="10"/>
  <c r="F220" i="10"/>
  <c r="H220" i="10" s="1"/>
  <c r="A221" i="10"/>
  <c r="C221" i="10" l="1"/>
  <c r="B221" i="10"/>
  <c r="F221" i="10"/>
  <c r="H221" i="10" s="1"/>
  <c r="A222" i="10"/>
  <c r="C222" i="10" l="1"/>
  <c r="B222" i="10"/>
  <c r="F222" i="10"/>
  <c r="H222" i="10" s="1"/>
  <c r="A223" i="10"/>
  <c r="C223" i="10" l="1"/>
  <c r="F223" i="10"/>
  <c r="H223" i="10" s="1"/>
  <c r="B223" i="10"/>
  <c r="A224" i="10"/>
  <c r="C224" i="10" l="1"/>
  <c r="B224" i="10"/>
  <c r="F224" i="10"/>
  <c r="H224" i="10" s="1"/>
  <c r="A225" i="10"/>
  <c r="C225" i="10" l="1"/>
  <c r="B225" i="10"/>
  <c r="F225" i="10"/>
  <c r="H225" i="10" s="1"/>
  <c r="A226" i="10"/>
  <c r="C226" i="10" l="1"/>
  <c r="B226" i="10"/>
  <c r="F226" i="10"/>
  <c r="H226" i="10" s="1"/>
  <c r="A227" i="10"/>
  <c r="C227" i="10" l="1"/>
  <c r="B227" i="10"/>
  <c r="F227" i="10"/>
  <c r="H227" i="10" s="1"/>
  <c r="A228" i="10"/>
  <c r="C228" i="10" l="1"/>
  <c r="F228" i="10"/>
  <c r="H228" i="10" s="1"/>
  <c r="B228" i="10"/>
  <c r="A229" i="10"/>
  <c r="C229" i="10" l="1"/>
  <c r="B229" i="10"/>
  <c r="F229" i="10"/>
  <c r="H229" i="10" s="1"/>
  <c r="A230" i="10"/>
  <c r="C230" i="10" l="1"/>
  <c r="B230" i="10"/>
  <c r="F230" i="10"/>
  <c r="H230" i="10" s="1"/>
  <c r="A231" i="10"/>
  <c r="C231" i="10" l="1"/>
  <c r="B231" i="10"/>
  <c r="F231" i="10"/>
  <c r="H231" i="10" s="1"/>
  <c r="A232" i="10"/>
  <c r="C232" i="10" l="1"/>
  <c r="F232" i="10"/>
  <c r="H232" i="10" s="1"/>
  <c r="B232" i="10"/>
  <c r="A233" i="10"/>
  <c r="C233" i="10" l="1"/>
  <c r="B233" i="10"/>
  <c r="F233" i="10"/>
  <c r="H233" i="10" s="1"/>
  <c r="A234" i="10"/>
  <c r="C234" i="10" l="1"/>
  <c r="B234" i="10"/>
  <c r="F234" i="10"/>
  <c r="H234" i="10" s="1"/>
  <c r="A235" i="10"/>
  <c r="C235" i="10" l="1"/>
  <c r="B235" i="10"/>
  <c r="F235" i="10"/>
  <c r="H235" i="10" s="1"/>
  <c r="A236" i="10"/>
  <c r="C236" i="10" l="1"/>
  <c r="F236" i="10"/>
  <c r="H236" i="10" s="1"/>
  <c r="B236" i="10"/>
  <c r="A237" i="10"/>
  <c r="C237" i="10" l="1"/>
  <c r="B237" i="10"/>
  <c r="F237" i="10"/>
  <c r="H237" i="10" s="1"/>
  <c r="A238" i="10"/>
  <c r="C238" i="10" l="1"/>
  <c r="B238" i="10"/>
  <c r="F238" i="10"/>
  <c r="H238" i="10" s="1"/>
  <c r="A239" i="10"/>
  <c r="C239" i="10" l="1"/>
  <c r="F239" i="10"/>
  <c r="H239" i="10" s="1"/>
  <c r="B239" i="10"/>
  <c r="A240" i="10"/>
  <c r="C240" i="10" l="1"/>
  <c r="B240" i="10"/>
  <c r="F240" i="10"/>
  <c r="H240" i="10" s="1"/>
  <c r="A241" i="10"/>
  <c r="C241" i="10" l="1"/>
  <c r="B241" i="10"/>
  <c r="F241" i="10"/>
  <c r="H241" i="10" s="1"/>
  <c r="A242" i="10"/>
  <c r="C242" i="10" l="1"/>
  <c r="B242" i="10"/>
  <c r="F242" i="10"/>
  <c r="H242" i="10" s="1"/>
  <c r="A243" i="10"/>
  <c r="C243" i="10" l="1"/>
  <c r="B243" i="10"/>
  <c r="F243" i="10"/>
  <c r="H243" i="10" s="1"/>
  <c r="A244" i="10"/>
  <c r="C244" i="10" l="1"/>
  <c r="F244" i="10"/>
  <c r="H244" i="10" s="1"/>
  <c r="B244" i="10"/>
  <c r="A245" i="10"/>
  <c r="C245" i="10" l="1"/>
  <c r="B245" i="10"/>
  <c r="F245" i="10"/>
  <c r="H245" i="10" s="1"/>
  <c r="A246" i="10"/>
  <c r="C246" i="10" l="1"/>
  <c r="B246" i="10"/>
  <c r="F246" i="10"/>
  <c r="H246" i="10" s="1"/>
  <c r="A247" i="10"/>
  <c r="C247" i="10" l="1"/>
  <c r="B247" i="10"/>
  <c r="F247" i="10"/>
  <c r="H247" i="10" s="1"/>
  <c r="A248" i="10"/>
  <c r="C248" i="10" l="1"/>
  <c r="B248" i="10"/>
  <c r="F248" i="10"/>
  <c r="H248" i="10" s="1"/>
  <c r="A249" i="10"/>
  <c r="C249" i="10" l="1"/>
  <c r="F249" i="10"/>
  <c r="H249" i="10" s="1"/>
  <c r="B249" i="10"/>
  <c r="A250" i="10"/>
  <c r="C250" i="10" l="1"/>
  <c r="B250" i="10"/>
  <c r="F250" i="10"/>
  <c r="H250" i="10" s="1"/>
  <c r="A251" i="10"/>
  <c r="C251" i="10" l="1"/>
  <c r="B251" i="10"/>
  <c r="F251" i="10"/>
  <c r="H251" i="10" s="1"/>
  <c r="A252" i="10"/>
  <c r="C252" i="10" l="1"/>
  <c r="B252" i="10"/>
  <c r="F252" i="10"/>
  <c r="H252" i="10" s="1"/>
  <c r="A253" i="10"/>
  <c r="C253" i="10" l="1"/>
  <c r="F253" i="10"/>
  <c r="H253" i="10" s="1"/>
  <c r="B253" i="10"/>
  <c r="A254" i="10"/>
  <c r="C254" i="10" l="1"/>
  <c r="B254" i="10"/>
  <c r="F254" i="10"/>
  <c r="H254" i="10" s="1"/>
  <c r="A255" i="10"/>
  <c r="C255" i="10" l="1"/>
  <c r="B255" i="10"/>
  <c r="F255" i="10"/>
  <c r="H255" i="10" s="1"/>
  <c r="A256" i="10"/>
  <c r="C256" i="10" l="1"/>
  <c r="B256" i="10"/>
  <c r="F256" i="10"/>
  <c r="H256" i="10" s="1"/>
  <c r="A257" i="10"/>
  <c r="C257" i="10" l="1"/>
  <c r="F257" i="10"/>
  <c r="H257" i="10" s="1"/>
  <c r="B257" i="10"/>
  <c r="A258" i="10"/>
  <c r="C258" i="10" l="1"/>
  <c r="B258" i="10"/>
  <c r="F258" i="10"/>
  <c r="H258" i="10" s="1"/>
  <c r="A259" i="10"/>
  <c r="C259" i="10" l="1"/>
  <c r="B259" i="10"/>
  <c r="F259" i="10"/>
  <c r="H259" i="10" s="1"/>
  <c r="A260" i="10"/>
  <c r="C260" i="10" l="1"/>
  <c r="B260" i="10"/>
  <c r="F260" i="10"/>
  <c r="H260" i="10" s="1"/>
  <c r="A261" i="10"/>
  <c r="C261" i="10" l="1"/>
  <c r="B261" i="10"/>
  <c r="F261" i="10"/>
  <c r="H261" i="10" s="1"/>
  <c r="A262" i="10"/>
  <c r="C262" i="10" l="1"/>
  <c r="F262" i="10"/>
  <c r="H262" i="10" s="1"/>
  <c r="B262" i="10"/>
  <c r="A263" i="10"/>
  <c r="C263" i="10" l="1"/>
  <c r="B263" i="10"/>
  <c r="F263" i="10"/>
  <c r="H263" i="10" s="1"/>
  <c r="A264" i="10"/>
  <c r="C264" i="10" l="1"/>
  <c r="B264" i="10"/>
  <c r="F264" i="10"/>
  <c r="H264" i="10" s="1"/>
  <c r="A265" i="10"/>
  <c r="C265" i="10" l="1"/>
  <c r="B265" i="10"/>
  <c r="F265" i="10"/>
  <c r="H265" i="10" s="1"/>
  <c r="A266" i="10"/>
  <c r="C266" i="10" l="1"/>
  <c r="F266" i="10"/>
  <c r="H266" i="10" s="1"/>
  <c r="B266" i="10"/>
  <c r="A267" i="10"/>
  <c r="C267" i="10" l="1"/>
  <c r="B267" i="10"/>
  <c r="F267" i="10"/>
  <c r="H267" i="10" s="1"/>
  <c r="A268" i="10"/>
  <c r="C268" i="10" l="1"/>
  <c r="B268" i="10"/>
  <c r="F268" i="10"/>
  <c r="H268" i="10" s="1"/>
  <c r="A269" i="10"/>
  <c r="C269" i="10" l="1"/>
  <c r="B269" i="10"/>
  <c r="F269" i="10"/>
  <c r="H269" i="10" s="1"/>
  <c r="A270" i="10"/>
  <c r="C270" i="10" l="1"/>
  <c r="F270" i="10"/>
  <c r="H270" i="10" s="1"/>
  <c r="B270" i="10"/>
  <c r="A271" i="10"/>
  <c r="C271" i="10" l="1"/>
  <c r="B271" i="10"/>
  <c r="F271" i="10"/>
  <c r="H271" i="10" s="1"/>
  <c r="A272" i="10"/>
  <c r="C272" i="10" l="1"/>
  <c r="F272" i="10"/>
  <c r="H272" i="10" s="1"/>
  <c r="B272" i="10"/>
  <c r="A273" i="10"/>
  <c r="C273" i="10" l="1"/>
  <c r="B273" i="10"/>
  <c r="F273" i="10"/>
  <c r="H273" i="10" s="1"/>
  <c r="A274" i="10"/>
  <c r="C274" i="10" l="1"/>
  <c r="B274" i="10"/>
  <c r="F274" i="10"/>
  <c r="H274" i="10" s="1"/>
  <c r="A275" i="10"/>
  <c r="C275" i="10" l="1"/>
  <c r="B275" i="10"/>
  <c r="F275" i="10"/>
  <c r="H275" i="10" s="1"/>
  <c r="A276" i="10"/>
  <c r="C276" i="10" l="1"/>
  <c r="B276" i="10"/>
  <c r="F276" i="10"/>
  <c r="H276" i="10" s="1"/>
  <c r="A277" i="10"/>
  <c r="C277" i="10" l="1"/>
  <c r="F277" i="10"/>
  <c r="H277" i="10" s="1"/>
  <c r="B277" i="10"/>
  <c r="A278" i="10"/>
  <c r="C278" i="10" l="1"/>
  <c r="B278" i="10"/>
  <c r="F278" i="10"/>
  <c r="H278" i="10" s="1"/>
  <c r="A279" i="10"/>
  <c r="C279" i="10" l="1"/>
  <c r="B279" i="10"/>
  <c r="F279" i="10"/>
  <c r="H279" i="10" s="1"/>
  <c r="A280" i="10"/>
  <c r="C280" i="10" l="1"/>
  <c r="B280" i="10"/>
  <c r="F280" i="10"/>
  <c r="H280" i="10" s="1"/>
  <c r="A281" i="10"/>
  <c r="C281" i="10" l="1"/>
  <c r="F281" i="10"/>
  <c r="H281" i="10" s="1"/>
  <c r="B281" i="10"/>
  <c r="A282" i="10"/>
  <c r="C282" i="10" l="1"/>
  <c r="B282" i="10"/>
  <c r="F282" i="10"/>
  <c r="H282" i="10" s="1"/>
  <c r="A283" i="10"/>
  <c r="C283" i="10" l="1"/>
  <c r="F283" i="10"/>
  <c r="H283" i="10" s="1"/>
  <c r="B283" i="10"/>
  <c r="A284" i="10"/>
  <c r="C284" i="10" l="1"/>
  <c r="B284" i="10"/>
  <c r="F284" i="10"/>
  <c r="H284" i="10" s="1"/>
  <c r="A285" i="10"/>
  <c r="C285" i="10" l="1"/>
  <c r="F285" i="10"/>
  <c r="H285" i="10" s="1"/>
  <c r="B285" i="10"/>
  <c r="A286" i="10"/>
  <c r="C286" i="10" l="1"/>
  <c r="B286" i="10"/>
  <c r="F286" i="10"/>
  <c r="H286" i="10" s="1"/>
  <c r="A287" i="10"/>
  <c r="C287" i="10" l="1"/>
  <c r="B287" i="10"/>
  <c r="F287" i="10"/>
  <c r="H287" i="10" s="1"/>
  <c r="A288" i="10"/>
  <c r="C288" i="10" l="1"/>
  <c r="B288" i="10"/>
  <c r="F288" i="10"/>
  <c r="H288" i="10" s="1"/>
  <c r="A289" i="10"/>
  <c r="C289" i="10" l="1"/>
  <c r="F289" i="10"/>
  <c r="H289" i="10" s="1"/>
  <c r="B289" i="10"/>
  <c r="A290" i="10"/>
  <c r="C290" i="10" l="1"/>
  <c r="B290" i="10"/>
  <c r="F290" i="10"/>
  <c r="H290" i="10" s="1"/>
  <c r="A291" i="10"/>
  <c r="C291" i="10" l="1"/>
  <c r="B291" i="10"/>
  <c r="F291" i="10"/>
  <c r="H291" i="10" s="1"/>
  <c r="A292" i="10"/>
  <c r="C292" i="10" l="1"/>
  <c r="B292" i="10"/>
  <c r="F292" i="10"/>
  <c r="H292" i="10" s="1"/>
  <c r="A293" i="10"/>
  <c r="C293" i="10" l="1"/>
  <c r="F293" i="10"/>
  <c r="H293" i="10" s="1"/>
  <c r="B293" i="10"/>
  <c r="A294" i="10"/>
  <c r="C294" i="10" l="1"/>
  <c r="B294" i="10"/>
  <c r="F294" i="10"/>
  <c r="H294" i="10" s="1"/>
  <c r="A295" i="10"/>
  <c r="C295" i="10" l="1"/>
  <c r="B295" i="10"/>
  <c r="F295" i="10"/>
  <c r="H295" i="10" s="1"/>
  <c r="A296" i="10"/>
  <c r="C296" i="10" l="1"/>
  <c r="B296" i="10"/>
  <c r="F296" i="10"/>
  <c r="H296" i="10" s="1"/>
  <c r="A297" i="10"/>
  <c r="C297" i="10" l="1"/>
  <c r="F297" i="10"/>
  <c r="H297" i="10" s="1"/>
  <c r="B297" i="10"/>
  <c r="A298" i="10"/>
  <c r="C298" i="10" l="1"/>
  <c r="B298" i="10"/>
  <c r="F298" i="10"/>
  <c r="H298" i="10" s="1"/>
  <c r="A299" i="10"/>
  <c r="C299" i="10" l="1"/>
  <c r="B299" i="10"/>
  <c r="F299" i="10"/>
  <c r="H299" i="10" s="1"/>
  <c r="A300" i="10"/>
  <c r="C300" i="10" l="1"/>
  <c r="B300" i="10"/>
  <c r="F300" i="10"/>
  <c r="H300" i="10" s="1"/>
  <c r="A301" i="10"/>
  <c r="C301" i="10" l="1"/>
  <c r="B301" i="10"/>
  <c r="F301" i="10"/>
  <c r="H301" i="10" s="1"/>
  <c r="A302" i="10"/>
  <c r="C302" i="10" l="1"/>
  <c r="F302" i="10"/>
  <c r="H302" i="10" s="1"/>
  <c r="B302" i="10"/>
  <c r="A303" i="10"/>
  <c r="C303" i="10" l="1"/>
  <c r="B303" i="10"/>
  <c r="F303" i="10"/>
  <c r="H303" i="10" s="1"/>
  <c r="A304" i="10"/>
  <c r="C304" i="10" l="1"/>
  <c r="F304" i="10"/>
  <c r="H304" i="10" s="1"/>
  <c r="B304" i="10"/>
  <c r="A305" i="10"/>
  <c r="C305" i="10" l="1"/>
  <c r="B305" i="10"/>
  <c r="F305" i="10"/>
  <c r="H305" i="10" s="1"/>
  <c r="A306" i="10"/>
  <c r="C306" i="10" l="1"/>
  <c r="B306" i="10"/>
  <c r="F306" i="10"/>
  <c r="H306" i="10" s="1"/>
  <c r="A307" i="10"/>
  <c r="C307" i="10" l="1"/>
  <c r="F307" i="10"/>
  <c r="H307" i="10" s="1"/>
  <c r="B307" i="10"/>
  <c r="A308" i="10"/>
  <c r="C308" i="10" l="1"/>
  <c r="B308" i="10"/>
  <c r="F308" i="10"/>
  <c r="H308" i="10" s="1"/>
  <c r="A309" i="10"/>
  <c r="C309" i="10" l="1"/>
  <c r="B309" i="10"/>
  <c r="F309" i="10"/>
  <c r="H309" i="10" s="1"/>
  <c r="A310" i="10"/>
  <c r="C310" i="10" l="1"/>
  <c r="B310" i="10"/>
  <c r="F310" i="10"/>
  <c r="H310" i="10" s="1"/>
  <c r="A311" i="10"/>
  <c r="C311" i="10" l="1"/>
  <c r="F311" i="10"/>
  <c r="H311" i="10" s="1"/>
  <c r="B311" i="10"/>
  <c r="A312" i="10"/>
  <c r="C312" i="10" l="1"/>
  <c r="B312" i="10"/>
  <c r="F312" i="10"/>
  <c r="H312" i="10" s="1"/>
  <c r="A313" i="10"/>
  <c r="C313" i="10" l="1"/>
  <c r="B313" i="10"/>
  <c r="F313" i="10"/>
  <c r="H313" i="10" s="1"/>
  <c r="A314" i="10"/>
  <c r="C314" i="10" l="1"/>
  <c r="B314" i="10"/>
  <c r="F314" i="10"/>
  <c r="H314" i="10" s="1"/>
  <c r="A315" i="10"/>
  <c r="C315" i="10" l="1"/>
  <c r="F315" i="10"/>
  <c r="H315" i="10" s="1"/>
  <c r="B315" i="10"/>
  <c r="A316" i="10"/>
  <c r="C316" i="10" l="1"/>
  <c r="B316" i="10"/>
  <c r="F316" i="10"/>
  <c r="H316" i="10" s="1"/>
  <c r="A317" i="10"/>
  <c r="C317" i="10" l="1"/>
  <c r="B317" i="10"/>
  <c r="F317" i="10"/>
  <c r="H317" i="10" s="1"/>
  <c r="A318" i="10"/>
  <c r="C318" i="10" l="1"/>
  <c r="B318" i="10"/>
  <c r="F318" i="10"/>
  <c r="H318" i="10" s="1"/>
  <c r="A319" i="10"/>
  <c r="C319" i="10" l="1"/>
  <c r="F319" i="10"/>
  <c r="H319" i="10" s="1"/>
  <c r="B319" i="10"/>
  <c r="A320" i="10"/>
  <c r="C320" i="10" l="1"/>
  <c r="B320" i="10"/>
  <c r="F320" i="10"/>
  <c r="H320" i="10" s="1"/>
  <c r="A321" i="10"/>
  <c r="C321" i="10" l="1"/>
  <c r="B321" i="10"/>
  <c r="F321" i="10"/>
  <c r="H321" i="10" s="1"/>
  <c r="A322" i="10"/>
  <c r="C322" i="10" l="1"/>
  <c r="B322" i="10"/>
  <c r="F322" i="10"/>
  <c r="H322" i="10" s="1"/>
  <c r="A323" i="10"/>
  <c r="C323" i="10" l="1"/>
  <c r="F323" i="10"/>
  <c r="H323" i="10" s="1"/>
  <c r="B323" i="10"/>
  <c r="A324" i="10"/>
  <c r="C324" i="10" l="1"/>
  <c r="B324" i="10"/>
  <c r="F324" i="10"/>
  <c r="H324" i="10" s="1"/>
  <c r="A325" i="10"/>
  <c r="C325" i="10" l="1"/>
  <c r="B325" i="10"/>
  <c r="F325" i="10"/>
  <c r="H325" i="10" s="1"/>
  <c r="A326" i="10"/>
  <c r="C326" i="10" l="1"/>
  <c r="B326" i="10"/>
  <c r="F326" i="10"/>
  <c r="H326" i="10" s="1"/>
  <c r="A327" i="10"/>
  <c r="C327" i="10" l="1"/>
  <c r="B327" i="10"/>
  <c r="F327" i="10"/>
  <c r="H327" i="10" s="1"/>
  <c r="A328" i="10"/>
  <c r="C328" i="10" l="1"/>
  <c r="B328" i="10"/>
  <c r="F328" i="10"/>
  <c r="H328" i="10" s="1"/>
  <c r="A329" i="10"/>
  <c r="C329" i="10" l="1"/>
  <c r="B329" i="10"/>
  <c r="F329" i="10"/>
  <c r="H329" i="10" s="1"/>
  <c r="A330" i="10"/>
  <c r="C330" i="10" l="1"/>
  <c r="F330" i="10"/>
  <c r="H330" i="10" s="1"/>
  <c r="B330" i="10"/>
  <c r="A331" i="10"/>
  <c r="C331" i="10" l="1"/>
  <c r="B331" i="10"/>
  <c r="F331" i="10"/>
  <c r="H331" i="10" s="1"/>
  <c r="A332" i="10"/>
  <c r="C332" i="10" l="1"/>
  <c r="B332" i="10"/>
  <c r="F332" i="10"/>
  <c r="H332" i="10" s="1"/>
  <c r="A333" i="10"/>
  <c r="C333" i="10" l="1"/>
  <c r="F333" i="10"/>
  <c r="H333" i="10" s="1"/>
  <c r="B333" i="10"/>
  <c r="A334" i="10"/>
  <c r="C334" i="10" l="1"/>
  <c r="B334" i="10"/>
  <c r="F334" i="10"/>
  <c r="H334" i="10" s="1"/>
  <c r="A335" i="10"/>
  <c r="C335" i="10" l="1"/>
  <c r="B335" i="10"/>
  <c r="F335" i="10"/>
  <c r="H335" i="10" s="1"/>
  <c r="A336" i="10"/>
  <c r="C336" i="10" l="1"/>
  <c r="B336" i="10"/>
  <c r="F336" i="10"/>
  <c r="H336" i="10" s="1"/>
  <c r="A337" i="10"/>
  <c r="C337" i="10" l="1"/>
  <c r="F337" i="10"/>
  <c r="H337" i="10" s="1"/>
  <c r="B337" i="10"/>
  <c r="A338" i="10"/>
  <c r="C338" i="10" l="1"/>
  <c r="B338" i="10"/>
  <c r="F338" i="10"/>
  <c r="H338" i="10" s="1"/>
  <c r="A339" i="10"/>
  <c r="C339" i="10" l="1"/>
  <c r="B339" i="10"/>
  <c r="F339" i="10"/>
  <c r="H339" i="10" s="1"/>
  <c r="A340" i="10"/>
  <c r="C340" i="10" l="1"/>
  <c r="B340" i="10"/>
  <c r="F340" i="10"/>
  <c r="H340" i="10" s="1"/>
  <c r="A341" i="10"/>
  <c r="C341" i="10" l="1"/>
  <c r="F341" i="10"/>
  <c r="H341" i="10" s="1"/>
  <c r="B341" i="10"/>
  <c r="A342" i="10"/>
  <c r="C342" i="10" l="1"/>
  <c r="B342" i="10"/>
  <c r="F342" i="10"/>
  <c r="H342" i="10" s="1"/>
  <c r="A343" i="10"/>
  <c r="C343" i="10" l="1"/>
  <c r="B343" i="10"/>
  <c r="F343" i="10"/>
  <c r="H343" i="10" s="1"/>
  <c r="A344" i="10"/>
  <c r="C344" i="10" l="1"/>
  <c r="B344" i="10"/>
  <c r="F344" i="10"/>
  <c r="H344" i="10" s="1"/>
  <c r="A345" i="10"/>
  <c r="C345" i="10" l="1"/>
  <c r="F345" i="10"/>
  <c r="H345" i="10" s="1"/>
  <c r="B345" i="10"/>
  <c r="A346" i="10"/>
  <c r="C346" i="10" l="1"/>
  <c r="B346" i="10"/>
  <c r="F346" i="10"/>
  <c r="H346" i="10" s="1"/>
  <c r="A347" i="10"/>
  <c r="C347" i="10" l="1"/>
  <c r="B347" i="10"/>
  <c r="F347" i="10"/>
  <c r="H347" i="10" s="1"/>
  <c r="A348" i="10"/>
  <c r="C348" i="10" l="1"/>
  <c r="F348" i="10"/>
  <c r="H348" i="10" s="1"/>
  <c r="B348" i="10"/>
  <c r="A349" i="10"/>
  <c r="C349" i="10" l="1"/>
  <c r="B349" i="10"/>
  <c r="F349" i="10"/>
  <c r="H349" i="10" s="1"/>
  <c r="A350" i="10"/>
  <c r="C350" i="10" l="1"/>
  <c r="B350" i="10"/>
  <c r="F350" i="10"/>
  <c r="H350" i="10" s="1"/>
  <c r="A351" i="10"/>
  <c r="C351" i="10" l="1"/>
  <c r="B351" i="10"/>
  <c r="F351" i="10"/>
  <c r="H351" i="10" s="1"/>
  <c r="A352" i="10"/>
  <c r="C352" i="10" l="1"/>
  <c r="F352" i="10"/>
  <c r="H352" i="10" s="1"/>
  <c r="B352" i="10"/>
  <c r="A353" i="10"/>
  <c r="C353" i="10" l="1"/>
  <c r="B353" i="10"/>
  <c r="F353" i="10"/>
  <c r="H353" i="10" s="1"/>
  <c r="A354" i="10"/>
  <c r="C354" i="10" l="1"/>
  <c r="B354" i="10"/>
  <c r="F354" i="10"/>
  <c r="H354" i="10" s="1"/>
  <c r="A355" i="10"/>
  <c r="C355" i="10" l="1"/>
  <c r="B355" i="10"/>
  <c r="F355" i="10"/>
  <c r="H355" i="10" s="1"/>
  <c r="A356" i="10"/>
  <c r="C356" i="10" l="1"/>
  <c r="F356" i="10"/>
  <c r="H356" i="10" s="1"/>
  <c r="B356" i="10"/>
  <c r="A357" i="10"/>
  <c r="C357" i="10" l="1"/>
  <c r="B357" i="10"/>
  <c r="F357" i="10"/>
  <c r="H357" i="10" s="1"/>
  <c r="A358" i="10"/>
  <c r="C358" i="10" l="1"/>
  <c r="B358" i="10"/>
  <c r="F358" i="10"/>
  <c r="H358" i="10" s="1"/>
  <c r="A359" i="10"/>
  <c r="C359" i="10" l="1"/>
  <c r="B359" i="10"/>
  <c r="F359" i="10"/>
  <c r="H359" i="10" s="1"/>
  <c r="A360" i="10"/>
  <c r="C360" i="10" l="1"/>
  <c r="F360" i="10"/>
  <c r="H360" i="10" s="1"/>
  <c r="B360" i="10"/>
  <c r="A361" i="10"/>
  <c r="C361" i="10" l="1"/>
  <c r="B361" i="10"/>
  <c r="F361" i="10"/>
  <c r="H361" i="10" s="1"/>
  <c r="A362" i="10"/>
  <c r="C362" i="10" l="1"/>
  <c r="B362" i="10"/>
  <c r="F362" i="10"/>
  <c r="H362" i="10" s="1"/>
  <c r="A363" i="10"/>
  <c r="C363" i="10" l="1"/>
  <c r="B363" i="10"/>
  <c r="F363" i="10"/>
  <c r="H363" i="10" s="1"/>
  <c r="A364" i="10"/>
  <c r="C364" i="10" l="1"/>
  <c r="F364" i="10"/>
  <c r="H364" i="10" s="1"/>
  <c r="B364" i="10"/>
  <c r="A365" i="10"/>
  <c r="C365" i="10" l="1"/>
  <c r="B365" i="10"/>
  <c r="F365" i="10"/>
  <c r="H365" i="10" s="1"/>
  <c r="A366" i="10"/>
  <c r="C366" i="10" l="1"/>
  <c r="B366" i="10"/>
  <c r="F366" i="10"/>
  <c r="H366" i="10" s="1"/>
  <c r="A367" i="10"/>
  <c r="C367" i="10" l="1"/>
  <c r="B367" i="10"/>
  <c r="F367" i="10"/>
  <c r="H367"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80D463-42D9-4877-8B37-A137FB08F08C}" keepAlive="1" name="Query - Customer Details" description="Connection to the 'Customer Details' query in the workbook." type="5" refreshedVersion="8" background="1" saveData="1">
    <dbPr connection="Provider=Microsoft.Mashup.OleDb.1;Data Source=$Workbook$;Location=&quot;Customer Details&quot;;Extended Properties=&quot;&quot;" command="SELECT * FROM [Customer Details]"/>
  </connection>
  <connection id="2" xr16:uid="{2823DF16-52E2-488D-A253-E161968137F6}" keepAlive="1" name="Query - Sales Performance" description="Connection to the 'Sales Performance' query in the workbook." type="5" refreshedVersion="8" background="1" saveData="1">
    <dbPr connection="Provider=Microsoft.Mashup.OleDb.1;Data Source=$Workbook$;Location=&quot;Sales Performance&quot;;Extended Properties=&quot;&quot;" command="SELECT * FROM [Sales Performance]"/>
  </connection>
  <connection id="3" xr16:uid="{DD51E81A-CDA1-4AB1-8772-8F532D2B8B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0C8D5D6-5B4B-472C-BB4A-0BE84BD12361}" name="WorksheetConnection_02_Data Modelling and Visualization.xlsx!Calendar_Table" type="102" refreshedVersion="8" minRefreshableVersion="5">
    <extLst>
      <ext xmlns:x15="http://schemas.microsoft.com/office/spreadsheetml/2010/11/main" uri="{DE250136-89BD-433C-8126-D09CA5730AF9}">
        <x15:connection id="Calendar_Table">
          <x15:rangePr sourceName="_xlcn.WorksheetConnection_02_DataModellingandVisualization.xlsxCalendar_Table1"/>
        </x15:connection>
      </ext>
    </extLst>
  </connection>
  <connection id="5" xr16:uid="{2D1275BB-32BC-4BD3-8230-1D065BDC2867}" name="WorksheetConnection_02_Data Modelling and Visualization.xlsx!Customer_Details" type="102" refreshedVersion="8" minRefreshableVersion="5">
    <extLst>
      <ext xmlns:x15="http://schemas.microsoft.com/office/spreadsheetml/2010/11/main" uri="{DE250136-89BD-433C-8126-D09CA5730AF9}">
        <x15:connection id="Customer_Details">
          <x15:rangePr sourceName="_xlcn.WorksheetConnection_02_DataModellingandVisualization.xlsxCustomer_Details1"/>
        </x15:connection>
      </ext>
    </extLst>
  </connection>
  <connection id="6" xr16:uid="{7EE350CA-5F8E-4396-8B3A-B0CF5B2263B7}" name="WorksheetConnection_02_Data Modelling and Visualization.xlsx!Sales_Performance" type="102" refreshedVersion="8" minRefreshableVersion="5">
    <extLst>
      <ext xmlns:x15="http://schemas.microsoft.com/office/spreadsheetml/2010/11/main" uri="{DE250136-89BD-433C-8126-D09CA5730AF9}">
        <x15:connection id="Sales_Performance">
          <x15:rangePr sourceName="_xlcn.WorksheetConnection_02_DataModellingandVisualization.xlsxSales_Performanc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<sst xmlns="http://schemas.openxmlformats.org/spreadsheetml/2006/main" count="4559" uniqueCount="1536">
  <si>
    <t>Transaction ID</t>
  </si>
  <si>
    <t>Date</t>
  </si>
  <si>
    <t>Customer ID</t>
  </si>
  <si>
    <t>Gender</t>
  </si>
  <si>
    <t>Age</t>
  </si>
  <si>
    <t>Product Category</t>
  </si>
  <si>
    <t>Quantity</t>
  </si>
  <si>
    <t>Price per Unit</t>
  </si>
  <si>
    <t>Total Amount</t>
  </si>
  <si>
    <t>569</t>
  </si>
  <si>
    <t>Male</t>
  </si>
  <si>
    <t>Electronics</t>
  </si>
  <si>
    <t>147</t>
  </si>
  <si>
    <t>CUST147</t>
  </si>
  <si>
    <t>988</t>
  </si>
  <si>
    <t>Female</t>
  </si>
  <si>
    <t>Clothing</t>
  </si>
  <si>
    <t>745</t>
  </si>
  <si>
    <t>Beauty</t>
  </si>
  <si>
    <t>271</t>
  </si>
  <si>
    <t>CUST271</t>
  </si>
  <si>
    <t>329</t>
  </si>
  <si>
    <t>CUST329</t>
  </si>
  <si>
    <t>833</t>
  </si>
  <si>
    <t>697</t>
  </si>
  <si>
    <t>172</t>
  </si>
  <si>
    <t>CUST172</t>
  </si>
  <si>
    <t>433</t>
  </si>
  <si>
    <t>CUST433</t>
  </si>
  <si>
    <t>263</t>
  </si>
  <si>
    <t>CUST263</t>
  </si>
  <si>
    <t>494</t>
  </si>
  <si>
    <t>CUST494</t>
  </si>
  <si>
    <t>862</t>
  </si>
  <si>
    <t>356</t>
  </si>
  <si>
    <t>CUST356</t>
  </si>
  <si>
    <t>726</t>
  </si>
  <si>
    <t>955</t>
  </si>
  <si>
    <t>897</t>
  </si>
  <si>
    <t>645</t>
  </si>
  <si>
    <t>423</t>
  </si>
  <si>
    <t>CUST423</t>
  </si>
  <si>
    <t>348</t>
  </si>
  <si>
    <t>CUST348</t>
  </si>
  <si>
    <t>958</t>
  </si>
  <si>
    <t>791</t>
  </si>
  <si>
    <t>254</t>
  </si>
  <si>
    <t>CUST254</t>
  </si>
  <si>
    <t>657</t>
  </si>
  <si>
    <t>803</t>
  </si>
  <si>
    <t>25</t>
  </si>
  <si>
    <t>CUST025</t>
  </si>
  <si>
    <t>923</t>
  </si>
  <si>
    <t>554</t>
  </si>
  <si>
    <t>309</t>
  </si>
  <si>
    <t>CUST309</t>
  </si>
  <si>
    <t>10</t>
  </si>
  <si>
    <t>CUST010</t>
  </si>
  <si>
    <t>504</t>
  </si>
  <si>
    <t>568</t>
  </si>
  <si>
    <t>565</t>
  </si>
  <si>
    <t>165</t>
  </si>
  <si>
    <t>CUST165</t>
  </si>
  <si>
    <t>61</t>
  </si>
  <si>
    <t>CUST061</t>
  </si>
  <si>
    <t>169</t>
  </si>
  <si>
    <t>CUST169</t>
  </si>
  <si>
    <t>164</t>
  </si>
  <si>
    <t>CUST164</t>
  </si>
  <si>
    <t>26</t>
  </si>
  <si>
    <t>CUST026</t>
  </si>
  <si>
    <t>217</t>
  </si>
  <si>
    <t>CUST217</t>
  </si>
  <si>
    <t>285</t>
  </si>
  <si>
    <t>CUST285</t>
  </si>
  <si>
    <t>596</t>
  </si>
  <si>
    <t>103</t>
  </si>
  <si>
    <t>CUST103</t>
  </si>
  <si>
    <t>610</t>
  </si>
  <si>
    <t>604</t>
  </si>
  <si>
    <t>778</t>
  </si>
  <si>
    <t>583</t>
  </si>
  <si>
    <t>678</t>
  </si>
  <si>
    <t>126</t>
  </si>
  <si>
    <t>CUST126</t>
  </si>
  <si>
    <t>409</t>
  </si>
  <si>
    <t>CUST409</t>
  </si>
  <si>
    <t>771</t>
  </si>
  <si>
    <t>14</t>
  </si>
  <si>
    <t>CUST014</t>
  </si>
  <si>
    <t>814</t>
  </si>
  <si>
    <t>552</t>
  </si>
  <si>
    <t>100</t>
  </si>
  <si>
    <t>CUST100</t>
  </si>
  <si>
    <t>588</t>
  </si>
  <si>
    <t>455</t>
  </si>
  <si>
    <t>CUST455</t>
  </si>
  <si>
    <t>996</t>
  </si>
  <si>
    <t>362</t>
  </si>
  <si>
    <t>CUST362</t>
  </si>
  <si>
    <t>114</t>
  </si>
  <si>
    <t>CUST114</t>
  </si>
  <si>
    <t>865</t>
  </si>
  <si>
    <t>95</t>
  </si>
  <si>
    <t>CUST095</t>
  </si>
  <si>
    <t>929</t>
  </si>
  <si>
    <t>452</t>
  </si>
  <si>
    <t>CUST452</t>
  </si>
  <si>
    <t>468</t>
  </si>
  <si>
    <t>CUST468</t>
  </si>
  <si>
    <t>420</t>
  </si>
  <si>
    <t>CUST420</t>
  </si>
  <si>
    <t>795</t>
  </si>
  <si>
    <t>454</t>
  </si>
  <si>
    <t>CUST454</t>
  </si>
  <si>
    <t>882</t>
  </si>
  <si>
    <t>750</t>
  </si>
  <si>
    <t>602</t>
  </si>
  <si>
    <t>931</t>
  </si>
  <si>
    <t>673</t>
  </si>
  <si>
    <t>35</t>
  </si>
  <si>
    <t>CUST035</t>
  </si>
  <si>
    <t>54</t>
  </si>
  <si>
    <t>CUST054</t>
  </si>
  <si>
    <t>327</t>
  </si>
  <si>
    <t>CUST327</t>
  </si>
  <si>
    <t>846</t>
  </si>
  <si>
    <t>559</t>
  </si>
  <si>
    <t>548</t>
  </si>
  <si>
    <t>599</t>
  </si>
  <si>
    <t>543</t>
  </si>
  <si>
    <t>331</t>
  </si>
  <si>
    <t>CUST331</t>
  </si>
  <si>
    <t>432</t>
  </si>
  <si>
    <t>CUST432</t>
  </si>
  <si>
    <t>910</t>
  </si>
  <si>
    <t>325</t>
  </si>
  <si>
    <t>CUST325</t>
  </si>
  <si>
    <t>658</t>
  </si>
  <si>
    <t>486</t>
  </si>
  <si>
    <t>CUST486</t>
  </si>
  <si>
    <t>421</t>
  </si>
  <si>
    <t>CUST421</t>
  </si>
  <si>
    <t>652</t>
  </si>
  <si>
    <t>431</t>
  </si>
  <si>
    <t>CUST431</t>
  </si>
  <si>
    <t>278</t>
  </si>
  <si>
    <t>CUST278</t>
  </si>
  <si>
    <t>737</t>
  </si>
  <si>
    <t>977</t>
  </si>
  <si>
    <t>735</t>
  </si>
  <si>
    <t>730</t>
  </si>
  <si>
    <t>570</t>
  </si>
  <si>
    <t>410</t>
  </si>
  <si>
    <t>CUST410</t>
  </si>
  <si>
    <t>622</t>
  </si>
  <si>
    <t>723</t>
  </si>
  <si>
    <t>109</t>
  </si>
  <si>
    <t>CUST109</t>
  </si>
  <si>
    <t>717</t>
  </si>
  <si>
    <t>911</t>
  </si>
  <si>
    <t>906</t>
  </si>
  <si>
    <t>975</t>
  </si>
  <si>
    <t>710</t>
  </si>
  <si>
    <t>233</t>
  </si>
  <si>
    <t>CUST233</t>
  </si>
  <si>
    <t>611</t>
  </si>
  <si>
    <t>154</t>
  </si>
  <si>
    <t>CUST154</t>
  </si>
  <si>
    <t>141</t>
  </si>
  <si>
    <t>CUST141</t>
  </si>
  <si>
    <t>238</t>
  </si>
  <si>
    <t>CUST238</t>
  </si>
  <si>
    <t>598</t>
  </si>
  <si>
    <t>935</t>
  </si>
  <si>
    <t>306</t>
  </si>
  <si>
    <t>CUST306</t>
  </si>
  <si>
    <t>907</t>
  </si>
  <si>
    <t>111</t>
  </si>
  <si>
    <t>CUST111</t>
  </si>
  <si>
    <t>27</t>
  </si>
  <si>
    <t>CUST027</t>
  </si>
  <si>
    <t>58</t>
  </si>
  <si>
    <t>CUST058</t>
  </si>
  <si>
    <t>47</t>
  </si>
  <si>
    <t>CUST047</t>
  </si>
  <si>
    <t>260</t>
  </si>
  <si>
    <t>CUST260</t>
  </si>
  <si>
    <t>993</t>
  </si>
  <si>
    <t>751</t>
  </si>
  <si>
    <t>99</t>
  </si>
  <si>
    <t>CUST099</t>
  </si>
  <si>
    <t>974</t>
  </si>
  <si>
    <t>139</t>
  </si>
  <si>
    <t>CUST139</t>
  </si>
  <si>
    <t>412</t>
  </si>
  <si>
    <t>CUST412</t>
  </si>
  <si>
    <t>714</t>
  </si>
  <si>
    <t>617</t>
  </si>
  <si>
    <t>797</t>
  </si>
  <si>
    <t>44</t>
  </si>
  <si>
    <t>CUST044</t>
  </si>
  <si>
    <t>532</t>
  </si>
  <si>
    <t>64</t>
  </si>
  <si>
    <t>CUST064</t>
  </si>
  <si>
    <t>741</t>
  </si>
  <si>
    <t>743</t>
  </si>
  <si>
    <t>39</t>
  </si>
  <si>
    <t>CUST039</t>
  </si>
  <si>
    <t>784</t>
  </si>
  <si>
    <t>319</t>
  </si>
  <si>
    <t>CUST319</t>
  </si>
  <si>
    <t>229</t>
  </si>
  <si>
    <t>CUST229</t>
  </si>
  <si>
    <t>936</t>
  </si>
  <si>
    <t>614</t>
  </si>
  <si>
    <t>243</t>
  </si>
  <si>
    <t>CUST243</t>
  </si>
  <si>
    <t>835</t>
  </si>
  <si>
    <t>396</t>
  </si>
  <si>
    <t>CUST396</t>
  </si>
  <si>
    <t>206</t>
  </si>
  <si>
    <t>CUST206</t>
  </si>
  <si>
    <t>972</t>
  </si>
  <si>
    <t>738</t>
  </si>
  <si>
    <t>317</t>
  </si>
  <si>
    <t>CUST317</t>
  </si>
  <si>
    <t>187</t>
  </si>
  <si>
    <t>558</t>
  </si>
  <si>
    <t>651</t>
  </si>
  <si>
    <t>816</t>
  </si>
  <si>
    <t>320</t>
  </si>
  <si>
    <t>CUST320</t>
  </si>
  <si>
    <t>62</t>
  </si>
  <si>
    <t>CUST062</t>
  </si>
  <si>
    <t>912</t>
  </si>
  <si>
    <t>505</t>
  </si>
  <si>
    <t>601</t>
  </si>
  <si>
    <t>516</t>
  </si>
  <si>
    <t>564</t>
  </si>
  <si>
    <t>397</t>
  </si>
  <si>
    <t>CUST397</t>
  </si>
  <si>
    <t>966</t>
  </si>
  <si>
    <t>474</t>
  </si>
  <si>
    <t>CUST474</t>
  </si>
  <si>
    <t>171</t>
  </si>
  <si>
    <t>CUST171</t>
  </si>
  <si>
    <t>223</t>
  </si>
  <si>
    <t>CUST223</t>
  </si>
  <si>
    <t>337</t>
  </si>
  <si>
    <t>CUST337</t>
  </si>
  <si>
    <t>783</t>
  </si>
  <si>
    <t>110</t>
  </si>
  <si>
    <t>CUST110</t>
  </si>
  <si>
    <t>221</t>
  </si>
  <si>
    <t>CUST221</t>
  </si>
  <si>
    <t>352</t>
  </si>
  <si>
    <t>CUST352</t>
  </si>
  <si>
    <t>579</t>
  </si>
  <si>
    <t>322</t>
  </si>
  <si>
    <t>CUST322</t>
  </si>
  <si>
    <t>205</t>
  </si>
  <si>
    <t>CUST205</t>
  </si>
  <si>
    <t>149</t>
  </si>
  <si>
    <t>CUST149</t>
  </si>
  <si>
    <t>866</t>
  </si>
  <si>
    <t>621</t>
  </si>
  <si>
    <t>268</t>
  </si>
  <si>
    <t>CUST268</t>
  </si>
  <si>
    <t>844</t>
  </si>
  <si>
    <t>446</t>
  </si>
  <si>
    <t>CUST446</t>
  </si>
  <si>
    <t>506</t>
  </si>
  <si>
    <t>984</t>
  </si>
  <si>
    <t>129</t>
  </si>
  <si>
    <t>CUST129</t>
  </si>
  <si>
    <t>747</t>
  </si>
  <si>
    <t>837</t>
  </si>
  <si>
    <t>591</t>
  </si>
  <si>
    <t>566</t>
  </si>
  <si>
    <t>875</t>
  </si>
  <si>
    <t>541</t>
  </si>
  <si>
    <t>408</t>
  </si>
  <si>
    <t>CUST408</t>
  </si>
  <si>
    <t>818</t>
  </si>
  <si>
    <t>492</t>
  </si>
  <si>
    <t>CUST492</t>
  </si>
  <si>
    <t>793</t>
  </si>
  <si>
    <t>553</t>
  </si>
  <si>
    <t>366</t>
  </si>
  <si>
    <t>CUST366</t>
  </si>
  <si>
    <t>587</t>
  </si>
  <si>
    <t>971</t>
  </si>
  <si>
    <t>135</t>
  </si>
  <si>
    <t>CUST135</t>
  </si>
  <si>
    <t>667</t>
  </si>
  <si>
    <t>16</t>
  </si>
  <si>
    <t>CUST016</t>
  </si>
  <si>
    <t>644</t>
  </si>
  <si>
    <t>160</t>
  </si>
  <si>
    <t>CUST160</t>
  </si>
  <si>
    <t>819</t>
  </si>
  <si>
    <t>956</t>
  </si>
  <si>
    <t>925</t>
  </si>
  <si>
    <t>49</t>
  </si>
  <si>
    <t>CUST049</t>
  </si>
  <si>
    <t>398</t>
  </si>
  <si>
    <t>CUST398</t>
  </si>
  <si>
    <t>75</t>
  </si>
  <si>
    <t>CUST075</t>
  </si>
  <si>
    <t>173</t>
  </si>
  <si>
    <t>CUST173</t>
  </si>
  <si>
    <t>245</t>
  </si>
  <si>
    <t>CUST245</t>
  </si>
  <si>
    <t>358</t>
  </si>
  <si>
    <t>CUST358</t>
  </si>
  <si>
    <t>759</t>
  </si>
  <si>
    <t>799</t>
  </si>
  <si>
    <t>286</t>
  </si>
  <si>
    <t>CUST286</t>
  </si>
  <si>
    <t>361</t>
  </si>
  <si>
    <t>CUST361</t>
  </si>
  <si>
    <t>626</t>
  </si>
  <si>
    <t>510</t>
  </si>
  <si>
    <t>257</t>
  </si>
  <si>
    <t>CUST257</t>
  </si>
  <si>
    <t>55</t>
  </si>
  <si>
    <t>CUST055</t>
  </si>
  <si>
    <t>631</t>
  </si>
  <si>
    <t>98</t>
  </si>
  <si>
    <t>CUST098</t>
  </si>
  <si>
    <t>298</t>
  </si>
  <si>
    <t>CUST298</t>
  </si>
  <si>
    <t>464</t>
  </si>
  <si>
    <t>CUST464</t>
  </si>
  <si>
    <t>443</t>
  </si>
  <si>
    <t>CUST443</t>
  </si>
  <si>
    <t>300</t>
  </si>
  <si>
    <t>CUST300</t>
  </si>
  <si>
    <t>128</t>
  </si>
  <si>
    <t>CUST128</t>
  </si>
  <si>
    <t>390</t>
  </si>
  <si>
    <t>CUST390</t>
  </si>
  <si>
    <t>467</t>
  </si>
  <si>
    <t>CUST467</t>
  </si>
  <si>
    <t>340</t>
  </si>
  <si>
    <t>CUST340</t>
  </si>
  <si>
    <t>628</t>
  </si>
  <si>
    <t>418</t>
  </si>
  <si>
    <t>CUST418</t>
  </si>
  <si>
    <t>81</t>
  </si>
  <si>
    <t>CUST081</t>
  </si>
  <si>
    <t>159</t>
  </si>
  <si>
    <t>CUST159</t>
  </si>
  <si>
    <t>989</t>
  </si>
  <si>
    <t>755</t>
  </si>
  <si>
    <t>654</t>
  </si>
  <si>
    <t>690</t>
  </si>
  <si>
    <t>893</t>
  </si>
  <si>
    <t>677</t>
  </si>
  <si>
    <t>524</t>
  </si>
  <si>
    <t>514</t>
  </si>
  <si>
    <t>272</t>
  </si>
  <si>
    <t>CUST272</t>
  </si>
  <si>
    <t>725</t>
  </si>
  <si>
    <t>702</t>
  </si>
  <si>
    <t>964</t>
  </si>
  <si>
    <t>515</t>
  </si>
  <si>
    <t>709</t>
  </si>
  <si>
    <t>669</t>
  </si>
  <si>
    <t>180</t>
  </si>
  <si>
    <t>CUST180</t>
  </si>
  <si>
    <t>481</t>
  </si>
  <si>
    <t>CUST481</t>
  </si>
  <si>
    <t>373</t>
  </si>
  <si>
    <t>CUST373</t>
  </si>
  <si>
    <t>447</t>
  </si>
  <si>
    <t>CUST447</t>
  </si>
  <si>
    <t>123</t>
  </si>
  <si>
    <t>CUST123</t>
  </si>
  <si>
    <t>529</t>
  </si>
  <si>
    <t>479</t>
  </si>
  <si>
    <t>CUST479</t>
  </si>
  <si>
    <t>762</t>
  </si>
  <si>
    <t>891</t>
  </si>
  <si>
    <t>385</t>
  </si>
  <si>
    <t>CUST385</t>
  </si>
  <si>
    <t>888</t>
  </si>
  <si>
    <t>687</t>
  </si>
  <si>
    <t>404</t>
  </si>
  <si>
    <t>CUST404</t>
  </si>
  <si>
    <t>994</t>
  </si>
  <si>
    <t>692</t>
  </si>
  <si>
    <t>806</t>
  </si>
  <si>
    <t>864</t>
  </si>
  <si>
    <t>378</t>
  </si>
  <si>
    <t>CUST378</t>
  </si>
  <si>
    <t>807</t>
  </si>
  <si>
    <t>148</t>
  </si>
  <si>
    <t>CUST148</t>
  </si>
  <si>
    <t>715</t>
  </si>
  <si>
    <t>424</t>
  </si>
  <si>
    <t>CUST424</t>
  </si>
  <si>
    <t>400</t>
  </si>
  <si>
    <t>CUST400</t>
  </si>
  <si>
    <t>52</t>
  </si>
  <si>
    <t>CUST052</t>
  </si>
  <si>
    <t>909</t>
  </si>
  <si>
    <t>335</t>
  </si>
  <si>
    <t>CUST335</t>
  </si>
  <si>
    <t>23</t>
  </si>
  <si>
    <t>CUST023</t>
  </si>
  <si>
    <t>508</t>
  </si>
  <si>
    <t>770</t>
  </si>
  <si>
    <t>904</t>
  </si>
  <si>
    <t>210</t>
  </si>
  <si>
    <t>CUST210</t>
  </si>
  <si>
    <t>295</t>
  </si>
  <si>
    <t>CUST295</t>
  </si>
  <si>
    <t>143</t>
  </si>
  <si>
    <t>CUST143</t>
  </si>
  <si>
    <t>51</t>
  </si>
  <si>
    <t>CUST051</t>
  </si>
  <si>
    <t>167</t>
  </si>
  <si>
    <t>CUST167</t>
  </si>
  <si>
    <t>633</t>
  </si>
  <si>
    <t>82</t>
  </si>
  <si>
    <t>CUST082</t>
  </si>
  <si>
    <t>941</t>
  </si>
  <si>
    <t>700</t>
  </si>
  <si>
    <t>918</t>
  </si>
  <si>
    <t>67</t>
  </si>
  <si>
    <t>CUST067</t>
  </si>
  <si>
    <t>789</t>
  </si>
  <si>
    <t>668</t>
  </si>
  <si>
    <t>290</t>
  </si>
  <si>
    <t>CUST290</t>
  </si>
  <si>
    <t>493</t>
  </si>
  <si>
    <t>CUST493</t>
  </si>
  <si>
    <t>545</t>
  </si>
  <si>
    <t>284</t>
  </si>
  <si>
    <t>CUST284</t>
  </si>
  <si>
    <t>748</t>
  </si>
  <si>
    <t>954</t>
  </si>
  <si>
    <t>65</t>
  </si>
  <si>
    <t>CUST065</t>
  </si>
  <si>
    <t>659</t>
  </si>
  <si>
    <t>265</t>
  </si>
  <si>
    <t>CUST265</t>
  </si>
  <si>
    <t>949</t>
  </si>
  <si>
    <t>970</t>
  </si>
  <si>
    <t>815</t>
  </si>
  <si>
    <t>21</t>
  </si>
  <si>
    <t>CUST021</t>
  </si>
  <si>
    <t>488</t>
  </si>
  <si>
    <t>CUST488</t>
  </si>
  <si>
    <t>781</t>
  </si>
  <si>
    <t>708</t>
  </si>
  <si>
    <t>297</t>
  </si>
  <si>
    <t>436</t>
  </si>
  <si>
    <t>CUST436</t>
  </si>
  <si>
    <t>542</t>
  </si>
  <si>
    <t>262</t>
  </si>
  <si>
    <t>CUST262</t>
  </si>
  <si>
    <t>458</t>
  </si>
  <si>
    <t>CUST458</t>
  </si>
  <si>
    <t>664</t>
  </si>
  <si>
    <t>511</t>
  </si>
  <si>
    <t>438</t>
  </si>
  <si>
    <t>CUST438</t>
  </si>
  <si>
    <t>919</t>
  </si>
  <si>
    <t>694</t>
  </si>
  <si>
    <t>839</t>
  </si>
  <si>
    <t>189</t>
  </si>
  <si>
    <t>CUST189</t>
  </si>
  <si>
    <t>252</t>
  </si>
  <si>
    <t>CUST252</t>
  </si>
  <si>
    <t>72</t>
  </si>
  <si>
    <t>CUST072</t>
  </si>
  <si>
    <t>448</t>
  </si>
  <si>
    <t>CUST448</t>
  </si>
  <si>
    <t>779</t>
  </si>
  <si>
    <t>351</t>
  </si>
  <si>
    <t>CUST351</t>
  </si>
  <si>
    <t>345</t>
  </si>
  <si>
    <t>CUST345</t>
  </si>
  <si>
    <t>368</t>
  </si>
  <si>
    <t>CUST368</t>
  </si>
  <si>
    <t>827</t>
  </si>
  <si>
    <t>948</t>
  </si>
  <si>
    <t>363</t>
  </si>
  <si>
    <t>CUST363</t>
  </si>
  <si>
    <t>724</t>
  </si>
  <si>
    <t>884</t>
  </si>
  <si>
    <t>696</t>
  </si>
  <si>
    <t>472</t>
  </si>
  <si>
    <t>CUST472</t>
  </si>
  <si>
    <t>995</t>
  </si>
  <si>
    <t>627</t>
  </si>
  <si>
    <t>980</t>
  </si>
  <si>
    <t>656</t>
  </si>
  <si>
    <t>857</t>
  </si>
  <si>
    <t>501</t>
  </si>
  <si>
    <t>450</t>
  </si>
  <si>
    <t>CUST450</t>
  </si>
  <si>
    <t>219</t>
  </si>
  <si>
    <t>CUST219</t>
  </si>
  <si>
    <t>240</t>
  </si>
  <si>
    <t>CUST240</t>
  </si>
  <si>
    <t>531</t>
  </si>
  <si>
    <t>535</t>
  </si>
  <si>
    <t>193</t>
  </si>
  <si>
    <t>CUST193</t>
  </si>
  <si>
    <t>744</t>
  </si>
  <si>
    <t>192</t>
  </si>
  <si>
    <t>CUST192</t>
  </si>
  <si>
    <t>456</t>
  </si>
  <si>
    <t>CUST456</t>
  </si>
  <si>
    <t>854</t>
  </si>
  <si>
    <t>681</t>
  </si>
  <si>
    <t>133</t>
  </si>
  <si>
    <t>CUST133</t>
  </si>
  <si>
    <t>376</t>
  </si>
  <si>
    <t>CUST376</t>
  </si>
  <si>
    <t>253</t>
  </si>
  <si>
    <t>CUST253</t>
  </si>
  <si>
    <t>683</t>
  </si>
  <si>
    <t>982</t>
  </si>
  <si>
    <t>264</t>
  </si>
  <si>
    <t>CUST264</t>
  </si>
  <si>
    <t>71</t>
  </si>
  <si>
    <t>CUST071</t>
  </si>
  <si>
    <t>273</t>
  </si>
  <si>
    <t>CUST273</t>
  </si>
  <si>
    <t>983</t>
  </si>
  <si>
    <t>328</t>
  </si>
  <si>
    <t>CUST328</t>
  </si>
  <si>
    <t>116</t>
  </si>
  <si>
    <t>CUST116</t>
  </si>
  <si>
    <t>324</t>
  </si>
  <si>
    <t>CUST324</t>
  </si>
  <si>
    <t>978</t>
  </si>
  <si>
    <t>675</t>
  </si>
  <si>
    <t>719</t>
  </si>
  <si>
    <t>427</t>
  </si>
  <si>
    <t>CUST427</t>
  </si>
  <si>
    <t>519</t>
  </si>
  <si>
    <t>786</t>
  </si>
  <si>
    <t>453</t>
  </si>
  <si>
    <t>CUST453</t>
  </si>
  <si>
    <t>466</t>
  </si>
  <si>
    <t>CUST466</t>
  </si>
  <si>
    <t>571</t>
  </si>
  <si>
    <t>460</t>
  </si>
  <si>
    <t>CUST460</t>
  </si>
  <si>
    <t>620</t>
  </si>
  <si>
    <t>279</t>
  </si>
  <si>
    <t>CUST279</t>
  </si>
  <si>
    <t>886</t>
  </si>
  <si>
    <t>660</t>
  </si>
  <si>
    <t>3</t>
  </si>
  <si>
    <t>CUST003</t>
  </si>
  <si>
    <t>230</t>
  </si>
  <si>
    <t>CUST230</t>
  </si>
  <si>
    <t>850</t>
  </si>
  <si>
    <t>943</t>
  </si>
  <si>
    <t>665</t>
  </si>
  <si>
    <t>871</t>
  </si>
  <si>
    <t>200</t>
  </si>
  <si>
    <t>CUST200</t>
  </si>
  <si>
    <t>372</t>
  </si>
  <si>
    <t>CUST372</t>
  </si>
  <si>
    <t>873</t>
  </si>
  <si>
    <t>915</t>
  </si>
  <si>
    <t>66</t>
  </si>
  <si>
    <t>CUST066</t>
  </si>
  <si>
    <t>483</t>
  </si>
  <si>
    <t>CUST483</t>
  </si>
  <si>
    <t>41</t>
  </si>
  <si>
    <t>CUST041</t>
  </si>
  <si>
    <t>772</t>
  </si>
  <si>
    <t>732</t>
  </si>
  <si>
    <t>473</t>
  </si>
  <si>
    <t>962</t>
  </si>
  <si>
    <t>572</t>
  </si>
  <si>
    <t>274</t>
  </si>
  <si>
    <t>CUST274</t>
  </si>
  <si>
    <t>706</t>
  </si>
  <si>
    <t>740</t>
  </si>
  <si>
    <t>500</t>
  </si>
  <si>
    <t>CUST500</t>
  </si>
  <si>
    <t>769</t>
  </si>
  <si>
    <t>178</t>
  </si>
  <si>
    <t>CUST178</t>
  </si>
  <si>
    <t>301</t>
  </si>
  <si>
    <t>CUST301</t>
  </si>
  <si>
    <t>38</t>
  </si>
  <si>
    <t>CUST038</t>
  </si>
  <si>
    <t>499</t>
  </si>
  <si>
    <t>CUST499</t>
  </si>
  <si>
    <t>203</t>
  </si>
  <si>
    <t>CUST203</t>
  </si>
  <si>
    <t>237</t>
  </si>
  <si>
    <t>CUST237</t>
  </si>
  <si>
    <t>150</t>
  </si>
  <si>
    <t>CUST150</t>
  </si>
  <si>
    <t>218</t>
  </si>
  <si>
    <t>CUST218</t>
  </si>
  <si>
    <t>685</t>
  </si>
  <si>
    <t>527</t>
  </si>
  <si>
    <t>636</t>
  </si>
  <si>
    <t>619</t>
  </si>
  <si>
    <t>419</t>
  </si>
  <si>
    <t>303</t>
  </si>
  <si>
    <t>CUST303</t>
  </si>
  <si>
    <t>870</t>
  </si>
  <si>
    <t>930</t>
  </si>
  <si>
    <t>883</t>
  </si>
  <si>
    <t>938</t>
  </si>
  <si>
    <t>389</t>
  </si>
  <si>
    <t>CUST389</t>
  </si>
  <si>
    <t>676</t>
  </si>
  <si>
    <t>388</t>
  </si>
  <si>
    <t>CUST388</t>
  </si>
  <si>
    <t>586</t>
  </si>
  <si>
    <t>391</t>
  </si>
  <si>
    <t>CUST391</t>
  </si>
  <si>
    <t>926</t>
  </si>
  <si>
    <t>353</t>
  </si>
  <si>
    <t>CUST353</t>
  </si>
  <si>
    <t>194</t>
  </si>
  <si>
    <t>CUST194</t>
  </si>
  <si>
    <t>236</t>
  </si>
  <si>
    <t>CUST236</t>
  </si>
  <si>
    <t>792</t>
  </si>
  <si>
    <t>847</t>
  </si>
  <si>
    <t>56</t>
  </si>
  <si>
    <t>CUST056</t>
  </si>
  <si>
    <t>512</t>
  </si>
  <si>
    <t>97</t>
  </si>
  <si>
    <t>CUST097</t>
  </si>
  <si>
    <t>142</t>
  </si>
  <si>
    <t>CUST142</t>
  </si>
  <si>
    <t>707</t>
  </si>
  <si>
    <t>874</t>
  </si>
  <si>
    <t>869</t>
  </si>
  <si>
    <t>933</t>
  </si>
  <si>
    <t>121</t>
  </si>
  <si>
    <t>CUST121</t>
  </si>
  <si>
    <t>713</t>
  </si>
  <si>
    <t>573</t>
  </si>
  <si>
    <t>63</t>
  </si>
  <si>
    <t>CUST063</t>
  </si>
  <si>
    <t>768</t>
  </si>
  <si>
    <t>976</t>
  </si>
  <si>
    <t>415</t>
  </si>
  <si>
    <t>CUST415</t>
  </si>
  <si>
    <t>4</t>
  </si>
  <si>
    <t>CUST004</t>
  </si>
  <si>
    <t>59</t>
  </si>
  <si>
    <t>CUST059</t>
  </si>
  <si>
    <t>224</t>
  </si>
  <si>
    <t>CUST224</t>
  </si>
  <si>
    <t>625</t>
  </si>
  <si>
    <t>102</t>
  </si>
  <si>
    <t>CUST102</t>
  </si>
  <si>
    <t>729</t>
  </si>
  <si>
    <t>222</t>
  </si>
  <si>
    <t>CUST222</t>
  </si>
  <si>
    <t>808</t>
  </si>
  <si>
    <t>5</t>
  </si>
  <si>
    <t>CUST005</t>
  </si>
  <si>
    <t>53</t>
  </si>
  <si>
    <t>CUST053</t>
  </si>
  <si>
    <t>18</t>
  </si>
  <si>
    <t>CUST018</t>
  </si>
  <si>
    <t>753</t>
  </si>
  <si>
    <t>922</t>
  </si>
  <si>
    <t>307</t>
  </si>
  <si>
    <t>CUST307</t>
  </si>
  <si>
    <t>672</t>
  </si>
  <si>
    <t>156</t>
  </si>
  <si>
    <t>CUST156</t>
  </si>
  <si>
    <t>490</t>
  </si>
  <si>
    <t>CUST490</t>
  </si>
  <si>
    <t>686</t>
  </si>
  <si>
    <t>885</t>
  </si>
  <si>
    <t>249</t>
  </si>
  <si>
    <t>CUST249</t>
  </si>
  <si>
    <t>250</t>
  </si>
  <si>
    <t>CUST250</t>
  </si>
  <si>
    <t>359</t>
  </si>
  <si>
    <t>CUST359</t>
  </si>
  <si>
    <t>485</t>
  </si>
  <si>
    <t>CUST485</t>
  </si>
  <si>
    <t>442</t>
  </si>
  <si>
    <t>CUST442</t>
  </si>
  <si>
    <t>826</t>
  </si>
  <si>
    <t>860</t>
  </si>
  <si>
    <t>31</t>
  </si>
  <si>
    <t>CUST031</t>
  </si>
  <si>
    <t>282</t>
  </si>
  <si>
    <t>CUST282</t>
  </si>
  <si>
    <t>684</t>
  </si>
  <si>
    <t>981</t>
  </si>
  <si>
    <t>118</t>
  </si>
  <si>
    <t>CUST118</t>
  </si>
  <si>
    <t>701</t>
  </si>
  <si>
    <t>117</t>
  </si>
  <si>
    <t>CUST117</t>
  </si>
  <si>
    <t>526</t>
  </si>
  <si>
    <t>674</t>
  </si>
  <si>
    <t>292</t>
  </si>
  <si>
    <t>CUST292</t>
  </si>
  <si>
    <t>28</t>
  </si>
  <si>
    <t>CUST028</t>
  </si>
  <si>
    <t>382</t>
  </si>
  <si>
    <t>CUST382</t>
  </si>
  <si>
    <t>308</t>
  </si>
  <si>
    <t>CUST308</t>
  </si>
  <si>
    <t>603</t>
  </si>
  <si>
    <t>201</t>
  </si>
  <si>
    <t>CUST201</t>
  </si>
  <si>
    <t>578</t>
  </si>
  <si>
    <t>386</t>
  </si>
  <si>
    <t>CUST386</t>
  </si>
  <si>
    <t>877</t>
  </si>
  <si>
    <t>670</t>
  </si>
  <si>
    <t>917</t>
  </si>
  <si>
    <t>805</t>
  </si>
  <si>
    <t>650</t>
  </si>
  <si>
    <t>315</t>
  </si>
  <si>
    <t>CUST315</t>
  </si>
  <si>
    <t>509</t>
  </si>
  <si>
    <t>281</t>
  </si>
  <si>
    <t>CUST281</t>
  </si>
  <si>
    <t>965</t>
  </si>
  <si>
    <t>766</t>
  </si>
  <si>
    <t>354</t>
  </si>
  <si>
    <t>CUST354</t>
  </si>
  <si>
    <t>653</t>
  </si>
  <si>
    <t>208</t>
  </si>
  <si>
    <t>CUST208</t>
  </si>
  <si>
    <t>380</t>
  </si>
  <si>
    <t>CUST380</t>
  </si>
  <si>
    <t>774</t>
  </si>
  <si>
    <t>413</t>
  </si>
  <si>
    <t>CUST413</t>
  </si>
  <si>
    <t>802</t>
  </si>
  <si>
    <t>24</t>
  </si>
  <si>
    <t>CUST024</t>
  </si>
  <si>
    <t>341</t>
  </si>
  <si>
    <t>CUST341</t>
  </si>
  <si>
    <t>703</t>
  </si>
  <si>
    <t>863</t>
  </si>
  <si>
    <t>155</t>
  </si>
  <si>
    <t>CUST155</t>
  </si>
  <si>
    <t>872</t>
  </si>
  <si>
    <t>563</t>
  </si>
  <si>
    <t>796</t>
  </si>
  <si>
    <t>323</t>
  </si>
  <si>
    <t>CUST323</t>
  </si>
  <si>
    <t>761</t>
  </si>
  <si>
    <t>592</t>
  </si>
  <si>
    <t>83</t>
  </si>
  <si>
    <t>CUST083</t>
  </si>
  <si>
    <t>721</t>
  </si>
  <si>
    <t>465</t>
  </si>
  <si>
    <t>CUST465</t>
  </si>
  <si>
    <t>557</t>
  </si>
  <si>
    <t>334</t>
  </si>
  <si>
    <t>CUST334</t>
  </si>
  <si>
    <t>11</t>
  </si>
  <si>
    <t>CUST011</t>
  </si>
  <si>
    <t>471</t>
  </si>
  <si>
    <t>CUST471</t>
  </si>
  <si>
    <t>33</t>
  </si>
  <si>
    <t>CUST033</t>
  </si>
  <si>
    <t>581</t>
  </si>
  <si>
    <t>889</t>
  </si>
  <si>
    <t>383</t>
  </si>
  <si>
    <t>CUST383</t>
  </si>
  <si>
    <t>612</t>
  </si>
  <si>
    <t>794</t>
  </si>
  <si>
    <t>913</t>
  </si>
  <si>
    <t>921</t>
  </si>
  <si>
    <t>379</t>
  </si>
  <si>
    <t>CUST379</t>
  </si>
  <si>
    <t>90</t>
  </si>
  <si>
    <t>CUST090</t>
  </si>
  <si>
    <t>214</t>
  </si>
  <si>
    <t>CUST214</t>
  </si>
  <si>
    <t>849</t>
  </si>
  <si>
    <t>134</t>
  </si>
  <si>
    <t>CUST134</t>
  </si>
  <si>
    <t>347</t>
  </si>
  <si>
    <t>CUST347</t>
  </si>
  <si>
    <t>8</t>
  </si>
  <si>
    <t>CUST008</t>
  </si>
  <si>
    <t>624</t>
  </si>
  <si>
    <t>321</t>
  </si>
  <si>
    <t>CUST321</t>
  </si>
  <si>
    <t>790</t>
  </si>
  <si>
    <t>188</t>
  </si>
  <si>
    <t>CUST188</t>
  </si>
  <si>
    <t>305</t>
  </si>
  <si>
    <t>CUST305</t>
  </si>
  <si>
    <t>32</t>
  </si>
  <si>
    <t>CUST032</t>
  </si>
  <si>
    <t>967</t>
  </si>
  <si>
    <t>241</t>
  </si>
  <si>
    <t>CUST241</t>
  </si>
  <si>
    <t>734</t>
  </si>
  <si>
    <t>175</t>
  </si>
  <si>
    <t>CUST175</t>
  </si>
  <si>
    <t>246</t>
  </si>
  <si>
    <t>CUST246</t>
  </si>
  <si>
    <t>57</t>
  </si>
  <si>
    <t>CUST057</t>
  </si>
  <si>
    <t>758</t>
  </si>
  <si>
    <t>146</t>
  </si>
  <si>
    <t>CUST146</t>
  </si>
  <si>
    <t>91</t>
  </si>
  <si>
    <t>CUST091</t>
  </si>
  <si>
    <t>393</t>
  </si>
  <si>
    <t>CUST393</t>
  </si>
  <si>
    <t>311</t>
  </si>
  <si>
    <t>CUST311</t>
  </si>
  <si>
    <t>360</t>
  </si>
  <si>
    <t>CUST360</t>
  </si>
  <si>
    <t>94</t>
  </si>
  <si>
    <t>CUST094</t>
  </si>
  <si>
    <t>823</t>
  </si>
  <si>
    <t>757</t>
  </si>
  <si>
    <t>377</t>
  </si>
  <si>
    <t>CUST377</t>
  </si>
  <si>
    <t>244</t>
  </si>
  <si>
    <t>CUST244</t>
  </si>
  <si>
    <t>832</t>
  </si>
  <si>
    <t>88</t>
  </si>
  <si>
    <t>CUST088</t>
  </si>
  <si>
    <t>215</t>
  </si>
  <si>
    <t>CUST215</t>
  </si>
  <si>
    <t>991</t>
  </si>
  <si>
    <t>174</t>
  </si>
  <si>
    <t>CUST174</t>
  </si>
  <si>
    <t>426</t>
  </si>
  <si>
    <t>CUST426</t>
  </si>
  <si>
    <t>782</t>
  </si>
  <si>
    <t>119</t>
  </si>
  <si>
    <t>CUST119</t>
  </si>
  <si>
    <t>120</t>
  </si>
  <si>
    <t>CUST120</t>
  </si>
  <si>
    <t>643</t>
  </si>
  <si>
    <t>1</t>
  </si>
  <si>
    <t>CUST001</t>
  </si>
  <si>
    <t>395</t>
  </si>
  <si>
    <t>CUST395</t>
  </si>
  <si>
    <t>402</t>
  </si>
  <si>
    <t>CUST402</t>
  </si>
  <si>
    <t>405</t>
  </si>
  <si>
    <t>CUST405</t>
  </si>
  <si>
    <t>859</t>
  </si>
  <si>
    <t>813</t>
  </si>
  <si>
    <t>163</t>
  </si>
  <si>
    <t>CUST163</t>
  </si>
  <si>
    <t>115</t>
  </si>
  <si>
    <t>CUST115</t>
  </si>
  <si>
    <t>151</t>
  </si>
  <si>
    <t>CUST151</t>
  </si>
  <si>
    <t>597</t>
  </si>
  <si>
    <t>680</t>
  </si>
  <si>
    <t>733</t>
  </si>
  <si>
    <t>369</t>
  </si>
  <si>
    <t>CUST369</t>
  </si>
  <si>
    <t>544</t>
  </si>
  <si>
    <t>478</t>
  </si>
  <si>
    <t>CUST478</t>
  </si>
  <si>
    <t>533</t>
  </si>
  <si>
    <t>997</t>
  </si>
  <si>
    <t>595</t>
  </si>
  <si>
    <t>968</t>
  </si>
  <si>
    <t>259</t>
  </si>
  <si>
    <t>CUST259</t>
  </si>
  <si>
    <t>855</t>
  </si>
  <si>
    <t>136</t>
  </si>
  <si>
    <t>CUST136</t>
  </si>
  <si>
    <t>934</t>
  </si>
  <si>
    <t>642</t>
  </si>
  <si>
    <t>593</t>
  </si>
  <si>
    <t>952</t>
  </si>
  <si>
    <t>502</t>
  </si>
  <si>
    <t>539</t>
  </si>
  <si>
    <t>661</t>
  </si>
  <si>
    <t>582</t>
  </si>
  <si>
    <t>344</t>
  </si>
  <si>
    <t>CUST344</t>
  </si>
  <si>
    <t>682</t>
  </si>
  <si>
    <t>809</t>
  </si>
  <si>
    <t>294</t>
  </si>
  <si>
    <t>CUST294</t>
  </si>
  <si>
    <t>365</t>
  </si>
  <si>
    <t>CUST365</t>
  </si>
  <si>
    <t>718</t>
  </si>
  <si>
    <t>15</t>
  </si>
  <si>
    <t>CUST015</t>
  </si>
  <si>
    <t>87</t>
  </si>
  <si>
    <t>CUST087</t>
  </si>
  <si>
    <t>371</t>
  </si>
  <si>
    <t>CUST371</t>
  </si>
  <si>
    <t>166</t>
  </si>
  <si>
    <t>CUST166</t>
  </si>
  <si>
    <t>890</t>
  </si>
  <si>
    <t>336</t>
  </si>
  <si>
    <t>CUST336</t>
  </si>
  <si>
    <t>60</t>
  </si>
  <si>
    <t>CUST060</t>
  </si>
  <si>
    <t>355</t>
  </si>
  <si>
    <t>CUST355</t>
  </si>
  <si>
    <t>425</t>
  </si>
  <si>
    <t>CUST425</t>
  </si>
  <si>
    <t>293</t>
  </si>
  <si>
    <t>CUST293</t>
  </si>
  <si>
    <t>42</t>
  </si>
  <si>
    <t>CUST042</t>
  </si>
  <si>
    <t>330</t>
  </si>
  <si>
    <t>CUST330</t>
  </si>
  <si>
    <t>615</t>
  </si>
  <si>
    <t>430</t>
  </si>
  <si>
    <t>80</t>
  </si>
  <si>
    <t>CUST080</t>
  </si>
  <si>
    <t>29</t>
  </si>
  <si>
    <t>CUST029</t>
  </si>
  <si>
    <t>255</t>
  </si>
  <si>
    <t>CUST255</t>
  </si>
  <si>
    <t>756</t>
  </si>
  <si>
    <t>459</t>
  </si>
  <si>
    <t>CUST459</t>
  </si>
  <si>
    <t>384</t>
  </si>
  <si>
    <t>CUST384</t>
  </si>
  <si>
    <t>314</t>
  </si>
  <si>
    <t>CUST314</t>
  </si>
  <si>
    <t>85</t>
  </si>
  <si>
    <t>CUST085</t>
  </si>
  <si>
    <t>575</t>
  </si>
  <si>
    <t>137</t>
  </si>
  <si>
    <t>CUST137</t>
  </si>
  <si>
    <t>112</t>
  </si>
  <si>
    <t>CUST112</t>
  </si>
  <si>
    <t>195</t>
  </si>
  <si>
    <t>CUST195</t>
  </si>
  <si>
    <t>179</t>
  </si>
  <si>
    <t>CUST179</t>
  </si>
  <si>
    <t>894</t>
  </si>
  <si>
    <t>497</t>
  </si>
  <si>
    <t>CUST497</t>
  </si>
  <si>
    <t>130</t>
  </si>
  <si>
    <t>CUST130</t>
  </si>
  <si>
    <t>338</t>
  </si>
  <si>
    <t>CUST338</t>
  </si>
  <si>
    <t>609</t>
  </si>
  <si>
    <t>125</t>
  </si>
  <si>
    <t>CUST125</t>
  </si>
  <si>
    <t>969</t>
  </si>
  <si>
    <t>227</t>
  </si>
  <si>
    <t>CUST227</t>
  </si>
  <si>
    <t>269</t>
  </si>
  <si>
    <t>CUST269</t>
  </si>
  <si>
    <t>986</t>
  </si>
  <si>
    <t>840</t>
  </si>
  <si>
    <t>104</t>
  </si>
  <si>
    <t>CUST104</t>
  </si>
  <si>
    <t>594</t>
  </si>
  <si>
    <t>861</t>
  </si>
  <si>
    <t>663</t>
  </si>
  <si>
    <t>228</t>
  </si>
  <si>
    <t>CUST228</t>
  </si>
  <si>
    <t>939</t>
  </si>
  <si>
    <t>302</t>
  </si>
  <si>
    <t>CUST302</t>
  </si>
  <si>
    <t>276</t>
  </si>
  <si>
    <t>CUST276</t>
  </si>
  <si>
    <t>127</t>
  </si>
  <si>
    <t>CUST127</t>
  </si>
  <si>
    <t>406</t>
  </si>
  <si>
    <t>CUST406</t>
  </si>
  <si>
    <t>898</t>
  </si>
  <si>
    <t>37</t>
  </si>
  <si>
    <t>CUST037</t>
  </si>
  <si>
    <t>140</t>
  </si>
  <si>
    <t>CUST140</t>
  </si>
  <si>
    <t>304</t>
  </si>
  <si>
    <t>CUST304</t>
  </si>
  <si>
    <t>534</t>
  </si>
  <si>
    <t>546</t>
  </si>
  <si>
    <t>213</t>
  </si>
  <si>
    <t>CUST213</t>
  </si>
  <si>
    <t>469</t>
  </si>
  <si>
    <t>CUST469</t>
  </si>
  <si>
    <t>199</t>
  </si>
  <si>
    <t>CUST199</t>
  </si>
  <si>
    <t>528</t>
  </si>
  <si>
    <t>800</t>
  </si>
  <si>
    <t>242</t>
  </si>
  <si>
    <t>CUST242</t>
  </si>
  <si>
    <t>343</t>
  </si>
  <si>
    <t>CUST343</t>
  </si>
  <si>
    <t>550</t>
  </si>
  <si>
    <t>387</t>
  </si>
  <si>
    <t>CUST387</t>
  </si>
  <si>
    <t>867</t>
  </si>
  <si>
    <t>207</t>
  </si>
  <si>
    <t>CUST207</t>
  </si>
  <si>
    <t>296</t>
  </si>
  <si>
    <t>CUST296</t>
  </si>
  <si>
    <t>777</t>
  </si>
  <si>
    <t>74</t>
  </si>
  <si>
    <t>CUST074</t>
  </si>
  <si>
    <t>752</t>
  </si>
  <si>
    <t>105</t>
  </si>
  <si>
    <t>CUST105</t>
  </si>
  <si>
    <t>695</t>
  </si>
  <si>
    <t>716</t>
  </si>
  <si>
    <t>973</t>
  </si>
  <si>
    <t>17</t>
  </si>
  <si>
    <t>CUST017</t>
  </si>
  <si>
    <t>440</t>
  </si>
  <si>
    <t>CUST440</t>
  </si>
  <si>
    <t>92</t>
  </si>
  <si>
    <t>CUST092</t>
  </si>
  <si>
    <t>89</t>
  </si>
  <si>
    <t>CUST089</t>
  </si>
  <si>
    <t>451</t>
  </si>
  <si>
    <t>CUST451</t>
  </si>
  <si>
    <t>239</t>
  </si>
  <si>
    <t>CUST239</t>
  </si>
  <si>
    <t>830</t>
  </si>
  <si>
    <t>247</t>
  </si>
  <si>
    <t>CUST247</t>
  </si>
  <si>
    <t>720</t>
  </si>
  <si>
    <t>158</t>
  </si>
  <si>
    <t>CUST158</t>
  </si>
  <si>
    <t>480</t>
  </si>
  <si>
    <t>CUST480</t>
  </si>
  <si>
    <t>646</t>
  </si>
  <si>
    <t>853</t>
  </si>
  <si>
    <t>829</t>
  </si>
  <si>
    <t>19</t>
  </si>
  <si>
    <t>CUST019</t>
  </si>
  <si>
    <t>831</t>
  </si>
  <si>
    <t>122</t>
  </si>
  <si>
    <t>CUST122</t>
  </si>
  <si>
    <t>843</t>
  </si>
  <si>
    <t>881</t>
  </si>
  <si>
    <t>275</t>
  </si>
  <si>
    <t>CUST275</t>
  </si>
  <si>
    <t>434</t>
  </si>
  <si>
    <t>CUST434</t>
  </si>
  <si>
    <t>312</t>
  </si>
  <si>
    <t>CUST312</t>
  </si>
  <si>
    <t>868</t>
  </si>
  <si>
    <t>927</t>
  </si>
  <si>
    <t>547</t>
  </si>
  <si>
    <t>182</t>
  </si>
  <si>
    <t>CUST182</t>
  </si>
  <si>
    <t>185</t>
  </si>
  <si>
    <t>CUST185</t>
  </si>
  <si>
    <t>407</t>
  </si>
  <si>
    <t>CUST407</t>
  </si>
  <si>
    <t>607</t>
  </si>
  <si>
    <t>693</t>
  </si>
  <si>
    <t>521</t>
  </si>
  <si>
    <t>381</t>
  </si>
  <si>
    <t>CUST381</t>
  </si>
  <si>
    <t>411</t>
  </si>
  <si>
    <t>CUST411</t>
  </si>
  <si>
    <t>635</t>
  </si>
  <si>
    <t>370</t>
  </si>
  <si>
    <t>CUST370</t>
  </si>
  <si>
    <t>901</t>
  </si>
  <si>
    <t>780</t>
  </si>
  <si>
    <t>79</t>
  </si>
  <si>
    <t>CUST079</t>
  </si>
  <si>
    <t>574</t>
  </si>
  <si>
    <t>638</t>
  </si>
  <si>
    <t>608</t>
  </si>
  <si>
    <t>801</t>
  </si>
  <si>
    <t>838</t>
  </si>
  <si>
    <t>942</t>
  </si>
  <si>
    <t>417</t>
  </si>
  <si>
    <t>CUST417</t>
  </si>
  <si>
    <t>749</t>
  </si>
  <si>
    <t>562</t>
  </si>
  <si>
    <t>68</t>
  </si>
  <si>
    <t>CUST068</t>
  </si>
  <si>
    <t>537</t>
  </si>
  <si>
    <t>78</t>
  </si>
  <si>
    <t>CUST078</t>
  </si>
  <si>
    <t>106</t>
  </si>
  <si>
    <t>CUST106</t>
  </si>
  <si>
    <t>787</t>
  </si>
  <si>
    <t>639</t>
  </si>
  <si>
    <t>560</t>
  </si>
  <si>
    <t>776</t>
  </si>
  <si>
    <t>691</t>
  </si>
  <si>
    <t>876</t>
  </si>
  <si>
    <t>947</t>
  </si>
  <si>
    <t>878</t>
  </si>
  <si>
    <t>736</t>
  </si>
  <si>
    <t>916</t>
  </si>
  <si>
    <t>491</t>
  </si>
  <si>
    <t>CUST491</t>
  </si>
  <si>
    <t>851</t>
  </si>
  <si>
    <t>606</t>
  </si>
  <si>
    <t>364</t>
  </si>
  <si>
    <t>CUST364</t>
  </si>
  <si>
    <t>70</t>
  </si>
  <si>
    <t>CUST070</t>
  </si>
  <si>
    <t>549</t>
  </si>
  <si>
    <t>161</t>
  </si>
  <si>
    <t>CUST161</t>
  </si>
  <si>
    <t>12</t>
  </si>
  <si>
    <t>CUST012</t>
  </si>
  <si>
    <t>145</t>
  </si>
  <si>
    <t>CUST145</t>
  </si>
  <si>
    <t>518</t>
  </si>
  <si>
    <t>428</t>
  </si>
  <si>
    <t>CUST428</t>
  </si>
  <si>
    <t>640</t>
  </si>
  <si>
    <t>177</t>
  </si>
  <si>
    <t>CUST177</t>
  </si>
  <si>
    <t>441</t>
  </si>
  <si>
    <t>CUST441</t>
  </si>
  <si>
    <t>522</t>
  </si>
  <si>
    <t>879</t>
  </si>
  <si>
    <t>951</t>
  </si>
  <si>
    <t>689</t>
  </si>
  <si>
    <t>232</t>
  </si>
  <si>
    <t>CUST232</t>
  </si>
  <si>
    <t>211</t>
  </si>
  <si>
    <t>CUST211</t>
  </si>
  <si>
    <t>641</t>
  </si>
  <si>
    <t>144</t>
  </si>
  <si>
    <t>CUST144</t>
  </si>
  <si>
    <t>754</t>
  </si>
  <si>
    <t>520</t>
  </si>
  <si>
    <t>299</t>
  </si>
  <si>
    <t>CUST299</t>
  </si>
  <si>
    <t>767</t>
  </si>
  <si>
    <t>429</t>
  </si>
  <si>
    <t>CUST429</t>
  </si>
  <si>
    <t>613</t>
  </si>
  <si>
    <t>937</t>
  </si>
  <si>
    <t>946</t>
  </si>
  <si>
    <t>9</t>
  </si>
  <si>
    <t>CUST009</t>
  </si>
  <si>
    <t>157</t>
  </si>
  <si>
    <t>CUST157</t>
  </si>
  <si>
    <t>540</t>
  </si>
  <si>
    <t>507</t>
  </si>
  <si>
    <t>437</t>
  </si>
  <si>
    <t>CUST437</t>
  </si>
  <si>
    <t>267</t>
  </si>
  <si>
    <t>CUST267</t>
  </si>
  <si>
    <t>462</t>
  </si>
  <si>
    <t>CUST462</t>
  </si>
  <si>
    <t>577</t>
  </si>
  <si>
    <t>339</t>
  </si>
  <si>
    <t>CUST339</t>
  </si>
  <si>
    <t>256</t>
  </si>
  <si>
    <t>CUST256</t>
  </si>
  <si>
    <t>811</t>
  </si>
  <si>
    <t>858</t>
  </si>
  <si>
    <t>666</t>
  </si>
  <si>
    <t>561</t>
  </si>
  <si>
    <t>209</t>
  </si>
  <si>
    <t>CUST209</t>
  </si>
  <si>
    <t>288</t>
  </si>
  <si>
    <t>CUST288</t>
  </si>
  <si>
    <t>2</t>
  </si>
  <si>
    <t>CUST002</t>
  </si>
  <si>
    <t>342</t>
  </si>
  <si>
    <t>CUST342</t>
  </si>
  <si>
    <t>270</t>
  </si>
  <si>
    <t>CUST270</t>
  </si>
  <si>
    <t>266</t>
  </si>
  <si>
    <t>CUST266</t>
  </si>
  <si>
    <t>821</t>
  </si>
  <si>
    <t>903</t>
  </si>
  <si>
    <t>96</t>
  </si>
  <si>
    <t>CUST096</t>
  </si>
  <si>
    <t>979</t>
  </si>
  <si>
    <t>43</t>
  </si>
  <si>
    <t>CUST043</t>
  </si>
  <si>
    <t>822</t>
  </si>
  <si>
    <t>845</t>
  </si>
  <si>
    <t>841</t>
  </si>
  <si>
    <t>629</t>
  </si>
  <si>
    <t>46</t>
  </si>
  <si>
    <t>CUST046</t>
  </si>
  <si>
    <t>162</t>
  </si>
  <si>
    <t>CUST162</t>
  </si>
  <si>
    <t>728</t>
  </si>
  <si>
    <t>630</t>
  </si>
  <si>
    <t>289</t>
  </si>
  <si>
    <t>CUST289</t>
  </si>
  <si>
    <t>590</t>
  </si>
  <si>
    <t>902</t>
  </si>
  <si>
    <t>963</t>
  </si>
  <si>
    <t>576</t>
  </si>
  <si>
    <t>316</t>
  </si>
  <si>
    <t>CUST316</t>
  </si>
  <si>
    <t>899</t>
  </si>
  <si>
    <t>231</t>
  </si>
  <si>
    <t>CUST231</t>
  </si>
  <si>
    <t>810</t>
  </si>
  <si>
    <t>699</t>
  </si>
  <si>
    <t>834</t>
  </si>
  <si>
    <t>712</t>
  </si>
  <si>
    <t>77</t>
  </si>
  <si>
    <t>CUST077</t>
  </si>
  <si>
    <t>634</t>
  </si>
  <si>
    <t>985</t>
  </si>
  <si>
    <t>248</t>
  </si>
  <si>
    <t>CUST248</t>
  </si>
  <si>
    <t>820</t>
  </si>
  <si>
    <t>987</t>
  </si>
  <si>
    <t>477</t>
  </si>
  <si>
    <t>CUST477</t>
  </si>
  <si>
    <t>671</t>
  </si>
  <si>
    <t>86</t>
  </si>
  <si>
    <t>CUST086</t>
  </si>
  <si>
    <t>470</t>
  </si>
  <si>
    <t>CUST470</t>
  </si>
  <si>
    <t>226</t>
  </si>
  <si>
    <t>CUST226</t>
  </si>
  <si>
    <t>775</t>
  </si>
  <si>
    <t>332</t>
  </si>
  <si>
    <t>CUST332</t>
  </si>
  <si>
    <t>234</t>
  </si>
  <si>
    <t>CUST234</t>
  </si>
  <si>
    <t>589</t>
  </si>
  <si>
    <t>476</t>
  </si>
  <si>
    <t>CUST476</t>
  </si>
  <si>
    <t>900</t>
  </si>
  <si>
    <t>880</t>
  </si>
  <si>
    <t>600</t>
  </si>
  <si>
    <t>422</t>
  </si>
  <si>
    <t>CUST422</t>
  </si>
  <si>
    <t>688</t>
  </si>
  <si>
    <t>183</t>
  </si>
  <si>
    <t>CUST183</t>
  </si>
  <si>
    <t>618</t>
  </si>
  <si>
    <t>333</t>
  </si>
  <si>
    <t>CUST333</t>
  </si>
  <si>
    <t>439</t>
  </si>
  <si>
    <t>CUST439</t>
  </si>
  <si>
    <t>50</t>
  </si>
  <si>
    <t>CUST050</t>
  </si>
  <si>
    <t>887</t>
  </si>
  <si>
    <t>6</t>
  </si>
  <si>
    <t>CUST006</t>
  </si>
  <si>
    <t>530</t>
  </si>
  <si>
    <t>235</t>
  </si>
  <si>
    <t>CUST235</t>
  </si>
  <si>
    <t>487</t>
  </si>
  <si>
    <t>CUST487</t>
  </si>
  <si>
    <t>914</t>
  </si>
  <si>
    <t>498</t>
  </si>
  <si>
    <t>CUST498</t>
  </si>
  <si>
    <t>908</t>
  </si>
  <si>
    <t>107</t>
  </si>
  <si>
    <t>CUST107</t>
  </si>
  <si>
    <t>444</t>
  </si>
  <si>
    <t>CUST444</t>
  </si>
  <si>
    <t>489</t>
  </si>
  <si>
    <t>CUST489</t>
  </si>
  <si>
    <t>647</t>
  </si>
  <si>
    <t>13</t>
  </si>
  <si>
    <t>CUST013</t>
  </si>
  <si>
    <t>739</t>
  </si>
  <si>
    <t>727</t>
  </si>
  <si>
    <t>191</t>
  </si>
  <si>
    <t>CUST191</t>
  </si>
  <si>
    <t>957</t>
  </si>
  <si>
    <t>283</t>
  </si>
  <si>
    <t>CUST283</t>
  </si>
  <si>
    <t>30</t>
  </si>
  <si>
    <t>CUST030</t>
  </si>
  <si>
    <t>170</t>
  </si>
  <si>
    <t>CUST170</t>
  </si>
  <si>
    <t>181</t>
  </si>
  <si>
    <t>CUST181</t>
  </si>
  <si>
    <t>101</t>
  </si>
  <si>
    <t>CUST101</t>
  </si>
  <si>
    <t>198</t>
  </si>
  <si>
    <t>CUST198</t>
  </si>
  <si>
    <t>496</t>
  </si>
  <si>
    <t>CUST496</t>
  </si>
  <si>
    <t>722</t>
  </si>
  <si>
    <t>648</t>
  </si>
  <si>
    <t>990</t>
  </si>
  <si>
    <t>944</t>
  </si>
  <si>
    <t>711</t>
  </si>
  <si>
    <t>374</t>
  </si>
  <si>
    <t>CUST374</t>
  </si>
  <si>
    <t>679</t>
  </si>
  <si>
    <t>895</t>
  </si>
  <si>
    <t>649</t>
  </si>
  <si>
    <t>798</t>
  </si>
  <si>
    <t>848</t>
  </si>
  <si>
    <t>461</t>
  </si>
  <si>
    <t>CUST461</t>
  </si>
  <si>
    <t>414</t>
  </si>
  <si>
    <t>CUST414</t>
  </si>
  <si>
    <t>132</t>
  </si>
  <si>
    <t>CUST132</t>
  </si>
  <si>
    <t>40</t>
  </si>
  <si>
    <t>CUST040</t>
  </si>
  <si>
    <t>435</t>
  </si>
  <si>
    <t>CUST435</t>
  </si>
  <si>
    <t>216</t>
  </si>
  <si>
    <t>CUST216</t>
  </si>
  <si>
    <t>556</t>
  </si>
  <si>
    <t>567</t>
  </si>
  <si>
    <t>763</t>
  </si>
  <si>
    <t>475</t>
  </si>
  <si>
    <t>CUST475</t>
  </si>
  <si>
    <t>457</t>
  </si>
  <si>
    <t>CUST457</t>
  </si>
  <si>
    <t>812</t>
  </si>
  <si>
    <t>261</t>
  </si>
  <si>
    <t>CUST261</t>
  </si>
  <si>
    <t>817</t>
  </si>
  <si>
    <t>36</t>
  </si>
  <si>
    <t>CUST036</t>
  </si>
  <si>
    <t>828</t>
  </si>
  <si>
    <t>310</t>
  </si>
  <si>
    <t>CUST310</t>
  </si>
  <si>
    <t>277</t>
  </si>
  <si>
    <t>CUST277</t>
  </si>
  <si>
    <t>637</t>
  </si>
  <si>
    <t>655</t>
  </si>
  <si>
    <t>623</t>
  </si>
  <si>
    <t>836</t>
  </si>
  <si>
    <t>394</t>
  </si>
  <si>
    <t>CUST394</t>
  </si>
  <si>
    <t>953</t>
  </si>
  <si>
    <t>108</t>
  </si>
  <si>
    <t>CUST108</t>
  </si>
  <si>
    <t>960</t>
  </si>
  <si>
    <t>525</t>
  </si>
  <si>
    <t>785</t>
  </si>
  <si>
    <t>48</t>
  </si>
  <si>
    <t>CUST048</t>
  </si>
  <si>
    <t>204</t>
  </si>
  <si>
    <t>CUST204</t>
  </si>
  <si>
    <t>940</t>
  </si>
  <si>
    <t>632</t>
  </si>
  <si>
    <t>22</t>
  </si>
  <si>
    <t>CUST022</t>
  </si>
  <si>
    <t>403</t>
  </si>
  <si>
    <t>CUST403</t>
  </si>
  <si>
    <t>84</t>
  </si>
  <si>
    <t>CUST084</t>
  </si>
  <si>
    <t>131</t>
  </si>
  <si>
    <t>CUST131</t>
  </si>
  <si>
    <t>416</t>
  </si>
  <si>
    <t>CUST416</t>
  </si>
  <si>
    <t>1000</t>
  </si>
  <si>
    <t>842</t>
  </si>
  <si>
    <t>742</t>
  </si>
  <si>
    <t>698</t>
  </si>
  <si>
    <t>287</t>
  </si>
  <si>
    <t>CUST287</t>
  </si>
  <si>
    <t>124</t>
  </si>
  <si>
    <t>CUST124</t>
  </si>
  <si>
    <t>34</t>
  </si>
  <si>
    <t>CUST034</t>
  </si>
  <si>
    <t>992</t>
  </si>
  <si>
    <t>517</t>
  </si>
  <si>
    <t>924</t>
  </si>
  <si>
    <t>20</t>
  </si>
  <si>
    <t>CUST020</t>
  </si>
  <si>
    <t>959</t>
  </si>
  <si>
    <t>220</t>
  </si>
  <si>
    <t>CUST220</t>
  </si>
  <si>
    <t>892</t>
  </si>
  <si>
    <t>482</t>
  </si>
  <si>
    <t>CUST482</t>
  </si>
  <si>
    <t>932</t>
  </si>
  <si>
    <t>357</t>
  </si>
  <si>
    <t>CUST357</t>
  </si>
  <si>
    <t>662</t>
  </si>
  <si>
    <t>225</t>
  </si>
  <si>
    <t>CUST225</t>
  </si>
  <si>
    <t>760</t>
  </si>
  <si>
    <t>93</t>
  </si>
  <si>
    <t>CUST093</t>
  </si>
  <si>
    <t>152</t>
  </si>
  <si>
    <t>CUST152</t>
  </si>
  <si>
    <t>318</t>
  </si>
  <si>
    <t>CUST318</t>
  </si>
  <si>
    <t>449</t>
  </si>
  <si>
    <t>804</t>
  </si>
  <si>
    <t>746</t>
  </si>
  <si>
    <t>523</t>
  </si>
  <si>
    <t>280</t>
  </si>
  <si>
    <t>CUST280</t>
  </si>
  <si>
    <t>584</t>
  </si>
  <si>
    <t>765</t>
  </si>
  <si>
    <t>605</t>
  </si>
  <si>
    <t>998</t>
  </si>
  <si>
    <t>350</t>
  </si>
  <si>
    <t>CUST350</t>
  </si>
  <si>
    <t>928</t>
  </si>
  <si>
    <t>375</t>
  </si>
  <si>
    <t>CUST375</t>
  </si>
  <si>
    <t>401</t>
  </si>
  <si>
    <t>CUST401</t>
  </si>
  <si>
    <t>705</t>
  </si>
  <si>
    <t>258</t>
  </si>
  <si>
    <t>CUST258</t>
  </si>
  <si>
    <t>945</t>
  </si>
  <si>
    <t>852</t>
  </si>
  <si>
    <t>73</t>
  </si>
  <si>
    <t>CUST073</t>
  </si>
  <si>
    <t>196</t>
  </si>
  <si>
    <t>CUST196</t>
  </si>
  <si>
    <t>484</t>
  </si>
  <si>
    <t>CUST484</t>
  </si>
  <si>
    <t>856</t>
  </si>
  <si>
    <t>138</t>
  </si>
  <si>
    <t>CUST138</t>
  </si>
  <si>
    <t>495</t>
  </si>
  <si>
    <t>CUST495</t>
  </si>
  <si>
    <t>773</t>
  </si>
  <si>
    <t>551</t>
  </si>
  <si>
    <t>463</t>
  </si>
  <si>
    <t>CUST463</t>
  </si>
  <si>
    <t>202</t>
  </si>
  <si>
    <t>CUST202</t>
  </si>
  <si>
    <t>313</t>
  </si>
  <si>
    <t>CUST313</t>
  </si>
  <si>
    <t>291</t>
  </si>
  <si>
    <t>CUST291</t>
  </si>
  <si>
    <t>961</t>
  </si>
  <si>
    <t>190</t>
  </si>
  <si>
    <t>CUST190</t>
  </si>
  <si>
    <t>764</t>
  </si>
  <si>
    <t>113</t>
  </si>
  <si>
    <t>CUST113</t>
  </si>
  <si>
    <t>950</t>
  </si>
  <si>
    <t>184</t>
  </si>
  <si>
    <t>CUST184</t>
  </si>
  <si>
    <t>153</t>
  </si>
  <si>
    <t>CUST153</t>
  </si>
  <si>
    <t>825</t>
  </si>
  <si>
    <t>326</t>
  </si>
  <si>
    <t>CUST326</t>
  </si>
  <si>
    <t>704</t>
  </si>
  <si>
    <t>45</t>
  </si>
  <si>
    <t>CUST045</t>
  </si>
  <si>
    <t>445</t>
  </si>
  <si>
    <t>CUST445</t>
  </si>
  <si>
    <t>788</t>
  </si>
  <si>
    <t>7</t>
  </si>
  <si>
    <t>CUST007</t>
  </si>
  <si>
    <t>251</t>
  </si>
  <si>
    <t>CUST251</t>
  </si>
  <si>
    <t>824</t>
  </si>
  <si>
    <t>76</t>
  </si>
  <si>
    <t>CUST076</t>
  </si>
  <si>
    <t>513</t>
  </si>
  <si>
    <t>392</t>
  </si>
  <si>
    <t>CUST392</t>
  </si>
  <si>
    <t>896</t>
  </si>
  <si>
    <t>69</t>
  </si>
  <si>
    <t>CUST069</t>
  </si>
  <si>
    <t>999</t>
  </si>
  <si>
    <t>168</t>
  </si>
  <si>
    <t>CUST168</t>
  </si>
  <si>
    <t>905</t>
  </si>
  <si>
    <t>731</t>
  </si>
  <si>
    <t>555</t>
  </si>
  <si>
    <t>367</t>
  </si>
  <si>
    <t>CUST367</t>
  </si>
  <si>
    <t>346</t>
  </si>
  <si>
    <t>CUST346</t>
  </si>
  <si>
    <t>585</t>
  </si>
  <si>
    <t>536</t>
  </si>
  <si>
    <t>399</t>
  </si>
  <si>
    <t>CUST399</t>
  </si>
  <si>
    <t>186</t>
  </si>
  <si>
    <t>CUST186</t>
  </si>
  <si>
    <t>349</t>
  </si>
  <si>
    <t>CUST349</t>
  </si>
  <si>
    <t>616</t>
  </si>
  <si>
    <t>920</t>
  </si>
  <si>
    <t>212</t>
  </si>
  <si>
    <t>CUST212</t>
  </si>
  <si>
    <t>580</t>
  </si>
  <si>
    <t>503</t>
  </si>
  <si>
    <t>538</t>
  </si>
  <si>
    <t>197</t>
  </si>
  <si>
    <t>CUST197</t>
  </si>
  <si>
    <t>176</t>
  </si>
  <si>
    <t>CUST176</t>
  </si>
  <si>
    <t>Age Group</t>
  </si>
  <si>
    <t>First Purchase</t>
  </si>
  <si>
    <t>Is Returning Customer</t>
  </si>
  <si>
    <t>Total Orders</t>
  </si>
  <si>
    <t>Is Repeat Customer</t>
  </si>
  <si>
    <t>Year</t>
  </si>
  <si>
    <t>Month</t>
  </si>
  <si>
    <t>Day Of Week</t>
  </si>
  <si>
    <t>Is Weekend</t>
  </si>
  <si>
    <t>Month Name</t>
  </si>
  <si>
    <t>Day Name</t>
  </si>
  <si>
    <t>Grand Total</t>
  </si>
  <si>
    <t>Row Labels</t>
  </si>
  <si>
    <t>18-24</t>
  </si>
  <si>
    <t>25-34</t>
  </si>
  <si>
    <t>35-44</t>
  </si>
  <si>
    <t>45-54</t>
  </si>
  <si>
    <t>55-64</t>
  </si>
  <si>
    <t>Start of Month</t>
  </si>
  <si>
    <t>Total Customers</t>
  </si>
  <si>
    <t>Total Revenue</t>
  </si>
  <si>
    <t>New Customers</t>
  </si>
  <si>
    <t>One-Time Customer</t>
  </si>
  <si>
    <t>Repeat Customer</t>
  </si>
  <si>
    <t>Returning Customers</t>
  </si>
  <si>
    <t>AOV</t>
  </si>
  <si>
    <t>Average Order Value</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</si>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</sst>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_ ;_-[$$-409]* \-#,##0\ ;_-[$$-409]* &quot;-&quot;??_ ;_-@_ "/>
    <numFmt numFmtId="165" formatCode="mmmm"/>
    <numFmt numFmtId="166" formatCode="dddd"/>
    <numFmt numFmtId="167" formatCode="\$#,##0;\(\$#,##0\);\$#,##0"/>
    <numFmt numFmtId="168" formatCode="mmm\ yyyy"/>
  </numFmts>
  <fonts count="3" x14ac:knownFonts="1">
    <font>
      <sz val="11"/>
      <color theme="1"/>
      <name val="Aptos Narrow"/>
      <family val="2"/>
      <scheme val="minor"/>
    </font>
    <font>
      <b/>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rgb="FFA02B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0" fontId="1" fillId="2" borderId="0" xfId="0" applyFont="1" applyFill="1" applyAlignment="1">
      <alignment horizontal="center"/>
    </xf>
    <xf numFmtId="165" fontId="0" fillId="0" borderId="0" xfId="0" applyNumberFormat="1" applyAlignment="1">
      <alignment horizontal="left"/>
    </xf>
    <xf numFmtId="166" fontId="0" fillId="0" borderId="0" xfId="0" applyNumberFormat="1" applyAlignment="1">
      <alignment horizontal="left"/>
    </xf>
    <xf numFmtId="0" fontId="0" fillId="3" borderId="0" xfId="0" applyFill="1"/>
    <xf numFmtId="164" fontId="0" fillId="3" borderId="0" xfId="0" applyNumberFormat="1" applyFill="1"/>
    <xf numFmtId="168" fontId="0" fillId="3" borderId="0" xfId="0" applyNumberFormat="1" applyFill="1" applyAlignment="1">
      <alignment horizontal="left"/>
    </xf>
    <xf numFmtId="167" fontId="0" fillId="3" borderId="0" xfId="0" applyNumberFormat="1" applyFill="1"/>
    <xf numFmtId="1" fontId="0" fillId="3" borderId="0" xfId="0" applyNumberFormat="1" applyFill="1"/>
    <xf numFmtId="0" fontId="0" fillId="3" borderId="0" xfId="0" applyFill="1" applyAlignment="1">
      <alignment horizontal="left"/>
    </xf>
    <xf numFmtId="168" fontId="0" fillId="3" borderId="0" xfId="0" applyNumberFormat="1" applyFill="1"/>
    <xf numFmtId="14" fontId="0" fillId="3" borderId="0" xfId="0" applyNumberFormat="1" applyFill="1" applyAlignment="1">
      <alignment horizontal="left"/>
    </xf>
  </cellXfs>
  <cellStyles count="1">
    <cellStyle name="Normal" xfId="0" builtinId="0"/>
  </cellStyles>
  <dxfs count="83">
    <dxf>
      <numFmt numFmtId="168" formatCode="mmm\ yyyy"/>
    </dxf>
    <dxf>
      <numFmt numFmtId="168" formatCode="mmm\ yyyy"/>
    </dxf>
    <dxf>
      <numFmt numFmtId="168" formatCode="mmm\ yyyy"/>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8" formatCode="mmm\ yyyy"/>
    </dxf>
    <dxf>
      <numFmt numFmtId="168" formatCode="mmm\ yyyy"/>
    </dxf>
    <dxf>
      <numFmt numFmtId="168" formatCode="mmm\ yyyy"/>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6" formatCode="dddd"/>
      <alignment horizontal="left" vertical="bottom" textRotation="0" wrapText="0" indent="0" justifyLastLine="0" shrinkToFit="0" readingOrder="0"/>
    </dxf>
    <dxf>
      <numFmt numFmtId="165" formatCode="mmmm"/>
      <alignment horizontal="left" vertical="bottom" textRotation="0" wrapText="0" indent="0" justifyLastLine="0" shrinkToFit="0" readingOrder="0"/>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64" formatCode="_-[$$-409]* #,##0_ ;_-[$$-409]* \-#,##0\ ;_-[$$-409]* &quot;-&quot;??_ ;_-@_ "/>
    </dxf>
    <dxf>
      <numFmt numFmtId="164" formatCode="_-[$$-409]* #,##0_ ;_-[$$-409]* \-#,##0\ ;_-[$$-409]* &quot;-&quot;??_ ;_-@_ "/>
    </dxf>
    <dxf>
      <numFmt numFmtId="19" formatCode="dd/mm/yyyy"/>
    </dxf>
  </dxfs>
  <tableStyles count="0" defaultTableStyle="TableStyleMedium2" defaultPivotStyle="PivotStyleLight16"/>
  <colors>
    <mruColors>
      <color rgb="FFA02B93"/>
      <color rgb="FFA6C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63" Type="http://schemas.openxmlformats.org/officeDocument/2006/relationships/customXml" Target="../customXml/item4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66" Type="http://schemas.openxmlformats.org/officeDocument/2006/relationships/customXml" Target="../customXml/item46.xml"/><Relationship Id="rId5" Type="http://schemas.openxmlformats.org/officeDocument/2006/relationships/pivotCacheDefinition" Target="pivotCache/pivotCacheDefinition1.xml"/><Relationship Id="rId61" Type="http://schemas.openxmlformats.org/officeDocument/2006/relationships/customXml" Target="../customXml/item41.xml"/><Relationship Id="rId19" Type="http://schemas.openxmlformats.org/officeDocument/2006/relationships/powerPivotData" Target="model/item.data"/><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64" Type="http://schemas.openxmlformats.org/officeDocument/2006/relationships/customXml" Target="../customXml/item44.xml"/><Relationship Id="rId8" Type="http://schemas.openxmlformats.org/officeDocument/2006/relationships/pivotCacheDefinition" Target="pivotCache/pivotCacheDefinition4.xml"/><Relationship Id="rId51" Type="http://schemas.openxmlformats.org/officeDocument/2006/relationships/customXml" Target="../customXml/item31.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 Id="rId67" Type="http://schemas.openxmlformats.org/officeDocument/2006/relationships/customXml" Target="../customXml/item47.xml"/><Relationship Id="rId20" Type="http://schemas.openxmlformats.org/officeDocument/2006/relationships/calcChain" Target="calcChain.xml"/><Relationship Id="rId41" Type="http://schemas.openxmlformats.org/officeDocument/2006/relationships/customXml" Target="../customXml/item21.xml"/><Relationship Id="rId54" Type="http://schemas.openxmlformats.org/officeDocument/2006/relationships/customXml" Target="../customXml/item34.xml"/><Relationship Id="rId62"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10" Type="http://schemas.openxmlformats.org/officeDocument/2006/relationships/pivotCacheDefinition" Target="pivotCache/pivotCacheDefinition6.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60" Type="http://schemas.openxmlformats.org/officeDocument/2006/relationships/customXml" Target="../customXml/item40.xml"/><Relationship Id="rId65"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eetMetadata" Target="metadata.xml"/><Relationship Id="rId3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[03_Data_Modelling_and_Visualization.xlsx]Simple Dashboard!PivotTable3</c:name>
    <c:fmtId val="1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Segoe UI Semibold" panose="020B0702040204020203" pitchFamily="34" charset="0"/>
                <a:cs typeface="Segoe UI Semibold" panose="020B0702040204020203" pitchFamily="34" charset="0"/>
              </a:rPr>
              <a:t>Revenue per</a:t>
            </a:r>
            <a:r>
              <a:rPr lang="en-US" sz="1200" baseline="0">
                <a:latin typeface="Segoe UI Semibold" panose="020B0702040204020203" pitchFamily="34" charset="0"/>
                <a:cs typeface="Segoe UI Semibold" panose="020B0702040204020203" pitchFamily="34" charset="0"/>
              </a:rPr>
              <a:t> Month</a:t>
            </a:r>
            <a:endParaRPr lang="en-US" sz="12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'Simple Dashboard'!$E$21</c:f>
              <c:strCache>
                <c:ptCount val="1"/>
                <c:pt idx="0">
                  <c:v>Total</c:v>
                </c:pt>
              </c:strCache>
            </c:strRef>
          </c:tx>
          <c:spPr>
            <a:ln w="28575" cap="rnd">
              <a:solidFill>
                <a:schemeClr val="accent1"/>
              </a:solidFill>
              <a:round/>
            </a:ln>
            <a:effectLst/>
          </c:spPr>
          <c:marker>
            <c:symbol val="none"/>
          </c:marker>
          <c:cat>
            <c:strRef>
              <c:f>'Simple Dashboard'!$D$22:$D$34</c:f>
              <c:strCache>
                <c:ptCount val="12"/>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strCache>
            </c:strRef>
          </c:cat>
          <c:val>
            <c:numRef>
              <c:f>'Simple Dashboard'!$E$22:$E$34</c:f>
              <c:numCache>
                <c:formatCode>\$#,##0;\(\$#,##0\);\$#,##0</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3-5574-4CD8-82E9-7D81449F69DF}"/>
            </c:ext>
          </c:extLst>
        </c:ser>
        <c:dLbls>
          <c:showLegendKey val="0"/>
          <c:showVal val="0"/>
          <c:showCatName val="0"/>
          <c:showSerName val="0"/>
          <c:showPercent val="0"/>
          <c:showBubbleSize val="0"/>
        </c:dLbls>
        <c:smooth val="0"/>
        <c:axId val="1725075200"/>
        <c:axId val="1530622672"/>
      </c:lineChart>
      <c:catAx>
        <c:axId val="1725075200"/>
        <c:scaling>
          <c:orientation val="minMax"/>
        </c:scaling>
        <c:delete val="0"/>
        <c:axPos val="b"/>
        <c:numFmt formatCode="\$#,##0;\(\$#,##0\);\$#,##0"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22672"/>
        <c:crosses val="autoZero"/>
        <c:auto val="1"/>
        <c:lblAlgn val="ctr"/>
        <c:lblOffset val="100"/>
        <c:noMultiLvlLbl val="1"/>
      </c:catAx>
      <c:valAx>
        <c:axId val="1530622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75200"/>
        <c:crosses val="autoZero"/>
        <c:crossBetween val="between"/>
      </c:valAx>
      <c:spPr>
        <a:noFill/>
        <a:ln>
          <a:no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[03_Data_Modelling_and_Visualization.xlsx]Simple Dashboard!PivotTable1</c:name>
    <c:fmtId val="11"/>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Customers by Type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solidFill>
              <a:schemeClr val="lt1"/>
            </a:solidFill>
          </a:ln>
          <a:effectLst/>
        </c:spPr>
        <c:dLbl>
          <c:idx val="0"/>
          <c:layout>
            <c:manualLayout>
              <c:x val="-7.8642786505888615E-2"/>
              <c:y val="0.12041757401256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049950554122026E-2"/>
              <c:y val="-0.120417574012560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'Simple Dashboard'!$M$10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3-4704-906B-D976644F1A91}"/>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4-3F96-4168-B0AF-FF3915AA808F}"/>
              </c:ext>
            </c:extLst>
          </c:dPt>
          <c:dLbls>
            <c:dLbl>
              <c:idx val="0"/>
              <c:layout>
                <c:manualLayout>
                  <c:x val="5.5049950554122026E-2"/>
                  <c:y val="-0.120417574012560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3-4704-906B-D976644F1A91}"/>
                </c:ext>
              </c:extLst>
            </c:dLbl>
            <c:dLbl>
              <c:idx val="1"/>
              <c:layout>
                <c:manualLayout>
                  <c:x val="-7.8642786505888615E-2"/>
                  <c:y val="0.12041757401256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96-4168-B0AF-FF3915AA80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'Simple Dashboard'!$L$11:$L$13</c:f>
              <c:strCache>
                <c:ptCount val="2"/>
                <c:pt idx="0">
                  <c:v>One-Time Customer</c:v>
                </c:pt>
                <c:pt idx="1">
                  <c:v>Repeat Customer</c:v>
                </c:pt>
              </c:strCache>
            </c:strRef>
          </c:cat>
          <c:val>
            <c:numRef>
              <c:f>'Simple Dashboard'!$M$11:$M$13</c:f>
              <c:numCache>
                <c:formatCode>0</c:formatCode>
                <c:ptCount val="2"/>
                <c:pt idx="0">
                  <c:v>177</c:v>
                </c:pt>
                <c:pt idx="1">
                  <c:v>316</c:v>
                </c:pt>
              </c:numCache>
            </c:numRef>
          </c:val>
          <c:extLst>
            <c:ext xmlns:c16="http://schemas.microsoft.com/office/drawing/2014/chart" uri="{C3380CC4-5D6E-409C-BE32-E72D297353CC}">
              <c16:uniqueId val="{00000003-3F96-4168-B0AF-FF3915AA80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328734567901231"/>
          <c:y val="0.43508333333333332"/>
          <c:w val="0.37143487654320989"/>
          <c:h val="0.290763636363636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[03_Data_Modelling_and_Visualization.xlsx]Simple Dashboard!PivotTable40</c:name>
    <c:fmtId val="3"/>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Orders by Gender</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solidFill>
              <a:schemeClr val="lt1"/>
            </a:solidFill>
          </a:ln>
          <a:effectLst/>
        </c:spPr>
        <c:dLbl>
          <c:idx val="0"/>
          <c:layout>
            <c:manualLayout>
              <c:x val="-6.6860466016519071E-2"/>
              <c:y val="-8.7809153638894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6860466016519016E-2"/>
              <c:y val="-0.10131825419872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'Simple Dashboard'!$M$4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40-4984-800B-3BBCD106D682}"/>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4-7799-4689-BC85-A0AD9ABE3E46}"/>
              </c:ext>
            </c:extLst>
          </c:dPt>
          <c:dLbls>
            <c:dLbl>
              <c:idx val="0"/>
              <c:layout>
                <c:manualLayout>
                  <c:x val="6.6860466016519016E-2"/>
                  <c:y val="-0.10131825419872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0-4984-800B-3BBCD106D682}"/>
                </c:ext>
              </c:extLst>
            </c:dLbl>
            <c:dLbl>
              <c:idx val="1"/>
              <c:layout>
                <c:manualLayout>
                  <c:x val="-6.6860466016519071E-2"/>
                  <c:y val="-8.78091536388943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99-4689-BC85-A0AD9ABE3E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'Simple Dashboard'!$L$5:$L$7</c:f>
              <c:strCache>
                <c:ptCount val="2"/>
                <c:pt idx="0">
                  <c:v>Female</c:v>
                </c:pt>
                <c:pt idx="1">
                  <c:v>Male</c:v>
                </c:pt>
              </c:strCache>
            </c:strRef>
          </c:cat>
          <c:val>
            <c:numRef>
              <c:f>'Simple Dashboard'!$M$5:$M$7</c:f>
              <c:numCache>
                <c:formatCode>0</c:formatCode>
                <c:ptCount val="2"/>
                <c:pt idx="0">
                  <c:v>504</c:v>
                </c:pt>
                <c:pt idx="1">
                  <c:v>494</c:v>
                </c:pt>
              </c:numCache>
            </c:numRef>
          </c:val>
          <c:extLst>
            <c:ext xmlns:c16="http://schemas.microsoft.com/office/drawing/2014/chart" uri="{C3380CC4-5D6E-409C-BE32-E72D297353CC}">
              <c16:uniqueId val="{00000003-7799-4689-BC85-A0AD9ABE3E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096913580246914"/>
          <c:y val="0.47410000000000002"/>
          <c:w val="0.1817110216113576"/>
          <c:h val="0.246463803080515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[03_Data_Modelling_and_Visualization.xlsx]Simple Dashboard!PivotTable43</c:name>
    <c:fmtId val="1"/>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a:t>Order and AOV by</a:t>
            </a:r>
            <a:r>
              <a:rPr lang="en-US" baseline="0"/>
              <a:t> </a:t>
            </a: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6CAE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'Simple Dashboard'!$M$16</c:f>
              <c:strCache>
                <c:ptCount val="1"/>
                <c:pt idx="0">
                  <c:v>Total Orders</c:v>
                </c:pt>
              </c:strCache>
            </c:strRef>
          </c:tx>
          <c:spPr>
            <a:solidFill>
              <a:schemeClr val="accent1"/>
            </a:solidFill>
            <a:ln>
              <a:noFill/>
            </a:ln>
            <a:effectLst/>
          </c:spPr>
          <c:invertIfNegative val="0"/>
          <c:cat>
            <c:strRef>
              <c:f>'Simple Dashboard'!$L$17:$L$22</c:f>
              <c:strCache>
                <c:ptCount val="5"/>
                <c:pt idx="0">
                  <c:v>18-24</c:v>
                </c:pt>
                <c:pt idx="1">
                  <c:v>25-34</c:v>
                </c:pt>
                <c:pt idx="2">
                  <c:v>35-44</c:v>
                </c:pt>
                <c:pt idx="3">
                  <c:v>45-54</c:v>
                </c:pt>
                <c:pt idx="4">
                  <c:v>55-64</c:v>
                </c:pt>
              </c:strCache>
            </c:strRef>
          </c:cat>
          <c:val>
            <c:numRef>
              <c:f>'Simple Dashboard'!$M$17:$M$22</c:f>
              <c:numCache>
                <c:formatCode>0</c:formatCode>
                <c:ptCount val="5"/>
                <c:pt idx="0">
                  <c:v>175</c:v>
                </c:pt>
                <c:pt idx="1">
                  <c:v>198</c:v>
                </c:pt>
                <c:pt idx="2">
                  <c:v>210</c:v>
                </c:pt>
                <c:pt idx="3">
                  <c:v>212</c:v>
                </c:pt>
                <c:pt idx="4">
                  <c:v>203</c:v>
                </c:pt>
              </c:numCache>
            </c:numRef>
          </c:val>
          <c:extLst>
            <c:ext xmlns:c16="http://schemas.microsoft.com/office/drawing/2014/chart" uri="{C3380CC4-5D6E-409C-BE32-E72D297353CC}">
              <c16:uniqueId val="{00000009-B8E9-49A6-96BB-C0E516DA55CA}"/>
            </c:ext>
          </c:extLst>
        </c:ser>
        <c:dLbls>
          <c:showLegendKey val="0"/>
          <c:showVal val="0"/>
          <c:showCatName val="0"/>
          <c:showSerName val="0"/>
          <c:showPercent val="0"/>
          <c:showBubbleSize val="0"/>
        </c:dLbls>
        <c:gapWidth val="219"/>
        <c:axId val="1568774272"/>
        <c:axId val="1530571792"/>
      </c:barChart>
      <c:lineChart>
        <c:grouping val="standard"/>
        <c:varyColors val="0"/>
        <c:ser>
          <c:idx val="1"/>
          <c:order val="1"/>
          <c:tx>
            <c:strRef>
              <c:f>'Simple Dashboard'!$N$16</c:f>
              <c:strCache>
                <c:ptCount val="1"/>
                <c:pt idx="0">
                  <c:v>Average Order Value</c:v>
                </c:pt>
              </c:strCache>
            </c:strRef>
          </c:tx>
          <c:spPr>
            <a:ln w="28575" cap="rnd">
              <a:solidFill>
                <a:srgbClr val="A6CAEC"/>
              </a:solidFill>
              <a:round/>
            </a:ln>
            <a:effectLst/>
          </c:spPr>
          <c:marker>
            <c:symbol val="none"/>
          </c:marker>
          <c:cat>
            <c:strRef>
              <c:f>'Simple Dashboard'!$L$17:$L$22</c:f>
              <c:strCache>
                <c:ptCount val="5"/>
                <c:pt idx="0">
                  <c:v>18-24</c:v>
                </c:pt>
                <c:pt idx="1">
                  <c:v>25-34</c:v>
                </c:pt>
                <c:pt idx="2">
                  <c:v>35-44</c:v>
                </c:pt>
                <c:pt idx="3">
                  <c:v>45-54</c:v>
                </c:pt>
                <c:pt idx="4">
                  <c:v>55-64</c:v>
                </c:pt>
              </c:strCache>
            </c:strRef>
          </c:cat>
          <c:val>
            <c:numRef>
              <c:f>'Simple Dashboard'!$N$17:$N$22</c:f>
              <c:numCache>
                <c:formatCode>\$#,##0;\(\$#,##0\);\$#,##0</c:formatCode>
                <c:ptCount val="5"/>
                <c:pt idx="0">
                  <c:v>456.51428571428573</c:v>
                </c:pt>
                <c:pt idx="1">
                  <c:v>475.55555555555554</c:v>
                </c:pt>
                <c:pt idx="2">
                  <c:v>453.28571428571428</c:v>
                </c:pt>
                <c:pt idx="3">
                  <c:v>443.18396226415092</c:v>
                </c:pt>
                <c:pt idx="4">
                  <c:v>449.6305418719212</c:v>
                </c:pt>
              </c:numCache>
            </c:numRef>
          </c:val>
          <c:smooth val="0"/>
          <c:extLst>
            <c:ext xmlns:c16="http://schemas.microsoft.com/office/drawing/2014/chart" uri="{C3380CC4-5D6E-409C-BE32-E72D297353CC}">
              <c16:uniqueId val="{0000000A-B8E9-49A6-96BB-C0E516DA55CA}"/>
            </c:ext>
          </c:extLst>
        </c:ser>
        <c:dLbls>
          <c:showLegendKey val="0"/>
          <c:showVal val="0"/>
          <c:showCatName val="0"/>
          <c:showSerName val="0"/>
          <c:showPercent val="0"/>
          <c:showBubbleSize val="0"/>
        </c:dLbls>
        <c:marker val="1"/>
        <c:smooth val="0"/>
        <c:axId val="1557628672"/>
        <c:axId val="1675209040"/>
      </c:lineChart>
      <c:catAx>
        <c:axId val="156877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71792"/>
        <c:crosses val="autoZero"/>
        <c:auto val="1"/>
        <c:lblAlgn val="ctr"/>
        <c:lblOffset val="100"/>
        <c:noMultiLvlLbl val="0"/>
      </c:catAx>
      <c:valAx>
        <c:axId val="1530571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774272"/>
        <c:crosses val="autoZero"/>
        <c:crossBetween val="between"/>
      </c:valAx>
      <c:valAx>
        <c:axId val="16752090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28672"/>
        <c:crosses val="max"/>
        <c:crossBetween val="between"/>
      </c:valAx>
      <c:catAx>
        <c:axId val="1557628672"/>
        <c:scaling>
          <c:orientation val="minMax"/>
        </c:scaling>
        <c:delete val="1"/>
        <c:axPos val="b"/>
        <c:numFmt formatCode="General" sourceLinked="1"/>
        <c:majorTickMark val="out"/>
        <c:minorTickMark val="none"/>
        <c:tickLblPos val="nextTo"/>
        <c:crossAx val="1675209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[03_Data_Modelling_and_Visualization.xlsx]Simple Dashboard!PivotTable4</c:name>
    <c:fmtId val="0"/>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Revenue by Category</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'Simple Dashboard'!$M$24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'Simple Dashboard'!$L$25:$L$28</c:f>
              <c:strCache>
                <c:ptCount val="3"/>
                <c:pt idx="0">
                  <c:v>Beauty</c:v>
                </c:pt>
                <c:pt idx="1">
                  <c:v>Clothing</c:v>
                </c:pt>
                <c:pt idx="2">
                  <c:v>Electronics</c:v>
                </c:pt>
              </c:strCache>
            </c:strRef>
          </c:cat>
          <c:val>
            <c:numRef>
              <c:f>'Simple Dashboard'!$M$25:$M$28</c:f>
              <c:numCache>
                <c:formatCode>\$#,##0;\(\$#,##0\);\$#,##0</c:formatCode>
                <c:ptCount val="3"/>
                <c:pt idx="0">
                  <c:v>143515</c:v>
                </c:pt>
                <c:pt idx="1">
                  <c:v>155580</c:v>
                </c:pt>
                <c:pt idx="2">
                  <c:v>156905</c:v>
                </c:pt>
              </c:numCache>
            </c:numRef>
          </c:val>
          <c:extLst>
            <c:ext xmlns:c16="http://schemas.microsoft.com/office/drawing/2014/chart" uri="{C3380CC4-5D6E-409C-BE32-E72D297353CC}">
              <c16:uniqueId val="{00000000-FCF2-45F7-BCEB-EF747AF193DD}"/>
            </c:ext>
          </c:extLst>
        </c:ser>
        <c:dLbls>
          <c:dLblPos val="outEnd"/>
          <c:showLegendKey val="0"/>
          <c:showVal val="1"/>
          <c:showCatName val="0"/>
          <c:showSerName val="0"/>
          <c:showPercent val="0"/>
          <c:showBubbleSize val="0"/>
        </c:dLbls>
        <c:gapWidth val="182"/>
        <c:axId val="1557503392"/>
        <c:axId val="1530446992"/>
      </c:barChart>
      <c:catAx>
        <c:axId val="155750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446992"/>
        <c:crosses val="autoZero"/>
        <c:auto val="1"/>
        <c:lblAlgn val="ctr"/>
        <c:lblOffset val="100"/>
        <c:noMultiLvlLbl val="0"/>
      </c:catAx>
      <c:valAx>
        <c:axId val="153044699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50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400958</xdr:colOff>
      <xdr:row>32</xdr:row>
      <xdr:rowOff>0</xdr:rowOff>
    </xdr:to>
    <xdr:sp macro="" textlink="">
      <xdr:nvSpPr>
        <xdr:cNvPr id="34" name="Rectangle 33">
          <a:extLst>
            <a:ext uri="{FF2B5EF4-FFF2-40B4-BE49-F238E27FC236}">
              <a16:creationId xmlns:a16="http://schemas.microsoft.com/office/drawing/2014/main" id="{3AA6CDD7-AB39-2038-1F92-9D019FF4405A}"/>
            </a:ext>
          </a:extLst>
        </xdr:cNvPr>
        <xdr:cNvSpPr/>
      </xdr:nvSpPr>
      <xdr:spPr>
        <a:xfrm>
          <a:off x="0" y="0"/>
          <a:ext cx="22816458" cy="5715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182797</xdr:colOff>
      <xdr:row>3</xdr:row>
      <xdr:rowOff>131763</xdr:rowOff>
    </xdr:from>
    <xdr:to>
      <xdr:col>30</xdr:col>
      <xdr:colOff>516581</xdr:colOff>
      <xdr:row>6</xdr:row>
      <xdr:rowOff>130175</xdr:rowOff>
    </xdr:to>
    <xdr:sp macro="" textlink="$B$3">
      <xdr:nvSpPr>
        <xdr:cNvPr id="7" name="Rectangle: Rounded Corners 6">
          <a:extLst>
            <a:ext uri="{FF2B5EF4-FFF2-40B4-BE49-F238E27FC236}">
              <a16:creationId xmlns:a16="http://schemas.microsoft.com/office/drawing/2014/main" id="{7E38C90D-618D-4ADC-9DBF-0BFDE96B0089}"/>
            </a:ext>
          </a:extLst>
        </xdr:cNvPr>
        <xdr:cNvSpPr/>
      </xdr:nvSpPr>
      <xdr:spPr>
        <a:xfrm>
          <a:off x="6868440" y="313192"/>
          <a:ext cx="1549355" cy="542697"/>
        </a:xfrm>
        <a:prstGeom prst="roundRect">
          <a:avLst/>
        </a:prstGeom>
        <a:ln>
          <a:solidFill>
            <a:srgbClr val="A02B9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19EAAAF-D567-428A-8E7F-42D499ED5C4A}" type="TxLink">
            <a:rPr lang="en-US" sz="1100" b="0" i="0" u="none" strike="noStrike">
              <a:solidFill>
                <a:srgbClr val="000000"/>
              </a:solidFill>
              <a:latin typeface="Segoe UI Semibold" panose="020B0702040204020203" pitchFamily="34" charset="0"/>
              <a:cs typeface="Segoe UI Semibold" panose="020B0702040204020203" pitchFamily="34" charset="0"/>
            </a:rPr>
            <a:pPr algn="ctr"/>
            <a:t> $454.470 </a:t>
          </a:fld>
          <a:endParaRPr lang="en-US" sz="1100" b="0" i="0" u="none" strike="noStrike">
            <a:solidFill>
              <a:srgbClr val="000000"/>
            </a:solidFill>
            <a:latin typeface="Segoe UI Semibold" panose="020B0702040204020203" pitchFamily="34" charset="0"/>
            <a:cs typeface="Segoe UI Semibold" panose="020B0702040204020203" pitchFamily="34" charset="0"/>
          </a:endParaRPr>
        </a:p>
        <a:p>
          <a:pPr algn="ctr"/>
          <a:r>
            <a:rPr lang="en-US" sz="1100" b="0" i="0" u="none" strike="noStrike">
              <a:solidFill>
                <a:srgbClr val="000000"/>
              </a:solidFill>
              <a:latin typeface="Segoe UI Semibold" panose="020B0702040204020203" pitchFamily="34" charset="0"/>
              <a:cs typeface="Segoe UI Semibold" panose="020B0702040204020203" pitchFamily="34" charset="0"/>
            </a:rPr>
            <a:t>Revenue</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31</xdr:col>
      <xdr:colOff>33572</xdr:colOff>
      <xdr:row>3</xdr:row>
      <xdr:rowOff>133351</xdr:rowOff>
    </xdr:from>
    <xdr:to>
      <xdr:col>33</xdr:col>
      <xdr:colOff>361006</xdr:colOff>
      <xdr:row>6</xdr:row>
      <xdr:rowOff>130175</xdr:rowOff>
    </xdr:to>
    <xdr:sp macro="" textlink="$B$4">
      <xdr:nvSpPr>
        <xdr:cNvPr id="11" name="Rectangle: Rounded Corners 10">
          <a:extLst>
            <a:ext uri="{FF2B5EF4-FFF2-40B4-BE49-F238E27FC236}">
              <a16:creationId xmlns:a16="http://schemas.microsoft.com/office/drawing/2014/main" id="{DA9BCB3F-31C9-4AE5-AB9C-FBAB8F3C1439}"/>
            </a:ext>
          </a:extLst>
        </xdr:cNvPr>
        <xdr:cNvSpPr/>
      </xdr:nvSpPr>
      <xdr:spPr>
        <a:xfrm>
          <a:off x="8542572" y="314780"/>
          <a:ext cx="1543005" cy="541109"/>
        </a:xfrm>
        <a:prstGeom prst="roundRect">
          <a:avLst/>
        </a:prstGeom>
        <a:ln>
          <a:solidFill>
            <a:srgbClr val="A02B9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31379D21-0F3A-4E38-8EFD-5D800B70D7B9}" type="TxLink">
            <a:rPr lang="en-US" sz="11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998</a:t>
          </a:fld>
          <a:endParaRPr lang="en-US" sz="1100" b="0" i="0" u="none" strike="noStrike">
            <a:solidFill>
              <a:srgbClr val="000000"/>
            </a:solidFill>
            <a:latin typeface="Segoe UI Semibold" panose="020B0702040204020203" pitchFamily="34" charset="0"/>
            <a:ea typeface="+mn-ea"/>
            <a:cs typeface="Segoe UI Semibold" panose="020B0702040204020203" pitchFamily="34" charset="0"/>
          </a:endParaRPr>
        </a:p>
        <a:p>
          <a:pPr marL="0" indent="0" algn="ctr"/>
          <a:r>
            <a:rPr lang="en-US" sz="1100" b="0" i="0" u="none" strike="noStrike">
              <a:solidFill>
                <a:srgbClr val="000000"/>
              </a:solidFill>
              <a:latin typeface="Segoe UI Semibold" panose="020B0702040204020203" pitchFamily="34" charset="0"/>
              <a:ea typeface="+mn-ea"/>
              <a:cs typeface="Segoe UI Semibold" panose="020B0702040204020203" pitchFamily="34" charset="0"/>
            </a:rPr>
            <a:t>Orders</a:t>
          </a:r>
        </a:p>
      </xdr:txBody>
    </xdr:sp>
    <xdr:clientData/>
  </xdr:twoCellAnchor>
  <xdr:twoCellAnchor>
    <xdr:from>
      <xdr:col>33</xdr:col>
      <xdr:colOff>492133</xdr:colOff>
      <xdr:row>3</xdr:row>
      <xdr:rowOff>119062</xdr:rowOff>
    </xdr:from>
    <xdr:to>
      <xdr:col>36</xdr:col>
      <xdr:colOff>211780</xdr:colOff>
      <xdr:row>6</xdr:row>
      <xdr:rowOff>130175</xdr:rowOff>
    </xdr:to>
    <xdr:sp macro="" textlink="$B$5">
      <xdr:nvSpPr>
        <xdr:cNvPr id="12" name="Rectangle: Rounded Corners 11">
          <a:extLst>
            <a:ext uri="{FF2B5EF4-FFF2-40B4-BE49-F238E27FC236}">
              <a16:creationId xmlns:a16="http://schemas.microsoft.com/office/drawing/2014/main" id="{960018DE-E80D-4472-8216-2A5F87FAB8D9}"/>
            </a:ext>
          </a:extLst>
        </xdr:cNvPr>
        <xdr:cNvSpPr/>
      </xdr:nvSpPr>
      <xdr:spPr>
        <a:xfrm>
          <a:off x="10216704" y="300491"/>
          <a:ext cx="1543005" cy="555398"/>
        </a:xfrm>
        <a:prstGeom prst="roundRect">
          <a:avLst/>
        </a:prstGeom>
        <a:ln>
          <a:solidFill>
            <a:srgbClr val="A02B9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EAC7998A-B6A6-4E32-AC55-FDBC35705E12}" type="TxLink">
            <a:rPr lang="en-US" sz="11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493</a:t>
          </a:fld>
          <a:endParaRPr lang="en-US" sz="1100" b="0" i="0" u="none" strike="noStrike">
            <a:solidFill>
              <a:srgbClr val="000000"/>
            </a:solidFill>
            <a:latin typeface="Segoe UI Semibold" panose="020B0702040204020203" pitchFamily="34" charset="0"/>
            <a:ea typeface="+mn-ea"/>
            <a:cs typeface="Segoe UI Semibold" panose="020B0702040204020203" pitchFamily="34" charset="0"/>
          </a:endParaRPr>
        </a:p>
        <a:p>
          <a:pPr marL="0" indent="0" algn="ctr"/>
          <a:r>
            <a:rPr lang="en-US" sz="1100" b="0" i="0" u="none" strike="noStrike">
              <a:solidFill>
                <a:srgbClr val="000000"/>
              </a:solidFill>
              <a:latin typeface="Segoe UI Semibold" panose="020B0702040204020203" pitchFamily="34" charset="0"/>
              <a:ea typeface="+mn-ea"/>
              <a:cs typeface="Segoe UI Semibold" panose="020B0702040204020203" pitchFamily="34" charset="0"/>
            </a:rPr>
            <a:t>Customers</a:t>
          </a:r>
        </a:p>
      </xdr:txBody>
    </xdr:sp>
    <xdr:clientData/>
  </xdr:twoCellAnchor>
  <xdr:twoCellAnchor>
    <xdr:from>
      <xdr:col>36</xdr:col>
      <xdr:colOff>339205</xdr:colOff>
      <xdr:row>3</xdr:row>
      <xdr:rowOff>133349</xdr:rowOff>
    </xdr:from>
    <xdr:to>
      <xdr:col>39</xdr:col>
      <xdr:colOff>126928</xdr:colOff>
      <xdr:row>6</xdr:row>
      <xdr:rowOff>130175</xdr:rowOff>
    </xdr:to>
    <xdr:sp macro="" textlink="$B$8">
      <xdr:nvSpPr>
        <xdr:cNvPr id="15" name="Rectangle: Rounded Corners 14">
          <a:extLst>
            <a:ext uri="{FF2B5EF4-FFF2-40B4-BE49-F238E27FC236}">
              <a16:creationId xmlns:a16="http://schemas.microsoft.com/office/drawing/2014/main" id="{DC88949B-EF25-493F-BF4A-5CE2A5955312}"/>
            </a:ext>
          </a:extLst>
        </xdr:cNvPr>
        <xdr:cNvSpPr/>
      </xdr:nvSpPr>
      <xdr:spPr>
        <a:xfrm>
          <a:off x="11887134" y="314778"/>
          <a:ext cx="1611080" cy="541111"/>
        </a:xfrm>
        <a:prstGeom prst="roundRect">
          <a:avLst/>
        </a:prstGeom>
        <a:ln>
          <a:solidFill>
            <a:srgbClr val="A02B9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E1004C65-D57D-4329-89A0-042A38157C28}" type="TxLink">
            <a:rPr lang="en-US" sz="11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 $455 </a:t>
          </a:fld>
          <a:endParaRPr lang="en-US" sz="1100" b="0" i="0" u="none" strike="noStrike">
            <a:solidFill>
              <a:srgbClr val="000000"/>
            </a:solidFill>
            <a:latin typeface="Segoe UI Semibold" panose="020B0702040204020203" pitchFamily="34" charset="0"/>
            <a:ea typeface="+mn-ea"/>
            <a:cs typeface="Segoe UI Semibold" panose="020B0702040204020203" pitchFamily="34" charset="0"/>
          </a:endParaRPr>
        </a:p>
        <a:p>
          <a:pPr marL="0" indent="0" algn="ctr"/>
          <a:r>
            <a:rPr lang="en-US" sz="1100" b="0" i="0" u="none" strike="noStrike">
              <a:solidFill>
                <a:srgbClr val="000000"/>
              </a:solidFill>
              <a:latin typeface="Segoe UI Semibold" panose="020B0702040204020203" pitchFamily="34" charset="0"/>
              <a:ea typeface="+mn-ea"/>
              <a:cs typeface="Segoe UI Semibold" panose="020B0702040204020203" pitchFamily="34" charset="0"/>
            </a:rPr>
            <a:t>Average Order Value</a:t>
          </a:r>
        </a:p>
      </xdr:txBody>
    </xdr:sp>
    <xdr:clientData/>
  </xdr:twoCellAnchor>
  <xdr:twoCellAnchor editAs="oneCell">
    <xdr:from>
      <xdr:col>17</xdr:col>
      <xdr:colOff>136071</xdr:colOff>
      <xdr:row>7</xdr:row>
      <xdr:rowOff>84666</xdr:rowOff>
    </xdr:from>
    <xdr:to>
      <xdr:col>19</xdr:col>
      <xdr:colOff>235859</xdr:colOff>
      <xdr:row>14</xdr:row>
      <xdr:rowOff>42332</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B14D4AFC-ACA7-5928-CA78-2423D1AE8B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10704" y="949475"/>
              <a:ext cx="1300239" cy="1203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3</xdr:row>
      <xdr:rowOff>111125</xdr:rowOff>
    </xdr:from>
    <xdr:to>
      <xdr:col>22</xdr:col>
      <xdr:colOff>293077</xdr:colOff>
      <xdr:row>6</xdr:row>
      <xdr:rowOff>73269</xdr:rowOff>
    </xdr:to>
    <xdr:sp macro="" textlink="">
      <xdr:nvSpPr>
        <xdr:cNvPr id="18" name="TextBox 17">
          <a:extLst>
            <a:ext uri="{FF2B5EF4-FFF2-40B4-BE49-F238E27FC236}">
              <a16:creationId xmlns:a16="http://schemas.microsoft.com/office/drawing/2014/main" id="{2961F4CA-F47B-321B-27CC-1D882E79D00F}"/>
            </a:ext>
          </a:extLst>
        </xdr:cNvPr>
        <xdr:cNvSpPr txBox="1"/>
      </xdr:nvSpPr>
      <xdr:spPr>
        <a:xfrm>
          <a:off x="1865923" y="296740"/>
          <a:ext cx="1514231" cy="51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Segoe UI Semibold" panose="020B0702040204020203" pitchFamily="34" charset="0"/>
              <a:cs typeface="Segoe UI Semibold" panose="020B0702040204020203" pitchFamily="34" charset="0"/>
            </a:rPr>
            <a:t>Overview</a:t>
          </a:r>
        </a:p>
      </xdr:txBody>
    </xdr:sp>
    <xdr:clientData/>
  </xdr:twoCellAnchor>
  <xdr:twoCellAnchor>
    <xdr:from>
      <xdr:col>20</xdr:col>
      <xdr:colOff>75450</xdr:colOff>
      <xdr:row>7</xdr:row>
      <xdr:rowOff>70910</xdr:rowOff>
    </xdr:from>
    <xdr:to>
      <xdr:col>31</xdr:col>
      <xdr:colOff>39922</xdr:colOff>
      <xdr:row>19</xdr:row>
      <xdr:rowOff>3175</xdr:rowOff>
    </xdr:to>
    <xdr:graphicFrame macro="">
      <xdr:nvGraphicFramePr>
        <xdr:cNvPr id="24" name="Chart 23">
          <a:extLst>
            <a:ext uri="{FF2B5EF4-FFF2-40B4-BE49-F238E27FC236}">
              <a16:creationId xmlns:a16="http://schemas.microsoft.com/office/drawing/2014/main" id="{88B3678D-2D44-42F9-38BC-991936D86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131884</xdr:colOff>
      <xdr:row>14</xdr:row>
      <xdr:rowOff>117022</xdr:rowOff>
    </xdr:from>
    <xdr:to>
      <xdr:col>19</xdr:col>
      <xdr:colOff>234461</xdr:colOff>
      <xdr:row>19</xdr:row>
      <xdr:rowOff>163285</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97748383-4309-B19A-13D4-CAB10A8763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688480" y="2276021"/>
              <a:ext cx="1304321" cy="945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461065</xdr:colOff>
      <xdr:row>19</xdr:row>
      <xdr:rowOff>124240</xdr:rowOff>
    </xdr:from>
    <xdr:to>
      <xdr:col>31</xdr:col>
      <xdr:colOff>44144</xdr:colOff>
      <xdr:row>30</xdr:row>
      <xdr:rowOff>26920</xdr:rowOff>
    </xdr:to>
    <xdr:graphicFrame macro="">
      <xdr:nvGraphicFramePr>
        <xdr:cNvPr id="26" name="Chart 25">
          <a:extLst>
            <a:ext uri="{FF2B5EF4-FFF2-40B4-BE49-F238E27FC236}">
              <a16:creationId xmlns:a16="http://schemas.microsoft.com/office/drawing/2014/main" id="{2F2D6156-06A2-209F-DFF3-C3F9B4EB6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86187</xdr:colOff>
      <xdr:row>19</xdr:row>
      <xdr:rowOff>119743</xdr:rowOff>
    </xdr:from>
    <xdr:to>
      <xdr:col>25</xdr:col>
      <xdr:colOff>276372</xdr:colOff>
      <xdr:row>30</xdr:row>
      <xdr:rowOff>4243</xdr:rowOff>
    </xdr:to>
    <xdr:graphicFrame macro="">
      <xdr:nvGraphicFramePr>
        <xdr:cNvPr id="27" name="Chart 26">
          <a:extLst>
            <a:ext uri="{FF2B5EF4-FFF2-40B4-BE49-F238E27FC236}">
              <a16:creationId xmlns:a16="http://schemas.microsoft.com/office/drawing/2014/main" id="{DBEAC811-5A46-BC8B-5A60-0220714F3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254009</xdr:colOff>
      <xdr:row>7</xdr:row>
      <xdr:rowOff>82549</xdr:rowOff>
    </xdr:from>
    <xdr:to>
      <xdr:col>39</xdr:col>
      <xdr:colOff>128823</xdr:colOff>
      <xdr:row>18</xdr:row>
      <xdr:rowOff>165099</xdr:rowOff>
    </xdr:to>
    <xdr:graphicFrame macro="">
      <xdr:nvGraphicFramePr>
        <xdr:cNvPr id="28" name="Chart 27">
          <a:extLst>
            <a:ext uri="{FF2B5EF4-FFF2-40B4-BE49-F238E27FC236}">
              <a16:creationId xmlns:a16="http://schemas.microsoft.com/office/drawing/2014/main" id="{1481507D-7961-C984-4241-F679AE3AB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241309</xdr:colOff>
      <xdr:row>19</xdr:row>
      <xdr:rowOff>165100</xdr:rowOff>
    </xdr:from>
    <xdr:to>
      <xdr:col>39</xdr:col>
      <xdr:colOff>128823</xdr:colOff>
      <xdr:row>29</xdr:row>
      <xdr:rowOff>177800</xdr:rowOff>
    </xdr:to>
    <xdr:graphicFrame macro="">
      <xdr:nvGraphicFramePr>
        <xdr:cNvPr id="33" name="Chart 32">
          <a:extLst>
            <a:ext uri="{FF2B5EF4-FFF2-40B4-BE49-F238E27FC236}">
              <a16:creationId xmlns:a16="http://schemas.microsoft.com/office/drawing/2014/main" id="{545D172F-D2B9-3BA0-19CF-BAF5B8207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787384262" backgroundQuery="1" createdVersion="8" refreshedVersion="8" minRefreshableVersion="3" recordCount="0" supportSubquery="1" supportAdvancedDrill="1" xr:uid="{7A52A89F-C1DB-4F74-9D83-C5338E224A39}">
  <cacheSource type="external" connectionId="3"/>
  <cacheFields count="8">
    <cacheField name="[Calendar_Table].[Start of Month].[Start of Month]" caption="Start of Month" numFmtId="0" hierarchy="2" level="1">
      <sharedItems containsSemiMixedTypes="0" containsNonDate="0" containsDate="1" containsString="0" minDate="2023-01-01T00:00:00" maxDate="2023-12-02T00:00:00" count="12">
        <d v="2023-01-01T00:00:00"/>
        <d v="2023-02-01T00:00:00"/>
        <d v="2023-03-01T00:00:00"/>
        <d v="2023-04-01T00:00:00"/>
        <d v="2023-05-01T00:00:00"/>
        <d v="2023-06-01T00:00:00"/>
        <d v="2023-07-01T00:00:00"/>
        <d v="2023-08-01T00:00:00"/>
        <d v="2023-09-01T00:00:00"/>
        <d v="2023-10-01T00:00:00"/>
        <d v="2023-11-01T00:00:00"/>
        <d v="2023-12-01T00:00:00"/>
      </sharedItems>
    </cacheField>
    <cacheField name="[Measures].[Total Revenue]" caption="Total Revenue" numFmtId="0" hierarchy="43" level="32767"/>
    <cacheField name="[Measures].[Total Orders]" caption="Total Orders" numFmtId="0" hierarchy="44" level="32767"/>
    <cacheField name="[Measures].[Total Customers]" caption="Total Customers" numFmtId="0" hierarchy="46" level="32767"/>
    <cacheField name="[Calendar_Table].[Date (Year)].[Date (Year)]" caption="Date (Year)" numFmtId="0" hierarchy="8" level="1">
      <sharedItems containsSemiMixedTypes="0" containsNonDate="0" containsString="0"/>
    </cacheField>
    <cacheField name="[Measures].[Average Order Value]" caption="Average Order Value" numFmtId="0" hierarchy="47" level="32767"/>
    <cacheField name="[Calendar_Table].[Year].[Year]" caption="Year" numFmtId="0" hierarchy="1" level="1">
      <sharedItems containsSemiMixedTypes="0" containsNonDate="0" containsString="0"/>
    </cacheField>
    <cacheField name="[Sales_Performance].[Product Category].[Product Category]" caption="Product Category" numFmtId="0" hierarchy="29"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6"/>
      </fieldsUsage>
    </cacheHierarchy>
    <cacheHierarchy uniqueName="[Calendar_Table].[Start of Month]" caption="Start of Month" attribute="1" time="1" defaultMemberUniqueName="[Calendar_Table].[Start of Month].[All]" allUniqueName="[Calendar_Table].[Start of Month].[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0" memberValueDatatype="130" unbalanced="0"/>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0" memberValueDatatype="130" unbalanced="0"/>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fieldsUsage count="2">
        <fieldUsage x="-1"/>
        <fieldUsage x="7"/>
      </fieldsUsage>
    </cacheHierarchy>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oneField="1">
      <fieldsUsage count="1">
        <fieldUsage x="1"/>
      </fieldsUsage>
    </cacheHierarchy>
    <cacheHierarchy uniqueName="[Measures].[Total Orders]" caption="Total Orders" measure="1" displayFolder="" measureGroup="Sales_Performance" count="0" oneField="1">
      <fieldsUsage count="1">
        <fieldUsage x="2"/>
      </fieldsUsage>
    </cacheHierarchy>
    <cacheHierarchy uniqueName="[Measures].[Total Quantity]" caption="Total Quantity" measure="1" displayFolder="" measureGroup="Sales_Performance" count="0"/>
    <cacheHierarchy uniqueName="[Measures].[Total Customers]" caption="Total Customers" measure="1" displayFolder="" measureGroup="Sales_Performance" count="0" oneField="1">
      <fieldsUsage count="1">
        <fieldUsage x="3"/>
      </fieldsUsage>
    </cacheHierarchy>
    <cacheHierarchy uniqueName="[Measures].[Average Order Value]" caption="Average Order Value" measure="1" displayFolder="" measureGroup="Sales_Performance" count="0" oneField="1">
      <fieldsUsage count="1">
        <fieldUsage x="5"/>
      </fieldsUsage>
    </cacheHierarchy>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ustomer_Details" uniqueName="[Customer_Details]" caption="Customer_Details"/>
    <dimension measure="1" name="Measures" uniqueName="[Measures]" caption="Measures"/>
    <dimension name="Sales_Performance" uniqueName="[Sales_Performance]" caption="Sales_Performance"/>
  </dimensions>
  <measureGroups count="3">
    <measureGroup name="Calendar_Table" caption="Calendar_Table"/>
    <measureGroup name="Customer_Details" caption="Customer_Details"/>
    <measureGroup name="Sales_Performance" caption="Sales_Performance"/>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789120371" backgroundQuery="1" createdVersion="8" refreshedVersion="8" minRefreshableVersion="3" recordCount="0" supportSubquery="1" supportAdvancedDrill="1" xr:uid="{85C0C632-F227-4F8D-9A8A-EBBEBB5C5E37}">
  <cacheSource type="external" connectionId="3"/>
  <cacheFields count="5">
    <cacheField name="[Customer_Details].[Is Repeat Customer].[Is Repeat Customer]" caption="Is Repeat Customer" numFmtId="0" hierarchy="23" level="1">
      <sharedItems count="2">
        <s v="One-Time Customer"/>
        <s v="Repeat Customer"/>
      </sharedItems>
    </cacheField>
    <cacheField name="[Measures].[Total Customers]" caption="Total Customers" numFmtId="0" hierarchy="46" level="32767"/>
    <cacheField name="[Calendar_Table].[Start of Month].[Start of Month]" caption="Start of Month" numFmtId="0" hierarchy="2" level="1">
      <sharedItems containsSemiMixedTypes="0" containsNonDate="0" containsString="0"/>
    </cacheField>
    <cacheField name="[Calendar_Table].[Year].[Year]" caption="Year" numFmtId="0" hierarchy="1" level="1">
      <sharedItems containsSemiMixedTypes="0" containsNonDate="0" containsString="0"/>
    </cacheField>
    <cacheField name="[Sales_Performance].[Product Category].[Product Category]" caption="Product Category" numFmtId="0" hierarchy="29"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Start of Month]" caption="Start of Month" attribute="1" time="1" defaultMemberUniqueName="[Calendar_Table].[Start of Month].[All]" allUniqueName="[Calendar_Table].[Start of Month].[All]" dimensionUniqueName="[Calendar_Table]" displayFolder="" count="2" memberValueDatatype="7"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0" memberValueDatatype="130" unbalanced="0"/>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2" memberValueDatatype="130" unbalanced="0">
      <fieldsUsage count="2">
        <fieldUsage x="-1"/>
        <fieldUsage x="0"/>
      </fieldsUsage>
    </cacheHierarchy>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fieldsUsage count="2">
        <fieldUsage x="-1"/>
        <fieldUsage x="4"/>
      </fieldsUsage>
    </cacheHierarchy>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cacheHierarchy uniqueName="[Measures].[Total Orders]" caption="Total Orders" measure="1" displayFolder="" measureGroup="Sales_Performance" count="0"/>
    <cacheHierarchy uniqueName="[Measures].[Total Quantity]" caption="Total Quantity" measure="1" displayFolder="" measureGroup="Sales_Performance" count="0"/>
    <cacheHierarchy uniqueName="[Measures].[Total Customers]" caption="Total Customers" measure="1" displayFolder="" measureGroup="Sales_Performance" count="0" oneField="1">
      <fieldsUsage count="1">
        <fieldUsage x="1"/>
      </fieldsUsage>
    </cacheHierarchy>
    <cacheHierarchy uniqueName="[Measures].[Average Order Value]" caption="Average Order Value" measure="1" displayFolder="" measureGroup="Sales_Performance" count="0"/>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ustomer_Details" uniqueName="[Customer_Details]" caption="Customer_Details"/>
    <dimension measure="1" name="Measures" uniqueName="[Measures]" caption="Measures"/>
    <dimension name="Sales_Performance" uniqueName="[Sales_Performance]" caption="Sales_Performance"/>
  </dimensions>
  <measureGroups count="3">
    <measureGroup name="Calendar_Table" caption="Calendar_Table"/>
    <measureGroup name="Customer_Details" caption="Customer_Details"/>
    <measureGroup name="Sales_Performance" caption="Sales_Performance"/>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792592589" backgroundQuery="1" createdVersion="8" refreshedVersion="8" minRefreshableVersion="3" recordCount="0" supportSubquery="1" supportAdvancedDrill="1" xr:uid="{2BECD8CA-DA85-4359-ABE5-DAAAC01DDFCE}">
  <cacheSource type="external" connectionId="3"/>
  <cacheFields count="5">
    <cacheField name="[Customer_Details].[Gender].[Gender]" caption="Gender" numFmtId="0" hierarchy="19" level="1">
      <sharedItems count="2">
        <s v="Female"/>
        <s v="Male"/>
      </sharedItems>
    </cacheField>
    <cacheField name="[Measures].[Total Orders]" caption="Total Orders" numFmtId="0" hierarchy="44" level="32767"/>
    <cacheField name="[Calendar_Table].[Start of Month].[Start of Month]" caption="Start of Month" numFmtId="0" hierarchy="2" level="1">
      <sharedItems containsSemiMixedTypes="0" containsNonDate="0" containsString="0"/>
    </cacheField>
    <cacheField name="[Calendar_Table].[Year].[Year]" caption="Year" numFmtId="0" hierarchy="1" level="1">
      <sharedItems containsSemiMixedTypes="0" containsNonDate="0" containsString="0"/>
    </cacheField>
    <cacheField name="[Sales_Performance].[Product Category].[Product Category]" caption="Product Category" numFmtId="0" hierarchy="29"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Start of Month]" caption="Start of Month" attribute="1" time="1" defaultMemberUniqueName="[Calendar_Table].[Start of Month].[All]" allUniqueName="[Calendar_Table].[Start of Month].[All]" dimensionUniqueName="[Calendar_Table]" displayFolder="" count="2" memberValueDatatype="7" unbalanced="0">
      <fieldsUsage count="2">
        <fieldUsage x="-1"/>
        <fieldUsage x="2"/>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0"/>
      </fieldsUsage>
    </cacheHierarchy>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0" memberValueDatatype="130" unbalanced="0"/>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0" memberValueDatatype="130" unbalanced="0"/>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fieldsUsage count="2">
        <fieldUsage x="-1"/>
        <fieldUsage x="4"/>
      </fieldsUsage>
    </cacheHierarchy>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cacheHierarchy uniqueName="[Measures].[Total Orders]" caption="Total Orders" measure="1" displayFolder="" measureGroup="Sales_Performance" count="0" oneField="1">
      <fieldsUsage count="1">
        <fieldUsage x="1"/>
      </fieldsUsage>
    </cacheHierarchy>
    <cacheHierarchy uniqueName="[Measures].[Total Quantity]" caption="Total Quantity" measure="1" displayFolder="" measureGroup="Sales_Performance" count="0"/>
    <cacheHierarchy uniqueName="[Measures].[Total Customers]" caption="Total Customers" measure="1" displayFolder="" measureGroup="Sales_Performance" count="0"/>
    <cacheHierarchy uniqueName="[Measures].[Average Order Value]" caption="Average Order Value" measure="1" displayFolder="" measureGroup="Sales_Performance" count="0"/>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ustomer_Details" uniqueName="[Customer_Details]" caption="Customer_Details"/>
    <dimension measure="1" name="Measures" uniqueName="[Measures]" caption="Measures"/>
    <dimension name="Sales_Performance" uniqueName="[Sales_Performance]" caption="Sales_Performance"/>
  </dimensions>
  <measureGroups count="3">
    <measureGroup name="Calendar_Table" caption="Calendar_Table"/>
    <measureGroup name="Customer_Details" caption="Customer_Details"/>
    <measureGroup name="Sales_Performance" caption="Sales_Performance"/>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796412038" backgroundQuery="1" createdVersion="8" refreshedVersion="8" minRefreshableVersion="3" recordCount="0" supportSubquery="1" supportAdvancedDrill="1" xr:uid="{43DB2311-8739-4896-899E-209CB21A5AF0}">
  <cacheSource type="external" connectionId="3"/>
  <cacheFields count="6">
    <cacheField name="[Customer_Details].[Age Group].[Age Group]" caption="Age Group" numFmtId="0" hierarchy="21" level="1">
      <sharedItems count="5">
        <s v="18-24"/>
        <s v="25-34"/>
        <s v="35-44"/>
        <s v="45-54"/>
        <s v="55-64"/>
      </sharedItems>
    </cacheField>
    <cacheField name="[Calendar_Table].[Start of Month].[Start of Month]" caption="Start of Month" numFmtId="0" hierarchy="2" level="1">
      <sharedItems containsSemiMixedTypes="0" containsNonDate="0" containsString="0"/>
    </cacheField>
    <cacheField name="[Measures].[Average Order Value]" caption="Average Order Value" numFmtId="0" hierarchy="47" level="32767"/>
    <cacheField name="[Measures].[Total Orders]" caption="Total Orders" numFmtId="0" hierarchy="44" level="32767"/>
    <cacheField name="[Calendar_Table].[Year].[Year]" caption="Year" numFmtId="0" hierarchy="1" level="1">
      <sharedItems containsSemiMixedTypes="0" containsNonDate="0" containsString="0"/>
    </cacheField>
    <cacheField name="[Sales_Performance].[Product Category].[Product Category]" caption="Product Category" numFmtId="0" hierarchy="29"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4"/>
      </fieldsUsage>
    </cacheHierarchy>
    <cacheHierarchy uniqueName="[Calendar_Table].[Start of Month]" caption="Start of Month" attribute="1" time="1" defaultMemberUniqueName="[Calendar_Table].[Start of Month].[All]" allUniqueName="[Calendar_Table].[Start of Month].[All]" dimensionUniqueName="[Calendar_Table]" displayFolder="" count="2" memberValueDatatype="7" unbalanced="0">
      <fieldsUsage count="2">
        <fieldUsage x="-1"/>
        <fieldUsage x="1"/>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2" memberValueDatatype="130" unbalanced="0">
      <fieldsUsage count="2">
        <fieldUsage x="-1"/>
        <fieldUsage x="0"/>
      </fieldsUsage>
    </cacheHierarchy>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0" memberValueDatatype="130" unbalanced="0"/>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fieldsUsage count="2">
        <fieldUsage x="-1"/>
        <fieldUsage x="5"/>
      </fieldsUsage>
    </cacheHierarchy>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cacheHierarchy uniqueName="[Measures].[Total Orders]" caption="Total Orders" measure="1" displayFolder="" measureGroup="Sales_Performance" count="0" oneField="1">
      <fieldsUsage count="1">
        <fieldUsage x="3"/>
      </fieldsUsage>
    </cacheHierarchy>
    <cacheHierarchy uniqueName="[Measures].[Total Quantity]" caption="Total Quantity" measure="1" displayFolder="" measureGroup="Sales_Performance" count="0"/>
    <cacheHierarchy uniqueName="[Measures].[Total Customers]" caption="Total Customers" measure="1" displayFolder="" measureGroup="Sales_Performance" count="0"/>
    <cacheHierarchy uniqueName="[Measures].[Average Order Value]" caption="Average Order Value" measure="1" displayFolder="" measureGroup="Sales_Performance" count="0" oneField="1">
      <fieldsUsage count="1">
        <fieldUsage x="2"/>
      </fieldsUsage>
    </cacheHierarchy>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ustomer_Details" uniqueName="[Customer_Details]" caption="Customer_Details"/>
    <dimension measure="1" name="Measures" uniqueName="[Measures]" caption="Measures"/>
    <dimension name="Sales_Performance" uniqueName="[Sales_Performance]" caption="Sales_Performance"/>
  </dimensions>
  <measureGroups count="3">
    <measureGroup name="Calendar_Table" caption="Calendar_Table"/>
    <measureGroup name="Customer_Details" caption="Customer_Details"/>
    <measureGroup name="Sales_Performance" caption="Sales_Performance"/>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802083334" backgroundQuery="1" createdVersion="8" refreshedVersion="8" minRefreshableVersion="3" recordCount="0" supportSubquery="1" supportAdvancedDrill="1" xr:uid="{666BB838-3C3C-40E0-A734-9A9CBE7588A5}">
  <cacheSource type="external" connectionId="3"/>
  <cacheFields count="5">
    <cacheField name="[Calendar_Table].[Start of Month].[Start of Month]" caption="Start of Month" numFmtId="0" hierarchy="2" level="1">
      <sharedItems containsSemiMixedTypes="0" containsNonDate="0" containsDate="1" containsString="0" minDate="2023-01-01T00:00:00" maxDate="2023-12-02T00:00:00" count="12">
        <d v="2023-01-01T00:00:00"/>
        <d v="2023-02-01T00:00:00"/>
        <d v="2023-03-01T00:00:00"/>
        <d v="2023-04-01T00:00:00"/>
        <d v="2023-05-01T00:00:00"/>
        <d v="2023-06-01T00:00:00"/>
        <d v="2023-07-01T00:00:00"/>
        <d v="2023-08-01T00:00:00"/>
        <d v="2023-09-01T00:00:00"/>
        <d v="2023-10-01T00:00:00"/>
        <d v="2023-11-01T00:00:00"/>
        <d v="2023-12-01T00:00:00"/>
      </sharedItems>
    </cacheField>
    <cacheField name="[Measures].[Total Revenue]" caption="Total Revenue" numFmtId="0" hierarchy="43" level="32767"/>
    <cacheField name="[Calendar_Table].[Date (Year)].[Date (Year)]" caption="Date (Year)" numFmtId="0" hierarchy="8" level="1">
      <sharedItems containsSemiMixedTypes="0" containsNonDate="0" containsString="0"/>
    </cacheField>
    <cacheField name="[Calendar_Table].[Year].[Year]" caption="Year" numFmtId="0" hierarchy="1" level="1">
      <sharedItems containsSemiMixedTypes="0" containsNonDate="0" containsString="0"/>
    </cacheField>
    <cacheField name="[Sales_Performance].[Product Category].[Product Category]" caption="Product Category" numFmtId="0" hierarchy="29" level="1">
      <sharedItems containsSemiMixedTypes="0" containsNonDate="0" containsString="0"/>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fieldsUsage count="2">
        <fieldUsage x="-1"/>
        <fieldUsage x="3"/>
      </fieldsUsage>
    </cacheHierarchy>
    <cacheHierarchy uniqueName="[Calendar_Table].[Start of Month]" caption="Start of Month" attribute="1" time="1" defaultMemberUniqueName="[Calendar_Table].[Start of Month].[All]" allUniqueName="[Calendar_Table].[Start of Month].[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0" memberValueDatatype="130" unbalanced="0"/>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0" memberValueDatatype="130" unbalanced="0"/>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fieldsUsage count="2">
        <fieldUsage x="-1"/>
        <fieldUsage x="4"/>
      </fieldsUsage>
    </cacheHierarchy>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oneField="1">
      <fieldsUsage count="1">
        <fieldUsage x="1"/>
      </fieldsUsage>
    </cacheHierarchy>
    <cacheHierarchy uniqueName="[Measures].[Total Orders]" caption="Total Orders" measure="1" displayFolder="" measureGroup="Sales_Performance" count="0"/>
    <cacheHierarchy uniqueName="[Measures].[Total Quantity]" caption="Total Quantity" measure="1" displayFolder="" measureGroup="Sales_Performance" count="0"/>
    <cacheHierarchy uniqueName="[Measures].[Total Customers]" caption="Total Customers" measure="1" displayFolder="" measureGroup="Sales_Performance" count="0"/>
    <cacheHierarchy uniqueName="[Measures].[Average Order Value]" caption="Average Order Value" measure="1" displayFolder="" measureGroup="Sales_Performance" count="0"/>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ustomer_Details" uniqueName="[Customer_Details]" caption="Customer_Details"/>
    <dimension measure="1" name="Measures" uniqueName="[Measures]" caption="Measures"/>
    <dimension name="Sales_Performance" uniqueName="[Sales_Performance]" caption="Sales_Performance"/>
  </dimensions>
  <measureGroups count="3">
    <measureGroup name="Calendar_Table" caption="Calendar_Table"/>
    <measureGroup name="Customer_Details" caption="Customer_Details"/>
    <measureGroup name="Sales_Performance" caption="Sales_Performance"/>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805439813" backgroundQuery="1" createdVersion="8" refreshedVersion="8" minRefreshableVersion="3" recordCount="0" supportSubquery="1" supportAdvancedDrill="1" xr:uid="{E2522D49-878F-4839-BFDC-79CD67F7FBDE}">
  <cacheSource type="external" connectionId="3"/>
  <cacheFields count="2">
    <cacheField name="[Measures].[Total Revenue]" caption="Total Revenue" numFmtId="0" hierarchy="43" level="32767"/>
    <cacheField name="[Sales_Performance].[Product Category].[Product Category]" caption="Product Category" numFmtId="0" hierarchy="29" level="1">
      <sharedItems count="3">
        <s v="Beauty"/>
        <s v="Clothing"/>
        <s v="Electronics"/>
      </sharedItems>
    </cacheField>
  </cacheFields>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0" memberValueDatatype="20" unbalanced="0"/>
    <cacheHierarchy uniqueName="[Calendar_Table].[Start of Month]" caption="Start of Month" attribute="1" time="1" defaultMemberUniqueName="[Calendar_Table].[Start of Month].[All]" allUniqueName="[Calendar_Table].[Start of Month].[All]" dimensionUniqueName="[Calendar_Table]" displayFolder="" count="0" memberValueDatatype="7"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0" memberValueDatatype="130" unbalanced="0"/>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0" memberValueDatatype="130" unbalanced="0"/>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fieldsUsage count="2">
        <fieldUsage x="-1"/>
        <fieldUsage x="1"/>
      </fieldsUsage>
    </cacheHierarchy>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oneField="1">
      <fieldsUsage count="1">
        <fieldUsage x="0"/>
      </fieldsUsage>
    </cacheHierarchy>
    <cacheHierarchy uniqueName="[Measures].[Total Orders]" caption="Total Orders" measure="1" displayFolder="" measureGroup="Sales_Performance" count="0"/>
    <cacheHierarchy uniqueName="[Measures].[Total Quantity]" caption="Total Quantity" measure="1" displayFolder="" measureGroup="Sales_Performance" count="0"/>
    <cacheHierarchy uniqueName="[Measures].[Total Customers]" caption="Total Customers" measure="1" displayFolder="" measureGroup="Sales_Performance" count="0"/>
    <cacheHierarchy uniqueName="[Measures].[Average Order Value]" caption="Average Order Value" measure="1" displayFolder="" measureGroup="Sales_Performance" count="0"/>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4">
    <dimension name="Calendar_Table" uniqueName="[Calendar_Table]" caption="Calendar_Table"/>
    <dimension name="Customer_Details" uniqueName="[Customer_Details]" caption="Customer_Details"/>
    <dimension measure="1" name="Measures" uniqueName="[Measures]" caption="Measures"/>
    <dimension name="Sales_Performance" uniqueName="[Sales_Performance]" caption="Sales_Performance"/>
  </dimensions>
  <measureGroups count="3">
    <measureGroup name="Calendar_Table" caption="Calendar_Table"/>
    <measureGroup name="Customer_Details" caption="Customer_Details"/>
    <measureGroup name="Sales_Performance" caption="Sales_Performance"/>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iz Haikal Fahreza" refreshedDate="46238.250785763892" backgroundQuery="1" createdVersion="3" refreshedVersion="8" minRefreshableVersion="3" recordCount="0" supportSubquery="1" supportAdvancedDrill="1" xr:uid="{A68EA1E1-6ED1-4FAF-A545-76112A72E3A9}">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Year]" caption="Year" attribute="1" defaultMemberUniqueName="[Calendar_Table].[Year].[All]" allUniqueName="[Calendar_Table].[Year].[All]" dimensionUniqueName="[Calendar_Table]" displayFolder="" count="2" memberValueDatatype="20" unbalanced="0"/>
    <cacheHierarchy uniqueName="[Calendar_Table].[Start of Month]" caption="Start of Month" attribute="1" time="1" defaultMemberUniqueName="[Calendar_Table].[Start of Month].[All]" allUniqueName="[Calendar_Table].[Start of Month].[All]" dimensionUniqueName="[Calendar_Table]" displayFolder="" count="0" memberValueDatatype="7"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time="1" defaultMemberUniqueName="[Calendar_Table].[Month Name].[All]" allUniqueName="[Calendar_Table].[Month Name].[All]" dimensionUniqueName="[Calendar_Table]" displayFolder="" count="0" memberValueDatatype="7" unbalanced="0"/>
    <cacheHierarchy uniqueName="[Calendar_Table].[Day Of Week]" caption="Day Of Week" attribute="1" defaultMemberUniqueName="[Calendar_Table].[Day Of Week].[All]" allUniqueName="[Calendar_Table].[Day Of Week].[All]" dimensionUniqueName="[Calendar_Table]" displayFolder="" count="0" memberValueDatatype="20" unbalanced="0"/>
    <cacheHierarchy uniqueName="[Calendar_Table].[Day Name]" caption="Day Name" attribute="1" time="1" defaultMemberUniqueName="[Calendar_Table].[Day Name].[All]" allUniqueName="[Calendar_Table].[Day Name].[All]" dimensionUniqueName="[Calendar_Table]" displayFolder="" count="0" memberValueDatatype="7" unbalanced="0"/>
    <cacheHierarchy uniqueName="[Calendar_Table].[Is Weekend]" caption="Is Weekend" attribute="1" defaultMemberUniqueName="[Calendar_Table].[Is Weekend].[All]" allUniqueName="[Calendar_Table].[Is Weekend].[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Start of Month (Year)]" caption="Start of Month (Year)" attribute="1" defaultMemberUniqueName="[Calendar_Table].[Start of Month (Year)].[All]" allUniqueName="[Calendar_Table].[Start of Month (Year)].[All]" dimensionUniqueName="[Calendar_Table]" displayFolder="" count="0" memberValueDatatype="130" unbalanced="0"/>
    <cacheHierarchy uniqueName="[Calendar_Table].[Start of Month (Quarter)]" caption="Start of Month (Quarter)" attribute="1" defaultMemberUniqueName="[Calendar_Table].[Start of Month (Quarter)].[All]" allUniqueName="[Calendar_Table].[Start of Month (Quarter)].[All]" dimensionUniqueName="[Calendar_Table]" displayFolder="" count="0" memberValueDatatype="130" unbalanced="0"/>
    <cacheHierarchy uniqueName="[Calendar_Table].[Start of Month (Month)]" caption="Start of Month (Month)" attribute="1" defaultMemberUniqueName="[Calendar_Table].[Start of Month (Month)].[All]" allUniqueName="[Calendar_Table].[Start of Month (Month)].[All]" dimensionUniqueName="[Calendar_Table]" displayFolder="" count="0" memberValueDatatype="130" unbalanced="0"/>
    <cacheHierarchy uniqueName="[Calendar_Table].[Month Name (Month)]" caption="Month Name (Month)" attribute="1" defaultMemberUniqueName="[Calendar_Table].[Month Name (Month)].[All]" allUniqueName="[Calendar_Table].[Month Name (Month)].[All]" dimensionUniqueName="[Calendar_Table]" displayFolder="" count="0" memberValueDatatype="130" unbalanced="0"/>
    <cacheHierarchy uniqueName="[Calendar_Table].[Month Year (Year)]" caption="Month Year (Year)" attribute="1" defaultMemberUniqueName="[Calendar_Table].[Month Year (Year)].[All]" allUniqueName="[Calendar_Table].[Month Year (Year)].[All]" dimensionUniqueName="[Calendar_Table]" displayFolder="" count="0" memberValueDatatype="20" unbalanced="0"/>
    <cacheHierarchy uniqueName="[Calendar_Table].[Month Year (Quarter)]" caption="Month Year (Quarter)" attribute="1" defaultMemberUniqueName="[Calendar_Table].[Month Year (Quarter)].[All]" allUniqueName="[Calendar_Table].[Month Year (Quarter)].[All]" dimensionUniqueName="[Calendar_Table]" displayFolder="" count="0" memberValueDatatype="20" unbalanced="0"/>
    <cacheHierarchy uniqueName="[Calendar_Table].[Month Year (Month)]" caption="Month Year (Month)" attribute="1" defaultMemberUniqueName="[Calendar_Table].[Month Year (Month)].[All]" allUniqueName="[Calendar_Table].[Month Year (Month)].[All]" dimensionUniqueName="[Calendar_Table]" displayFolder="" count="0" memberValueDatatype="2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 caption="Age Group" attribute="1" defaultMemberUniqueName="[Customer_Details].[Age Group].[All]" allUniqueName="[Customer_Details].[Age Group].[All]" dimensionUniqueName="[Customer_Details]" displayFolder="" count="0" memberValueDatatype="130" unbalanced="0"/>
    <cacheHierarchy uniqueName="[Customer_Details].[First Purchase]" caption="First Purchase" attribute="1" time="1" defaultMemberUniqueName="[Customer_Details].[First Purchase].[All]" allUniqueName="[Customer_Details].[First Purchase].[All]" dimensionUniqueName="[Customer_Details]" displayFolder="" count="0" memberValueDatatype="7" unbalanced="0"/>
    <cacheHierarchy uniqueName="[Customer_Details].[Is Repeat Customer]" caption="Is Repeat Customer" attribute="1" defaultMemberUniqueName="[Customer_Details].[Is Repeat Customer].[All]" allUniqueName="[Customer_Details].[Is Repeat Customer].[All]" dimensionUniqueName="[Customer_Details]" displayFolder="" count="0" memberValueDatatype="130" unbalanced="0"/>
    <cacheHierarchy uniqueName="[Sales_Performance].[Transaction ID]" caption="Transaction ID" attribute="1" defaultMemberUniqueName="[Sales_Performance].[Transaction ID].[All]" allUniqueName="[Sales_Performance].[Transaction ID].[All]" dimensionUniqueName="[Sales_Performance]" displayFolder="" count="0" memberValueDatatype="130" unbalanced="0"/>
    <cacheHierarchy uniqueName="[Sales_Performance].[Date]" caption="Date" attribute="1" time="1" defaultMemberUniqueName="[Sales_Performance].[Date].[All]" allUniqueName="[Sales_Performance].[Date].[All]" dimensionUniqueName="[Sales_Performance]" displayFolder="" count="0" memberValueDatatype="7" unbalanced="0"/>
    <cacheHierarchy uniqueName="[Sales_Performance].[Customer ID]" caption="Customer ID" attribute="1" defaultMemberUniqueName="[Sales_Performance].[Customer ID].[All]" allUniqueName="[Sales_Performance].[Customer ID].[All]" dimensionUniqueName="[Sales_Performance]" displayFolder="" count="0" memberValueDatatype="130" unbalanced="0"/>
    <cacheHierarchy uniqueName="[Sales_Performance].[Gender]" caption="Gender" attribute="1" defaultMemberUniqueName="[Sales_Performance].[Gender].[All]" allUniqueName="[Sales_Performance].[Gender].[All]" dimensionUniqueName="[Sales_Performance]" displayFolder="" count="0" memberValueDatatype="130" unbalanced="0"/>
    <cacheHierarchy uniqueName="[Sales_Performance].[Age]" caption="Age" attribute="1" defaultMemberUniqueName="[Sales_Performance].[Age].[All]" allUniqueName="[Sales_Performance].[Age].[All]" dimensionUniqueName="[Sales_Performance]" displayFolder="" count="0" memberValueDatatype="20" unbalanced="0"/>
    <cacheHierarchy uniqueName="[Sales_Performance].[Product Category]" caption="Product Category" attribute="1" defaultMemberUniqueName="[Sales_Performance].[Product Category].[All]" allUniqueName="[Sales_Performance].[Product Category].[All]" dimensionUniqueName="[Sales_Performance]" displayFolder="" count="2" memberValueDatatype="130" unbalanced="0"/>
    <cacheHierarchy uniqueName="[Sales_Performance].[Quantity]" caption="Quantity" attribute="1" defaultMemberUniqueName="[Sales_Performance].[Quantity].[All]" allUniqueName="[Sales_Performance].[Quantity].[All]" dimensionUniqueName="[Sales_Performance]" displayFolder="" count="0" memberValueDatatype="20" unbalanced="0"/>
    <cacheHierarchy uniqueName="[Sales_Performance].[Price per Unit]" caption="Price per Unit" attribute="1" defaultMemberUniqueName="[Sales_Performance].[Price per Unit].[All]" allUniqueName="[Sales_Performance].[Price per Unit].[All]" dimensionUniqueName="[Sales_Performance]" displayFolder="" count="0" memberValueDatatype="20" unbalanced="0"/>
    <cacheHierarchy uniqueName="[Sales_Performance].[Total Amount]" caption="Total Amount" attribute="1" defaultMemberUniqueName="[Sales_Performance].[Total Amount].[All]" allUniqueName="[Sales_Performance].[Total Amount].[All]" dimensionUniqueName="[Sales_Performance]" displayFolder="" count="0" memberValueDatatype="20" unbalanced="0"/>
    <cacheHierarchy uniqueName="[Sales_Performance].[Is Returning Customer]" caption="Is Returning Customer" attribute="1" defaultMemberUniqueName="[Sales_Performance].[Is Returning Customer].[All]" allUniqueName="[Sales_Performance].[Is Returning Customer].[All]" dimensionUniqueName="[Sales_Performance]"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Month Name (Month Index)]" caption="Month Name (Month Index)" attribute="1" defaultMemberUniqueName="[Calendar_Table].[Month Name (Month Index)].[All]" allUniqueName="[Calendar_Table].[Month Name (Month Index)].[All]" dimensionUniqueName="[Calendar_Table]" displayFolder="" count="0" memberValueDatatype="20" unbalanced="0" hidden="1"/>
    <cacheHierarchy uniqueName="[Calendar_Table].[Month Year (Month Index)]" caption="Month Year (Month Index)" attribute="1" defaultMemberUniqueName="[Calendar_Table].[Month Year (Month Index)].[All]" allUniqueName="[Calendar_Table].[Month Year (Month Index)].[All]" dimensionUniqueName="[Calendar_Table]" displayFolder="" count="0" memberValueDatatype="20" unbalanced="0" hidden="1"/>
    <cacheHierarchy uniqueName="[Calendar_Table].[Start of Month (Month Index)]" caption="Start of Month (Month Index)" attribute="1" defaultMemberUniqueName="[Calendar_Table].[Start of Month (Month Index)].[All]" allUniqueName="[Calendar_Table].[Start of Month (Month Index)].[All]" dimensionUniqueName="[Calendar_Table]" displayFolder="" count="0" memberValueDatatype="20" unbalanced="0" hidden="1"/>
    <cacheHierarchy uniqueName="[Measures].[Sum of Year]" caption="Sum of Year" measure="1" displayFolder="" measureGroup="Calendar_Table" count="0">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Sales_Performance" count="0">
      <extLst>
        <ext xmlns:x15="http://schemas.microsoft.com/office/spreadsheetml/2010/11/main" uri="{B97F6D7D-B522-45F9-BDA1-12C45D357490}">
          <x15:cacheHierarchy aggregatedColumn="32"/>
        </ext>
      </extLst>
    </cacheHierarchy>
    <cacheHierarchy uniqueName="[Measures].[Sum of Quantity]" caption="Sum of Quantity" measure="1" displayFolder="" measureGroup="Sales_Performance" count="0">
      <extLst>
        <ext xmlns:x15="http://schemas.microsoft.com/office/spreadsheetml/2010/11/main" uri="{B97F6D7D-B522-45F9-BDA1-12C45D357490}">
          <x15:cacheHierarchy aggregatedColumn="30"/>
        </ext>
      </extLst>
    </cacheHierarchy>
    <cacheHierarchy uniqueName="[Measures].[Count of Is Returning Customer]" caption="Count of Is Returning Customer" measure="1" displayFolder="" measureGroup="Sales_Performance" count="0">
      <extLst>
        <ext xmlns:x15="http://schemas.microsoft.com/office/spreadsheetml/2010/11/main" uri="{B97F6D7D-B522-45F9-BDA1-12C45D357490}">
          <x15:cacheHierarchy aggregatedColumn="33"/>
        </ext>
      </extLst>
    </cacheHierarchy>
    <cacheHierarchy uniqueName="[Measures].[Sum of Month]" caption="Sum of Month" measure="1" displayFolder="" measureGroup="Calendar_Table" count="0">
      <extLst>
        <ext xmlns:x15="http://schemas.microsoft.com/office/spreadsheetml/2010/11/main" uri="{B97F6D7D-B522-45F9-BDA1-12C45D357490}">
          <x15:cacheHierarchy aggregatedColumn="3"/>
        </ext>
      </extLst>
    </cacheHierarchy>
    <cacheHierarchy uniqueName="[Measures].[Total Revenue]" caption="Total Revenue" measure="1" displayFolder="" measureGroup="Sales_Performance" count="0"/>
    <cacheHierarchy uniqueName="[Measures].[Total Orders]" caption="Total Orders" measure="1" displayFolder="" measureGroup="Sales_Performance" count="0"/>
    <cacheHierarchy uniqueName="[Measures].[Total Quantity]" caption="Total Quantity" measure="1" displayFolder="" measureGroup="Sales_Performance" count="0"/>
    <cacheHierarchy uniqueName="[Measures].[Total Customers]" caption="Total Customers" measure="1" displayFolder="" measureGroup="Sales_Performance" count="0"/>
    <cacheHierarchy uniqueName="[Measures].[Average Order Value]" caption="Average Order Value" measure="1" displayFolder="" measureGroup="Sales_Performance" count="0"/>
    <cacheHierarchy uniqueName="[Measures].[Average Price per Unit]" caption="Average Price per Unit" measure="1" displayFolder="" measureGroup="Sales_Performance" count="0"/>
    <cacheHierarchy uniqueName="[Measures].[Revenue per Customer]" caption="Revenue per Customer" measure="1" displayFolder="" measureGroup="Sales_Performance" count="0"/>
    <cacheHierarchy uniqueName="[Measures].[__XL_Count Sales_Performance]" caption="__XL_Count Sales_Performance" measure="1" displayFolder="" measureGroup="Sales_Performance" count="0" hidden="1"/>
    <cacheHierarchy uniqueName="[Measures].[__XL_Count Customer_Details]" caption="__XL_Count Customer_Details" measure="1" displayFolder="" measureGroup="Customer_Detail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60812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FE1A8-2138-4A69-ADF9-574E25E519C0}" name="PivotTable38" cacheId="0" applyNumberFormats="0" applyBorderFormats="0" applyFontFormats="0" applyPatternFormats="0" applyAlignmentFormats="0" applyWidthHeightFormats="1" dataCaption="Values" tag="2ebaa4c9-2c1d-4cb4-a6e9-50caf38c8d28" updatedVersion="8" minRefreshableVersion="5" subtotalHiddenItems="1" itemPrintTitles="1" createdVersion="8" indent="0" outline="1" outlineData="1" multipleFieldFilters="0" chartFormat="12">
  <location ref="D4:H17" firstHeaderRow="0"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5" subtotal="count" baseField="0" baseItem="0"/>
  </dataFields>
  <formats count="16">
    <format dxfId="15">
      <pivotArea dataOnly="0" labelOnly="1" fieldPosition="0">
        <references count="1">
          <reference field="0" count="0"/>
        </references>
      </pivotArea>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fieldPosition="0">
        <references count="1">
          <reference field="4294967294" count="4">
            <x v="0"/>
            <x v="1"/>
            <x v="2"/>
            <x v="3"/>
          </reference>
        </references>
      </pivotArea>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grandRow="1" outline="0" fieldPosition="0"/>
    </format>
  </formats>
  <pivotHierarchies count="54">
    <pivotHierarchy dragToData="1"/>
    <pivotHierarchy multipleItemSelectionAllowed="1" dragToData="1">
      <members count="1" level="1">
        <member name="[Calendar_Table].[Year].&amp;[2023]"/>
      </members>
    </pivotHierarchy>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315" name="[Calendar_Table].[Start of Month]">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A728C-858D-4508-A658-221311F27340}" name="PivotTable3" cacheId="4" applyNumberFormats="0" applyBorderFormats="0" applyFontFormats="0" applyPatternFormats="0" applyAlignmentFormats="0" applyWidthHeightFormats="1" dataCaption="Values" tag="86f6bc86-748b-4bb7-abbd-02189614bf11" updatedVersion="8" minRefreshableVersion="5" subtotalHiddenItems="1" itemPrintTitles="1" createdVersion="8" indent="0" outline="1" outlineData="1" multipleFieldFilters="0" chartFormat="21">
  <location ref="D21:E34"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2">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grandRow="1" outline="0" fieldPosition="0"/>
    </format>
    <format dxfId="23">
      <pivotArea dataOnly="0" labelOnly="1"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grandRow="1" outline="0" fieldPosition="0"/>
    </format>
    <format dxfId="18">
      <pivotArea dataOnly="0" labelOnly="1" outline="0" axis="axisValues" fieldPosition="0"/>
    </format>
    <format dxfId="17">
      <pivotArea field="0" type="button" dataOnly="0" labelOnly="1" outline="0" axis="axisRow" fieldPosition="0"/>
    </format>
    <format dxfId="16">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Year].&amp;[2023]"/>
      </members>
    </pivotHierarchy>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315" name="[Calendar_Table].[Start of Month]">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14DF09-872A-4484-8634-BC22F6B46F1A}" name="PivotTable1" cacheId="1" applyNumberFormats="0" applyBorderFormats="0" applyFontFormats="0" applyPatternFormats="0" applyAlignmentFormats="0" applyWidthHeightFormats="1" dataCaption="Values" tag="0d473c1d-3112-4909-ad89-8b15b3743638" updatedVersion="8" minRefreshableVersion="5" subtotalHiddenItems="1" itemPrintTitles="1" createdVersion="8" indent="0" outline="1" outlineData="1" multipleFieldFilters="0" chartFormat="12">
  <location ref="L10:M13"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12">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1"/>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s>
  <pivotHierarchies count="54">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95" name="[Calendar_Table].[Start of Month]">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etails]"/>
        <x15:activeTabTopLevelEntity name="[Sales_Performanc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946604-CB7E-4B71-84DF-BB9CA8B66ADC}" name="PivotTable43" cacheId="3" applyNumberFormats="0" applyBorderFormats="0" applyFontFormats="0" applyPatternFormats="0" applyAlignmentFormats="0" applyWidthHeightFormats="1" dataCaption="Values" tag="120ea11f-6866-4bf3-a4b1-572a48ddcf33" updatedVersion="8" minRefreshableVersion="5" useAutoFormatting="1" subtotalHiddenItems="1" itemPrintTitles="1" createdVersion="8" indent="0" outline="1" outlineData="1" multipleFieldFilters="0" chartFormat="11">
  <location ref="L16:N22" firstHeaderRow="0" firstDataRow="1" firstDataCol="1"/>
  <pivotFields count="6">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3" subtotal="count" baseField="0" baseItem="0"/>
    <dataField fld="2" subtotal="count" baseField="0" baseItem="0"/>
  </dataFields>
  <formats count="11">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s>
  <chartFormats count="2">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95" name="[Calendar_Table].[Start of Month]">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etails]"/>
        <x15:activeTabTopLevelEntity name="[Sales_Performanc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85861F-010C-43A2-BB8E-FC4EE95F240D}" name="PivotTable40" cacheId="2" applyNumberFormats="0" applyBorderFormats="0" applyFontFormats="0" applyPatternFormats="0" applyAlignmentFormats="0" applyWidthHeightFormats="1" dataCaption="Values" tag="32ea3c4d-4fe6-40be-9c99-3ce914e9c942" updatedVersion="8" minRefreshableVersion="5" useAutoFormatting="1" subtotalHiddenItems="1" itemPrintTitles="1" createdVersion="8" indent="0" outline="1" outlineData="1" multipleFieldFilters="0" chartFormat="4">
  <location ref="L4:M7" firstHeaderRow="1" firstDataRow="1" firstDataCol="1"/>
  <pivotFields count="5">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12">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s>
  <pivotHierarchies count="54">
    <pivotHierarchy dragToData="1"/>
    <pivotHierarchy multipleItemSelectionAllowed="1" dragToData="1">
      <members count="1" level="1">
        <member name="[Calendar_Table].[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95" name="[Calendar_Table].[Start of Month]">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etails]"/>
        <x15:activeTabTopLevelEntity name="[Sales_Performanc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79317-1A02-4EB4-BAD8-D9F114EBA16C}" name="PivotTable4" cacheId="5" applyNumberFormats="0" applyBorderFormats="0" applyFontFormats="0" applyPatternFormats="0" applyAlignmentFormats="0" applyWidthHeightFormats="1" dataCaption="Values" tag="280c3fa4-a782-402d-8f50-886046bc1f21" updatedVersion="8" minRefreshableVersion="3" useAutoFormatting="1" subtotalHiddenItems="1" itemPrintTitles="1" createdVersion="8" indent="0" outline="1" outlineData="1" multipleFieldFilters="0" chartFormat="1">
  <location ref="L24:M28"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formats count="6">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A0D2291-4CBD-44DF-A7C6-4A6D3C6D6E8C}" autoFormatId="16" applyNumberFormats="0" applyBorderFormats="0" applyFontFormats="0" applyPatternFormats="0" applyAlignmentFormats="0" applyWidthHeightFormats="0">
  <queryTableRefresh nextId="11" unboundColumnsRight="1">
    <queryTableFields count="10">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A11C8DD-D937-46CF-BDFD-1BA757BD30C7}" autoFormatId="16" applyNumberFormats="0" applyBorderFormats="0" applyFontFormats="0" applyPatternFormats="0" applyAlignmentFormats="0" applyWidthHeightFormats="0">
  <queryTableRefresh nextId="8" unboundColumnsRight="5">
    <queryTableFields count="6">
      <queryTableField id="1" name="Customer ID" tableColumnId="1"/>
      <queryTableField id="2" dataBound="0" tableColumnId="2"/>
      <queryTableField id="3" dataBound="0" tableColumnId="3"/>
      <queryTableField id="4" dataBound="0" tableColumnId="4"/>
      <queryTableField id="5" dataBound="0"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5B84E6-9187-4749-B82A-6D16DC3CCF34}" sourceName="[Calendar_Table].[Year]">
  <pivotTables>
    <pivotTable tabId="17" name="PivotTable3"/>
    <pivotTable tabId="17" name="PivotTable1"/>
    <pivotTable tabId="17" name="PivotTable38"/>
    <pivotTable tabId="17" name="PivotTable40"/>
    <pivotTable tabId="17" name="PivotTable43"/>
  </pivotTables>
  <data>
    <olap pivotCacheId="756081296">
      <levels count="2">
        <level uniqueName="[Calendar_Table].[Year].[(All)]" sourceCaption="(All)" count="0"/>
        <level uniqueName="[Calendar_Table].[Year].[Year]" sourceCaption="Year" count="2">
          <ranges>
            <range startItem="0">
              <i n="[Calendar_Table].[Year].&amp;[2023]" c="2023"/>
              <i n="[Calendar_Table].[Year].&amp;[2024]" c="2024"/>
            </range>
          </ranges>
        </level>
      </levels>
      <selections count="1">
        <selection n="[Calendar_Table].[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C157AA4-E1A2-4100-8760-46CAA4EE00B2}" sourceName="[Sales_Performance].[Product Category]">
  <pivotTables>
    <pivotTable tabId="17" name="PivotTable38"/>
    <pivotTable tabId="17" name="PivotTable1"/>
    <pivotTable tabId="17" name="PivotTable40"/>
    <pivotTable tabId="17" name="PivotTable43"/>
    <pivotTable tabId="17" name="PivotTable3"/>
    <pivotTable tabId="17" name="PivotTable4"/>
  </pivotTables>
  <data>
    <olap pivotCacheId="756081296">
      <levels count="2">
        <level uniqueName="[Sales_Performance].[Product Category].[(All)]" sourceCaption="(All)" count="0"/>
        <level uniqueName="[Sales_Performance].[Product Category].[Product Category]" sourceCaption="Product Category" count="3">
          <ranges>
            <range startItem="0">
              <i n="[Sales_Performance].[Product Category].&amp;[Beauty]" c="Beauty"/>
              <i n="[Sales_Performance].[Product Category].&amp;[Clothing]" c="Clothing"/>
              <i n="[Sales_Performance].[Product Category].&amp;[Electronics]" c="Electronics"/>
            </range>
          </ranges>
        </level>
      </levels>
      <selections count="1">
        <selection n="[Sales_Performance].[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C5157B0-94AC-47AC-9480-7319915FC60F}" cache="Slicer_Year" caption="Year" level="1" style="SlicerStyleLight2" rowHeight="251883"/>
  <slicer name="Category" xr10:uid="{82BD7936-6B48-4EF4-AC22-8C9F462AE45E}" cache="Slicer_Product_Category" caption="Category" level="1"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42EC86-8954-4056-A8BB-CE8E68F1D813}" name="Sales_Performance" displayName="Sales_Performance" ref="A1:J1001" tableType="queryTable" totalsRowShown="0">
  <sortState xmlns:xlrd2="http://schemas.microsoft.com/office/spreadsheetml/2017/richdata2" ref="A2:J1001">
    <sortCondition ref="A1:A1001"/>
  </sortState>
  <tableColumns count="10">
    <tableColumn id="1" xr3:uid="{EEABE9F8-94DD-4B7D-82FB-ED65784927E5}" uniqueName="1" name="Transaction ID" queryTableFieldId="1"/>
    <tableColumn id="2" xr3:uid="{9FB4B24F-8AC5-4F28-A6E7-00747E895C67}" uniqueName="2" name="Date" queryTableFieldId="2" dataDxfId="82"/>
    <tableColumn id="3" xr3:uid="{E8BC3BA7-4AD4-4193-A488-FBAFD2C89F94}" uniqueName="3" name="Customer ID" queryTableFieldId="3"/>
    <tableColumn id="4" xr3:uid="{5044255F-B2FD-49FE-B237-E9D9B372E1CD}" uniqueName="4" name="Gender" queryTableFieldId="4"/>
    <tableColumn id="5" xr3:uid="{E1B03977-6560-4E8F-8263-76719C8604F7}" uniqueName="5" name="Age" queryTableFieldId="5"/>
    <tableColumn id="6" xr3:uid="{5F2BCF59-F38D-4818-A6C4-93886CE7200B}" uniqueName="6" name="Product Category" queryTableFieldId="6"/>
    <tableColumn id="7" xr3:uid="{64BA9F53-E572-4192-8ADC-32F97FDD92C9}" uniqueName="7" name="Quantity" queryTableFieldId="7"/>
    <tableColumn id="8" xr3:uid="{0B8008B7-4D6E-42C4-B9C9-220D3DA04BF7}" uniqueName="8" name="Price per Unit" queryTableFieldId="8" dataDxfId="81"/>
    <tableColumn id="9" xr3:uid="{67C0DF3B-677F-4F58-B246-571644D25ECE}" uniqueName="9" name="Total Amount" queryTableFieldId="9" dataDxfId="80"/>
    <tableColumn id="10" xr3:uid="{EBD8ACCF-6511-46F5-81EE-5529044FE923}" uniqueName="10" name="Is Returning Customer" queryTableFieldId="10" dataDxfId="79">
      <calculatedColumnFormula>IF(
   Sales_Performance[[#This Row],[Date]] = _xlfn.MINIFS(Sales_Performance[Date],Sales_Performance[Customer ID],Sales_Performance[[#This Row],[Customer ID]]),
   "New Customer",
   "Returning Customer"
)</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F9FD7E-EE09-4184-A99C-61FA9A382D71}" name="Customer_Details" displayName="Customer_Details" ref="A1:F495" tableType="queryTable" totalsRowShown="0">
  <sortState xmlns:xlrd2="http://schemas.microsoft.com/office/spreadsheetml/2017/richdata2" ref="A2:F495">
    <sortCondition ref="A1:A495"/>
  </sortState>
  <tableColumns count="6">
    <tableColumn id="1" xr3:uid="{E3C2CA07-CACD-4D95-BC0D-C0E4ABEB488D}" uniqueName="1" name="Customer ID" queryTableFieldId="1" dataDxfId="78"/>
    <tableColumn id="2" xr3:uid="{923DBED4-91C4-4AA7-9CC5-202ED0784143}" uniqueName="2" name="Gender" queryTableFieldId="2" dataDxfId="77">
      <calculatedColumnFormula>VLOOKUP(A2,Sales_Performance[[Customer ID]:[Total Amount]],2,0)</calculatedColumnFormula>
    </tableColumn>
    <tableColumn id="3" xr3:uid="{34B996FF-D136-4194-B4FC-B8B2E0113FAB}" uniqueName="3" name="Age" queryTableFieldId="3" dataDxfId="76">
      <calculatedColumnFormula>_xlfn.XLOOKUP(A2,Sales_Performance[Customer ID],Sales_Performance[Age],0)</calculatedColumnFormula>
    </tableColumn>
    <tableColumn id="4" xr3:uid="{BDE4B6C8-A0C6-4A02-8072-368E05BE8110}" uniqueName="4" name="Age Group" queryTableFieldId="4" dataDxfId="75">
      <calculatedColumnFormula array="1">_xlfn.IFS(
   C2 &lt; 18, "Under 18",
   C2 &lt;= 24, "18-24",
   C2 &lt;= 34, "25-34",
   C2 &lt;= 44, "35-44",
   C2 &lt;= 54, "45-54",
   C2 &lt;= 64, "55-64",
   TRUE, "65+"
)</calculatedColumnFormula>
    </tableColumn>
    <tableColumn id="5" xr3:uid="{F755CF2D-E25F-4EF1-B8C1-40E45AA707DC}" uniqueName="5" name="First Purchase" queryTableFieldId="5" dataDxfId="74"/>
    <tableColumn id="6" xr3:uid="{A1D339DE-3D8D-4BE8-8AA8-49F13698253C}" uniqueName="6" name="Is Repeat Customer" queryTableFieldId="6" dataDxfId="73"/>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8695AE-63A6-413A-A615-F263AE1F99E2}" name="Calendar_Table" displayName="Calendar_Table" ref="A1:H367" totalsRowShown="0">
  <tableColumns count="8">
    <tableColumn id="1" xr3:uid="{8DD954C0-12B8-4CB2-BB0E-3C3AC115C7AC}" name="Date" dataDxfId="72">
      <calculatedColumnFormula>IF(
  A1+1&gt;MAX(Sales_Performance[Date]),
 "",
  A1+1
)</calculatedColumnFormula>
    </tableColumn>
    <tableColumn id="2" xr3:uid="{7FED8F74-4951-4430-8B24-461A0FA5BA6C}" name="Year">
      <calculatedColumnFormula>YEAR(A2)</calculatedColumnFormula>
    </tableColumn>
    <tableColumn id="9" xr3:uid="{66D8BA8B-A1B8-427E-A62C-A6D951C57356}" name="Start of Month" dataDxfId="71">
      <calculatedColumnFormula>DATE(
  YEAR(Calendar_Table[[#This Row],[Date]]),
  MONTH(Calendar_Table[[#This Row],[Date]]),
  1
)</calculatedColumnFormula>
    </tableColumn>
    <tableColumn id="3" xr3:uid="{69975CAF-C4D2-4A1D-809B-92AEE6964C80}" name="Month">
      <calculatedColumnFormula>MONTH(A2)</calculatedColumnFormula>
    </tableColumn>
    <tableColumn id="7" xr3:uid="{28FE6F82-9F9D-41A5-B87C-3DD71D45819A}" name="Month Name" dataDxfId="70">
      <calculatedColumnFormula>TEXT(Calendar_Table[[#This Row],[Date]],"mmmm")</calculatedColumnFormula>
    </tableColumn>
    <tableColumn id="4" xr3:uid="{AEC0F461-B4C2-4EF3-BFB2-C03D8C9CBB52}" name="Day Of Week">
      <calculatedColumnFormula>WEEKDAY(A2,2)</calculatedColumnFormula>
    </tableColumn>
    <tableColumn id="8" xr3:uid="{4380F63F-8DAF-42B9-8D32-AB610C70CC03}" name="Day Name" dataDxfId="69">
      <calculatedColumnFormula>TEXT(Calendar_Table[[#This Row],[Date]],"dddd")</calculatedColumnFormula>
    </tableColumn>
    <tableColumn id="5" xr3:uid="{F5873C7F-FD22-45A5-A076-93E4B6E65846}" name="Is Weekend">
      <calculatedColumnFormula>IF(
   OR(
      F2=6,
      F2=7,
   ),
   "Weekend",
   "Weekday"
)</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5603-AAD3-4D4A-BE5C-BB011EE2AA15}">
  <dimension ref="A1:J1001"/>
  <sheetViews>
    <sheetView zoomScale="90" zoomScaleNormal="90" workbookViewId="0">
      <selection activeCell="H15" sqref="H15"/>
    </sheetView>
  </sheetViews>
  <sheetFormatPr defaultRowHeight="14.5" x14ac:dyDescent="0.35"/>
  <cols>
    <col min="1" max="1" width="13.08984375" bestFit="1" customWidth="1"/>
    <col min="2" max="2" width="10.54296875" style="1" bestFit="1" customWidth="1"/>
    <col min="3" max="3" width="11.453125" bestFit="1" customWidth="1"/>
    <col min="4" max="4" width="7.26953125" bestFit="1" customWidth="1"/>
    <col min="5" max="5" width="4.08984375" bestFit="1" customWidth="1"/>
    <col min="6" max="6" width="15.6328125" bestFit="1" customWidth="1"/>
    <col min="7" max="7" width="8.26953125" bestFit="1" customWidth="1"/>
    <col min="8" max="8" width="13.6328125" style="2" bestFit="1" customWidth="1"/>
    <col min="9" max="9" width="13.1796875" style="2" bestFit="1" customWidth="1"/>
    <col min="10" max="10" width="19.7265625" style="1" bestFit="1" customWidth="1"/>
  </cols>
  <sheetData>
    <row r="1" spans="1:10" x14ac:dyDescent="0.35">
      <c r="A1" t="s">
        <v>0</v>
      </c>
      <c r="B1" s="1" t="s">
        <v>1</v>
      </c>
      <c r="C1" t="s">
        <v>2</v>
      </c>
      <c r="D1" t="s">
        <v>3</v>
      </c>
      <c r="E1" t="s">
        <v>4</v>
      </c>
      <c r="F1" t="s">
        <v>5</v>
      </c>
      <c r="G1" t="s">
        <v>6</v>
      </c>
      <c r="H1" s="2" t="s">
        <v>7</v>
      </c>
      <c r="I1" s="2" t="s">
        <v>8</v>
      </c>
      <c r="J1" s="1" t="s">
        <v>1510</v>
      </c>
    </row>
    <row r="2" spans="1:10" x14ac:dyDescent="0.35">
      <c r="A2" t="s">
        <v>854</v>
      </c>
      <c r="B2" s="1">
        <v>45254</v>
      </c>
      <c r="C2" t="s">
        <v>787</v>
      </c>
      <c r="D2" t="s">
        <v>10</v>
      </c>
      <c r="E2">
        <v>34</v>
      </c>
      <c r="F2" t="s">
        <v>18</v>
      </c>
      <c r="G2">
        <v>3</v>
      </c>
      <c r="H2" s="2">
        <v>50</v>
      </c>
      <c r="I2" s="2">
        <v>150</v>
      </c>
      <c r="J2" s="1" t="str">
        <f>IF(
   Sales_Performance[[#This Row],[Date]] = _xlfn.MINIFS(Sales_Performance[Date],Sales_Performance[Customer ID],Sales_Performance[[#This Row],[Customer ID]]),
   "New Customer",
   "Returning Customer"
)</f>
        <v>New Customer</v>
      </c>
    </row>
    <row r="3" spans="1:10" x14ac:dyDescent="0.35">
      <c r="A3" t="s">
        <v>56</v>
      </c>
      <c r="B3" s="1">
        <v>45206</v>
      </c>
      <c r="C3" t="s">
        <v>932</v>
      </c>
      <c r="D3" t="s">
        <v>15</v>
      </c>
      <c r="E3">
        <v>52</v>
      </c>
      <c r="F3" t="s">
        <v>16</v>
      </c>
      <c r="G3">
        <v>4</v>
      </c>
      <c r="H3" s="2">
        <v>50</v>
      </c>
      <c r="I3" s="2">
        <v>200</v>
      </c>
      <c r="J3" s="1" t="str">
        <f>IF(
   Sales_Performance[[#This Row],[Date]] = _xlfn.MINIFS(Sales_Performance[Date],Sales_Performance[Customer ID],Sales_Performance[[#This Row],[Customer ID]]),
   "New Customer",
   "Returning Customer"
)</f>
        <v>New Customer</v>
      </c>
    </row>
    <row r="4" spans="1:10" x14ac:dyDescent="0.35">
      <c r="A4" t="s">
        <v>92</v>
      </c>
      <c r="B4" s="1">
        <v>45093</v>
      </c>
      <c r="C4" t="s">
        <v>673</v>
      </c>
      <c r="D4" t="s">
        <v>10</v>
      </c>
      <c r="E4">
        <v>41</v>
      </c>
      <c r="F4" t="s">
        <v>11</v>
      </c>
      <c r="G4">
        <v>1</v>
      </c>
      <c r="H4" s="2">
        <v>30</v>
      </c>
      <c r="I4" s="2">
        <v>30</v>
      </c>
      <c r="J4" s="1" t="str">
        <f>IF(
   Sales_Performance[[#This Row],[Date]] = _xlfn.MINIFS(Sales_Performance[Date],Sales_Performance[Customer ID],Sales_Performance[[#This Row],[Customer ID]]),
   "New Customer",
   "Returning Customer"
)</f>
        <v>New Customer</v>
      </c>
    </row>
    <row r="5" spans="1:10" x14ac:dyDescent="0.35">
      <c r="A5" t="s">
        <v>1369</v>
      </c>
      <c r="B5" s="1">
        <v>45028</v>
      </c>
      <c r="C5" t="s">
        <v>406</v>
      </c>
      <c r="D5" t="s">
        <v>10</v>
      </c>
      <c r="E5">
        <v>47</v>
      </c>
      <c r="F5" t="s">
        <v>11</v>
      </c>
      <c r="G5">
        <v>4</v>
      </c>
      <c r="H5" s="2">
        <v>30</v>
      </c>
      <c r="I5" s="2">
        <v>120</v>
      </c>
      <c r="J5" s="1" t="str">
        <f>IF(
   Sales_Performance[[#This Row],[Date]] = _xlfn.MINIFS(Sales_Performance[Date],Sales_Performance[Customer ID],Sales_Performance[[#This Row],[Customer ID]]),
   "New Customer",
   "Returning Customer"
)</f>
        <v>Returning Customer</v>
      </c>
    </row>
    <row r="6" spans="1:10" x14ac:dyDescent="0.35">
      <c r="A6" t="s">
        <v>1293</v>
      </c>
      <c r="B6" s="1">
        <v>44955</v>
      </c>
      <c r="C6" t="s">
        <v>1292</v>
      </c>
      <c r="D6" t="s">
        <v>10</v>
      </c>
      <c r="E6">
        <v>32</v>
      </c>
      <c r="F6" t="s">
        <v>16</v>
      </c>
      <c r="G6">
        <v>2</v>
      </c>
      <c r="H6" s="2">
        <v>300</v>
      </c>
      <c r="I6" s="2">
        <v>600</v>
      </c>
      <c r="J6" s="1" t="str">
        <f>IF(
   Sales_Performance[[#This Row],[Date]] = _xlfn.MINIFS(Sales_Performance[Date],Sales_Performance[Customer ID],Sales_Performance[[#This Row],[Customer ID]]),
   "New Customer",
   "Returning Customer"
)</f>
        <v>New Customer</v>
      </c>
    </row>
    <row r="7" spans="1:10" x14ac:dyDescent="0.35">
      <c r="A7" t="s">
        <v>664</v>
      </c>
      <c r="B7" s="1">
        <v>45044</v>
      </c>
      <c r="C7" t="s">
        <v>540</v>
      </c>
      <c r="D7" t="s">
        <v>15</v>
      </c>
      <c r="E7">
        <v>47</v>
      </c>
      <c r="F7" t="s">
        <v>18</v>
      </c>
      <c r="G7">
        <v>2</v>
      </c>
      <c r="H7" s="2">
        <v>25</v>
      </c>
      <c r="I7" s="2">
        <v>50</v>
      </c>
      <c r="J7" s="1" t="str">
        <f>IF(
   Sales_Performance[[#This Row],[Date]] = _xlfn.MINIFS(Sales_Performance[Date],Sales_Performance[Customer ID],Sales_Performance[[#This Row],[Customer ID]]),
   "New Customer",
   "Returning Customer"
)</f>
        <v>New Customer</v>
      </c>
    </row>
    <row r="8" spans="1:10" x14ac:dyDescent="0.35">
      <c r="A8" t="s">
        <v>76</v>
      </c>
      <c r="B8" s="1">
        <v>44943</v>
      </c>
      <c r="C8" t="s">
        <v>579</v>
      </c>
      <c r="D8" t="s">
        <v>15</v>
      </c>
      <c r="E8">
        <v>59</v>
      </c>
      <c r="F8" t="s">
        <v>16</v>
      </c>
      <c r="G8">
        <v>1</v>
      </c>
      <c r="H8" s="2">
        <v>25</v>
      </c>
      <c r="I8" s="2">
        <v>25</v>
      </c>
      <c r="J8" s="1" t="str">
        <f>IF(
   Sales_Performance[[#This Row],[Date]] = _xlfn.MINIFS(Sales_Performance[Date],Sales_Performance[Customer ID],Sales_Performance[[#This Row],[Customer ID]]),
   "New Customer",
   "Returning Customer"
)</f>
        <v>New Customer</v>
      </c>
    </row>
    <row r="9" spans="1:10" x14ac:dyDescent="0.35">
      <c r="A9" t="s">
        <v>970</v>
      </c>
      <c r="B9" s="1">
        <v>45088</v>
      </c>
      <c r="C9" t="s">
        <v>985</v>
      </c>
      <c r="D9" t="s">
        <v>15</v>
      </c>
      <c r="E9">
        <v>34</v>
      </c>
      <c r="F9" t="s">
        <v>18</v>
      </c>
      <c r="G9">
        <v>2</v>
      </c>
      <c r="H9" s="2">
        <v>500</v>
      </c>
      <c r="I9" s="2">
        <v>1000</v>
      </c>
      <c r="J9" s="1" t="str">
        <f>IF(
   Sales_Performance[[#This Row],[Date]] = _xlfn.MINIFS(Sales_Performance[Date],Sales_Performance[Customer ID],Sales_Performance[[#This Row],[Customer ID]]),
   "New Customer",
   "Returning Customer"
)</f>
        <v>New Customer</v>
      </c>
    </row>
    <row r="10" spans="1:10" x14ac:dyDescent="0.35">
      <c r="A10" t="s">
        <v>1019</v>
      </c>
      <c r="B10" s="1">
        <v>45132</v>
      </c>
      <c r="C10" t="s">
        <v>300</v>
      </c>
      <c r="D10" t="s">
        <v>15</v>
      </c>
      <c r="E10">
        <v>22</v>
      </c>
      <c r="F10" t="s">
        <v>11</v>
      </c>
      <c r="G10">
        <v>1</v>
      </c>
      <c r="H10" s="2">
        <v>500</v>
      </c>
      <c r="I10" s="2">
        <v>500</v>
      </c>
      <c r="J10" s="1" t="str">
        <f>IF(
   Sales_Performance[[#This Row],[Date]] = _xlfn.MINIFS(Sales_Performance[Date],Sales_Performance[Customer ID],Sales_Performance[[#This Row],[Customer ID]]),
   "New Customer",
   "Returning Customer"
)</f>
        <v>Returning Customer</v>
      </c>
    </row>
    <row r="11" spans="1:10" x14ac:dyDescent="0.35">
      <c r="A11" t="s">
        <v>1098</v>
      </c>
      <c r="B11" s="1">
        <v>45064</v>
      </c>
      <c r="C11" t="s">
        <v>260</v>
      </c>
      <c r="D11" t="s">
        <v>15</v>
      </c>
      <c r="E11">
        <v>46</v>
      </c>
      <c r="F11" t="s">
        <v>16</v>
      </c>
      <c r="G11">
        <v>1</v>
      </c>
      <c r="H11" s="2">
        <v>50</v>
      </c>
      <c r="I11" s="2">
        <v>50</v>
      </c>
      <c r="J11" s="1" t="str">
        <f>IF(
   Sales_Performance[[#This Row],[Date]] = _xlfn.MINIFS(Sales_Performance[Date],Sales_Performance[Customer ID],Sales_Performance[[#This Row],[Customer ID]]),
   "New Customer",
   "Returning Customer"
)</f>
        <v>New Customer</v>
      </c>
    </row>
    <row r="12" spans="1:10" x14ac:dyDescent="0.35">
      <c r="A12" t="s">
        <v>1271</v>
      </c>
      <c r="B12" s="1">
        <v>44960</v>
      </c>
      <c r="C12" t="s">
        <v>1288</v>
      </c>
      <c r="D12" t="s">
        <v>15</v>
      </c>
      <c r="E12">
        <v>21</v>
      </c>
      <c r="F12" t="s">
        <v>16</v>
      </c>
      <c r="G12">
        <v>4</v>
      </c>
      <c r="H12" s="2">
        <v>300</v>
      </c>
      <c r="I12" s="2">
        <v>1200</v>
      </c>
      <c r="J12" s="1" t="str">
        <f>IF(
   Sales_Performance[[#This Row],[Date]] = _xlfn.MINIFS(Sales_Performance[Date],Sales_Performance[Customer ID],Sales_Performance[[#This Row],[Customer ID]]),
   "New Customer",
   "Returning Customer"
)</f>
        <v>Returning Customer</v>
      </c>
    </row>
    <row r="13" spans="1:10" x14ac:dyDescent="0.35">
      <c r="A13" t="s">
        <v>1348</v>
      </c>
      <c r="B13" s="1">
        <v>45035</v>
      </c>
      <c r="C13" t="s">
        <v>114</v>
      </c>
      <c r="D13" t="s">
        <v>15</v>
      </c>
      <c r="E13">
        <v>27</v>
      </c>
      <c r="F13" t="s">
        <v>18</v>
      </c>
      <c r="G13">
        <v>3</v>
      </c>
      <c r="H13" s="2">
        <v>25</v>
      </c>
      <c r="I13" s="2">
        <v>75</v>
      </c>
      <c r="J13" s="1" t="str">
        <f>IF(
   Sales_Performance[[#This Row],[Date]] = _xlfn.MINIFS(Sales_Performance[Date],Sales_Performance[Customer ID],Sales_Performance[[#This Row],[Customer ID]]),
   "New Customer",
   "Returning Customer"
)</f>
        <v>Returning Customer</v>
      </c>
    </row>
    <row r="14" spans="1:10" x14ac:dyDescent="0.35">
      <c r="A14" t="s">
        <v>157</v>
      </c>
      <c r="B14" s="1">
        <v>45217</v>
      </c>
      <c r="C14" t="s">
        <v>1029</v>
      </c>
      <c r="D14" t="s">
        <v>15</v>
      </c>
      <c r="E14">
        <v>34</v>
      </c>
      <c r="F14" t="s">
        <v>11</v>
      </c>
      <c r="G14">
        <v>4</v>
      </c>
      <c r="H14" s="2">
        <v>500</v>
      </c>
      <c r="I14" s="2">
        <v>2000</v>
      </c>
      <c r="J14" s="1" t="str">
        <f>IF(
   Sales_Performance[[#This Row],[Date]] = _xlfn.MINIFS(Sales_Performance[Date],Sales_Performance[Customer ID],Sales_Performance[[#This Row],[Customer ID]]),
   "New Customer",
   "Returning Customer"
)</f>
        <v>Returning Customer</v>
      </c>
    </row>
    <row r="15" spans="1:10" x14ac:dyDescent="0.35">
      <c r="A15" t="s">
        <v>772</v>
      </c>
      <c r="B15" s="1">
        <v>44971</v>
      </c>
      <c r="C15" t="s">
        <v>321</v>
      </c>
      <c r="D15" t="s">
        <v>10</v>
      </c>
      <c r="E15">
        <v>23</v>
      </c>
      <c r="F15" t="s">
        <v>16</v>
      </c>
      <c r="G15">
        <v>2</v>
      </c>
      <c r="H15" s="2">
        <v>50</v>
      </c>
      <c r="I15" s="2">
        <v>100</v>
      </c>
      <c r="J15" s="1" t="str">
        <f>IF(
   Sales_Performance[[#This Row],[Date]] = _xlfn.MINIFS(Sales_Performance[Date],Sales_Performance[Customer ID],Sales_Performance[[#This Row],[Customer ID]]),
   "New Customer",
   "Returning Customer"
)</f>
        <v>New Customer</v>
      </c>
    </row>
    <row r="16" spans="1:10" x14ac:dyDescent="0.35">
      <c r="A16" t="s">
        <v>252</v>
      </c>
      <c r="B16" s="1">
        <v>45088</v>
      </c>
      <c r="C16" t="s">
        <v>642</v>
      </c>
      <c r="D16" t="s">
        <v>10</v>
      </c>
      <c r="E16">
        <v>27</v>
      </c>
      <c r="F16" t="s">
        <v>16</v>
      </c>
      <c r="G16">
        <v>3</v>
      </c>
      <c r="H16" s="2">
        <v>300</v>
      </c>
      <c r="I16" s="2">
        <v>900</v>
      </c>
      <c r="J16" s="1" t="str">
        <f>IF(
   Sales_Performance[[#This Row],[Date]] = _xlfn.MINIFS(Sales_Performance[Date],Sales_Performance[Customer ID],Sales_Performance[[#This Row],[Customer ID]]),
   "New Customer",
   "Returning Customer"
)</f>
        <v>New Customer</v>
      </c>
    </row>
    <row r="17" spans="1:10" x14ac:dyDescent="0.35">
      <c r="A17" t="s">
        <v>178</v>
      </c>
      <c r="B17" s="1">
        <v>45035</v>
      </c>
      <c r="C17" t="s">
        <v>765</v>
      </c>
      <c r="D17" t="s">
        <v>15</v>
      </c>
      <c r="E17">
        <v>34</v>
      </c>
      <c r="F17" t="s">
        <v>11</v>
      </c>
      <c r="G17">
        <v>3</v>
      </c>
      <c r="H17" s="2">
        <v>500</v>
      </c>
      <c r="I17" s="2">
        <v>1500</v>
      </c>
      <c r="J17" s="1" t="str">
        <f>IF(
   Sales_Performance[[#This Row],[Date]] = _xlfn.MINIFS(Sales_Performance[Date],Sales_Performance[Customer ID],Sales_Performance[[#This Row],[Customer ID]]),
   "New Customer",
   "Returning Customer"
)</f>
        <v>Returning Customer</v>
      </c>
    </row>
    <row r="18" spans="1:10" x14ac:dyDescent="0.35">
      <c r="A18" t="s">
        <v>947</v>
      </c>
      <c r="B18" s="1">
        <v>45262</v>
      </c>
      <c r="C18" t="s">
        <v>859</v>
      </c>
      <c r="D18" t="s">
        <v>10</v>
      </c>
      <c r="E18">
        <v>37</v>
      </c>
      <c r="F18" t="s">
        <v>16</v>
      </c>
      <c r="G18">
        <v>3</v>
      </c>
      <c r="H18" s="2">
        <v>500</v>
      </c>
      <c r="I18" s="2">
        <v>1500</v>
      </c>
      <c r="J18" s="1" t="str">
        <f>IF(
   Sales_Performance[[#This Row],[Date]] = _xlfn.MINIFS(Sales_Performance[Date],Sales_Performance[Customer ID],Sales_Performance[[#This Row],[Customer ID]]),
   "New Customer",
   "Returning Customer"
)</f>
        <v>Returning Customer</v>
      </c>
    </row>
    <row r="19" spans="1:10" x14ac:dyDescent="0.35">
      <c r="A19" t="s">
        <v>1450</v>
      </c>
      <c r="B19" s="1">
        <v>45182</v>
      </c>
      <c r="C19" t="s">
        <v>1266</v>
      </c>
      <c r="D19" t="s">
        <v>15</v>
      </c>
      <c r="E19">
        <v>41</v>
      </c>
      <c r="F19" t="s">
        <v>11</v>
      </c>
      <c r="G19">
        <v>2</v>
      </c>
      <c r="H19" s="2">
        <v>25</v>
      </c>
      <c r="I19" s="2">
        <v>50</v>
      </c>
      <c r="J19" s="1" t="str">
        <f>IF(
   Sales_Performance[[#This Row],[Date]] = _xlfn.MINIFS(Sales_Performance[Date],Sales_Performance[Customer ID],Sales_Performance[[#This Row],[Customer ID]]),
   "New Customer",
   "Returning Customer"
)</f>
        <v>Returning Customer</v>
      </c>
    </row>
    <row r="20" spans="1:10" x14ac:dyDescent="0.35">
      <c r="A20" t="s">
        <v>100</v>
      </c>
      <c r="B20" s="1">
        <v>45129</v>
      </c>
      <c r="C20" t="s">
        <v>818</v>
      </c>
      <c r="D20" t="s">
        <v>15</v>
      </c>
      <c r="E20">
        <v>22</v>
      </c>
      <c r="F20" t="s">
        <v>18</v>
      </c>
      <c r="G20">
        <v>4</v>
      </c>
      <c r="H20" s="2">
        <v>25</v>
      </c>
      <c r="I20" s="2">
        <v>100</v>
      </c>
      <c r="J20" s="1" t="str">
        <f>IF(
   Sales_Performance[[#This Row],[Date]] = _xlfn.MINIFS(Sales_Performance[Date],Sales_Performance[Customer ID],Sales_Performance[[#This Row],[Customer ID]]),
   "New Customer",
   "Returning Customer"
)</f>
        <v>Returning Customer</v>
      </c>
    </row>
    <row r="21" spans="1:10" x14ac:dyDescent="0.35">
      <c r="A21" t="s">
        <v>866</v>
      </c>
      <c r="B21" s="1">
        <v>45256</v>
      </c>
      <c r="C21" t="s">
        <v>575</v>
      </c>
      <c r="D21" t="s">
        <v>10</v>
      </c>
      <c r="E21">
        <v>51</v>
      </c>
      <c r="F21" t="s">
        <v>16</v>
      </c>
      <c r="G21">
        <v>3</v>
      </c>
      <c r="H21" s="2">
        <v>500</v>
      </c>
      <c r="I21" s="2">
        <v>1500</v>
      </c>
      <c r="J21" s="1" t="str">
        <f>IF(
   Sales_Performance[[#This Row],[Date]] = _xlfn.MINIFS(Sales_Performance[Date],Sales_Performance[Customer ID],Sales_Performance[[#This Row],[Customer ID]]),
   "New Customer",
   "Returning Customer"
)</f>
        <v>Returning Customer</v>
      </c>
    </row>
    <row r="22" spans="1:10" x14ac:dyDescent="0.35">
      <c r="A22" t="s">
        <v>537</v>
      </c>
      <c r="B22" s="1">
        <v>45161</v>
      </c>
      <c r="C22" t="s">
        <v>1055</v>
      </c>
      <c r="D22" t="s">
        <v>15</v>
      </c>
      <c r="E22">
        <v>23</v>
      </c>
      <c r="F22" t="s">
        <v>16</v>
      </c>
      <c r="G22">
        <v>1</v>
      </c>
      <c r="H22" s="2">
        <v>30</v>
      </c>
      <c r="I22" s="2">
        <v>30</v>
      </c>
      <c r="J22" s="1" t="str">
        <f>IF(
   Sales_Performance[[#This Row],[Date]] = _xlfn.MINIFS(Sales_Performance[Date],Sales_Performance[Customer ID],Sales_Performance[[#This Row],[Customer ID]]),
   "New Customer",
   "Returning Customer"
)</f>
        <v>Returning Customer</v>
      </c>
    </row>
    <row r="23" spans="1:10" x14ac:dyDescent="0.35">
      <c r="A23" t="s">
        <v>708</v>
      </c>
      <c r="B23" s="1">
        <v>45000</v>
      </c>
      <c r="C23" t="s">
        <v>26</v>
      </c>
      <c r="D23" t="s">
        <v>10</v>
      </c>
      <c r="E23">
        <v>19</v>
      </c>
      <c r="F23" t="s">
        <v>11</v>
      </c>
      <c r="G23">
        <v>2</v>
      </c>
      <c r="H23" s="2">
        <v>500</v>
      </c>
      <c r="I23" s="2">
        <v>1000</v>
      </c>
      <c r="J23" s="1" t="str">
        <f>IF(
   Sales_Performance[[#This Row],[Date]] = _xlfn.MINIFS(Sales_Performance[Date],Sales_Performance[Customer ID],Sales_Performance[[#This Row],[Customer ID]]),
   "New Customer",
   "Returning Customer"
)</f>
        <v>New Customer</v>
      </c>
    </row>
    <row r="24" spans="1:10" x14ac:dyDescent="0.35">
      <c r="A24" t="s">
        <v>705</v>
      </c>
      <c r="B24" s="1">
        <v>45062</v>
      </c>
      <c r="C24" t="s">
        <v>959</v>
      </c>
      <c r="D24" t="s">
        <v>15</v>
      </c>
      <c r="E24">
        <v>30</v>
      </c>
      <c r="F24" t="s">
        <v>11</v>
      </c>
      <c r="G24">
        <v>4</v>
      </c>
      <c r="H24" s="2">
        <v>500</v>
      </c>
      <c r="I24" s="2">
        <v>2000</v>
      </c>
      <c r="J24" s="1" t="str">
        <f>IF(
   Sales_Performance[[#This Row],[Date]] = _xlfn.MINIFS(Sales_Performance[Date],Sales_Performance[Customer ID],Sales_Performance[[#This Row],[Customer ID]]),
   "New Customer",
   "Returning Customer"
)</f>
        <v>New Customer</v>
      </c>
    </row>
    <row r="25" spans="1:10" x14ac:dyDescent="0.35">
      <c r="A25" t="s">
        <v>849</v>
      </c>
      <c r="B25" s="1">
        <v>44998</v>
      </c>
      <c r="C25" t="s">
        <v>765</v>
      </c>
      <c r="D25" t="s">
        <v>15</v>
      </c>
      <c r="E25">
        <v>60</v>
      </c>
      <c r="F25" t="s">
        <v>16</v>
      </c>
      <c r="G25">
        <v>3</v>
      </c>
      <c r="H25" s="2">
        <v>50</v>
      </c>
      <c r="I25" s="2">
        <v>150</v>
      </c>
      <c r="J25" s="1" t="str">
        <f>IF(
   Sales_Performance[[#This Row],[Date]] = _xlfn.MINIFS(Sales_Performance[Date],Sales_Performance[Customer ID],Sales_Performance[[#This Row],[Customer ID]]),
   "New Customer",
   "Returning Customer"
)</f>
        <v>New Customer</v>
      </c>
    </row>
    <row r="26" spans="1:10" x14ac:dyDescent="0.35">
      <c r="A26" t="s">
        <v>1121</v>
      </c>
      <c r="B26" s="1">
        <v>45229</v>
      </c>
      <c r="C26" t="s">
        <v>883</v>
      </c>
      <c r="D26" t="s">
        <v>10</v>
      </c>
      <c r="E26">
        <v>35</v>
      </c>
      <c r="F26" t="s">
        <v>18</v>
      </c>
      <c r="G26">
        <v>3</v>
      </c>
      <c r="H26" s="2">
        <v>25</v>
      </c>
      <c r="I26" s="2">
        <v>75</v>
      </c>
      <c r="J26" s="1" t="str">
        <f>IF(
   Sales_Performance[[#This Row],[Date]] = _xlfn.MINIFS(Sales_Performance[Date],Sales_Performance[Customer ID],Sales_Performance[[#This Row],[Customer ID]]),
   "New Customer",
   "Returning Customer"
)</f>
        <v>New Customer</v>
      </c>
    </row>
    <row r="27" spans="1:10" x14ac:dyDescent="0.35">
      <c r="A27" t="s">
        <v>851</v>
      </c>
      <c r="B27" s="1">
        <v>45053</v>
      </c>
      <c r="C27" t="s">
        <v>396</v>
      </c>
      <c r="D27" t="s">
        <v>10</v>
      </c>
      <c r="E27">
        <v>60</v>
      </c>
      <c r="F27" t="s">
        <v>18</v>
      </c>
      <c r="G27">
        <v>1</v>
      </c>
      <c r="H27" s="2">
        <v>50</v>
      </c>
      <c r="I27" s="2">
        <v>50</v>
      </c>
      <c r="J27" s="1" t="str">
        <f>IF(
   Sales_Performance[[#This Row],[Date]] = _xlfn.MINIFS(Sales_Performance[Date],Sales_Performance[Customer ID],Sales_Performance[[#This Row],[Customer ID]]),
   "New Customer",
   "Returning Customer"
)</f>
        <v>New Customer</v>
      </c>
    </row>
    <row r="28" spans="1:10" x14ac:dyDescent="0.35">
      <c r="A28" t="s">
        <v>647</v>
      </c>
      <c r="B28" s="1">
        <v>45214</v>
      </c>
      <c r="C28" t="s">
        <v>1402</v>
      </c>
      <c r="D28" t="s">
        <v>15</v>
      </c>
      <c r="E28">
        <v>28</v>
      </c>
      <c r="F28" t="s">
        <v>11</v>
      </c>
      <c r="G28">
        <v>4</v>
      </c>
      <c r="H28" s="2">
        <v>50</v>
      </c>
      <c r="I28" s="2">
        <v>200</v>
      </c>
      <c r="J28" s="1" t="str">
        <f>IF(
   Sales_Performance[[#This Row],[Date]] = _xlfn.MINIFS(Sales_Performance[Date],Sales_Performance[Customer ID],Sales_Performance[[#This Row],[Customer ID]]),
   "New Customer",
   "Returning Customer"
)</f>
        <v>New Customer</v>
      </c>
    </row>
    <row r="29" spans="1:10" x14ac:dyDescent="0.35">
      <c r="A29" t="s">
        <v>1050</v>
      </c>
      <c r="B29" s="1">
        <v>45202</v>
      </c>
      <c r="C29" t="s">
        <v>35</v>
      </c>
      <c r="D29" t="s">
        <v>10</v>
      </c>
      <c r="E29">
        <v>64</v>
      </c>
      <c r="F29" t="s">
        <v>11</v>
      </c>
      <c r="G29">
        <v>4</v>
      </c>
      <c r="H29" s="2">
        <v>30</v>
      </c>
      <c r="I29" s="2">
        <v>120</v>
      </c>
      <c r="J29" s="1" t="str">
        <f>IF(
   Sales_Performance[[#This Row],[Date]] = _xlfn.MINIFS(Sales_Performance[Date],Sales_Performance[Customer ID],Sales_Performance[[#This Row],[Customer ID]]),
   "New Customer",
   "Returning Customer"
)</f>
        <v>Returning Customer</v>
      </c>
    </row>
    <row r="30" spans="1:10" x14ac:dyDescent="0.35">
      <c r="A30" t="s">
        <v>378</v>
      </c>
      <c r="B30" s="1">
        <v>45061</v>
      </c>
      <c r="C30" t="s">
        <v>262</v>
      </c>
      <c r="D30" t="s">
        <v>15</v>
      </c>
      <c r="E30">
        <v>40</v>
      </c>
      <c r="F30" t="s">
        <v>11</v>
      </c>
      <c r="G30">
        <v>2</v>
      </c>
      <c r="H30" s="2">
        <v>30</v>
      </c>
      <c r="I30" s="2">
        <v>60</v>
      </c>
      <c r="J30" s="1" t="str">
        <f>IF(
   Sales_Performance[[#This Row],[Date]] = _xlfn.MINIFS(Sales_Performance[Date],Sales_Performance[Customer ID],Sales_Performance[[#This Row],[Customer ID]]),
   "New Customer",
   "Returning Customer"
)</f>
        <v>New Customer</v>
      </c>
    </row>
    <row r="31" spans="1:10" x14ac:dyDescent="0.35">
      <c r="A31" t="s">
        <v>1375</v>
      </c>
      <c r="B31" s="1">
        <v>45226</v>
      </c>
      <c r="C31" t="s">
        <v>196</v>
      </c>
      <c r="D31" t="s">
        <v>10</v>
      </c>
      <c r="E31">
        <v>33</v>
      </c>
      <c r="F31" t="s">
        <v>16</v>
      </c>
      <c r="G31">
        <v>4</v>
      </c>
      <c r="H31" s="2">
        <v>500</v>
      </c>
      <c r="I31" s="2">
        <v>2000</v>
      </c>
      <c r="J31" s="1" t="str">
        <f>IF(
   Sales_Performance[[#This Row],[Date]] = _xlfn.MINIFS(Sales_Performance[Date],Sales_Performance[Customer ID],Sales_Performance[[#This Row],[Customer ID]]),
   "New Customer",
   "Returning Customer"
)</f>
        <v>New Customer</v>
      </c>
    </row>
    <row r="32" spans="1:10" x14ac:dyDescent="0.35">
      <c r="A32" t="s">
        <v>961</v>
      </c>
      <c r="B32" s="1">
        <v>45146</v>
      </c>
      <c r="C32" t="s">
        <v>586</v>
      </c>
      <c r="D32" t="s">
        <v>10</v>
      </c>
      <c r="E32">
        <v>48</v>
      </c>
      <c r="F32" t="s">
        <v>16</v>
      </c>
      <c r="G32">
        <v>2</v>
      </c>
      <c r="H32" s="2">
        <v>50</v>
      </c>
      <c r="I32" s="2">
        <v>100</v>
      </c>
      <c r="J32" s="1" t="str">
        <f>IF(
   Sales_Performance[[#This Row],[Date]] = _xlfn.MINIFS(Sales_Performance[Date],Sales_Performance[Customer ID],Sales_Performance[[#This Row],[Customer ID]]),
   "New Customer",
   "Returning Customer"
)</f>
        <v>Returning Customer</v>
      </c>
    </row>
    <row r="33" spans="1:10" x14ac:dyDescent="0.35">
      <c r="A33" t="s">
        <v>83</v>
      </c>
      <c r="B33" s="1">
        <v>45225</v>
      </c>
      <c r="C33" t="s">
        <v>185</v>
      </c>
      <c r="D33" t="s">
        <v>15</v>
      </c>
      <c r="E33">
        <v>28</v>
      </c>
      <c r="F33" t="s">
        <v>16</v>
      </c>
      <c r="G33">
        <v>3</v>
      </c>
      <c r="H33" s="2">
        <v>30</v>
      </c>
      <c r="I33" s="2">
        <v>90</v>
      </c>
      <c r="J33" s="1" t="str">
        <f>IF(
   Sales_Performance[[#This Row],[Date]] = _xlfn.MINIFS(Sales_Performance[Date],Sales_Performance[Customer ID],Sales_Performance[[#This Row],[Customer ID]]),
   "New Customer",
   "Returning Customer"
)</f>
        <v>New Customer</v>
      </c>
    </row>
    <row r="34" spans="1:10" x14ac:dyDescent="0.35">
      <c r="A34" t="s">
        <v>982</v>
      </c>
      <c r="B34" s="1">
        <v>45131</v>
      </c>
      <c r="C34" t="s">
        <v>614</v>
      </c>
      <c r="D34" t="s">
        <v>15</v>
      </c>
      <c r="E34">
        <v>33</v>
      </c>
      <c r="F34" t="s">
        <v>16</v>
      </c>
      <c r="G34">
        <v>2</v>
      </c>
      <c r="H34" s="2">
        <v>25</v>
      </c>
      <c r="I34" s="2">
        <v>50</v>
      </c>
      <c r="J34" s="1" t="str">
        <f>IF(
   Sales_Performance[[#This Row],[Date]] = _xlfn.MINIFS(Sales_Performance[Date],Sales_Performance[Customer ID],Sales_Performance[[#This Row],[Customer ID]]),
   "New Customer",
   "Returning Customer"
)</f>
        <v>Returning Customer</v>
      </c>
    </row>
    <row r="35" spans="1:10" x14ac:dyDescent="0.35">
      <c r="A35" t="s">
        <v>339</v>
      </c>
      <c r="B35" s="1">
        <v>45112</v>
      </c>
      <c r="C35" t="s">
        <v>1251</v>
      </c>
      <c r="D35" t="s">
        <v>10</v>
      </c>
      <c r="E35">
        <v>25</v>
      </c>
      <c r="F35" t="s">
        <v>18</v>
      </c>
      <c r="G35">
        <v>1</v>
      </c>
      <c r="H35" s="2">
        <v>500</v>
      </c>
      <c r="I35" s="2">
        <v>500</v>
      </c>
      <c r="J35" s="1" t="str">
        <f>IF(
   Sales_Performance[[#This Row],[Date]] = _xlfn.MINIFS(Sales_Performance[Date],Sales_Performance[Customer ID],Sales_Performance[[#This Row],[Customer ID]]),
   "New Customer",
   "Returning Customer"
)</f>
        <v>New Customer</v>
      </c>
    </row>
    <row r="36" spans="1:10" x14ac:dyDescent="0.35">
      <c r="A36" t="s">
        <v>274</v>
      </c>
      <c r="B36" s="1">
        <v>45039</v>
      </c>
      <c r="C36" t="s">
        <v>605</v>
      </c>
      <c r="D36" t="s">
        <v>15</v>
      </c>
      <c r="E36">
        <v>21</v>
      </c>
      <c r="F36" t="s">
        <v>18</v>
      </c>
      <c r="G36">
        <v>2</v>
      </c>
      <c r="H36" s="2">
        <v>300</v>
      </c>
      <c r="I36" s="2">
        <v>600</v>
      </c>
      <c r="J36" s="1" t="str">
        <f>IF(
   Sales_Performance[[#This Row],[Date]] = _xlfn.MINIFS(Sales_Performance[Date],Sales_Performance[Customer ID],Sales_Performance[[#This Row],[Customer ID]]),
   "New Customer",
   "Returning Customer"
)</f>
        <v>New Customer</v>
      </c>
    </row>
    <row r="37" spans="1:10" x14ac:dyDescent="0.35">
      <c r="A37" t="s">
        <v>1278</v>
      </c>
      <c r="B37" s="1">
        <v>45143</v>
      </c>
      <c r="C37" t="s">
        <v>1419</v>
      </c>
      <c r="D37" t="s">
        <v>10</v>
      </c>
      <c r="E37">
        <v>22</v>
      </c>
      <c r="F37" t="s">
        <v>11</v>
      </c>
      <c r="G37">
        <v>3</v>
      </c>
      <c r="H37" s="2">
        <v>500</v>
      </c>
      <c r="I37" s="2">
        <v>1500</v>
      </c>
      <c r="J37" s="1" t="str">
        <f>IF(
   Sales_Performance[[#This Row],[Date]] = _xlfn.MINIFS(Sales_Performance[Date],Sales_Performance[Customer ID],Sales_Performance[[#This Row],[Customer ID]]),
   "New Customer",
   "Returning Customer"
)</f>
        <v>Returning Customer</v>
      </c>
    </row>
    <row r="38" spans="1:10" x14ac:dyDescent="0.35">
      <c r="A38" t="s">
        <v>956</v>
      </c>
      <c r="B38" s="1">
        <v>44997</v>
      </c>
      <c r="C38" t="s">
        <v>1294</v>
      </c>
      <c r="D38" t="s">
        <v>15</v>
      </c>
      <c r="E38">
        <v>57</v>
      </c>
      <c r="F38" t="s">
        <v>16</v>
      </c>
      <c r="G38">
        <v>1</v>
      </c>
      <c r="H38" s="2">
        <v>500</v>
      </c>
      <c r="I38" s="2">
        <v>500</v>
      </c>
      <c r="J38" s="1" t="str">
        <f>IF(
   Sales_Performance[[#This Row],[Date]] = _xlfn.MINIFS(Sales_Performance[Date],Sales_Performance[Customer ID],Sales_Performance[[#This Row],[Customer ID]]),
   "New Customer",
   "Returning Customer"
)</f>
        <v>Returning Customer</v>
      </c>
    </row>
    <row r="39" spans="1:10" x14ac:dyDescent="0.35">
      <c r="A39" t="s">
        <v>1365</v>
      </c>
      <c r="B39" s="1">
        <v>45187</v>
      </c>
      <c r="C39" t="s">
        <v>845</v>
      </c>
      <c r="D39" t="s">
        <v>15</v>
      </c>
      <c r="E39">
        <v>21</v>
      </c>
      <c r="F39" t="s">
        <v>18</v>
      </c>
      <c r="G39">
        <v>2</v>
      </c>
      <c r="H39" s="2">
        <v>300</v>
      </c>
      <c r="I39" s="2">
        <v>600</v>
      </c>
      <c r="J39" s="1" t="str">
        <f>IF(
   Sales_Performance[[#This Row],[Date]] = _xlfn.MINIFS(Sales_Performance[Date],Sales_Performance[Customer ID],Sales_Performance[[#This Row],[Customer ID]]),
   "New Customer",
   "Returning Customer"
)</f>
        <v>New Customer</v>
      </c>
    </row>
    <row r="40" spans="1:10" x14ac:dyDescent="0.35">
      <c r="A40" t="s">
        <v>1315</v>
      </c>
      <c r="B40" s="1">
        <v>45179</v>
      </c>
      <c r="C40" t="s">
        <v>1117</v>
      </c>
      <c r="D40" t="s">
        <v>10</v>
      </c>
      <c r="E40">
        <v>42</v>
      </c>
      <c r="F40" t="s">
        <v>11</v>
      </c>
      <c r="G40">
        <v>4</v>
      </c>
      <c r="H40" s="2">
        <v>50</v>
      </c>
      <c r="I40" s="2">
        <v>200</v>
      </c>
      <c r="J40" s="1" t="str">
        <f>IF(
   Sales_Performance[[#This Row],[Date]] = _xlfn.MINIFS(Sales_Performance[Date],Sales_Performance[Customer ID],Sales_Performance[[#This Row],[Customer ID]]),
   "New Customer",
   "Returning Customer"
)</f>
        <v>New Customer</v>
      </c>
    </row>
    <row r="41" spans="1:10" x14ac:dyDescent="0.35">
      <c r="A41" t="s">
        <v>520</v>
      </c>
      <c r="B41" s="1">
        <v>44973</v>
      </c>
      <c r="C41" t="s">
        <v>967</v>
      </c>
      <c r="D41" t="s">
        <v>10</v>
      </c>
      <c r="E41">
        <v>20</v>
      </c>
      <c r="F41" t="s">
        <v>11</v>
      </c>
      <c r="G41">
        <v>3</v>
      </c>
      <c r="H41" s="2">
        <v>300</v>
      </c>
      <c r="I41" s="2">
        <v>900</v>
      </c>
      <c r="J41" s="1" t="str">
        <f>IF(
   Sales_Performance[[#This Row],[Date]] = _xlfn.MINIFS(Sales_Performance[Date],Sales_Performance[Customer ID],Sales_Performance[[#This Row],[Customer ID]]),
   "New Customer",
   "Returning Customer"
)</f>
        <v>New Customer</v>
      </c>
    </row>
    <row r="42" spans="1:10" x14ac:dyDescent="0.35">
      <c r="A42" t="s">
        <v>793</v>
      </c>
      <c r="B42" s="1">
        <v>44951</v>
      </c>
      <c r="C42" t="s">
        <v>290</v>
      </c>
      <c r="D42" t="s">
        <v>10</v>
      </c>
      <c r="E42">
        <v>49</v>
      </c>
      <c r="F42" t="s">
        <v>11</v>
      </c>
      <c r="G42">
        <v>1</v>
      </c>
      <c r="H42" s="2">
        <v>50</v>
      </c>
      <c r="I42" s="2">
        <v>50</v>
      </c>
      <c r="J42" s="1" t="str">
        <f>IF(
   Sales_Performance[[#This Row],[Date]] = _xlfn.MINIFS(Sales_Performance[Date],Sales_Performance[Customer ID],Sales_Performance[[#This Row],[Customer ID]]),
   "New Customer",
   "Returning Customer"
)</f>
        <v>New Customer</v>
      </c>
    </row>
    <row r="43" spans="1:10" x14ac:dyDescent="0.35">
      <c r="A43" t="s">
        <v>293</v>
      </c>
      <c r="B43" s="1">
        <v>44983</v>
      </c>
      <c r="C43" t="s">
        <v>865</v>
      </c>
      <c r="D43" t="s">
        <v>10</v>
      </c>
      <c r="E43">
        <v>20</v>
      </c>
      <c r="F43" t="s">
        <v>16</v>
      </c>
      <c r="G43">
        <v>2</v>
      </c>
      <c r="H43" s="2">
        <v>25</v>
      </c>
      <c r="I43" s="2">
        <v>50</v>
      </c>
      <c r="J43" s="1" t="str">
        <f>IF(
   Sales_Performance[[#This Row],[Date]] = _xlfn.MINIFS(Sales_Performance[Date],Sales_Performance[Customer ID],Sales_Performance[[#This Row],[Customer ID]]),
   "New Customer",
   "Returning Customer"
)</f>
        <v>Returning Customer</v>
      </c>
    </row>
    <row r="44" spans="1:10" x14ac:dyDescent="0.35">
      <c r="A44" t="s">
        <v>885</v>
      </c>
      <c r="B44" s="1">
        <v>45005</v>
      </c>
      <c r="C44" t="s">
        <v>1238</v>
      </c>
      <c r="D44" t="s">
        <v>10</v>
      </c>
      <c r="E44">
        <v>44</v>
      </c>
      <c r="F44" t="s">
        <v>11</v>
      </c>
      <c r="G44">
        <v>2</v>
      </c>
      <c r="H44" s="2">
        <v>300</v>
      </c>
      <c r="I44" s="2">
        <v>600</v>
      </c>
      <c r="J44" s="1" t="str">
        <f>IF(
   Sales_Performance[[#This Row],[Date]] = _xlfn.MINIFS(Sales_Performance[Date],Sales_Performance[Customer ID],Sales_Performance[[#This Row],[Customer ID]]),
   "New Customer",
   "Returning Customer"
)</f>
        <v>New Customer</v>
      </c>
    </row>
    <row r="45" spans="1:10" x14ac:dyDescent="0.35">
      <c r="A45" t="s">
        <v>945</v>
      </c>
      <c r="B45" s="1">
        <v>45248</v>
      </c>
      <c r="C45" t="s">
        <v>55</v>
      </c>
      <c r="D45" t="s">
        <v>10</v>
      </c>
      <c r="E45">
        <v>46</v>
      </c>
      <c r="F45" t="s">
        <v>18</v>
      </c>
      <c r="G45">
        <v>2</v>
      </c>
      <c r="H45" s="2">
        <v>500</v>
      </c>
      <c r="I45" s="2">
        <v>1000</v>
      </c>
      <c r="J45" s="1" t="str">
        <f>IF(
   Sales_Performance[[#This Row],[Date]] = _xlfn.MINIFS(Sales_Performance[Date],Sales_Performance[Customer ID],Sales_Performance[[#This Row],[Customer ID]]),
   "New Customer",
   "Returning Customer"
)</f>
        <v>Returning Customer</v>
      </c>
    </row>
    <row r="46" spans="1:10" x14ac:dyDescent="0.35">
      <c r="A46" t="s">
        <v>1432</v>
      </c>
      <c r="B46" s="1">
        <v>45008</v>
      </c>
      <c r="C46" t="s">
        <v>752</v>
      </c>
      <c r="D46" t="s">
        <v>10</v>
      </c>
      <c r="E46">
        <v>49</v>
      </c>
      <c r="F46" t="s">
        <v>16</v>
      </c>
      <c r="G46">
        <v>4</v>
      </c>
      <c r="H46" s="2">
        <v>50</v>
      </c>
      <c r="I46" s="2">
        <v>200</v>
      </c>
      <c r="J46" s="1" t="str">
        <f>IF(
   Sales_Performance[[#This Row],[Date]] = _xlfn.MINIFS(Sales_Performance[Date],Sales_Performance[Customer ID],Sales_Performance[[#This Row],[Customer ID]]),
   "New Customer",
   "Returning Customer"
)</f>
        <v>Returning Customer</v>
      </c>
    </row>
    <row r="47" spans="1:10" x14ac:dyDescent="0.35">
      <c r="A47" t="s">
        <v>193</v>
      </c>
      <c r="B47" s="1">
        <v>45275</v>
      </c>
      <c r="C47" t="s">
        <v>158</v>
      </c>
      <c r="D47" t="s">
        <v>10</v>
      </c>
      <c r="E47">
        <v>36</v>
      </c>
      <c r="F47" t="s">
        <v>18</v>
      </c>
      <c r="G47">
        <v>4</v>
      </c>
      <c r="H47" s="2">
        <v>500</v>
      </c>
      <c r="I47" s="2">
        <v>2000</v>
      </c>
      <c r="J47" s="1" t="str">
        <f>IF(
   Sales_Performance[[#This Row],[Date]] = _xlfn.MINIFS(Sales_Performance[Date],Sales_Performance[Customer ID],Sales_Performance[[#This Row],[Customer ID]]),
   "New Customer",
   "Returning Customer"
)</f>
        <v>Returning Customer</v>
      </c>
    </row>
    <row r="48" spans="1:10" x14ac:dyDescent="0.35">
      <c r="A48" t="s">
        <v>88</v>
      </c>
      <c r="B48" s="1">
        <v>44943</v>
      </c>
      <c r="C48" t="s">
        <v>1258</v>
      </c>
      <c r="D48" t="s">
        <v>10</v>
      </c>
      <c r="E48">
        <v>64</v>
      </c>
      <c r="F48" t="s">
        <v>16</v>
      </c>
      <c r="G48">
        <v>4</v>
      </c>
      <c r="H48" s="2">
        <v>30</v>
      </c>
      <c r="I48" s="2">
        <v>120</v>
      </c>
      <c r="J48" s="1" t="str">
        <f>IF(
   Sales_Performance[[#This Row],[Date]] = _xlfn.MINIFS(Sales_Performance[Date],Sales_Performance[Customer ID],Sales_Performance[[#This Row],[Customer ID]]),
   "New Customer",
   "Returning Customer"
)</f>
        <v>New Customer</v>
      </c>
    </row>
    <row r="49" spans="1:10" x14ac:dyDescent="0.35">
      <c r="A49" t="s">
        <v>989</v>
      </c>
      <c r="B49" s="1">
        <v>45143</v>
      </c>
      <c r="C49" t="s">
        <v>1500</v>
      </c>
      <c r="D49" t="s">
        <v>10</v>
      </c>
      <c r="E49">
        <v>38</v>
      </c>
      <c r="F49" t="s">
        <v>11</v>
      </c>
      <c r="G49">
        <v>1</v>
      </c>
      <c r="H49" s="2">
        <v>30</v>
      </c>
      <c r="I49" s="2">
        <v>30</v>
      </c>
      <c r="J49" s="1" t="str">
        <f>IF(
   Sales_Performance[[#This Row],[Date]] = _xlfn.MINIFS(Sales_Performance[Date],Sales_Performance[Customer ID],Sales_Performance[[#This Row],[Customer ID]]),
   "New Customer",
   "Returning Customer"
)</f>
        <v>Returning Customer</v>
      </c>
    </row>
    <row r="50" spans="1:10" x14ac:dyDescent="0.35">
      <c r="A50" t="s">
        <v>169</v>
      </c>
      <c r="B50" s="1">
        <v>45232</v>
      </c>
      <c r="C50" t="s">
        <v>191</v>
      </c>
      <c r="D50" t="s">
        <v>15</v>
      </c>
      <c r="E50">
        <v>22</v>
      </c>
      <c r="F50" t="s">
        <v>11</v>
      </c>
      <c r="G50">
        <v>1</v>
      </c>
      <c r="H50" s="2">
        <v>50</v>
      </c>
      <c r="I50" s="2">
        <v>50</v>
      </c>
      <c r="J50" s="1" t="str">
        <f>IF(
   Sales_Performance[[#This Row],[Date]] = _xlfn.MINIFS(Sales_Performance[Date],Sales_Performance[Customer ID],Sales_Performance[[#This Row],[Customer ID]]),
   "New Customer",
   "Returning Customer"
)</f>
        <v>Returning Customer</v>
      </c>
    </row>
    <row r="51" spans="1:10" x14ac:dyDescent="0.35">
      <c r="A51" t="s">
        <v>641</v>
      </c>
      <c r="B51" s="1">
        <v>44959</v>
      </c>
      <c r="C51" t="s">
        <v>943</v>
      </c>
      <c r="D51" t="s">
        <v>10</v>
      </c>
      <c r="E51">
        <v>35</v>
      </c>
      <c r="F51" t="s">
        <v>11</v>
      </c>
      <c r="G51">
        <v>4</v>
      </c>
      <c r="H51" s="2">
        <v>300</v>
      </c>
      <c r="I51" s="2">
        <v>1200</v>
      </c>
      <c r="J51" s="1" t="str">
        <f>IF(
   Sales_Performance[[#This Row],[Date]] = _xlfn.MINIFS(Sales_Performance[Date],Sales_Performance[Customer ID],Sales_Performance[[#This Row],[Customer ID]]),
   "New Customer",
   "Returning Customer"
)</f>
        <v>New Customer</v>
      </c>
    </row>
    <row r="52" spans="1:10" x14ac:dyDescent="0.35">
      <c r="A52" t="s">
        <v>419</v>
      </c>
      <c r="B52" s="1">
        <v>45124</v>
      </c>
      <c r="C52" t="s">
        <v>662</v>
      </c>
      <c r="D52" t="s">
        <v>15</v>
      </c>
      <c r="E52">
        <v>45</v>
      </c>
      <c r="F52" t="s">
        <v>16</v>
      </c>
      <c r="G52">
        <v>1</v>
      </c>
      <c r="H52" s="2">
        <v>50</v>
      </c>
      <c r="I52" s="2">
        <v>50</v>
      </c>
      <c r="J52" s="1" t="str">
        <f>IF(
   Sales_Performance[[#This Row],[Date]] = _xlfn.MINIFS(Sales_Performance[Date],Sales_Performance[Customer ID],Sales_Performance[[#This Row],[Customer ID]]),
   "New Customer",
   "Returning Customer"
)</f>
        <v>New Customer</v>
      </c>
    </row>
    <row r="53" spans="1:10" x14ac:dyDescent="0.35">
      <c r="A53" t="s">
        <v>1142</v>
      </c>
      <c r="B53" s="1">
        <v>45122</v>
      </c>
      <c r="C53" t="s">
        <v>668</v>
      </c>
      <c r="D53" t="s">
        <v>15</v>
      </c>
      <c r="E53">
        <v>59</v>
      </c>
      <c r="F53" t="s">
        <v>18</v>
      </c>
      <c r="G53">
        <v>3</v>
      </c>
      <c r="H53" s="2">
        <v>500</v>
      </c>
      <c r="I53" s="2">
        <v>1500</v>
      </c>
      <c r="J53" s="1" t="str">
        <f>IF(
   Sales_Performance[[#This Row],[Date]] = _xlfn.MINIFS(Sales_Performance[Date],Sales_Performance[Customer ID],Sales_Performance[[#This Row],[Customer ID]]),
   "New Customer",
   "Returning Customer"
)</f>
        <v>Returning Customer</v>
      </c>
    </row>
    <row r="54" spans="1:10" x14ac:dyDescent="0.35">
      <c r="A54" t="s">
        <v>1123</v>
      </c>
      <c r="B54" s="1">
        <v>45232</v>
      </c>
      <c r="C54" t="s">
        <v>696</v>
      </c>
      <c r="D54" t="s">
        <v>15</v>
      </c>
      <c r="E54">
        <v>39</v>
      </c>
      <c r="F54" t="s">
        <v>16</v>
      </c>
      <c r="G54">
        <v>3</v>
      </c>
      <c r="H54" s="2">
        <v>25</v>
      </c>
      <c r="I54" s="2">
        <v>75</v>
      </c>
      <c r="J54" s="1" t="str">
        <f>IF(
   Sales_Performance[[#This Row],[Date]] = _xlfn.MINIFS(Sales_Performance[Date],Sales_Performance[Customer ID],Sales_Performance[[#This Row],[Customer ID]]),
   "New Customer",
   "Returning Customer"
)</f>
        <v>Returning Customer</v>
      </c>
    </row>
    <row r="55" spans="1:10" x14ac:dyDescent="0.35">
      <c r="A55" t="s">
        <v>820</v>
      </c>
      <c r="B55" s="1">
        <v>45166</v>
      </c>
      <c r="C55" t="s">
        <v>13</v>
      </c>
      <c r="D55" t="s">
        <v>10</v>
      </c>
      <c r="E55">
        <v>38</v>
      </c>
      <c r="F55" t="s">
        <v>16</v>
      </c>
      <c r="G55">
        <v>4</v>
      </c>
      <c r="H55" s="2">
        <v>50</v>
      </c>
      <c r="I55" s="2">
        <v>200</v>
      </c>
      <c r="J55" s="1" t="str">
        <f>IF(
   Sales_Performance[[#This Row],[Date]] = _xlfn.MINIFS(Sales_Performance[Date],Sales_Performance[Customer ID],Sales_Performance[[#This Row],[Customer ID]]),
   "New Customer",
   "Returning Customer"
)</f>
        <v>Returning Customer</v>
      </c>
    </row>
    <row r="56" spans="1:10" x14ac:dyDescent="0.35">
      <c r="A56" t="s">
        <v>12</v>
      </c>
      <c r="B56" s="1">
        <v>45197</v>
      </c>
      <c r="C56" t="s">
        <v>1180</v>
      </c>
      <c r="D56" t="s">
        <v>10</v>
      </c>
      <c r="E56">
        <v>23</v>
      </c>
      <c r="F56" t="s">
        <v>11</v>
      </c>
      <c r="G56">
        <v>1</v>
      </c>
      <c r="H56" s="2">
        <v>300</v>
      </c>
      <c r="I56" s="2">
        <v>300</v>
      </c>
      <c r="J56" s="1" t="str">
        <f>IF(
   Sales_Performance[[#This Row],[Date]] = _xlfn.MINIFS(Sales_Performance[Date],Sales_Performance[Customer ID],Sales_Performance[[#This Row],[Customer ID]]),
   "New Customer",
   "Returning Customer"
)</f>
        <v>New Customer</v>
      </c>
    </row>
    <row r="57" spans="1:10" x14ac:dyDescent="0.35">
      <c r="A57" t="s">
        <v>398</v>
      </c>
      <c r="B57" s="1">
        <v>45055</v>
      </c>
      <c r="C57" t="s">
        <v>791</v>
      </c>
      <c r="D57" t="s">
        <v>10</v>
      </c>
      <c r="E57">
        <v>18</v>
      </c>
      <c r="F57" t="s">
        <v>16</v>
      </c>
      <c r="G57">
        <v>2</v>
      </c>
      <c r="H57" s="2">
        <v>30</v>
      </c>
      <c r="I57" s="2">
        <v>60</v>
      </c>
      <c r="J57" s="1" t="str">
        <f>IF(
   Sales_Performance[[#This Row],[Date]] = _xlfn.MINIFS(Sales_Performance[Date],Sales_Performance[Customer ID],Sales_Performance[[#This Row],[Customer ID]]),
   "New Customer",
   "Returning Customer"
)</f>
        <v>New Customer</v>
      </c>
    </row>
    <row r="58" spans="1:10" x14ac:dyDescent="0.35">
      <c r="A58" t="s">
        <v>263</v>
      </c>
      <c r="B58" s="1">
        <v>45210</v>
      </c>
      <c r="C58" t="s">
        <v>1193</v>
      </c>
      <c r="D58" t="s">
        <v>10</v>
      </c>
      <c r="E58">
        <v>22</v>
      </c>
      <c r="F58" t="s">
        <v>16</v>
      </c>
      <c r="G58">
        <v>3</v>
      </c>
      <c r="H58" s="2">
        <v>25</v>
      </c>
      <c r="I58" s="2">
        <v>75</v>
      </c>
      <c r="J58" s="1" t="str">
        <f>IF(
   Sales_Performance[[#This Row],[Date]] = _xlfn.MINIFS(Sales_Performance[Date],Sales_Performance[Customer ID],Sales_Performance[[#This Row],[Customer ID]]),
   "New Customer",
   "Returning Customer"
)</f>
        <v>Returning Customer</v>
      </c>
    </row>
    <row r="59" spans="1:10" x14ac:dyDescent="0.35">
      <c r="A59" t="s">
        <v>904</v>
      </c>
      <c r="B59" s="1">
        <v>44942</v>
      </c>
      <c r="C59" t="s">
        <v>626</v>
      </c>
      <c r="D59" t="s">
        <v>15</v>
      </c>
      <c r="E59">
        <v>42</v>
      </c>
      <c r="F59" t="s">
        <v>11</v>
      </c>
      <c r="G59">
        <v>4</v>
      </c>
      <c r="H59" s="2">
        <v>500</v>
      </c>
      <c r="I59" s="2">
        <v>2000</v>
      </c>
      <c r="J59" s="1" t="str">
        <f>IF(
   Sales_Performance[[#This Row],[Date]] = _xlfn.MINIFS(Sales_Performance[Date],Sales_Performance[Customer ID],Sales_Performance[[#This Row],[Customer ID]]),
   "New Customer",
   "Returning Customer"
)</f>
        <v>New Customer</v>
      </c>
    </row>
    <row r="60" spans="1:10" x14ac:dyDescent="0.35">
      <c r="A60" t="s">
        <v>604</v>
      </c>
      <c r="B60" s="1">
        <v>44932</v>
      </c>
      <c r="C60" t="s">
        <v>176</v>
      </c>
      <c r="D60" t="s">
        <v>15</v>
      </c>
      <c r="E60">
        <v>58</v>
      </c>
      <c r="F60" t="s">
        <v>11</v>
      </c>
      <c r="G60">
        <v>4</v>
      </c>
      <c r="H60" s="2">
        <v>30</v>
      </c>
      <c r="I60" s="2">
        <v>120</v>
      </c>
      <c r="J60" s="1" t="str">
        <f>IF(
   Sales_Performance[[#This Row],[Date]] = _xlfn.MINIFS(Sales_Performance[Date],Sales_Performance[Customer ID],Sales_Performance[[#This Row],[Customer ID]]),
   "New Customer",
   "Returning Customer"
)</f>
        <v>New Customer</v>
      </c>
    </row>
    <row r="61" spans="1:10" x14ac:dyDescent="0.35">
      <c r="A61" t="s">
        <v>868</v>
      </c>
      <c r="B61" s="1">
        <v>45275</v>
      </c>
      <c r="C61" t="s">
        <v>309</v>
      </c>
      <c r="D61" t="s">
        <v>10</v>
      </c>
      <c r="E61">
        <v>29</v>
      </c>
      <c r="F61" t="s">
        <v>16</v>
      </c>
      <c r="G61">
        <v>1</v>
      </c>
      <c r="H61" s="2">
        <v>50</v>
      </c>
      <c r="I61" s="2">
        <v>50</v>
      </c>
      <c r="J61" s="1" t="str">
        <f>IF(
   Sales_Performance[[#This Row],[Date]] = _xlfn.MINIFS(Sales_Performance[Date],Sales_Performance[Customer ID],Sales_Performance[[#This Row],[Customer ID]]),
   "New Customer",
   "Returning Customer"
)</f>
        <v>Returning Customer</v>
      </c>
    </row>
    <row r="62" spans="1:10" x14ac:dyDescent="0.35">
      <c r="A62" t="s">
        <v>1399</v>
      </c>
      <c r="B62" s="1">
        <v>44985</v>
      </c>
      <c r="C62" t="s">
        <v>183</v>
      </c>
      <c r="D62" t="s">
        <v>10</v>
      </c>
      <c r="E62">
        <v>43</v>
      </c>
      <c r="F62" t="s">
        <v>11</v>
      </c>
      <c r="G62">
        <v>4</v>
      </c>
      <c r="H62" s="2">
        <v>500</v>
      </c>
      <c r="I62" s="2">
        <v>2000</v>
      </c>
      <c r="J62" s="1" t="str">
        <f>IF(
   Sales_Performance[[#This Row],[Date]] = _xlfn.MINIFS(Sales_Performance[Date],Sales_Performance[Customer ID],Sales_Performance[[#This Row],[Customer ID]]),
   "New Customer",
   "Returning Customer"
)</f>
        <v>New Customer</v>
      </c>
    </row>
    <row r="63" spans="1:10" x14ac:dyDescent="0.35">
      <c r="A63" t="s">
        <v>1455</v>
      </c>
      <c r="B63" s="1">
        <v>45276</v>
      </c>
      <c r="C63" t="s">
        <v>264</v>
      </c>
      <c r="D63" t="s">
        <v>10</v>
      </c>
      <c r="E63">
        <v>63</v>
      </c>
      <c r="F63" t="s">
        <v>11</v>
      </c>
      <c r="G63">
        <v>2</v>
      </c>
      <c r="H63" s="2">
        <v>500</v>
      </c>
      <c r="I63" s="2">
        <v>1000</v>
      </c>
      <c r="J63" s="1" t="str">
        <f>IF(
   Sales_Performance[[#This Row],[Date]] = _xlfn.MINIFS(Sales_Performance[Date],Sales_Performance[Customer ID],Sales_Performance[[#This Row],[Customer ID]]),
   "New Customer",
   "Returning Customer"
)</f>
        <v>Returning Customer</v>
      </c>
    </row>
    <row r="64" spans="1:10" x14ac:dyDescent="0.35">
      <c r="A64" t="s">
        <v>167</v>
      </c>
      <c r="B64" s="1">
        <v>45201</v>
      </c>
      <c r="C64" t="s">
        <v>330</v>
      </c>
      <c r="D64" t="s">
        <v>10</v>
      </c>
      <c r="E64">
        <v>51</v>
      </c>
      <c r="F64" t="s">
        <v>11</v>
      </c>
      <c r="G64">
        <v>3</v>
      </c>
      <c r="H64" s="2">
        <v>300</v>
      </c>
      <c r="I64" s="2">
        <v>900</v>
      </c>
      <c r="J64" s="1" t="str">
        <f>IF(
   Sales_Performance[[#This Row],[Date]] = _xlfn.MINIFS(Sales_Performance[Date],Sales_Performance[Customer ID],Sales_Performance[[#This Row],[Customer ID]]),
   "New Customer",
   "Returning Customer"
)</f>
        <v>Returning Customer</v>
      </c>
    </row>
    <row r="65" spans="1:10" x14ac:dyDescent="0.35">
      <c r="A65" t="s">
        <v>755</v>
      </c>
      <c r="B65" s="1">
        <v>45063</v>
      </c>
      <c r="C65" t="s">
        <v>1224</v>
      </c>
      <c r="D65" t="s">
        <v>10</v>
      </c>
      <c r="E65">
        <v>31</v>
      </c>
      <c r="F65" t="s">
        <v>11</v>
      </c>
      <c r="G65">
        <v>4</v>
      </c>
      <c r="H65" s="2">
        <v>500</v>
      </c>
      <c r="I65" s="2">
        <v>2000</v>
      </c>
      <c r="J65" s="1" t="str">
        <f>IF(
   Sales_Performance[[#This Row],[Date]] = _xlfn.MINIFS(Sales_Performance[Date],Sales_Performance[Customer ID],Sales_Performance[[#This Row],[Customer ID]]),
   "New Customer",
   "Returning Customer"
)</f>
        <v>Returning Customer</v>
      </c>
    </row>
    <row r="66" spans="1:10" x14ac:dyDescent="0.35">
      <c r="A66" t="s">
        <v>681</v>
      </c>
      <c r="B66" s="1">
        <v>45255</v>
      </c>
      <c r="C66" t="s">
        <v>1238</v>
      </c>
      <c r="D66" t="s">
        <v>15</v>
      </c>
      <c r="E66">
        <v>43</v>
      </c>
      <c r="F66" t="s">
        <v>16</v>
      </c>
      <c r="G66">
        <v>4</v>
      </c>
      <c r="H66" s="2">
        <v>25</v>
      </c>
      <c r="I66" s="2">
        <v>100</v>
      </c>
      <c r="J66" s="1" t="str">
        <f>IF(
   Sales_Performance[[#This Row],[Date]] = _xlfn.MINIFS(Sales_Performance[Date],Sales_Performance[Customer ID],Sales_Performance[[#This Row],[Customer ID]]),
   "New Customer",
   "Returning Customer"
)</f>
        <v>Returning Customer</v>
      </c>
    </row>
    <row r="67" spans="1:10" x14ac:dyDescent="0.35">
      <c r="A67" t="s">
        <v>1156</v>
      </c>
      <c r="B67" s="1">
        <v>45101</v>
      </c>
      <c r="C67" t="s">
        <v>311</v>
      </c>
      <c r="D67" t="s">
        <v>10</v>
      </c>
      <c r="E67">
        <v>62</v>
      </c>
      <c r="F67" t="s">
        <v>11</v>
      </c>
      <c r="G67">
        <v>4</v>
      </c>
      <c r="H67" s="2">
        <v>500</v>
      </c>
      <c r="I67" s="2">
        <v>2000</v>
      </c>
      <c r="J67" s="1" t="str">
        <f>IF(
   Sales_Performance[[#This Row],[Date]] = _xlfn.MINIFS(Sales_Performance[Date],Sales_Performance[Customer ID],Sales_Performance[[#This Row],[Customer ID]]),
   "New Customer",
   "Returning Customer"
)</f>
        <v>Returning Customer</v>
      </c>
    </row>
    <row r="68" spans="1:10" x14ac:dyDescent="0.35">
      <c r="A68" t="s">
        <v>1040</v>
      </c>
      <c r="B68" s="1">
        <v>44984</v>
      </c>
      <c r="C68" t="s">
        <v>1068</v>
      </c>
      <c r="D68" t="s">
        <v>15</v>
      </c>
      <c r="E68">
        <v>44</v>
      </c>
      <c r="F68" t="s">
        <v>11</v>
      </c>
      <c r="G68">
        <v>2</v>
      </c>
      <c r="H68" s="2">
        <v>300</v>
      </c>
      <c r="I68" s="2">
        <v>600</v>
      </c>
      <c r="J68" s="1" t="str">
        <f>IF(
   Sales_Performance[[#This Row],[Date]] = _xlfn.MINIFS(Sales_Performance[Date],Sales_Performance[Customer ID],Sales_Performance[[#This Row],[Customer ID]]),
   "New Customer",
   "Returning Customer"
)</f>
        <v>New Customer</v>
      </c>
    </row>
    <row r="69" spans="1:10" x14ac:dyDescent="0.35">
      <c r="A69" t="s">
        <v>352</v>
      </c>
      <c r="B69" s="1">
        <v>45077</v>
      </c>
      <c r="C69" t="s">
        <v>515</v>
      </c>
      <c r="D69" t="s">
        <v>10</v>
      </c>
      <c r="E69">
        <v>26</v>
      </c>
      <c r="F69" t="s">
        <v>16</v>
      </c>
      <c r="G69">
        <v>4</v>
      </c>
      <c r="H69" s="2">
        <v>50</v>
      </c>
      <c r="I69" s="2">
        <v>200</v>
      </c>
      <c r="J69" s="1" t="str">
        <f>IF(
   Sales_Performance[[#This Row],[Date]] = _xlfn.MINIFS(Sales_Performance[Date],Sales_Performance[Customer ID],Sales_Performance[[#This Row],[Customer ID]]),
   "New Customer",
   "Returning Customer"
)</f>
        <v>Returning Customer</v>
      </c>
    </row>
    <row r="70" spans="1:10" x14ac:dyDescent="0.35">
      <c r="A70" t="s">
        <v>296</v>
      </c>
      <c r="B70" s="1">
        <v>44974</v>
      </c>
      <c r="C70" t="s">
        <v>68</v>
      </c>
      <c r="D70" t="s">
        <v>10</v>
      </c>
      <c r="E70">
        <v>19</v>
      </c>
      <c r="F70" t="s">
        <v>16</v>
      </c>
      <c r="G70">
        <v>3</v>
      </c>
      <c r="H70" s="2">
        <v>500</v>
      </c>
      <c r="I70" s="2">
        <v>1500</v>
      </c>
      <c r="J70" s="1" t="str">
        <f>IF(
   Sales_Performance[[#This Row],[Date]] = _xlfn.MINIFS(Sales_Performance[Date],Sales_Performance[Customer ID],Sales_Performance[[#This Row],[Customer ID]]),
   "New Customer",
   "Returning Customer"
)</f>
        <v>New Customer</v>
      </c>
    </row>
    <row r="71" spans="1:10" x14ac:dyDescent="0.35">
      <c r="A71" t="s">
        <v>299</v>
      </c>
      <c r="B71" s="1">
        <v>45149</v>
      </c>
      <c r="C71" t="s">
        <v>946</v>
      </c>
      <c r="D71" t="s">
        <v>15</v>
      </c>
      <c r="E71">
        <v>43</v>
      </c>
      <c r="F71" t="s">
        <v>16</v>
      </c>
      <c r="G71">
        <v>2</v>
      </c>
      <c r="H71" s="2">
        <v>50</v>
      </c>
      <c r="I71" s="2">
        <v>100</v>
      </c>
      <c r="J71" s="1" t="str">
        <f>IF(
   Sales_Performance[[#This Row],[Date]] = _xlfn.MINIFS(Sales_Performance[Date],Sales_Performance[Customer ID],Sales_Performance[[#This Row],[Customer ID]]),
   "New Customer",
   "Returning Customer"
)</f>
        <v>Returning Customer</v>
      </c>
    </row>
    <row r="72" spans="1:10" x14ac:dyDescent="0.35">
      <c r="A72" t="s">
        <v>1119</v>
      </c>
      <c r="B72" s="1">
        <v>45007</v>
      </c>
      <c r="C72" t="s">
        <v>861</v>
      </c>
      <c r="D72" t="s">
        <v>10</v>
      </c>
      <c r="E72">
        <v>64</v>
      </c>
      <c r="F72" t="s">
        <v>18</v>
      </c>
      <c r="G72">
        <v>2</v>
      </c>
      <c r="H72" s="2">
        <v>500</v>
      </c>
      <c r="I72" s="2">
        <v>1000</v>
      </c>
      <c r="J72" s="1" t="str">
        <f>IF(
   Sales_Performance[[#This Row],[Date]] = _xlfn.MINIFS(Sales_Performance[Date],Sales_Performance[Customer ID],Sales_Performance[[#This Row],[Customer ID]]),
   "New Customer",
   "Returning Customer"
)</f>
        <v>New Customer</v>
      </c>
    </row>
    <row r="73" spans="1:10" x14ac:dyDescent="0.35">
      <c r="A73" t="s">
        <v>1200</v>
      </c>
      <c r="B73" s="1">
        <v>45159</v>
      </c>
      <c r="C73" t="s">
        <v>30</v>
      </c>
      <c r="D73" t="s">
        <v>10</v>
      </c>
      <c r="E73">
        <v>39</v>
      </c>
      <c r="F73" t="s">
        <v>16</v>
      </c>
      <c r="G73">
        <v>2</v>
      </c>
      <c r="H73" s="2">
        <v>30</v>
      </c>
      <c r="I73" s="2">
        <v>60</v>
      </c>
      <c r="J73" s="1" t="str">
        <f>IF(
   Sales_Performance[[#This Row],[Date]] = _xlfn.MINIFS(Sales_Performance[Date],Sales_Performance[Customer ID],Sales_Performance[[#This Row],[Customer ID]]),
   "New Customer",
   "Returning Customer"
)</f>
        <v>Returning Customer</v>
      </c>
    </row>
    <row r="74" spans="1:10" x14ac:dyDescent="0.35">
      <c r="A74" t="s">
        <v>864</v>
      </c>
      <c r="B74" s="1">
        <v>44928</v>
      </c>
      <c r="C74" t="s">
        <v>1459</v>
      </c>
      <c r="D74" t="s">
        <v>15</v>
      </c>
      <c r="E74">
        <v>64</v>
      </c>
      <c r="F74" t="s">
        <v>16</v>
      </c>
      <c r="G74">
        <v>3</v>
      </c>
      <c r="H74" s="2">
        <v>50</v>
      </c>
      <c r="I74" s="2">
        <v>150</v>
      </c>
      <c r="J74" s="1" t="str">
        <f>IF(
   Sales_Performance[[#This Row],[Date]] = _xlfn.MINIFS(Sales_Performance[Date],Sales_Performance[Customer ID],Sales_Performance[[#This Row],[Customer ID]]),
   "New Customer",
   "Returning Customer"
)</f>
        <v>New Customer</v>
      </c>
    </row>
    <row r="75" spans="1:10" x14ac:dyDescent="0.35">
      <c r="A75" t="s">
        <v>67</v>
      </c>
      <c r="B75" s="1">
        <v>45061</v>
      </c>
      <c r="C75" t="s">
        <v>1335</v>
      </c>
      <c r="D75" t="s">
        <v>15</v>
      </c>
      <c r="E75">
        <v>47</v>
      </c>
      <c r="F75" t="s">
        <v>18</v>
      </c>
      <c r="G75">
        <v>3</v>
      </c>
      <c r="H75" s="2">
        <v>500</v>
      </c>
      <c r="I75" s="2">
        <v>1500</v>
      </c>
      <c r="J75" s="1" t="str">
        <f>IF(
   Sales_Performance[[#This Row],[Date]] = _xlfn.MINIFS(Sales_Performance[Date],Sales_Performance[Customer ID],Sales_Performance[[#This Row],[Customer ID]]),
   "New Customer",
   "Returning Customer"
)</f>
        <v>New Customer</v>
      </c>
    </row>
    <row r="76" spans="1:10" x14ac:dyDescent="0.35">
      <c r="A76" t="s">
        <v>61</v>
      </c>
      <c r="B76" s="1">
        <v>45183</v>
      </c>
      <c r="C76" t="s">
        <v>777</v>
      </c>
      <c r="D76" t="s">
        <v>15</v>
      </c>
      <c r="E76">
        <v>60</v>
      </c>
      <c r="F76" t="s">
        <v>16</v>
      </c>
      <c r="G76">
        <v>4</v>
      </c>
      <c r="H76" s="2">
        <v>300</v>
      </c>
      <c r="I76" s="2">
        <v>1200</v>
      </c>
      <c r="J76" s="1" t="str">
        <f>IF(
   Sales_Performance[[#This Row],[Date]] = _xlfn.MINIFS(Sales_Performance[Date],Sales_Performance[Customer ID],Sales_Performance[[#This Row],[Customer ID]]),
   "New Customer",
   "Returning Customer"
)</f>
        <v>Returning Customer</v>
      </c>
    </row>
    <row r="77" spans="1:10" x14ac:dyDescent="0.35">
      <c r="A77" t="s">
        <v>910</v>
      </c>
      <c r="B77" s="1">
        <v>45018</v>
      </c>
      <c r="C77" t="s">
        <v>750</v>
      </c>
      <c r="D77" t="s">
        <v>10</v>
      </c>
      <c r="E77">
        <v>34</v>
      </c>
      <c r="F77" t="s">
        <v>16</v>
      </c>
      <c r="G77">
        <v>4</v>
      </c>
      <c r="H77" s="2">
        <v>500</v>
      </c>
      <c r="I77" s="2">
        <v>2000</v>
      </c>
      <c r="J77" s="1" t="str">
        <f>IF(
   Sales_Performance[[#This Row],[Date]] = _xlfn.MINIFS(Sales_Performance[Date],Sales_Performance[Customer ID],Sales_Performance[[#This Row],[Customer ID]]),
   "New Customer",
   "Returning Customer"
)</f>
        <v>Returning Customer</v>
      </c>
    </row>
    <row r="78" spans="1:10" x14ac:dyDescent="0.35">
      <c r="A78" t="s">
        <v>423</v>
      </c>
      <c r="B78" s="1">
        <v>45186</v>
      </c>
      <c r="C78" t="s">
        <v>521</v>
      </c>
      <c r="D78" t="s">
        <v>15</v>
      </c>
      <c r="E78">
        <v>43</v>
      </c>
      <c r="F78" t="s">
        <v>16</v>
      </c>
      <c r="G78">
        <v>3</v>
      </c>
      <c r="H78" s="2">
        <v>50</v>
      </c>
      <c r="I78" s="2">
        <v>150</v>
      </c>
      <c r="J78" s="1" t="str">
        <f>IF(
   Sales_Performance[[#This Row],[Date]] = _xlfn.MINIFS(Sales_Performance[Date],Sales_Performance[Customer ID],Sales_Performance[[#This Row],[Customer ID]]),
   "New Customer",
   "Returning Customer"
)</f>
        <v>Returning Customer</v>
      </c>
    </row>
    <row r="79" spans="1:10" x14ac:dyDescent="0.35">
      <c r="A79" t="s">
        <v>1480</v>
      </c>
      <c r="B79" s="1">
        <v>44981</v>
      </c>
      <c r="C79" t="s">
        <v>496</v>
      </c>
      <c r="D79" t="s">
        <v>10</v>
      </c>
      <c r="E79">
        <v>53</v>
      </c>
      <c r="F79" t="s">
        <v>16</v>
      </c>
      <c r="G79">
        <v>1</v>
      </c>
      <c r="H79" s="2">
        <v>300</v>
      </c>
      <c r="I79" s="2">
        <v>300</v>
      </c>
      <c r="J79" s="1" t="str">
        <f>IF(
   Sales_Performance[[#This Row],[Date]] = _xlfn.MINIFS(Sales_Performance[Date],Sales_Performance[Customer ID],Sales_Performance[[#This Row],[Customer ID]]),
   "New Customer",
   "Returning Customer"
)</f>
        <v>New Customer</v>
      </c>
    </row>
    <row r="80" spans="1:10" x14ac:dyDescent="0.35">
      <c r="A80" t="s">
        <v>65</v>
      </c>
      <c r="B80" s="1">
        <v>45247</v>
      </c>
      <c r="C80" t="s">
        <v>121</v>
      </c>
      <c r="D80" t="s">
        <v>10</v>
      </c>
      <c r="E80">
        <v>18</v>
      </c>
      <c r="F80" t="s">
        <v>18</v>
      </c>
      <c r="G80">
        <v>3</v>
      </c>
      <c r="H80" s="2">
        <v>500</v>
      </c>
      <c r="I80" s="2">
        <v>1500</v>
      </c>
      <c r="J80" s="1" t="str">
        <f>IF(
   Sales_Performance[[#This Row],[Date]] = _xlfn.MINIFS(Sales_Performance[Date],Sales_Performance[Customer ID],Sales_Performance[[#This Row],[Customer ID]]),
   "New Customer",
   "Returning Customer"
)</f>
        <v>Returning Customer</v>
      </c>
    </row>
    <row r="81" spans="1:10" x14ac:dyDescent="0.35">
      <c r="A81" t="s">
        <v>1024</v>
      </c>
      <c r="B81" s="1">
        <v>45038</v>
      </c>
      <c r="C81" t="s">
        <v>311</v>
      </c>
      <c r="D81" t="s">
        <v>15</v>
      </c>
      <c r="E81">
        <v>27</v>
      </c>
      <c r="F81" t="s">
        <v>16</v>
      </c>
      <c r="G81">
        <v>4</v>
      </c>
      <c r="H81" s="2">
        <v>25</v>
      </c>
      <c r="I81" s="2">
        <v>100</v>
      </c>
      <c r="J81" s="1" t="str">
        <f>IF(
   Sales_Performance[[#This Row],[Date]] = _xlfn.MINIFS(Sales_Performance[Date],Sales_Performance[Customer ID],Sales_Performance[[#This Row],[Customer ID]]),
   "New Customer",
   "Returning Customer"
)</f>
        <v>Returning Customer</v>
      </c>
    </row>
    <row r="82" spans="1:10" x14ac:dyDescent="0.35">
      <c r="A82" t="s">
        <v>1289</v>
      </c>
      <c r="B82" s="1">
        <v>45079</v>
      </c>
      <c r="C82" t="s">
        <v>1122</v>
      </c>
      <c r="D82" t="s">
        <v>15</v>
      </c>
      <c r="E82">
        <v>25</v>
      </c>
      <c r="F82" t="s">
        <v>16</v>
      </c>
      <c r="G82">
        <v>2</v>
      </c>
      <c r="H82" s="2">
        <v>25</v>
      </c>
      <c r="I82" s="2">
        <v>50</v>
      </c>
      <c r="J82" s="1" t="str">
        <f>IF(
   Sales_Performance[[#This Row],[Date]] = _xlfn.MINIFS(Sales_Performance[Date],Sales_Performance[Customer ID],Sales_Performance[[#This Row],[Customer ID]]),
   "New Customer",
   "Returning Customer"
)</f>
        <v>Returning Customer</v>
      </c>
    </row>
    <row r="83" spans="1:10" x14ac:dyDescent="0.35">
      <c r="A83" t="s">
        <v>245</v>
      </c>
      <c r="B83" s="1">
        <v>45254</v>
      </c>
      <c r="C83" t="s">
        <v>194</v>
      </c>
      <c r="D83" t="s">
        <v>15</v>
      </c>
      <c r="E83">
        <v>52</v>
      </c>
      <c r="F83" t="s">
        <v>16</v>
      </c>
      <c r="G83">
        <v>3</v>
      </c>
      <c r="H83" s="2">
        <v>300</v>
      </c>
      <c r="I83" s="2">
        <v>900</v>
      </c>
      <c r="J83" s="1" t="str">
        <f>IF(
   Sales_Performance[[#This Row],[Date]] = _xlfn.MINIFS(Sales_Performance[Date],Sales_Performance[Customer ID],Sales_Performance[[#This Row],[Customer ID]]),
   "New Customer",
   "Returning Customer"
)</f>
        <v>New Customer</v>
      </c>
    </row>
    <row r="84" spans="1:10" x14ac:dyDescent="0.35">
      <c r="A84" t="s">
        <v>25</v>
      </c>
      <c r="B84" s="1">
        <v>45186</v>
      </c>
      <c r="C84" t="s">
        <v>798</v>
      </c>
      <c r="D84" t="s">
        <v>10</v>
      </c>
      <c r="E84">
        <v>32</v>
      </c>
      <c r="F84" t="s">
        <v>18</v>
      </c>
      <c r="G84">
        <v>2</v>
      </c>
      <c r="H84" s="2">
        <v>25</v>
      </c>
      <c r="I84" s="2">
        <v>50</v>
      </c>
      <c r="J84" s="1" t="str">
        <f>IF(
   Sales_Performance[[#This Row],[Date]] = _xlfn.MINIFS(Sales_Performance[Date],Sales_Performance[Customer ID],Sales_Performance[[#This Row],[Customer ID]]),
   "New Customer",
   "Returning Customer"
)</f>
        <v>New Customer</v>
      </c>
    </row>
    <row r="85" spans="1:10" x14ac:dyDescent="0.35">
      <c r="A85" t="s">
        <v>310</v>
      </c>
      <c r="B85" s="1">
        <v>45238</v>
      </c>
      <c r="C85" t="s">
        <v>962</v>
      </c>
      <c r="D85" t="s">
        <v>10</v>
      </c>
      <c r="E85">
        <v>64</v>
      </c>
      <c r="F85" t="s">
        <v>11</v>
      </c>
      <c r="G85">
        <v>4</v>
      </c>
      <c r="H85" s="2">
        <v>30</v>
      </c>
      <c r="I85" s="2">
        <v>120</v>
      </c>
      <c r="J85" s="1" t="str">
        <f>IF(
   Sales_Performance[[#This Row],[Date]] = _xlfn.MINIFS(Sales_Performance[Date],Sales_Performance[Customer ID],Sales_Performance[[#This Row],[Customer ID]]),
   "New Customer",
   "Returning Customer"
)</f>
        <v>Returning Customer</v>
      </c>
    </row>
    <row r="86" spans="1:10" x14ac:dyDescent="0.35">
      <c r="A86" t="s">
        <v>844</v>
      </c>
      <c r="B86" s="1">
        <v>45028</v>
      </c>
      <c r="C86" t="s">
        <v>201</v>
      </c>
      <c r="D86" t="s">
        <v>15</v>
      </c>
      <c r="E86">
        <v>39</v>
      </c>
      <c r="F86" t="s">
        <v>18</v>
      </c>
      <c r="G86">
        <v>1</v>
      </c>
      <c r="H86" s="2">
        <v>300</v>
      </c>
      <c r="I86" s="2">
        <v>300</v>
      </c>
      <c r="J86" s="1" t="str">
        <f>IF(
   Sales_Performance[[#This Row],[Date]] = _xlfn.MINIFS(Sales_Performance[Date],Sales_Performance[Customer ID],Sales_Performance[[#This Row],[Customer ID]]),
   "New Customer",
   "Returning Customer"
)</f>
        <v>New Customer</v>
      </c>
    </row>
    <row r="87" spans="1:10" x14ac:dyDescent="0.35">
      <c r="A87" t="s">
        <v>813</v>
      </c>
      <c r="B87" s="1">
        <v>45005</v>
      </c>
      <c r="C87" t="s">
        <v>1338</v>
      </c>
      <c r="D87" t="s">
        <v>15</v>
      </c>
      <c r="E87">
        <v>31</v>
      </c>
      <c r="F87" t="s">
        <v>11</v>
      </c>
      <c r="G87">
        <v>4</v>
      </c>
      <c r="H87" s="2">
        <v>25</v>
      </c>
      <c r="I87" s="2">
        <v>100</v>
      </c>
      <c r="J87" s="1" t="str">
        <f>IF(
   Sales_Performance[[#This Row],[Date]] = _xlfn.MINIFS(Sales_Performance[Date],Sales_Performance[Customer ID],Sales_Performance[[#This Row],[Customer ID]]),
   "New Customer",
   "Returning Customer"
)</f>
        <v>New Customer</v>
      </c>
    </row>
    <row r="88" spans="1:10" x14ac:dyDescent="0.35">
      <c r="A88" t="s">
        <v>1506</v>
      </c>
      <c r="B88" s="1">
        <v>45118</v>
      </c>
      <c r="C88" t="s">
        <v>342</v>
      </c>
      <c r="D88" t="s">
        <v>15</v>
      </c>
      <c r="E88">
        <v>43</v>
      </c>
      <c r="F88" t="s">
        <v>18</v>
      </c>
      <c r="G88">
        <v>2</v>
      </c>
      <c r="H88" s="2">
        <v>50</v>
      </c>
      <c r="I88" s="2">
        <v>100</v>
      </c>
      <c r="J88" s="1" t="str">
        <f>IF(
   Sales_Performance[[#This Row],[Date]] = _xlfn.MINIFS(Sales_Performance[Date],Sales_Performance[Customer ID],Sales_Performance[[#This Row],[Customer ID]]),
   "New Customer",
   "Returning Customer"
)</f>
        <v>Returning Customer</v>
      </c>
    </row>
    <row r="89" spans="1:10" x14ac:dyDescent="0.35">
      <c r="A89" t="s">
        <v>1129</v>
      </c>
      <c r="B89" s="1">
        <v>45009</v>
      </c>
      <c r="C89" t="s">
        <v>818</v>
      </c>
      <c r="D89" t="s">
        <v>10</v>
      </c>
      <c r="E89">
        <v>45</v>
      </c>
      <c r="F89" t="s">
        <v>18</v>
      </c>
      <c r="G89">
        <v>2</v>
      </c>
      <c r="H89" s="2">
        <v>50</v>
      </c>
      <c r="I89" s="2">
        <v>100</v>
      </c>
      <c r="J89" s="1" t="str">
        <f>IF(
   Sales_Performance[[#This Row],[Date]] = _xlfn.MINIFS(Sales_Performance[Date],Sales_Performance[Customer ID],Sales_Performance[[#This Row],[Customer ID]]),
   "New Customer",
   "Returning Customer"
)</f>
        <v>New Customer</v>
      </c>
    </row>
    <row r="90" spans="1:10" x14ac:dyDescent="0.35">
      <c r="A90" t="s">
        <v>592</v>
      </c>
      <c r="B90" s="1">
        <v>45203</v>
      </c>
      <c r="C90" t="s">
        <v>992</v>
      </c>
      <c r="D90" t="s">
        <v>10</v>
      </c>
      <c r="E90">
        <v>40</v>
      </c>
      <c r="F90" t="s">
        <v>16</v>
      </c>
      <c r="G90">
        <v>2</v>
      </c>
      <c r="H90" s="2">
        <v>30</v>
      </c>
      <c r="I90" s="2">
        <v>60</v>
      </c>
      <c r="J90" s="1" t="str">
        <f>IF(
   Sales_Performance[[#This Row],[Date]] = _xlfn.MINIFS(Sales_Performance[Date],Sales_Performance[Customer ID],Sales_Performance[[#This Row],[Customer ID]]),
   "New Customer",
   "Returning Customer"
)</f>
        <v>New Customer</v>
      </c>
    </row>
    <row r="91" spans="1:10" x14ac:dyDescent="0.35">
      <c r="A91" t="s">
        <v>951</v>
      </c>
      <c r="B91" s="1">
        <v>45198</v>
      </c>
      <c r="C91" t="s">
        <v>1066</v>
      </c>
      <c r="D91" t="s">
        <v>10</v>
      </c>
      <c r="E91">
        <v>31</v>
      </c>
      <c r="F91" t="s">
        <v>11</v>
      </c>
      <c r="G91">
        <v>1</v>
      </c>
      <c r="H91" s="2">
        <v>300</v>
      </c>
      <c r="I91" s="2">
        <v>300</v>
      </c>
      <c r="J91" s="1" t="str">
        <f>IF(
   Sales_Performance[[#This Row],[Date]] = _xlfn.MINIFS(Sales_Performance[Date],Sales_Performance[Customer ID],Sales_Performance[[#This Row],[Customer ID]]),
   "New Customer",
   "Returning Customer"
)</f>
        <v>Returning Customer</v>
      </c>
    </row>
    <row r="92" spans="1:10" x14ac:dyDescent="0.35">
      <c r="A92" t="s">
        <v>674</v>
      </c>
      <c r="B92" s="1">
        <v>45046</v>
      </c>
      <c r="C92" t="s">
        <v>22</v>
      </c>
      <c r="D92" t="s">
        <v>15</v>
      </c>
      <c r="E92">
        <v>47</v>
      </c>
      <c r="F92" t="s">
        <v>11</v>
      </c>
      <c r="G92">
        <v>2</v>
      </c>
      <c r="H92" s="2">
        <v>25</v>
      </c>
      <c r="I92" s="2">
        <v>50</v>
      </c>
      <c r="J92" s="1" t="str">
        <f>IF(
   Sales_Performance[[#This Row],[Date]] = _xlfn.MINIFS(Sales_Performance[Date],Sales_Performance[Customer ID],Sales_Performance[[#This Row],[Customer ID]]),
   "New Customer",
   "Returning Customer"
)</f>
        <v>New Customer</v>
      </c>
    </row>
    <row r="93" spans="1:10" x14ac:dyDescent="0.35">
      <c r="A93" t="s">
        <v>370</v>
      </c>
      <c r="B93" s="1">
        <v>44927</v>
      </c>
      <c r="C93" t="s">
        <v>601</v>
      </c>
      <c r="D93" t="s">
        <v>10</v>
      </c>
      <c r="E93">
        <v>41</v>
      </c>
      <c r="F93" t="s">
        <v>16</v>
      </c>
      <c r="G93">
        <v>3</v>
      </c>
      <c r="H93" s="2">
        <v>300</v>
      </c>
      <c r="I93" s="2">
        <v>900</v>
      </c>
      <c r="J93" s="1" t="str">
        <f>IF(
   Sales_Performance[[#This Row],[Date]] = _xlfn.MINIFS(Sales_Performance[Date],Sales_Performance[Customer ID],Sales_Performance[[#This Row],[Customer ID]]),
   "New Customer",
   "Returning Customer"
)</f>
        <v>New Customer</v>
      </c>
    </row>
    <row r="94" spans="1:10" x14ac:dyDescent="0.35">
      <c r="A94" t="s">
        <v>1291</v>
      </c>
      <c r="B94" s="1">
        <v>45233</v>
      </c>
      <c r="C94" t="s">
        <v>72</v>
      </c>
      <c r="D94" t="s">
        <v>10</v>
      </c>
      <c r="E94">
        <v>19</v>
      </c>
      <c r="F94" t="s">
        <v>11</v>
      </c>
      <c r="G94">
        <v>4</v>
      </c>
      <c r="H94" s="2">
        <v>300</v>
      </c>
      <c r="I94" s="2">
        <v>1200</v>
      </c>
      <c r="J94" s="1" t="str">
        <f>IF(
   Sales_Performance[[#This Row],[Date]] = _xlfn.MINIFS(Sales_Performance[Date],Sales_Performance[Customer ID],Sales_Performance[[#This Row],[Customer ID]]),
   "New Customer",
   "Returning Customer"
)</f>
        <v>Returning Customer</v>
      </c>
    </row>
    <row r="95" spans="1:10" x14ac:dyDescent="0.35">
      <c r="A95" t="s">
        <v>1063</v>
      </c>
      <c r="B95" s="1">
        <v>45092</v>
      </c>
      <c r="C95" t="s">
        <v>1127</v>
      </c>
      <c r="D95" t="s">
        <v>10</v>
      </c>
      <c r="E95">
        <v>62</v>
      </c>
      <c r="F95" t="s">
        <v>18</v>
      </c>
      <c r="G95">
        <v>4</v>
      </c>
      <c r="H95" s="2">
        <v>30</v>
      </c>
      <c r="I95" s="2">
        <v>120</v>
      </c>
      <c r="J95" s="1" t="str">
        <f>IF(
   Sales_Performance[[#This Row],[Date]] = _xlfn.MINIFS(Sales_Performance[Date],Sales_Performance[Customer ID],Sales_Performance[[#This Row],[Customer ID]]),
   "New Customer",
   "Returning Customer"
)</f>
        <v>Returning Customer</v>
      </c>
    </row>
    <row r="96" spans="1:10" x14ac:dyDescent="0.35">
      <c r="A96" t="s">
        <v>1250</v>
      </c>
      <c r="B96" s="1">
        <v>45177</v>
      </c>
      <c r="C96" t="s">
        <v>176</v>
      </c>
      <c r="D96" t="s">
        <v>15</v>
      </c>
      <c r="E96">
        <v>43</v>
      </c>
      <c r="F96" t="s">
        <v>18</v>
      </c>
      <c r="G96">
        <v>3</v>
      </c>
      <c r="H96" s="2">
        <v>300</v>
      </c>
      <c r="I96" s="2">
        <v>900</v>
      </c>
      <c r="J96" s="1" t="str">
        <f>IF(
   Sales_Performance[[#This Row],[Date]] = _xlfn.MINIFS(Sales_Performance[Date],Sales_Performance[Customer ID],Sales_Performance[[#This Row],[Customer ID]]),
   "New Customer",
   "Returning Customer"
)</f>
        <v>Returning Customer</v>
      </c>
    </row>
    <row r="97" spans="1:10" x14ac:dyDescent="0.35">
      <c r="A97" t="s">
        <v>1453</v>
      </c>
      <c r="B97" s="1">
        <v>44936</v>
      </c>
      <c r="C97" t="s">
        <v>971</v>
      </c>
      <c r="D97" t="s">
        <v>10</v>
      </c>
      <c r="E97">
        <v>31</v>
      </c>
      <c r="F97" t="s">
        <v>11</v>
      </c>
      <c r="G97">
        <v>4</v>
      </c>
      <c r="H97" s="2">
        <v>50</v>
      </c>
      <c r="I97" s="2">
        <v>200</v>
      </c>
      <c r="J97" s="1" t="str">
        <f>IF(
   Sales_Performance[[#This Row],[Date]] = _xlfn.MINIFS(Sales_Performance[Date],Sales_Performance[Customer ID],Sales_Performance[[#This Row],[Customer ID]]),
   "New Customer",
   "Returning Customer"
)</f>
        <v>New Customer</v>
      </c>
    </row>
    <row r="98" spans="1:10" x14ac:dyDescent="0.35">
      <c r="A98" t="s">
        <v>1065</v>
      </c>
      <c r="B98" s="1">
        <v>44984</v>
      </c>
      <c r="C98" t="s">
        <v>1505</v>
      </c>
      <c r="D98" t="s">
        <v>10</v>
      </c>
      <c r="E98">
        <v>24</v>
      </c>
      <c r="F98" t="s">
        <v>16</v>
      </c>
      <c r="G98">
        <v>1</v>
      </c>
      <c r="H98" s="2">
        <v>25</v>
      </c>
      <c r="I98" s="2">
        <v>25</v>
      </c>
      <c r="J98" s="1" t="str">
        <f>IF(
   Sales_Performance[[#This Row],[Date]] = _xlfn.MINIFS(Sales_Performance[Date],Sales_Performance[Customer ID],Sales_Performance[[#This Row],[Customer ID]]),
   "New Customer",
   "Returning Customer"
)</f>
        <v>New Customer</v>
      </c>
    </row>
    <row r="99" spans="1:10" x14ac:dyDescent="0.35">
      <c r="A99" t="s">
        <v>1493</v>
      </c>
      <c r="B99" s="1">
        <v>45112</v>
      </c>
      <c r="C99" t="s">
        <v>1320</v>
      </c>
      <c r="D99" t="s">
        <v>10</v>
      </c>
      <c r="E99">
        <v>20</v>
      </c>
      <c r="F99" t="s">
        <v>16</v>
      </c>
      <c r="G99">
        <v>4</v>
      </c>
      <c r="H99" s="2">
        <v>50</v>
      </c>
      <c r="I99" s="2">
        <v>200</v>
      </c>
      <c r="J99" s="1" t="str">
        <f>IF(
   Sales_Performance[[#This Row],[Date]] = _xlfn.MINIFS(Sales_Performance[Date],Sales_Performance[Customer ID],Sales_Performance[[#This Row],[Customer ID]]),
   "New Customer",
   "Returning Customer"
)</f>
        <v>Returning Customer</v>
      </c>
    </row>
    <row r="100" spans="1:10" x14ac:dyDescent="0.35">
      <c r="A100" t="s">
        <v>227</v>
      </c>
      <c r="B100" s="1">
        <v>45084</v>
      </c>
      <c r="C100" t="s">
        <v>715</v>
      </c>
      <c r="D100" t="s">
        <v>15</v>
      </c>
      <c r="E100">
        <v>64</v>
      </c>
      <c r="F100" t="s">
        <v>16</v>
      </c>
      <c r="G100">
        <v>2</v>
      </c>
      <c r="H100" s="2">
        <v>50</v>
      </c>
      <c r="I100" s="2">
        <v>100</v>
      </c>
      <c r="J100" s="1" t="str">
        <f>IF(
   Sales_Performance[[#This Row],[Date]] = _xlfn.MINIFS(Sales_Performance[Date],Sales_Performance[Customer ID],Sales_Performance[[#This Row],[Customer ID]]),
   "New Customer",
   "Returning Customer"
)</f>
        <v>Returning Customer</v>
      </c>
    </row>
    <row r="101" spans="1:10" x14ac:dyDescent="0.35">
      <c r="A101" t="s">
        <v>803</v>
      </c>
      <c r="B101" s="1">
        <v>45049</v>
      </c>
      <c r="C101" t="s">
        <v>487</v>
      </c>
      <c r="D101" t="s">
        <v>10</v>
      </c>
      <c r="E101">
        <v>40</v>
      </c>
      <c r="F101" t="s">
        <v>16</v>
      </c>
      <c r="G101">
        <v>3</v>
      </c>
      <c r="H101" s="2">
        <v>25</v>
      </c>
      <c r="I101" s="2">
        <v>75</v>
      </c>
      <c r="J101" s="1" t="str">
        <f>IF(
   Sales_Performance[[#This Row],[Date]] = _xlfn.MINIFS(Sales_Performance[Date],Sales_Performance[Customer ID],Sales_Performance[[#This Row],[Customer ID]]),
   "New Customer",
   "Returning Customer"
)</f>
        <v>Returning Customer</v>
      </c>
    </row>
    <row r="102" spans="1:10" x14ac:dyDescent="0.35">
      <c r="A102" t="s">
        <v>473</v>
      </c>
      <c r="B102" s="1">
        <v>44956</v>
      </c>
      <c r="C102" t="s">
        <v>816</v>
      </c>
      <c r="D102" t="s">
        <v>10</v>
      </c>
      <c r="E102">
        <v>63</v>
      </c>
      <c r="F102" t="s">
        <v>18</v>
      </c>
      <c r="G102">
        <v>1</v>
      </c>
      <c r="H102" s="2">
        <v>50</v>
      </c>
      <c r="I102" s="2">
        <v>50</v>
      </c>
      <c r="J102" s="1" t="str">
        <f>IF(
   Sales_Performance[[#This Row],[Date]] = _xlfn.MINIFS(Sales_Performance[Date],Sales_Performance[Customer ID],Sales_Performance[[#This Row],[Customer ID]]),
   "New Customer",
   "Returning Customer"
)</f>
        <v>New Customer</v>
      </c>
    </row>
    <row r="103" spans="1:10" x14ac:dyDescent="0.35">
      <c r="A103" t="s">
        <v>1047</v>
      </c>
      <c r="B103" s="1">
        <v>45185</v>
      </c>
      <c r="C103" t="s">
        <v>402</v>
      </c>
      <c r="D103" t="s">
        <v>15</v>
      </c>
      <c r="E103">
        <v>62</v>
      </c>
      <c r="F103" t="s">
        <v>16</v>
      </c>
      <c r="G103">
        <v>2</v>
      </c>
      <c r="H103" s="2">
        <v>25</v>
      </c>
      <c r="I103" s="2">
        <v>50</v>
      </c>
      <c r="J103" s="1" t="str">
        <f>IF(
   Sales_Performance[[#This Row],[Date]] = _xlfn.MINIFS(Sales_Performance[Date],Sales_Performance[Customer ID],Sales_Performance[[#This Row],[Customer ID]]),
   "New Customer",
   "Returning Customer"
)</f>
        <v>Returning Customer</v>
      </c>
    </row>
    <row r="104" spans="1:10" x14ac:dyDescent="0.35">
      <c r="A104" t="s">
        <v>1447</v>
      </c>
      <c r="B104" s="1">
        <v>45050</v>
      </c>
      <c r="C104" t="s">
        <v>603</v>
      </c>
      <c r="D104" t="s">
        <v>15</v>
      </c>
      <c r="E104">
        <v>60</v>
      </c>
      <c r="F104" t="s">
        <v>18</v>
      </c>
      <c r="G104">
        <v>3</v>
      </c>
      <c r="H104" s="2">
        <v>30</v>
      </c>
      <c r="I104" s="2">
        <v>90</v>
      </c>
      <c r="J104" s="1" t="str">
        <f>IF(
   Sales_Performance[[#This Row],[Date]] = _xlfn.MINIFS(Sales_Performance[Date],Sales_Performance[Customer ID],Sales_Performance[[#This Row],[Customer ID]]),
   "New Customer",
   "Returning Customer"
)</f>
        <v>New Customer</v>
      </c>
    </row>
    <row r="105" spans="1:10" x14ac:dyDescent="0.35">
      <c r="A105" t="s">
        <v>1282</v>
      </c>
      <c r="B105" s="1">
        <v>45217</v>
      </c>
      <c r="C105" t="s">
        <v>1025</v>
      </c>
      <c r="D105" t="s">
        <v>10</v>
      </c>
      <c r="E105">
        <v>64</v>
      </c>
      <c r="F105" t="s">
        <v>18</v>
      </c>
      <c r="G105">
        <v>1</v>
      </c>
      <c r="H105" s="2">
        <v>25</v>
      </c>
      <c r="I105" s="2">
        <v>25</v>
      </c>
      <c r="J105" s="1" t="str">
        <f>IF(
   Sales_Performance[[#This Row],[Date]] = _xlfn.MINIFS(Sales_Performance[Date],Sales_Performance[Customer ID],Sales_Performance[[#This Row],[Customer ID]]),
   "New Customer",
   "Returning Customer"
)</f>
        <v>New Customer</v>
      </c>
    </row>
    <row r="106" spans="1:10" x14ac:dyDescent="0.35">
      <c r="A106" t="s">
        <v>514</v>
      </c>
      <c r="B106" s="1">
        <v>44967</v>
      </c>
      <c r="C106" t="s">
        <v>1163</v>
      </c>
      <c r="D106" t="s">
        <v>10</v>
      </c>
      <c r="E106">
        <v>62</v>
      </c>
      <c r="F106" t="s">
        <v>18</v>
      </c>
      <c r="G106">
        <v>2</v>
      </c>
      <c r="H106" s="2">
        <v>50</v>
      </c>
      <c r="I106" s="2">
        <v>100</v>
      </c>
      <c r="J106" s="1" t="str">
        <f>IF(
   Sales_Performance[[#This Row],[Date]] = _xlfn.MINIFS(Sales_Performance[Date],Sales_Performance[Customer ID],Sales_Performance[[#This Row],[Customer ID]]),
   "New Customer",
   "Returning Customer"
)</f>
        <v>New Customer</v>
      </c>
    </row>
    <row r="107" spans="1:10" x14ac:dyDescent="0.35">
      <c r="A107" t="s">
        <v>511</v>
      </c>
      <c r="B107" s="1">
        <v>44970</v>
      </c>
      <c r="C107" t="s">
        <v>448</v>
      </c>
      <c r="D107" t="s">
        <v>10</v>
      </c>
      <c r="E107">
        <v>35</v>
      </c>
      <c r="F107" t="s">
        <v>18</v>
      </c>
      <c r="G107">
        <v>3</v>
      </c>
      <c r="H107" s="2">
        <v>500</v>
      </c>
      <c r="I107" s="2">
        <v>1500</v>
      </c>
      <c r="J107" s="1" t="str">
        <f>IF(
   Sales_Performance[[#This Row],[Date]] = _xlfn.MINIFS(Sales_Performance[Date],Sales_Performance[Customer ID],Sales_Performance[[#This Row],[Customer ID]]),
   "New Customer",
   "Returning Customer"
)</f>
        <v>New Customer</v>
      </c>
    </row>
    <row r="108" spans="1:10" x14ac:dyDescent="0.35">
      <c r="A108" t="s">
        <v>630</v>
      </c>
      <c r="B108" s="1">
        <v>45175</v>
      </c>
      <c r="C108" t="s">
        <v>478</v>
      </c>
      <c r="D108" t="s">
        <v>10</v>
      </c>
      <c r="E108">
        <v>55</v>
      </c>
      <c r="F108" t="s">
        <v>16</v>
      </c>
      <c r="G108">
        <v>4</v>
      </c>
      <c r="H108" s="2">
        <v>50</v>
      </c>
      <c r="I108" s="2">
        <v>200</v>
      </c>
      <c r="J108" s="1" t="str">
        <f>IF(
   Sales_Performance[[#This Row],[Date]] = _xlfn.MINIFS(Sales_Performance[Date],Sales_Performance[Customer ID],Sales_Performance[[#This Row],[Customer ID]]),
   "New Customer",
   "Returning Customer"
)</f>
        <v>Returning Customer</v>
      </c>
    </row>
    <row r="109" spans="1:10" x14ac:dyDescent="0.35">
      <c r="A109" t="s">
        <v>949</v>
      </c>
      <c r="B109" s="1">
        <v>44962</v>
      </c>
      <c r="C109" t="s">
        <v>1362</v>
      </c>
      <c r="D109" t="s">
        <v>10</v>
      </c>
      <c r="E109">
        <v>52</v>
      </c>
      <c r="F109" t="s">
        <v>16</v>
      </c>
      <c r="G109">
        <v>1</v>
      </c>
      <c r="H109" s="2">
        <v>30</v>
      </c>
      <c r="I109" s="2">
        <v>30</v>
      </c>
      <c r="J109" s="1" t="str">
        <f>IF(
   Sales_Performance[[#This Row],[Date]] = _xlfn.MINIFS(Sales_Performance[Date],Sales_Performance[Customer ID],Sales_Performance[[#This Row],[Customer ID]]),
   "New Customer",
   "Returning Customer"
)</f>
        <v>New Customer</v>
      </c>
    </row>
    <row r="110" spans="1:10" x14ac:dyDescent="0.35">
      <c r="A110" t="s">
        <v>1427</v>
      </c>
      <c r="B110" s="1">
        <v>45199</v>
      </c>
      <c r="C110" t="s">
        <v>1435</v>
      </c>
      <c r="D110" t="s">
        <v>15</v>
      </c>
      <c r="E110">
        <v>32</v>
      </c>
      <c r="F110" t="s">
        <v>16</v>
      </c>
      <c r="G110">
        <v>3</v>
      </c>
      <c r="H110" s="2">
        <v>300</v>
      </c>
      <c r="I110" s="2">
        <v>900</v>
      </c>
      <c r="J110" s="1" t="str">
        <f>IF(
   Sales_Performance[[#This Row],[Date]] = _xlfn.MINIFS(Sales_Performance[Date],Sales_Performance[Customer ID],Sales_Performance[[#This Row],[Customer ID]]),
   "New Customer",
   "Returning Customer"
)</f>
        <v>New Customer</v>
      </c>
    </row>
    <row r="111" spans="1:10" x14ac:dyDescent="0.35">
      <c r="A111" t="s">
        <v>1504</v>
      </c>
      <c r="B111" s="1">
        <v>44991</v>
      </c>
      <c r="C111" t="s">
        <v>93</v>
      </c>
      <c r="D111" t="s">
        <v>15</v>
      </c>
      <c r="E111">
        <v>42</v>
      </c>
      <c r="F111" t="s">
        <v>16</v>
      </c>
      <c r="G111">
        <v>4</v>
      </c>
      <c r="H111" s="2">
        <v>50</v>
      </c>
      <c r="I111" s="2">
        <v>200</v>
      </c>
      <c r="J111" s="1" t="str">
        <f>IF(
   Sales_Performance[[#This Row],[Date]] = _xlfn.MINIFS(Sales_Performance[Date],Sales_Performance[Customer ID],Sales_Performance[[#This Row],[Customer ID]]),
   "New Customer",
   "Returning Customer"
)</f>
        <v>New Customer</v>
      </c>
    </row>
    <row r="112" spans="1:10" x14ac:dyDescent="0.35">
      <c r="A112" t="s">
        <v>1295</v>
      </c>
      <c r="B112" s="1">
        <v>44992</v>
      </c>
      <c r="C112" t="s">
        <v>688</v>
      </c>
      <c r="D112" t="s">
        <v>15</v>
      </c>
      <c r="E112">
        <v>54</v>
      </c>
      <c r="F112" t="s">
        <v>18</v>
      </c>
      <c r="G112">
        <v>3</v>
      </c>
      <c r="H112" s="2">
        <v>300</v>
      </c>
      <c r="I112" s="2">
        <v>900</v>
      </c>
      <c r="J112" s="1" t="str">
        <f>IF(
   Sales_Performance[[#This Row],[Date]] = _xlfn.MINIFS(Sales_Performance[Date],Sales_Performance[Customer ID],Sales_Performance[[#This Row],[Customer ID]]),
   "New Customer",
   "Returning Customer"
)</f>
        <v>Returning Customer</v>
      </c>
    </row>
    <row r="113" spans="1:10" x14ac:dyDescent="0.35">
      <c r="A113" t="s">
        <v>999</v>
      </c>
      <c r="B113" s="1">
        <v>45264</v>
      </c>
      <c r="C113" t="s">
        <v>1314</v>
      </c>
      <c r="D113" t="s">
        <v>10</v>
      </c>
      <c r="E113">
        <v>45</v>
      </c>
      <c r="F113" t="s">
        <v>18</v>
      </c>
      <c r="G113">
        <v>3</v>
      </c>
      <c r="H113" s="2">
        <v>500</v>
      </c>
      <c r="I113" s="2">
        <v>1500</v>
      </c>
      <c r="J113" s="1" t="str">
        <f>IF(
   Sales_Performance[[#This Row],[Date]] = _xlfn.MINIFS(Sales_Performance[Date],Sales_Performance[Customer ID],Sales_Performance[[#This Row],[Customer ID]]),
   "New Customer",
   "Returning Customer"
)</f>
        <v>New Customer</v>
      </c>
    </row>
    <row r="114" spans="1:10" x14ac:dyDescent="0.35">
      <c r="A114" t="s">
        <v>1179</v>
      </c>
      <c r="B114" s="1">
        <v>44984</v>
      </c>
      <c r="C114" t="s">
        <v>1340</v>
      </c>
      <c r="D114" t="s">
        <v>15</v>
      </c>
      <c r="E114">
        <v>26</v>
      </c>
      <c r="F114" t="s">
        <v>16</v>
      </c>
      <c r="G114">
        <v>2</v>
      </c>
      <c r="H114" s="2">
        <v>500</v>
      </c>
      <c r="I114" s="2">
        <v>1000</v>
      </c>
      <c r="J114" s="1" t="str">
        <f>IF(
   Sales_Performance[[#This Row],[Date]] = _xlfn.MINIFS(Sales_Performance[Date],Sales_Performance[Customer ID],Sales_Performance[[#This Row],[Customer ID]]),
   "New Customer",
   "Returning Customer"
)</f>
        <v>New Customer</v>
      </c>
    </row>
    <row r="115" spans="1:10" x14ac:dyDescent="0.35">
      <c r="A115" t="s">
        <v>1382</v>
      </c>
      <c r="B115" s="1">
        <v>45235</v>
      </c>
      <c r="C115" t="s">
        <v>183</v>
      </c>
      <c r="D115" t="s">
        <v>10</v>
      </c>
      <c r="E115">
        <v>22</v>
      </c>
      <c r="F115" t="s">
        <v>16</v>
      </c>
      <c r="G115">
        <v>3</v>
      </c>
      <c r="H115" s="2">
        <v>300</v>
      </c>
      <c r="I115" s="2">
        <v>900</v>
      </c>
      <c r="J115" s="1" t="str">
        <f>IF(
   Sales_Performance[[#This Row],[Date]] = _xlfn.MINIFS(Sales_Performance[Date],Sales_Performance[Customer ID],Sales_Performance[[#This Row],[Customer ID]]),
   "New Customer",
   "Returning Customer"
)</f>
        <v>Returning Customer</v>
      </c>
    </row>
    <row r="116" spans="1:10" x14ac:dyDescent="0.35">
      <c r="A116" t="s">
        <v>568</v>
      </c>
      <c r="B116" s="1">
        <v>45170</v>
      </c>
      <c r="C116" t="s">
        <v>1445</v>
      </c>
      <c r="D116" t="s">
        <v>10</v>
      </c>
      <c r="E116">
        <v>27</v>
      </c>
      <c r="F116" t="s">
        <v>18</v>
      </c>
      <c r="G116">
        <v>3</v>
      </c>
      <c r="H116" s="2">
        <v>50</v>
      </c>
      <c r="I116" s="2">
        <v>150</v>
      </c>
      <c r="J116" s="1" t="str">
        <f>IF(
   Sales_Performance[[#This Row],[Date]] = _xlfn.MINIFS(Sales_Performance[Date],Sales_Performance[Customer ID],Sales_Performance[[#This Row],[Customer ID]]),
   "New Customer",
   "Returning Customer"
)</f>
        <v>New Customer</v>
      </c>
    </row>
    <row r="117" spans="1:10" x14ac:dyDescent="0.35">
      <c r="A117" t="s">
        <v>721</v>
      </c>
      <c r="B117" s="1">
        <v>45208</v>
      </c>
      <c r="C117" t="s">
        <v>586</v>
      </c>
      <c r="D117" t="s">
        <v>10</v>
      </c>
      <c r="E117">
        <v>56</v>
      </c>
      <c r="F117" t="s">
        <v>11</v>
      </c>
      <c r="G117">
        <v>1</v>
      </c>
      <c r="H117" s="2">
        <v>25</v>
      </c>
      <c r="I117" s="2">
        <v>25</v>
      </c>
      <c r="J117" s="1" t="str">
        <f>IF(
   Sales_Performance[[#This Row],[Date]] = _xlfn.MINIFS(Sales_Performance[Date],Sales_Performance[Customer ID],Sales_Performance[[#This Row],[Customer ID]]),
   "New Customer",
   "Returning Customer"
)</f>
        <v>Returning Customer</v>
      </c>
    </row>
    <row r="118" spans="1:10" x14ac:dyDescent="0.35">
      <c r="A118" t="s">
        <v>1440</v>
      </c>
      <c r="B118" s="1">
        <v>45011</v>
      </c>
      <c r="C118" t="s">
        <v>533</v>
      </c>
      <c r="D118" t="s">
        <v>15</v>
      </c>
      <c r="E118">
        <v>34</v>
      </c>
      <c r="F118" t="s">
        <v>16</v>
      </c>
      <c r="G118">
        <v>4</v>
      </c>
      <c r="H118" s="2">
        <v>300</v>
      </c>
      <c r="I118" s="2">
        <v>1200</v>
      </c>
      <c r="J118" s="1" t="str">
        <f>IF(
   Sales_Performance[[#This Row],[Date]] = _xlfn.MINIFS(Sales_Performance[Date],Sales_Performance[Customer ID],Sales_Performance[[#This Row],[Customer ID]]),
   "New Customer",
   "Returning Customer"
)</f>
        <v>New Customer</v>
      </c>
    </row>
    <row r="119" spans="1:10" x14ac:dyDescent="0.35">
      <c r="A119" t="s">
        <v>600</v>
      </c>
      <c r="B119" s="1">
        <v>45062</v>
      </c>
      <c r="C119" t="s">
        <v>586</v>
      </c>
      <c r="D119" t="s">
        <v>10</v>
      </c>
      <c r="E119">
        <v>56</v>
      </c>
      <c r="F119" t="s">
        <v>16</v>
      </c>
      <c r="G119">
        <v>2</v>
      </c>
      <c r="H119" s="2">
        <v>500</v>
      </c>
      <c r="I119" s="2">
        <v>1000</v>
      </c>
      <c r="J119" s="1" t="str">
        <f>IF(
   Sales_Performance[[#This Row],[Date]] = _xlfn.MINIFS(Sales_Performance[Date],Sales_Performance[Customer ID],Sales_Performance[[#This Row],[Customer ID]]),
   "New Customer",
   "Returning Customer"
)</f>
        <v>Returning Customer</v>
      </c>
    </row>
    <row r="120" spans="1:10" x14ac:dyDescent="0.35">
      <c r="A120" t="s">
        <v>1355</v>
      </c>
      <c r="B120" s="1">
        <v>45197</v>
      </c>
      <c r="C120" t="s">
        <v>1248</v>
      </c>
      <c r="D120" t="s">
        <v>10</v>
      </c>
      <c r="E120">
        <v>39</v>
      </c>
      <c r="F120" t="s">
        <v>18</v>
      </c>
      <c r="G120">
        <v>1</v>
      </c>
      <c r="H120" s="2">
        <v>25</v>
      </c>
      <c r="I120" s="2">
        <v>25</v>
      </c>
      <c r="J120" s="1" t="str">
        <f>IF(
   Sales_Performance[[#This Row],[Date]] = _xlfn.MINIFS(Sales_Performance[Date],Sales_Performance[Customer ID],Sales_Performance[[#This Row],[Customer ID]]),
   "New Customer",
   "Returning Customer"
)</f>
        <v>Returning Customer</v>
      </c>
    </row>
    <row r="121" spans="1:10" x14ac:dyDescent="0.35">
      <c r="A121" t="s">
        <v>261</v>
      </c>
      <c r="B121" s="1">
        <v>45237</v>
      </c>
      <c r="C121" t="s">
        <v>1124</v>
      </c>
      <c r="D121" t="s">
        <v>15</v>
      </c>
      <c r="E121">
        <v>43</v>
      </c>
      <c r="F121" t="s">
        <v>16</v>
      </c>
      <c r="G121">
        <v>1</v>
      </c>
      <c r="H121" s="2">
        <v>25</v>
      </c>
      <c r="I121" s="2">
        <v>25</v>
      </c>
      <c r="J121" s="1" t="str">
        <f>IF(
   Sales_Performance[[#This Row],[Date]] = _xlfn.MINIFS(Sales_Performance[Date],Sales_Performance[Customer ID],Sales_Performance[[#This Row],[Customer ID]]),
   "New Customer",
   "Returning Customer"
)</f>
        <v>New Customer</v>
      </c>
    </row>
    <row r="122" spans="1:10" x14ac:dyDescent="0.35">
      <c r="A122" t="s">
        <v>221</v>
      </c>
      <c r="B122" s="1">
        <v>45143</v>
      </c>
      <c r="C122" t="s">
        <v>84</v>
      </c>
      <c r="D122" t="s">
        <v>10</v>
      </c>
      <c r="E122">
        <v>61</v>
      </c>
      <c r="F122" t="s">
        <v>16</v>
      </c>
      <c r="G122">
        <v>1</v>
      </c>
      <c r="H122" s="2">
        <v>25</v>
      </c>
      <c r="I122" s="2">
        <v>25</v>
      </c>
      <c r="J122" s="1" t="str">
        <f>IF(
   Sales_Performance[[#This Row],[Date]] = _xlfn.MINIFS(Sales_Performance[Date],Sales_Performance[Customer ID],Sales_Performance[[#This Row],[Customer ID]]),
   "New Customer",
   "Returning Customer"
)</f>
        <v>Returning Customer</v>
      </c>
    </row>
    <row r="123" spans="1:10" x14ac:dyDescent="0.35">
      <c r="A123" t="s">
        <v>1011</v>
      </c>
      <c r="B123" s="1">
        <v>45035</v>
      </c>
      <c r="C123" t="s">
        <v>420</v>
      </c>
      <c r="D123" t="s">
        <v>15</v>
      </c>
      <c r="E123">
        <v>42</v>
      </c>
      <c r="F123" t="s">
        <v>18</v>
      </c>
      <c r="G123">
        <v>2</v>
      </c>
      <c r="H123" s="2">
        <v>25</v>
      </c>
      <c r="I123" s="2">
        <v>50</v>
      </c>
      <c r="J123" s="1" t="str">
        <f>IF(
   Sales_Performance[[#This Row],[Date]] = _xlfn.MINIFS(Sales_Performance[Date],Sales_Performance[Customer ID],Sales_Performance[[#This Row],[Customer ID]]),
   "New Customer",
   "Returning Customer"
)</f>
        <v>New Customer</v>
      </c>
    </row>
    <row r="124" spans="1:10" x14ac:dyDescent="0.35">
      <c r="A124" t="s">
        <v>741</v>
      </c>
      <c r="B124" s="1">
        <v>45203</v>
      </c>
      <c r="C124" t="s">
        <v>1231</v>
      </c>
      <c r="D124" t="s">
        <v>15</v>
      </c>
      <c r="E124">
        <v>34</v>
      </c>
      <c r="F124" t="s">
        <v>11</v>
      </c>
      <c r="G124">
        <v>4</v>
      </c>
      <c r="H124" s="2">
        <v>50</v>
      </c>
      <c r="I124" s="2">
        <v>200</v>
      </c>
      <c r="J124" s="1" t="str">
        <f>IF(
   Sales_Performance[[#This Row],[Date]] = _xlfn.MINIFS(Sales_Performance[Date],Sales_Performance[Customer ID],Sales_Performance[[#This Row],[Customer ID]]),
   "New Customer",
   "Returning Customer"
)</f>
        <v>Returning Customer</v>
      </c>
    </row>
    <row r="125" spans="1:10" x14ac:dyDescent="0.35">
      <c r="A125" t="s">
        <v>1175</v>
      </c>
      <c r="B125" s="1">
        <v>45280</v>
      </c>
      <c r="C125" t="s">
        <v>1354</v>
      </c>
      <c r="D125" t="s">
        <v>15</v>
      </c>
      <c r="E125">
        <v>30</v>
      </c>
      <c r="F125" t="s">
        <v>11</v>
      </c>
      <c r="G125">
        <v>4</v>
      </c>
      <c r="H125" s="2">
        <v>50</v>
      </c>
      <c r="I125" s="2">
        <v>200</v>
      </c>
      <c r="J125" s="1" t="str">
        <f>IF(
   Sales_Performance[[#This Row],[Date]] = _xlfn.MINIFS(Sales_Performance[Date],Sales_Performance[Customer ID],Sales_Performance[[#This Row],[Customer ID]]),
   "New Customer",
   "Returning Customer"
)</f>
        <v>Returning Customer</v>
      </c>
    </row>
    <row r="126" spans="1:10" x14ac:dyDescent="0.35">
      <c r="A126" t="s">
        <v>452</v>
      </c>
      <c r="B126" s="1">
        <v>44940</v>
      </c>
      <c r="C126" t="s">
        <v>865</v>
      </c>
      <c r="D126" t="s">
        <v>15</v>
      </c>
      <c r="E126">
        <v>50</v>
      </c>
      <c r="F126" t="s">
        <v>18</v>
      </c>
      <c r="G126">
        <v>1</v>
      </c>
      <c r="H126" s="2">
        <v>500</v>
      </c>
      <c r="I126" s="2">
        <v>500</v>
      </c>
      <c r="J126" s="1" t="str">
        <f>IF(
   Sales_Performance[[#This Row],[Date]] = _xlfn.MINIFS(Sales_Performance[Date],Sales_Performance[Customer ID],Sales_Performance[[#This Row],[Customer ID]]),
   "New Customer",
   "Returning Customer"
)</f>
        <v>New Customer</v>
      </c>
    </row>
    <row r="127" spans="1:10" x14ac:dyDescent="0.35">
      <c r="A127" t="s">
        <v>415</v>
      </c>
      <c r="B127" s="1">
        <v>45029</v>
      </c>
      <c r="C127" t="s">
        <v>668</v>
      </c>
      <c r="D127" t="s">
        <v>10</v>
      </c>
      <c r="E127">
        <v>37</v>
      </c>
      <c r="F127" t="s">
        <v>11</v>
      </c>
      <c r="G127">
        <v>4</v>
      </c>
      <c r="H127" s="2">
        <v>50</v>
      </c>
      <c r="I127" s="2">
        <v>200</v>
      </c>
      <c r="J127" s="1" t="str">
        <f>IF(
   Sales_Performance[[#This Row],[Date]] = _xlfn.MINIFS(Sales_Performance[Date],Sales_Performance[Customer ID],Sales_Performance[[#This Row],[Customer ID]]),
   "New Customer",
   "Returning Customer"
)</f>
        <v>New Customer</v>
      </c>
    </row>
    <row r="128" spans="1:10" x14ac:dyDescent="0.35">
      <c r="A128" t="s">
        <v>1139</v>
      </c>
      <c r="B128" s="1">
        <v>45292</v>
      </c>
      <c r="C128" t="s">
        <v>607</v>
      </c>
      <c r="D128" t="s">
        <v>10</v>
      </c>
      <c r="E128">
        <v>42</v>
      </c>
      <c r="F128" t="s">
        <v>18</v>
      </c>
      <c r="G128">
        <v>3</v>
      </c>
      <c r="H128" s="2">
        <v>500</v>
      </c>
      <c r="I128" s="2">
        <v>1500</v>
      </c>
      <c r="J128" s="1" t="str">
        <f>IF(
   Sales_Performance[[#This Row],[Date]] = _xlfn.MINIFS(Sales_Performance[Date],Sales_Performance[Customer ID],Sales_Performance[[#This Row],[Customer ID]]),
   "New Customer",
   "Returning Customer"
)</f>
        <v>Returning Customer</v>
      </c>
    </row>
    <row r="129" spans="1:10" x14ac:dyDescent="0.35">
      <c r="A129" t="s">
        <v>1499</v>
      </c>
      <c r="B129" s="1">
        <v>45086</v>
      </c>
      <c r="C129" t="s">
        <v>823</v>
      </c>
      <c r="D129" t="s">
        <v>10</v>
      </c>
      <c r="E129">
        <v>21</v>
      </c>
      <c r="F129" t="s">
        <v>16</v>
      </c>
      <c r="G129">
        <v>3</v>
      </c>
      <c r="H129" s="2">
        <v>500</v>
      </c>
      <c r="I129" s="2">
        <v>1500</v>
      </c>
      <c r="J129" s="1" t="str">
        <f>IF(
   Sales_Performance[[#This Row],[Date]] = _xlfn.MINIFS(Sales_Performance[Date],Sales_Performance[Customer ID],Sales_Performance[[#This Row],[Customer ID]]),
   "New Customer",
   "Returning Customer"
)</f>
        <v>New Customer</v>
      </c>
    </row>
    <row r="130" spans="1:10" x14ac:dyDescent="0.35">
      <c r="A130" t="s">
        <v>995</v>
      </c>
      <c r="B130" s="1">
        <v>45131</v>
      </c>
      <c r="C130" t="s">
        <v>137</v>
      </c>
      <c r="D130" t="s">
        <v>10</v>
      </c>
      <c r="E130">
        <v>27</v>
      </c>
      <c r="F130" t="s">
        <v>18</v>
      </c>
      <c r="G130">
        <v>3</v>
      </c>
      <c r="H130" s="2">
        <v>500</v>
      </c>
      <c r="I130" s="2">
        <v>1500</v>
      </c>
      <c r="J130" s="1" t="str">
        <f>IF(
   Sales_Performance[[#This Row],[Date]] = _xlfn.MINIFS(Sales_Performance[Date],Sales_Performance[Customer ID],Sales_Performance[[#This Row],[Customer ID]]),
   "New Customer",
   "Returning Customer"
)</f>
        <v>Returning Customer</v>
      </c>
    </row>
    <row r="131" spans="1:10" x14ac:dyDescent="0.35">
      <c r="A131" t="s">
        <v>790</v>
      </c>
      <c r="B131" s="1">
        <v>45270</v>
      </c>
      <c r="C131" t="s">
        <v>181</v>
      </c>
      <c r="D131" t="s">
        <v>10</v>
      </c>
      <c r="E131">
        <v>20</v>
      </c>
      <c r="F131" t="s">
        <v>18</v>
      </c>
      <c r="G131">
        <v>2</v>
      </c>
      <c r="H131" s="2">
        <v>30</v>
      </c>
      <c r="I131" s="2">
        <v>60</v>
      </c>
      <c r="J131" s="1" t="str">
        <f>IF(
   Sales_Performance[[#This Row],[Date]] = _xlfn.MINIFS(Sales_Performance[Date],Sales_Performance[Customer ID],Sales_Performance[[#This Row],[Customer ID]]),
   "New Customer",
   "Returning Customer"
)</f>
        <v>Returning Customer</v>
      </c>
    </row>
    <row r="132" spans="1:10" x14ac:dyDescent="0.35">
      <c r="A132" t="s">
        <v>841</v>
      </c>
      <c r="B132" s="1">
        <v>45259</v>
      </c>
      <c r="C132" t="s">
        <v>900</v>
      </c>
      <c r="D132" t="s">
        <v>10</v>
      </c>
      <c r="E132">
        <v>58</v>
      </c>
      <c r="F132" t="s">
        <v>16</v>
      </c>
      <c r="G132">
        <v>3</v>
      </c>
      <c r="H132" s="2">
        <v>500</v>
      </c>
      <c r="I132" s="2">
        <v>1500</v>
      </c>
      <c r="J132" s="1" t="str">
        <f>IF(
   Sales_Performance[[#This Row],[Date]] = _xlfn.MINIFS(Sales_Performance[Date],Sales_Performance[Customer ID],Sales_Performance[[#This Row],[Customer ID]]),
   "New Customer",
   "Returning Customer"
)</f>
        <v>Returning Customer</v>
      </c>
    </row>
    <row r="133" spans="1:10" x14ac:dyDescent="0.35">
      <c r="A133" t="s">
        <v>1321</v>
      </c>
      <c r="B133" s="1">
        <v>45118</v>
      </c>
      <c r="C133" t="s">
        <v>1500</v>
      </c>
      <c r="D133" t="s">
        <v>10</v>
      </c>
      <c r="E133">
        <v>62</v>
      </c>
      <c r="F133" t="s">
        <v>11</v>
      </c>
      <c r="G133">
        <v>2</v>
      </c>
      <c r="H133" s="2">
        <v>50</v>
      </c>
      <c r="I133" s="2">
        <v>100</v>
      </c>
      <c r="J133" s="1" t="str">
        <f>IF(
   Sales_Performance[[#This Row],[Date]] = _xlfn.MINIFS(Sales_Performance[Date],Sales_Performance[Customer ID],Sales_Performance[[#This Row],[Customer ID]]),
   "New Customer",
   "Returning Customer"
)</f>
        <v>Returning Customer</v>
      </c>
    </row>
    <row r="134" spans="1:10" x14ac:dyDescent="0.35">
      <c r="A134" t="s">
        <v>71</v>
      </c>
      <c r="B134" s="1">
        <v>45151</v>
      </c>
      <c r="C134" t="s">
        <v>597</v>
      </c>
      <c r="D134" t="s">
        <v>15</v>
      </c>
      <c r="E134">
        <v>35</v>
      </c>
      <c r="F134" t="s">
        <v>11</v>
      </c>
      <c r="G134">
        <v>4</v>
      </c>
      <c r="H134" s="2">
        <v>50</v>
      </c>
      <c r="I134" s="2">
        <v>200</v>
      </c>
      <c r="J134" s="1" t="str">
        <f>IF(
   Sales_Performance[[#This Row],[Date]] = _xlfn.MINIFS(Sales_Performance[Date],Sales_Performance[Customer ID],Sales_Performance[[#This Row],[Customer ID]]),
   "New Customer",
   "Returning Customer"
)</f>
        <v>New Customer</v>
      </c>
    </row>
    <row r="135" spans="1:10" x14ac:dyDescent="0.35">
      <c r="A135" t="s">
        <v>606</v>
      </c>
      <c r="B135" s="1">
        <v>45191</v>
      </c>
      <c r="C135" t="s">
        <v>806</v>
      </c>
      <c r="D135" t="s">
        <v>10</v>
      </c>
      <c r="E135">
        <v>64</v>
      </c>
      <c r="F135" t="s">
        <v>18</v>
      </c>
      <c r="G135">
        <v>3</v>
      </c>
      <c r="H135" s="2">
        <v>30</v>
      </c>
      <c r="I135" s="2">
        <v>90</v>
      </c>
      <c r="J135" s="1" t="str">
        <f>IF(
   Sales_Performance[[#This Row],[Date]] = _xlfn.MINIFS(Sales_Performance[Date],Sales_Performance[Customer ID],Sales_Performance[[#This Row],[Customer ID]]),
   "New Customer",
   "Returning Customer"
)</f>
        <v>Returning Customer</v>
      </c>
    </row>
    <row r="136" spans="1:10" x14ac:dyDescent="0.35">
      <c r="A136" t="s">
        <v>505</v>
      </c>
      <c r="B136" s="1">
        <v>45158</v>
      </c>
      <c r="C136" t="s">
        <v>463</v>
      </c>
      <c r="D136" t="s">
        <v>15</v>
      </c>
      <c r="E136">
        <v>53</v>
      </c>
      <c r="F136" t="s">
        <v>11</v>
      </c>
      <c r="G136">
        <v>3</v>
      </c>
      <c r="H136" s="2">
        <v>30</v>
      </c>
      <c r="I136" s="2">
        <v>90</v>
      </c>
      <c r="J136" s="1" t="str">
        <f>IF(
   Sales_Performance[[#This Row],[Date]] = _xlfn.MINIFS(Sales_Performance[Date],Sales_Performance[Customer ID],Sales_Performance[[#This Row],[Customer ID]]),
   "New Customer",
   "Returning Customer"
)</f>
        <v>New Customer</v>
      </c>
    </row>
    <row r="137" spans="1:10" x14ac:dyDescent="0.35">
      <c r="A137" t="s">
        <v>1359</v>
      </c>
      <c r="B137" s="1">
        <v>45214</v>
      </c>
      <c r="C137" t="s">
        <v>1168</v>
      </c>
      <c r="D137" t="s">
        <v>10</v>
      </c>
      <c r="E137">
        <v>18</v>
      </c>
      <c r="F137" t="s">
        <v>16</v>
      </c>
      <c r="G137">
        <v>2</v>
      </c>
      <c r="H137" s="2">
        <v>50</v>
      </c>
      <c r="I137" s="2">
        <v>100</v>
      </c>
      <c r="J137" s="1" t="str">
        <f>IF(
   Sales_Performance[[#This Row],[Date]] = _xlfn.MINIFS(Sales_Performance[Date],Sales_Performance[Customer ID],Sales_Performance[[#This Row],[Customer ID]]),
   "New Customer",
   "Returning Customer"
)</f>
        <v>New Customer</v>
      </c>
    </row>
    <row r="138" spans="1:10" x14ac:dyDescent="0.35">
      <c r="A138" t="s">
        <v>1385</v>
      </c>
      <c r="B138" s="1">
        <v>44988</v>
      </c>
      <c r="C138" t="s">
        <v>715</v>
      </c>
      <c r="D138" t="s">
        <v>10</v>
      </c>
      <c r="E138">
        <v>64</v>
      </c>
      <c r="F138" t="s">
        <v>18</v>
      </c>
      <c r="G138">
        <v>1</v>
      </c>
      <c r="H138" s="2">
        <v>500</v>
      </c>
      <c r="I138" s="2">
        <v>500</v>
      </c>
      <c r="J138" s="1" t="str">
        <f>IF(
   Sales_Performance[[#This Row],[Date]] = _xlfn.MINIFS(Sales_Performance[Date],Sales_Performance[Customer ID],Sales_Performance[[#This Row],[Customer ID]]),
   "New Customer",
   "Returning Customer"
)</f>
        <v>New Customer</v>
      </c>
    </row>
    <row r="139" spans="1:10" x14ac:dyDescent="0.35">
      <c r="A139" t="s">
        <v>254</v>
      </c>
      <c r="B139" s="1">
        <v>45053</v>
      </c>
      <c r="C139" t="s">
        <v>420</v>
      </c>
      <c r="D139" t="s">
        <v>10</v>
      </c>
      <c r="E139">
        <v>39</v>
      </c>
      <c r="F139" t="s">
        <v>18</v>
      </c>
      <c r="G139">
        <v>2</v>
      </c>
      <c r="H139" s="2">
        <v>300</v>
      </c>
      <c r="I139" s="2">
        <v>600</v>
      </c>
      <c r="J139" s="1" t="str">
        <f>IF(
   Sales_Performance[[#This Row],[Date]] = _xlfn.MINIFS(Sales_Performance[Date],Sales_Performance[Customer ID],Sales_Performance[[#This Row],[Customer ID]]),
   "New Customer",
   "Returning Customer"
)</f>
        <v>Returning Customer</v>
      </c>
    </row>
    <row r="140" spans="1:10" x14ac:dyDescent="0.35">
      <c r="A140" t="s">
        <v>667</v>
      </c>
      <c r="B140" s="1">
        <v>45042</v>
      </c>
      <c r="C140" t="s">
        <v>719</v>
      </c>
      <c r="D140" t="s">
        <v>10</v>
      </c>
      <c r="E140">
        <v>51</v>
      </c>
      <c r="F140" t="s">
        <v>16</v>
      </c>
      <c r="G140">
        <v>4</v>
      </c>
      <c r="H140" s="2">
        <v>30</v>
      </c>
      <c r="I140" s="2">
        <v>120</v>
      </c>
      <c r="J140" s="1" t="str">
        <f>IF(
   Sales_Performance[[#This Row],[Date]] = _xlfn.MINIFS(Sales_Performance[Date],Sales_Performance[Customer ID],Sales_Performance[[#This Row],[Customer ID]]),
   "New Customer",
   "Returning Customer"
)</f>
        <v>Returning Customer</v>
      </c>
    </row>
    <row r="141" spans="1:10" x14ac:dyDescent="0.35">
      <c r="A141" t="s">
        <v>247</v>
      </c>
      <c r="B141" s="1">
        <v>44959</v>
      </c>
      <c r="C141" t="s">
        <v>990</v>
      </c>
      <c r="D141" t="s">
        <v>15</v>
      </c>
      <c r="E141">
        <v>64</v>
      </c>
      <c r="F141" t="s">
        <v>16</v>
      </c>
      <c r="G141">
        <v>1</v>
      </c>
      <c r="H141" s="2">
        <v>25</v>
      </c>
      <c r="I141" s="2">
        <v>25</v>
      </c>
      <c r="J141" s="1" t="str">
        <f>IF(
   Sales_Performance[[#This Row],[Date]] = _xlfn.MINIFS(Sales_Performance[Date],Sales_Performance[Customer ID],Sales_Performance[[#This Row],[Customer ID]]),
   "New Customer",
   "Returning Customer"
)</f>
        <v>New Customer</v>
      </c>
    </row>
    <row r="142" spans="1:10" x14ac:dyDescent="0.35">
      <c r="A142" t="s">
        <v>661</v>
      </c>
      <c r="B142" s="1">
        <v>45100</v>
      </c>
      <c r="C142" t="s">
        <v>1286</v>
      </c>
      <c r="D142" t="s">
        <v>15</v>
      </c>
      <c r="E142">
        <v>25</v>
      </c>
      <c r="F142" t="s">
        <v>16</v>
      </c>
      <c r="G142">
        <v>1</v>
      </c>
      <c r="H142" s="2">
        <v>50</v>
      </c>
      <c r="I142" s="2">
        <v>50</v>
      </c>
      <c r="J142" s="1" t="str">
        <f>IF(
   Sales_Performance[[#This Row],[Date]] = _xlfn.MINIFS(Sales_Performance[Date],Sales_Performance[Customer ID],Sales_Performance[[#This Row],[Customer ID]]),
   "New Customer",
   "Returning Customer"
)</f>
        <v>Returning Customer</v>
      </c>
    </row>
    <row r="143" spans="1:10" x14ac:dyDescent="0.35">
      <c r="A143" t="s">
        <v>1394</v>
      </c>
      <c r="B143" s="1">
        <v>44937</v>
      </c>
      <c r="C143" t="s">
        <v>363</v>
      </c>
      <c r="D143" t="s">
        <v>15</v>
      </c>
      <c r="E143">
        <v>57</v>
      </c>
      <c r="F143" t="s">
        <v>18</v>
      </c>
      <c r="G143">
        <v>4</v>
      </c>
      <c r="H143" s="2">
        <v>25</v>
      </c>
      <c r="I143" s="2">
        <v>100</v>
      </c>
      <c r="J143" s="1" t="str">
        <f>IF(
   Sales_Performance[[#This Row],[Date]] = _xlfn.MINIFS(Sales_Performance[Date],Sales_Performance[Customer ID],Sales_Performance[[#This Row],[Customer ID]]),
   "New Customer",
   "Returning Customer"
)</f>
        <v>New Customer</v>
      </c>
    </row>
    <row r="144" spans="1:10" x14ac:dyDescent="0.35">
      <c r="A144" t="s">
        <v>1234</v>
      </c>
      <c r="B144" s="1">
        <v>45228</v>
      </c>
      <c r="C144" t="s">
        <v>1057</v>
      </c>
      <c r="D144" t="s">
        <v>15</v>
      </c>
      <c r="E144">
        <v>61</v>
      </c>
      <c r="F144" t="s">
        <v>16</v>
      </c>
      <c r="G144">
        <v>1</v>
      </c>
      <c r="H144" s="2">
        <v>50</v>
      </c>
      <c r="I144" s="2">
        <v>50</v>
      </c>
      <c r="J144" s="1" t="str">
        <f>IF(
   Sales_Performance[[#This Row],[Date]] = _xlfn.MINIFS(Sales_Performance[Date],Sales_Performance[Customer ID],Sales_Performance[[#This Row],[Customer ID]]),
   "New Customer",
   "Returning Customer"
)</f>
        <v>Returning Customer</v>
      </c>
    </row>
    <row r="145" spans="1:10" x14ac:dyDescent="0.35">
      <c r="A145" t="s">
        <v>964</v>
      </c>
      <c r="B145" s="1">
        <v>45210</v>
      </c>
      <c r="C145" t="s">
        <v>1478</v>
      </c>
      <c r="D145" t="s">
        <v>10</v>
      </c>
      <c r="E145">
        <v>36</v>
      </c>
      <c r="F145" t="s">
        <v>11</v>
      </c>
      <c r="G145">
        <v>2</v>
      </c>
      <c r="H145" s="2">
        <v>50</v>
      </c>
      <c r="I145" s="2">
        <v>100</v>
      </c>
      <c r="J145" s="1" t="str">
        <f>IF(
   Sales_Performance[[#This Row],[Date]] = _xlfn.MINIFS(Sales_Performance[Date],Sales_Performance[Customer ID],Sales_Performance[[#This Row],[Customer ID]]),
   "New Customer",
   "Returning Customer"
)</f>
        <v>Returning Customer</v>
      </c>
    </row>
    <row r="146" spans="1:10" x14ac:dyDescent="0.35">
      <c r="A146" t="s">
        <v>975</v>
      </c>
      <c r="B146" s="1">
        <v>45044</v>
      </c>
      <c r="C146" t="s">
        <v>283</v>
      </c>
      <c r="D146" t="s">
        <v>15</v>
      </c>
      <c r="E146">
        <v>59</v>
      </c>
      <c r="F146" t="s">
        <v>11</v>
      </c>
      <c r="G146">
        <v>2</v>
      </c>
      <c r="H146" s="2">
        <v>30</v>
      </c>
      <c r="I146" s="2">
        <v>60</v>
      </c>
      <c r="J146" s="1" t="str">
        <f>IF(
   Sales_Performance[[#This Row],[Date]] = _xlfn.MINIFS(Sales_Performance[Date],Sales_Performance[Customer ID],Sales_Performance[[#This Row],[Customer ID]]),
   "New Customer",
   "Returning Customer"
)</f>
        <v>New Customer</v>
      </c>
    </row>
    <row r="147" spans="1:10" x14ac:dyDescent="0.35">
      <c r="A147" t="s">
        <v>212</v>
      </c>
      <c r="B147" s="1">
        <v>45228</v>
      </c>
      <c r="C147" t="s">
        <v>852</v>
      </c>
      <c r="D147" t="s">
        <v>10</v>
      </c>
      <c r="E147">
        <v>58</v>
      </c>
      <c r="F147" t="s">
        <v>18</v>
      </c>
      <c r="G147">
        <v>3</v>
      </c>
      <c r="H147" s="2">
        <v>30</v>
      </c>
      <c r="I147" s="2">
        <v>90</v>
      </c>
      <c r="J147" s="1" t="str">
        <f>IF(
   Sales_Performance[[#This Row],[Date]] = _xlfn.MINIFS(Sales_Performance[Date],Sales_Performance[Customer ID],Sales_Performance[[#This Row],[Customer ID]]),
   "New Customer",
   "Returning Customer"
)</f>
        <v>New Customer</v>
      </c>
    </row>
    <row r="148" spans="1:10" x14ac:dyDescent="0.35">
      <c r="A148" t="s">
        <v>410</v>
      </c>
      <c r="B148" s="1">
        <v>45028</v>
      </c>
      <c r="C148" t="s">
        <v>607</v>
      </c>
      <c r="D148" t="s">
        <v>15</v>
      </c>
      <c r="E148">
        <v>35</v>
      </c>
      <c r="F148" t="s">
        <v>16</v>
      </c>
      <c r="G148">
        <v>4</v>
      </c>
      <c r="H148" s="2">
        <v>30</v>
      </c>
      <c r="I148" s="2">
        <v>120</v>
      </c>
      <c r="J148" s="1" t="str">
        <f>IF(
   Sales_Performance[[#This Row],[Date]] = _xlfn.MINIFS(Sales_Performance[Date],Sales_Performance[Customer ID],Sales_Performance[[#This Row],[Customer ID]]),
   "New Customer",
   "Returning Customer"
)</f>
        <v>New Customer</v>
      </c>
    </row>
    <row r="149" spans="1:10" x14ac:dyDescent="0.35">
      <c r="A149" t="s">
        <v>562</v>
      </c>
      <c r="B149" s="1">
        <v>45039</v>
      </c>
      <c r="C149" t="s">
        <v>1178</v>
      </c>
      <c r="D149" t="s">
        <v>10</v>
      </c>
      <c r="E149">
        <v>54</v>
      </c>
      <c r="F149" t="s">
        <v>18</v>
      </c>
      <c r="G149">
        <v>1</v>
      </c>
      <c r="H149" s="2">
        <v>25</v>
      </c>
      <c r="I149" s="2">
        <v>25</v>
      </c>
      <c r="J149" s="1" t="str">
        <f>IF(
   Sales_Performance[[#This Row],[Date]] = _xlfn.MINIFS(Sales_Performance[Date],Sales_Performance[Customer ID],Sales_Performance[[#This Row],[Customer ID]]),
   "New Customer",
   "Returning Customer"
)</f>
        <v>Returning Customer</v>
      </c>
    </row>
    <row r="150" spans="1:10" x14ac:dyDescent="0.35">
      <c r="A150" t="s">
        <v>1213</v>
      </c>
      <c r="B150" s="1">
        <v>44930</v>
      </c>
      <c r="C150" t="s">
        <v>515</v>
      </c>
      <c r="D150" t="s">
        <v>15</v>
      </c>
      <c r="E150">
        <v>23</v>
      </c>
      <c r="F150" t="s">
        <v>16</v>
      </c>
      <c r="G150">
        <v>3</v>
      </c>
      <c r="H150" s="2">
        <v>50</v>
      </c>
      <c r="I150" s="2">
        <v>150</v>
      </c>
      <c r="J150" s="1" t="str">
        <f>IF(
   Sales_Performance[[#This Row],[Date]] = _xlfn.MINIFS(Sales_Performance[Date],Sales_Performance[Customer ID],Sales_Performance[[#This Row],[Customer ID]]),
   "New Customer",
   "Returning Customer"
)</f>
        <v>New Customer</v>
      </c>
    </row>
    <row r="151" spans="1:10" x14ac:dyDescent="0.35">
      <c r="A151" t="s">
        <v>1137</v>
      </c>
      <c r="B151" s="1">
        <v>44963</v>
      </c>
      <c r="C151" t="s">
        <v>181</v>
      </c>
      <c r="D151" t="s">
        <v>15</v>
      </c>
      <c r="E151">
        <v>43</v>
      </c>
      <c r="F151" t="s">
        <v>18</v>
      </c>
      <c r="G151">
        <v>1</v>
      </c>
      <c r="H151" s="2">
        <v>25</v>
      </c>
      <c r="I151" s="2">
        <v>25</v>
      </c>
      <c r="J151" s="1" t="str">
        <f>IF(
   Sales_Performance[[#This Row],[Date]] = _xlfn.MINIFS(Sales_Performance[Date],Sales_Performance[Customer ID],Sales_Performance[[#This Row],[Customer ID]]),
   "New Customer",
   "Returning Customer"
)</f>
        <v>New Customer</v>
      </c>
    </row>
    <row r="152" spans="1:10" x14ac:dyDescent="0.35">
      <c r="A152" t="s">
        <v>164</v>
      </c>
      <c r="B152" s="1">
        <v>45289</v>
      </c>
      <c r="C152" t="s">
        <v>658</v>
      </c>
      <c r="D152" t="s">
        <v>15</v>
      </c>
      <c r="E152">
        <v>51</v>
      </c>
      <c r="F152" t="s">
        <v>18</v>
      </c>
      <c r="G152">
        <v>2</v>
      </c>
      <c r="H152" s="2">
        <v>300</v>
      </c>
      <c r="I152" s="2">
        <v>600</v>
      </c>
      <c r="J152" s="1" t="str">
        <f>IF(
   Sales_Performance[[#This Row],[Date]] = _xlfn.MINIFS(Sales_Performance[Date],Sales_Performance[Customer ID],Sales_Performance[[#This Row],[Customer ID]]),
   "New Customer",
   "Returning Customer"
)</f>
        <v>Returning Customer</v>
      </c>
    </row>
    <row r="153" spans="1:10" x14ac:dyDescent="0.35">
      <c r="A153" t="s">
        <v>1239</v>
      </c>
      <c r="B153" s="1">
        <v>45250</v>
      </c>
      <c r="C153" t="s">
        <v>506</v>
      </c>
      <c r="D153" t="s">
        <v>15</v>
      </c>
      <c r="E153">
        <v>62</v>
      </c>
      <c r="F153" t="s">
        <v>11</v>
      </c>
      <c r="G153">
        <v>2</v>
      </c>
      <c r="H153" s="2">
        <v>25</v>
      </c>
      <c r="I153" s="2">
        <v>50</v>
      </c>
      <c r="J153" s="1" t="str">
        <f>IF(
   Sales_Performance[[#This Row],[Date]] = _xlfn.MINIFS(Sales_Performance[Date],Sales_Performance[Customer ID],Sales_Performance[[#This Row],[Customer ID]]),
   "New Customer",
   "Returning Customer"
)</f>
        <v>Returning Customer</v>
      </c>
    </row>
    <row r="154" spans="1:10" x14ac:dyDescent="0.35">
      <c r="A154" t="s">
        <v>1263</v>
      </c>
      <c r="B154" s="1">
        <v>44957</v>
      </c>
      <c r="C154" t="s">
        <v>939</v>
      </c>
      <c r="D154" t="s">
        <v>15</v>
      </c>
      <c r="E154">
        <v>23</v>
      </c>
      <c r="F154" t="s">
        <v>11</v>
      </c>
      <c r="G154">
        <v>2</v>
      </c>
      <c r="H154" s="2">
        <v>500</v>
      </c>
      <c r="I154" s="2">
        <v>1000</v>
      </c>
      <c r="J154" s="1" t="str">
        <f>IF(
   Sales_Performance[[#This Row],[Date]] = _xlfn.MINIFS(Sales_Performance[Date],Sales_Performance[Customer ID],Sales_Performance[[#This Row],[Customer ID]]),
   "New Customer",
   "Returning Customer"
)</f>
        <v>New Customer</v>
      </c>
    </row>
    <row r="155" spans="1:10" x14ac:dyDescent="0.35">
      <c r="A155" t="s">
        <v>632</v>
      </c>
      <c r="B155" s="1">
        <v>45044</v>
      </c>
      <c r="C155" t="s">
        <v>941</v>
      </c>
      <c r="D155" t="s">
        <v>15</v>
      </c>
      <c r="E155">
        <v>54</v>
      </c>
      <c r="F155" t="s">
        <v>16</v>
      </c>
      <c r="G155">
        <v>1</v>
      </c>
      <c r="H155" s="2">
        <v>25</v>
      </c>
      <c r="I155" s="2">
        <v>25</v>
      </c>
      <c r="J155" s="1" t="str">
        <f>IF(
   Sales_Performance[[#This Row],[Date]] = _xlfn.MINIFS(Sales_Performance[Date],Sales_Performance[Customer ID],Sales_Performance[[#This Row],[Customer ID]]),
   "New Customer",
   "Returning Customer"
)</f>
        <v>Returning Customer</v>
      </c>
    </row>
    <row r="156" spans="1:10" x14ac:dyDescent="0.35">
      <c r="A156" t="s">
        <v>602</v>
      </c>
      <c r="B156" s="1">
        <v>44961</v>
      </c>
      <c r="C156" t="s">
        <v>806</v>
      </c>
      <c r="D156" t="s">
        <v>15</v>
      </c>
      <c r="E156">
        <v>50</v>
      </c>
      <c r="F156" t="s">
        <v>18</v>
      </c>
      <c r="G156">
        <v>2</v>
      </c>
      <c r="H156" s="2">
        <v>500</v>
      </c>
      <c r="I156" s="2">
        <v>1000</v>
      </c>
      <c r="J156" s="1" t="str">
        <f>IF(
   Sales_Performance[[#This Row],[Date]] = _xlfn.MINIFS(Sales_Performance[Date],Sales_Performance[Customer ID],Sales_Performance[[#This Row],[Customer ID]]),
   "New Customer",
   "Returning Customer"
)</f>
        <v>New Customer</v>
      </c>
    </row>
    <row r="157" spans="1:10" x14ac:dyDescent="0.35">
      <c r="A157" t="s">
        <v>171</v>
      </c>
      <c r="B157" s="1">
        <v>44943</v>
      </c>
      <c r="C157" t="s">
        <v>789</v>
      </c>
      <c r="D157" t="s">
        <v>15</v>
      </c>
      <c r="E157">
        <v>39</v>
      </c>
      <c r="F157" t="s">
        <v>18</v>
      </c>
      <c r="G157">
        <v>1</v>
      </c>
      <c r="H157" s="2">
        <v>500</v>
      </c>
      <c r="I157" s="2">
        <v>500</v>
      </c>
      <c r="J157" s="1" t="str">
        <f>IF(
   Sales_Performance[[#This Row],[Date]] = _xlfn.MINIFS(Sales_Performance[Date],Sales_Performance[Customer ID],Sales_Performance[[#This Row],[Customer ID]]),
   "New Customer",
   "Returning Customer"
)</f>
        <v>New Customer</v>
      </c>
    </row>
    <row r="158" spans="1:10" x14ac:dyDescent="0.35">
      <c r="A158" t="s">
        <v>1034</v>
      </c>
      <c r="B158" s="1">
        <v>45096</v>
      </c>
      <c r="C158" t="s">
        <v>111</v>
      </c>
      <c r="D158" t="s">
        <v>10</v>
      </c>
      <c r="E158">
        <v>38</v>
      </c>
      <c r="F158" t="s">
        <v>11</v>
      </c>
      <c r="G158">
        <v>3</v>
      </c>
      <c r="H158" s="2">
        <v>500</v>
      </c>
      <c r="I158" s="2">
        <v>1500</v>
      </c>
      <c r="J158" s="1" t="str">
        <f>IF(
   Sales_Performance[[#This Row],[Date]] = _xlfn.MINIFS(Sales_Performance[Date],Sales_Performance[Customer ID],Sales_Performance[[#This Row],[Customer ID]]),
   "New Customer",
   "Returning Customer"
)</f>
        <v>New Customer</v>
      </c>
    </row>
    <row r="159" spans="1:10" x14ac:dyDescent="0.35">
      <c r="A159" t="s">
        <v>749</v>
      </c>
      <c r="B159" s="1">
        <v>45259</v>
      </c>
      <c r="C159" t="s">
        <v>629</v>
      </c>
      <c r="D159" t="s">
        <v>15</v>
      </c>
      <c r="E159">
        <v>49</v>
      </c>
      <c r="F159" t="s">
        <v>16</v>
      </c>
      <c r="G159">
        <v>1</v>
      </c>
      <c r="H159" s="2">
        <v>300</v>
      </c>
      <c r="I159" s="2">
        <v>300</v>
      </c>
      <c r="J159" s="1" t="str">
        <f>IF(
   Sales_Performance[[#This Row],[Date]] = _xlfn.MINIFS(Sales_Performance[Date],Sales_Performance[Customer ID],Sales_Performance[[#This Row],[Customer ID]]),
   "New Customer",
   "Returning Customer"
)</f>
        <v>New Customer</v>
      </c>
    </row>
    <row r="160" spans="1:10" x14ac:dyDescent="0.35">
      <c r="A160" t="s">
        <v>507</v>
      </c>
      <c r="B160" s="1">
        <v>44963</v>
      </c>
      <c r="C160" t="s">
        <v>30</v>
      </c>
      <c r="D160" t="s">
        <v>15</v>
      </c>
      <c r="E160">
        <v>23</v>
      </c>
      <c r="F160" t="s">
        <v>18</v>
      </c>
      <c r="G160">
        <v>1</v>
      </c>
      <c r="H160" s="2">
        <v>300</v>
      </c>
      <c r="I160" s="2">
        <v>300</v>
      </c>
      <c r="J160" s="1" t="str">
        <f>IF(
   Sales_Performance[[#This Row],[Date]] = _xlfn.MINIFS(Sales_Performance[Date],Sales_Performance[Customer ID],Sales_Performance[[#This Row],[Customer ID]]),
   "New Customer",
   "Returning Customer"
)</f>
        <v>New Customer</v>
      </c>
    </row>
    <row r="161" spans="1:10" x14ac:dyDescent="0.35">
      <c r="A161" t="s">
        <v>810</v>
      </c>
      <c r="B161" s="1">
        <v>45190</v>
      </c>
      <c r="C161" t="s">
        <v>1078</v>
      </c>
      <c r="D161" t="s">
        <v>15</v>
      </c>
      <c r="E161">
        <v>23</v>
      </c>
      <c r="F161" t="s">
        <v>11</v>
      </c>
      <c r="G161">
        <v>3</v>
      </c>
      <c r="H161" s="2">
        <v>25</v>
      </c>
      <c r="I161" s="2">
        <v>75</v>
      </c>
      <c r="J161" s="1" t="str">
        <f>IF(
   Sales_Performance[[#This Row],[Date]] = _xlfn.MINIFS(Sales_Performance[Date],Sales_Performance[Customer ID],Sales_Performance[[#This Row],[Customer ID]]),
   "New Customer",
   "Returning Customer"
)</f>
        <v>Returning Customer</v>
      </c>
    </row>
    <row r="162" spans="1:10" x14ac:dyDescent="0.35">
      <c r="A162" t="s">
        <v>1003</v>
      </c>
      <c r="B162" s="1">
        <v>45048</v>
      </c>
      <c r="C162" t="s">
        <v>816</v>
      </c>
      <c r="D162" t="s">
        <v>10</v>
      </c>
      <c r="E162">
        <v>21</v>
      </c>
      <c r="F162" t="s">
        <v>16</v>
      </c>
      <c r="G162">
        <v>1</v>
      </c>
      <c r="H162" s="2">
        <v>25</v>
      </c>
      <c r="I162" s="2">
        <v>25</v>
      </c>
      <c r="J162" s="1" t="str">
        <f>IF(
   Sales_Performance[[#This Row],[Date]] = _xlfn.MINIFS(Sales_Performance[Date],Sales_Performance[Customer ID],Sales_Performance[[#This Row],[Customer ID]]),
   "New Customer",
   "Returning Customer"
)</f>
        <v>Returning Customer</v>
      </c>
    </row>
    <row r="163" spans="1:10" x14ac:dyDescent="0.35">
      <c r="A163" t="s">
        <v>216</v>
      </c>
      <c r="B163" s="1">
        <v>45069</v>
      </c>
      <c r="C163" t="s">
        <v>379</v>
      </c>
      <c r="D163" t="s">
        <v>15</v>
      </c>
      <c r="E163">
        <v>47</v>
      </c>
      <c r="F163" t="s">
        <v>11</v>
      </c>
      <c r="G163">
        <v>3</v>
      </c>
      <c r="H163" s="2">
        <v>300</v>
      </c>
      <c r="I163" s="2">
        <v>900</v>
      </c>
      <c r="J163" s="1" t="str">
        <f>IF(
   Sales_Performance[[#This Row],[Date]] = _xlfn.MINIFS(Sales_Performance[Date],Sales_Performance[Customer ID],Sales_Performance[[#This Row],[Customer ID]]),
   "New Customer",
   "Returning Customer"
)</f>
        <v>New Customer</v>
      </c>
    </row>
    <row r="164" spans="1:10" x14ac:dyDescent="0.35">
      <c r="A164" t="s">
        <v>836</v>
      </c>
      <c r="B164" s="1">
        <v>45269</v>
      </c>
      <c r="C164" t="s">
        <v>268</v>
      </c>
      <c r="D164" t="s">
        <v>10</v>
      </c>
      <c r="E164">
        <v>28</v>
      </c>
      <c r="F164" t="s">
        <v>18</v>
      </c>
      <c r="G164">
        <v>2</v>
      </c>
      <c r="H164" s="2">
        <v>50</v>
      </c>
      <c r="I164" s="2">
        <v>100</v>
      </c>
      <c r="J164" s="1" t="str">
        <f>IF(
   Sales_Performance[[#This Row],[Date]] = _xlfn.MINIFS(Sales_Performance[Date],Sales_Performance[Customer ID],Sales_Performance[[#This Row],[Customer ID]]),
   "New Customer",
   "Returning Customer"
)</f>
        <v>Returning Customer</v>
      </c>
    </row>
    <row r="165" spans="1:10" x14ac:dyDescent="0.35">
      <c r="A165" t="s">
        <v>312</v>
      </c>
      <c r="B165" s="1">
        <v>45175</v>
      </c>
      <c r="C165" t="s">
        <v>246</v>
      </c>
      <c r="D165" t="s">
        <v>10</v>
      </c>
      <c r="E165">
        <v>47</v>
      </c>
      <c r="F165" t="s">
        <v>16</v>
      </c>
      <c r="G165">
        <v>3</v>
      </c>
      <c r="H165" s="2">
        <v>30</v>
      </c>
      <c r="I165" s="2">
        <v>90</v>
      </c>
      <c r="J165" s="1" t="str">
        <f>IF(
   Sales_Performance[[#This Row],[Date]] = _xlfn.MINIFS(Sales_Performance[Date],Sales_Performance[Customer ID],Sales_Performance[[#This Row],[Customer ID]]),
   "New Customer",
   "Returning Customer"
)</f>
        <v>Returning Customer</v>
      </c>
    </row>
    <row r="166" spans="1:10" x14ac:dyDescent="0.35">
      <c r="A166" t="s">
        <v>815</v>
      </c>
      <c r="B166" s="1">
        <v>45036</v>
      </c>
      <c r="C166" t="s">
        <v>909</v>
      </c>
      <c r="D166" t="s">
        <v>15</v>
      </c>
      <c r="E166">
        <v>48</v>
      </c>
      <c r="F166" t="s">
        <v>11</v>
      </c>
      <c r="G166">
        <v>2</v>
      </c>
      <c r="H166" s="2">
        <v>25</v>
      </c>
      <c r="I166" s="2">
        <v>50</v>
      </c>
      <c r="J166" s="1" t="str">
        <f>IF(
   Sales_Performance[[#This Row],[Date]] = _xlfn.MINIFS(Sales_Performance[Date],Sales_Performance[Customer ID],Sales_Performance[[#This Row],[Customer ID]]),
   "New Customer",
   "Returning Customer"
)</f>
        <v>Returning Customer</v>
      </c>
    </row>
    <row r="167" spans="1:10" x14ac:dyDescent="0.35">
      <c r="A167" t="s">
        <v>1037</v>
      </c>
      <c r="B167" s="1">
        <v>45203</v>
      </c>
      <c r="C167" t="s">
        <v>43</v>
      </c>
      <c r="D167" t="s">
        <v>10</v>
      </c>
      <c r="E167">
        <v>41</v>
      </c>
      <c r="F167" t="s">
        <v>11</v>
      </c>
      <c r="G167">
        <v>2</v>
      </c>
      <c r="H167" s="2">
        <v>30</v>
      </c>
      <c r="I167" s="2">
        <v>60</v>
      </c>
      <c r="J167" s="1" t="str">
        <f>IF(
   Sales_Performance[[#This Row],[Date]] = _xlfn.MINIFS(Sales_Performance[Date],Sales_Performance[Customer ID],Sales_Performance[[#This Row],[Customer ID]]),
   "New Customer",
   "Returning Customer"
)</f>
        <v>Returning Customer</v>
      </c>
    </row>
    <row r="168" spans="1:10" x14ac:dyDescent="0.35">
      <c r="A168" t="s">
        <v>1223</v>
      </c>
      <c r="B168" s="1">
        <v>44994</v>
      </c>
      <c r="C168" t="s">
        <v>377</v>
      </c>
      <c r="D168" t="s">
        <v>10</v>
      </c>
      <c r="E168">
        <v>26</v>
      </c>
      <c r="F168" t="s">
        <v>16</v>
      </c>
      <c r="G168">
        <v>3</v>
      </c>
      <c r="H168" s="2">
        <v>300</v>
      </c>
      <c r="I168" s="2">
        <v>900</v>
      </c>
      <c r="J168" s="1" t="str">
        <f>IF(
   Sales_Performance[[#This Row],[Date]] = _xlfn.MINIFS(Sales_Performance[Date],Sales_Performance[Customer ID],Sales_Performance[[#This Row],[Customer ID]]),
   "New Customer",
   "Returning Customer"
)</f>
        <v>New Customer</v>
      </c>
    </row>
    <row r="169" spans="1:10" x14ac:dyDescent="0.35">
      <c r="A169" t="s">
        <v>687</v>
      </c>
      <c r="B169" s="1">
        <v>45219</v>
      </c>
      <c r="C169" t="s">
        <v>648</v>
      </c>
      <c r="D169" t="s">
        <v>10</v>
      </c>
      <c r="E169">
        <v>20</v>
      </c>
      <c r="F169" t="s">
        <v>16</v>
      </c>
      <c r="G169">
        <v>1</v>
      </c>
      <c r="H169" s="2">
        <v>50</v>
      </c>
      <c r="I169" s="2">
        <v>50</v>
      </c>
      <c r="J169" s="1" t="str">
        <f>IF(
   Sales_Performance[[#This Row],[Date]] = _xlfn.MINIFS(Sales_Performance[Date],Sales_Performance[Customer ID],Sales_Performance[[#This Row],[Customer ID]]),
   "New Customer",
   "Returning Customer"
)</f>
        <v>Returning Customer</v>
      </c>
    </row>
    <row r="170" spans="1:10" x14ac:dyDescent="0.35">
      <c r="A170" t="s">
        <v>50</v>
      </c>
      <c r="B170" s="1">
        <v>45286</v>
      </c>
      <c r="C170" t="s">
        <v>51</v>
      </c>
      <c r="D170" t="s">
        <v>15</v>
      </c>
      <c r="E170">
        <v>64</v>
      </c>
      <c r="F170" t="s">
        <v>18</v>
      </c>
      <c r="G170">
        <v>1</v>
      </c>
      <c r="H170" s="2">
        <v>50</v>
      </c>
      <c r="I170" s="2">
        <v>50</v>
      </c>
      <c r="J170" s="1" t="str">
        <f>IF(
   Sales_Performance[[#This Row],[Date]] = _xlfn.MINIFS(Sales_Performance[Date],Sales_Performance[Customer ID],Sales_Performance[[#This Row],[Customer ID]]),
   "New Customer",
   "Returning Customer"
)</f>
        <v>New Customer</v>
      </c>
    </row>
    <row r="171" spans="1:10" x14ac:dyDescent="0.35">
      <c r="A171" t="s">
        <v>689</v>
      </c>
      <c r="B171" s="1">
        <v>45222</v>
      </c>
      <c r="C171" t="s">
        <v>1254</v>
      </c>
      <c r="D171" t="s">
        <v>10</v>
      </c>
      <c r="E171">
        <v>48</v>
      </c>
      <c r="F171" t="s">
        <v>11</v>
      </c>
      <c r="G171">
        <v>1</v>
      </c>
      <c r="H171" s="2">
        <v>50</v>
      </c>
      <c r="I171" s="2">
        <v>50</v>
      </c>
      <c r="J171" s="1" t="str">
        <f>IF(
   Sales_Performance[[#This Row],[Date]] = _xlfn.MINIFS(Sales_Performance[Date],Sales_Performance[Customer ID],Sales_Performance[[#This Row],[Customer ID]]),
   "New Customer",
   "Returning Customer"
)</f>
        <v>New Customer</v>
      </c>
    </row>
    <row r="172" spans="1:10" x14ac:dyDescent="0.35">
      <c r="A172" t="s">
        <v>1468</v>
      </c>
      <c r="B172" s="1">
        <v>45169</v>
      </c>
      <c r="C172" t="s">
        <v>424</v>
      </c>
      <c r="D172" t="s">
        <v>15</v>
      </c>
      <c r="E172">
        <v>57</v>
      </c>
      <c r="F172" t="s">
        <v>18</v>
      </c>
      <c r="G172">
        <v>4</v>
      </c>
      <c r="H172" s="2">
        <v>50</v>
      </c>
      <c r="I172" s="2">
        <v>200</v>
      </c>
      <c r="J172" s="1" t="str">
        <f>IF(
   Sales_Performance[[#This Row],[Date]] = _xlfn.MINIFS(Sales_Performance[Date],Sales_Performance[Customer ID],Sales_Performance[[#This Row],[Customer ID]]),
   "New Customer",
   "Returning Customer"
)</f>
        <v>Returning Customer</v>
      </c>
    </row>
    <row r="173" spans="1:10" x14ac:dyDescent="0.35">
      <c r="A173" t="s">
        <v>475</v>
      </c>
      <c r="B173" s="1">
        <v>45051</v>
      </c>
      <c r="C173" t="s">
        <v>1038</v>
      </c>
      <c r="D173" t="s">
        <v>10</v>
      </c>
      <c r="E173">
        <v>54</v>
      </c>
      <c r="F173" t="s">
        <v>11</v>
      </c>
      <c r="G173">
        <v>1</v>
      </c>
      <c r="H173" s="2">
        <v>300</v>
      </c>
      <c r="I173" s="2">
        <v>300</v>
      </c>
      <c r="J173" s="1" t="str">
        <f>IF(
   Sales_Performance[[#This Row],[Date]] = _xlfn.MINIFS(Sales_Performance[Date],Sales_Performance[Customer ID],Sales_Performance[[#This Row],[Customer ID]]),
   "New Customer",
   "Returning Customer"
)</f>
        <v>New Customer</v>
      </c>
    </row>
    <row r="174" spans="1:10" x14ac:dyDescent="0.35">
      <c r="A174" t="s">
        <v>524</v>
      </c>
      <c r="B174" s="1">
        <v>45169</v>
      </c>
      <c r="C174" t="s">
        <v>1349</v>
      </c>
      <c r="D174" t="s">
        <v>15</v>
      </c>
      <c r="E174">
        <v>53</v>
      </c>
      <c r="F174" t="s">
        <v>16</v>
      </c>
      <c r="G174">
        <v>4</v>
      </c>
      <c r="H174" s="2">
        <v>500</v>
      </c>
      <c r="I174" s="2">
        <v>2000</v>
      </c>
      <c r="J174" s="1" t="str">
        <f>IF(
   Sales_Performance[[#This Row],[Date]] = _xlfn.MINIFS(Sales_Performance[Date],Sales_Performance[Customer ID],Sales_Performance[[#This Row],[Customer ID]]),
   "New Customer",
   "Returning Customer"
)</f>
        <v>Returning Customer</v>
      </c>
    </row>
    <row r="175" spans="1:10" x14ac:dyDescent="0.35">
      <c r="A175" t="s">
        <v>46</v>
      </c>
      <c r="B175" s="1">
        <v>45135</v>
      </c>
      <c r="C175" t="s">
        <v>1360</v>
      </c>
      <c r="D175" t="s">
        <v>10</v>
      </c>
      <c r="E175">
        <v>41</v>
      </c>
      <c r="F175" t="s">
        <v>11</v>
      </c>
      <c r="G175">
        <v>1</v>
      </c>
      <c r="H175" s="2">
        <v>500</v>
      </c>
      <c r="I175" s="2">
        <v>500</v>
      </c>
      <c r="J175" s="1" t="str">
        <f>IF(
   Sales_Performance[[#This Row],[Date]] = _xlfn.MINIFS(Sales_Performance[Date],Sales_Performance[Customer ID],Sales_Performance[[#This Row],[Customer ID]]),
   "New Customer",
   "Returning Customer"
)</f>
        <v>Returning Customer</v>
      </c>
    </row>
    <row r="176" spans="1:10" x14ac:dyDescent="0.35">
      <c r="A176" t="s">
        <v>933</v>
      </c>
      <c r="B176" s="1">
        <v>45024</v>
      </c>
      <c r="C176" t="s">
        <v>725</v>
      </c>
      <c r="D176" t="s">
        <v>10</v>
      </c>
      <c r="E176">
        <v>48</v>
      </c>
      <c r="F176" t="s">
        <v>16</v>
      </c>
      <c r="G176">
        <v>1</v>
      </c>
      <c r="H176" s="2">
        <v>30</v>
      </c>
      <c r="I176" s="2">
        <v>30</v>
      </c>
      <c r="J176" s="1" t="str">
        <f>IF(
   Sales_Performance[[#This Row],[Date]] = _xlfn.MINIFS(Sales_Performance[Date],Sales_Performance[Customer ID],Sales_Performance[[#This Row],[Customer ID]]),
   "New Customer",
   "Returning Customer"
)</f>
        <v>New Customer</v>
      </c>
    </row>
    <row r="177" spans="1:10" x14ac:dyDescent="0.35">
      <c r="A177" t="s">
        <v>1169</v>
      </c>
      <c r="B177" s="1">
        <v>44975</v>
      </c>
      <c r="C177" t="s">
        <v>967</v>
      </c>
      <c r="D177" t="s">
        <v>10</v>
      </c>
      <c r="E177">
        <v>23</v>
      </c>
      <c r="F177" t="s">
        <v>16</v>
      </c>
      <c r="G177">
        <v>2</v>
      </c>
      <c r="H177" s="2">
        <v>500</v>
      </c>
      <c r="I177" s="2">
        <v>1000</v>
      </c>
      <c r="J177" s="1" t="str">
        <f>IF(
   Sales_Performance[[#This Row],[Date]] = _xlfn.MINIFS(Sales_Performance[Date],Sales_Performance[Customer ID],Sales_Performance[[#This Row],[Customer ID]]),
   "New Customer",
   "Returning Customer"
)</f>
        <v>Returning Customer</v>
      </c>
    </row>
    <row r="178" spans="1:10" x14ac:dyDescent="0.35">
      <c r="A178" t="s">
        <v>324</v>
      </c>
      <c r="B178" s="1">
        <v>44976</v>
      </c>
      <c r="C178" t="s">
        <v>1130</v>
      </c>
      <c r="D178" t="s">
        <v>10</v>
      </c>
      <c r="E178">
        <v>19</v>
      </c>
      <c r="F178" t="s">
        <v>18</v>
      </c>
      <c r="G178">
        <v>4</v>
      </c>
      <c r="H178" s="2">
        <v>500</v>
      </c>
      <c r="I178" s="2">
        <v>2000</v>
      </c>
      <c r="J178" s="1" t="str">
        <f>IF(
   Sales_Performance[[#This Row],[Date]] = _xlfn.MINIFS(Sales_Performance[Date],Sales_Performance[Customer ID],Sales_Performance[[#This Row],[Customer ID]]),
   "New Customer",
   "Returning Customer"
)</f>
        <v>New Customer</v>
      </c>
    </row>
    <row r="179" spans="1:10" x14ac:dyDescent="0.35">
      <c r="A179" t="s">
        <v>1421</v>
      </c>
      <c r="B179" s="1">
        <v>45264</v>
      </c>
      <c r="C179" t="s">
        <v>1332</v>
      </c>
      <c r="D179" t="s">
        <v>15</v>
      </c>
      <c r="E179">
        <v>37</v>
      </c>
      <c r="F179" t="s">
        <v>16</v>
      </c>
      <c r="G179">
        <v>1</v>
      </c>
      <c r="H179" s="2">
        <v>50</v>
      </c>
      <c r="I179" s="2">
        <v>50</v>
      </c>
      <c r="J179" s="1" t="str">
        <f>IF(
   Sales_Performance[[#This Row],[Date]] = _xlfn.MINIFS(Sales_Performance[Date],Sales_Performance[Customer ID],Sales_Performance[[#This Row],[Customer ID]]),
   "New Customer",
   "Returning Customer"
)</f>
        <v>Returning Customer</v>
      </c>
    </row>
    <row r="180" spans="1:10" x14ac:dyDescent="0.35">
      <c r="A180" t="s">
        <v>882</v>
      </c>
      <c r="B180" s="1">
        <v>45147</v>
      </c>
      <c r="C180" t="s">
        <v>939</v>
      </c>
      <c r="D180" t="s">
        <v>15</v>
      </c>
      <c r="E180">
        <v>45</v>
      </c>
      <c r="F180" t="s">
        <v>16</v>
      </c>
      <c r="G180">
        <v>4</v>
      </c>
      <c r="H180" s="2">
        <v>50</v>
      </c>
      <c r="I180" s="2">
        <v>200</v>
      </c>
      <c r="J180" s="1" t="str">
        <f>IF(
   Sales_Performance[[#This Row],[Date]] = _xlfn.MINIFS(Sales_Performance[Date],Sales_Performance[Customer ID],Sales_Performance[[#This Row],[Customer ID]]),
   "New Customer",
   "Returning Customer"
)</f>
        <v>Returning Customer</v>
      </c>
    </row>
    <row r="181" spans="1:10" x14ac:dyDescent="0.35">
      <c r="A181" t="s">
        <v>69</v>
      </c>
      <c r="B181" s="1">
        <v>45206</v>
      </c>
      <c r="C181" t="s">
        <v>988</v>
      </c>
      <c r="D181" t="s">
        <v>15</v>
      </c>
      <c r="E181">
        <v>28</v>
      </c>
      <c r="F181" t="s">
        <v>11</v>
      </c>
      <c r="G181">
        <v>2</v>
      </c>
      <c r="H181" s="2">
        <v>500</v>
      </c>
      <c r="I181" s="2">
        <v>1000</v>
      </c>
      <c r="J181" s="1" t="str">
        <f>IF(
   Sales_Performance[[#This Row],[Date]] = _xlfn.MINIFS(Sales_Performance[Date],Sales_Performance[Customer ID],Sales_Performance[[#This Row],[Customer ID]]),
   "New Customer",
   "Returning Customer"
)</f>
        <v>New Customer</v>
      </c>
    </row>
    <row r="182" spans="1:10" x14ac:dyDescent="0.35">
      <c r="A182" t="s">
        <v>186</v>
      </c>
      <c r="B182" s="1">
        <v>45108</v>
      </c>
      <c r="C182" t="s">
        <v>561</v>
      </c>
      <c r="D182" t="s">
        <v>10</v>
      </c>
      <c r="E182">
        <v>28</v>
      </c>
      <c r="F182" t="s">
        <v>18</v>
      </c>
      <c r="G182">
        <v>2</v>
      </c>
      <c r="H182" s="2">
        <v>30</v>
      </c>
      <c r="I182" s="2">
        <v>60</v>
      </c>
      <c r="J182" s="1" t="str">
        <f>IF(
   Sales_Performance[[#This Row],[Date]] = _xlfn.MINIFS(Sales_Performance[Date],Sales_Performance[Customer ID],Sales_Performance[[#This Row],[Customer ID]]),
   "New Customer",
   "Returning Customer"
)</f>
        <v>Returning Customer</v>
      </c>
    </row>
    <row r="183" spans="1:10" x14ac:dyDescent="0.35">
      <c r="A183" t="s">
        <v>1331</v>
      </c>
      <c r="B183" s="1">
        <v>45143</v>
      </c>
      <c r="C183" t="s">
        <v>373</v>
      </c>
      <c r="D183" t="s">
        <v>10</v>
      </c>
      <c r="E183">
        <v>21</v>
      </c>
      <c r="F183" t="s">
        <v>16</v>
      </c>
      <c r="G183">
        <v>2</v>
      </c>
      <c r="H183" s="2">
        <v>25</v>
      </c>
      <c r="I183" s="2">
        <v>50</v>
      </c>
      <c r="J183" s="1" t="str">
        <f>IF(
   Sales_Performance[[#This Row],[Date]] = _xlfn.MINIFS(Sales_Performance[Date],Sales_Performance[Customer ID],Sales_Performance[[#This Row],[Customer ID]]),
   "New Customer",
   "Returning Customer"
)</f>
        <v>New Customer</v>
      </c>
    </row>
    <row r="184" spans="1:10" x14ac:dyDescent="0.35">
      <c r="A184" t="s">
        <v>462</v>
      </c>
      <c r="B184" s="1">
        <v>45137</v>
      </c>
      <c r="C184" t="s">
        <v>1264</v>
      </c>
      <c r="D184" t="s">
        <v>15</v>
      </c>
      <c r="E184">
        <v>32</v>
      </c>
      <c r="F184" t="s">
        <v>18</v>
      </c>
      <c r="G184">
        <v>4</v>
      </c>
      <c r="H184" s="2">
        <v>30</v>
      </c>
      <c r="I184" s="2">
        <v>120</v>
      </c>
      <c r="J184" s="1" t="str">
        <f>IF(
   Sales_Performance[[#This Row],[Date]] = _xlfn.MINIFS(Sales_Performance[Date],Sales_Performance[Customer ID],Sales_Performance[[#This Row],[Customer ID]]),
   "New Customer",
   "Returning Customer"
)</f>
        <v>Returning Customer</v>
      </c>
    </row>
    <row r="185" spans="1:10" x14ac:dyDescent="0.35">
      <c r="A185" t="s">
        <v>29</v>
      </c>
      <c r="B185" s="1">
        <v>45166</v>
      </c>
      <c r="C185" t="s">
        <v>57</v>
      </c>
      <c r="D185" t="s">
        <v>10</v>
      </c>
      <c r="E185">
        <v>23</v>
      </c>
      <c r="F185" t="s">
        <v>18</v>
      </c>
      <c r="G185">
        <v>2</v>
      </c>
      <c r="H185" s="2">
        <v>30</v>
      </c>
      <c r="I185" s="2">
        <v>60</v>
      </c>
      <c r="J185" s="1" t="str">
        <f>IF(
   Sales_Performance[[#This Row],[Date]] = _xlfn.MINIFS(Sales_Performance[Date],Sales_Performance[Customer ID],Sales_Performance[[#This Row],[Customer ID]]),
   "New Customer",
   "Returning Customer"
)</f>
        <v>Returning Customer</v>
      </c>
    </row>
    <row r="186" spans="1:10" x14ac:dyDescent="0.35">
      <c r="A186" t="s">
        <v>528</v>
      </c>
      <c r="B186" s="1">
        <v>44954</v>
      </c>
      <c r="C186" t="s">
        <v>72</v>
      </c>
      <c r="D186" t="s">
        <v>10</v>
      </c>
      <c r="E186">
        <v>47</v>
      </c>
      <c r="F186" t="s">
        <v>16</v>
      </c>
      <c r="G186">
        <v>3</v>
      </c>
      <c r="H186" s="2">
        <v>300</v>
      </c>
      <c r="I186" s="2">
        <v>900</v>
      </c>
      <c r="J186" s="1" t="str">
        <f>IF(
   Sales_Performance[[#This Row],[Date]] = _xlfn.MINIFS(Sales_Performance[Date],Sales_Performance[Customer ID],Sales_Performance[[#This Row],[Customer ID]]),
   "New Customer",
   "Returning Customer"
)</f>
        <v>New Customer</v>
      </c>
    </row>
    <row r="187" spans="1:10" x14ac:dyDescent="0.35">
      <c r="A187" t="s">
        <v>447</v>
      </c>
      <c r="B187" s="1">
        <v>45271</v>
      </c>
      <c r="C187" t="s">
        <v>1240</v>
      </c>
      <c r="D187" t="s">
        <v>10</v>
      </c>
      <c r="E187">
        <v>55</v>
      </c>
      <c r="F187" t="s">
        <v>16</v>
      </c>
      <c r="G187">
        <v>3</v>
      </c>
      <c r="H187" s="2">
        <v>300</v>
      </c>
      <c r="I187" s="2">
        <v>900</v>
      </c>
      <c r="J187" s="1" t="str">
        <f>IF(
   Sales_Performance[[#This Row],[Date]] = _xlfn.MINIFS(Sales_Performance[Date],Sales_Performance[Customer ID],Sales_Performance[[#This Row],[Customer ID]]),
   "New Customer",
   "Returning Customer"
)</f>
        <v>Returning Customer</v>
      </c>
    </row>
    <row r="188" spans="1:10" x14ac:dyDescent="0.35">
      <c r="A188" t="s">
        <v>1185</v>
      </c>
      <c r="B188" s="1">
        <v>45261</v>
      </c>
      <c r="C188" t="s">
        <v>825</v>
      </c>
      <c r="D188" t="s">
        <v>15</v>
      </c>
      <c r="E188">
        <v>19</v>
      </c>
      <c r="F188" t="s">
        <v>11</v>
      </c>
      <c r="G188">
        <v>2</v>
      </c>
      <c r="H188" s="2">
        <v>30</v>
      </c>
      <c r="I188" s="2">
        <v>60</v>
      </c>
      <c r="J188" s="1" t="str">
        <f>IF(
   Sales_Performance[[#This Row],[Date]] = _xlfn.MINIFS(Sales_Performance[Date],Sales_Performance[Customer ID],Sales_Performance[[#This Row],[Customer ID]]),
   "New Customer",
   "Returning Customer"
)</f>
        <v>Returning Customer</v>
      </c>
    </row>
    <row r="189" spans="1:10" x14ac:dyDescent="0.35">
      <c r="A189" t="s">
        <v>1162</v>
      </c>
      <c r="B189" s="1">
        <v>45257</v>
      </c>
      <c r="C189" t="s">
        <v>1445</v>
      </c>
      <c r="D189" t="s">
        <v>15</v>
      </c>
      <c r="E189">
        <v>32</v>
      </c>
      <c r="F189" t="s">
        <v>18</v>
      </c>
      <c r="G189">
        <v>3</v>
      </c>
      <c r="H189" s="2">
        <v>30</v>
      </c>
      <c r="I189" s="2">
        <v>90</v>
      </c>
      <c r="J189" s="1" t="str">
        <f>IF(
   Sales_Performance[[#This Row],[Date]] = _xlfn.MINIFS(Sales_Performance[Date],Sales_Performance[Customer ID],Sales_Performance[[#This Row],[Customer ID]]),
   "New Customer",
   "Returning Customer"
)</f>
        <v>Returning Customer</v>
      </c>
    </row>
    <row r="190" spans="1:10" x14ac:dyDescent="0.35">
      <c r="A190" t="s">
        <v>267</v>
      </c>
      <c r="B190" s="1">
        <v>44977</v>
      </c>
      <c r="C190" t="s">
        <v>13</v>
      </c>
      <c r="D190" t="s">
        <v>15</v>
      </c>
      <c r="E190">
        <v>28</v>
      </c>
      <c r="F190" t="s">
        <v>11</v>
      </c>
      <c r="G190">
        <v>1</v>
      </c>
      <c r="H190" s="2">
        <v>30</v>
      </c>
      <c r="I190" s="2">
        <v>30</v>
      </c>
      <c r="J190" s="1" t="str">
        <f>IF(
   Sales_Performance[[#This Row],[Date]] = _xlfn.MINIFS(Sales_Performance[Date],Sales_Performance[Customer ID],Sales_Performance[[#This Row],[Customer ID]]),
   "New Customer",
   "Returning Customer"
)</f>
        <v>Returning Customer</v>
      </c>
    </row>
    <row r="191" spans="1:10" x14ac:dyDescent="0.35">
      <c r="A191" t="s">
        <v>966</v>
      </c>
      <c r="B191" s="1">
        <v>44958</v>
      </c>
      <c r="C191" t="s">
        <v>257</v>
      </c>
      <c r="D191" t="s">
        <v>10</v>
      </c>
      <c r="E191">
        <v>25</v>
      </c>
      <c r="F191" t="s">
        <v>16</v>
      </c>
      <c r="G191">
        <v>4</v>
      </c>
      <c r="H191" s="2">
        <v>500</v>
      </c>
      <c r="I191" s="2">
        <v>2000</v>
      </c>
      <c r="J191" s="1" t="str">
        <f>IF(
   Sales_Performance[[#This Row],[Date]] = _xlfn.MINIFS(Sales_Performance[Date],Sales_Performance[Customer ID],Sales_Performance[[#This Row],[Customer ID]]),
   "New Customer",
   "Returning Customer"
)</f>
        <v>New Customer</v>
      </c>
    </row>
    <row r="192" spans="1:10" x14ac:dyDescent="0.35">
      <c r="A192" t="s">
        <v>180</v>
      </c>
      <c r="B192" s="1">
        <v>45141</v>
      </c>
      <c r="C192" t="s">
        <v>665</v>
      </c>
      <c r="D192" t="s">
        <v>15</v>
      </c>
      <c r="E192">
        <v>38</v>
      </c>
      <c r="F192" t="s">
        <v>18</v>
      </c>
      <c r="G192">
        <v>2</v>
      </c>
      <c r="H192" s="2">
        <v>25</v>
      </c>
      <c r="I192" s="2">
        <v>50</v>
      </c>
      <c r="J192" s="1" t="str">
        <f>IF(
   Sales_Performance[[#This Row],[Date]] = _xlfn.MINIFS(Sales_Performance[Date],Sales_Performance[Customer ID],Sales_Performance[[#This Row],[Customer ID]]),
   "New Customer",
   "Returning Customer"
)</f>
        <v>New Customer</v>
      </c>
    </row>
    <row r="193" spans="1:10" x14ac:dyDescent="0.35">
      <c r="A193" t="s">
        <v>1183</v>
      </c>
      <c r="B193" s="1">
        <v>45133</v>
      </c>
      <c r="C193" t="s">
        <v>557</v>
      </c>
      <c r="D193" t="s">
        <v>10</v>
      </c>
      <c r="E193">
        <v>43</v>
      </c>
      <c r="F193" t="s">
        <v>11</v>
      </c>
      <c r="G193">
        <v>1</v>
      </c>
      <c r="H193" s="2">
        <v>300</v>
      </c>
      <c r="I193" s="2">
        <v>300</v>
      </c>
      <c r="J193" s="1" t="str">
        <f>IF(
   Sales_Performance[[#This Row],[Date]] = _xlfn.MINIFS(Sales_Performance[Date],Sales_Performance[Customer ID],Sales_Performance[[#This Row],[Customer ID]]),
   "New Customer",
   "Returning Customer"
)</f>
        <v>Returning Customer</v>
      </c>
    </row>
    <row r="194" spans="1:10" x14ac:dyDescent="0.35">
      <c r="A194" t="s">
        <v>19</v>
      </c>
      <c r="B194" s="1">
        <v>45100</v>
      </c>
      <c r="C194" t="s">
        <v>671</v>
      </c>
      <c r="D194" t="s">
        <v>15</v>
      </c>
      <c r="E194">
        <v>62</v>
      </c>
      <c r="F194" t="s">
        <v>18</v>
      </c>
      <c r="G194">
        <v>4</v>
      </c>
      <c r="H194" s="2">
        <v>30</v>
      </c>
      <c r="I194" s="2">
        <v>120</v>
      </c>
      <c r="J194" s="1" t="str">
        <f>IF(
   Sales_Performance[[#This Row],[Date]] = _xlfn.MINIFS(Sales_Performance[Date],Sales_Performance[Customer ID],Sales_Performance[[#This Row],[Customer ID]]),
   "New Customer",
   "Returning Customer"
)</f>
        <v>Returning Customer</v>
      </c>
    </row>
    <row r="195" spans="1:10" x14ac:dyDescent="0.35">
      <c r="A195" t="s">
        <v>362</v>
      </c>
      <c r="B195" s="1">
        <v>44982</v>
      </c>
      <c r="C195" t="s">
        <v>1296</v>
      </c>
      <c r="D195" t="s">
        <v>15</v>
      </c>
      <c r="E195">
        <v>61</v>
      </c>
      <c r="F195" t="s">
        <v>11</v>
      </c>
      <c r="G195">
        <v>2</v>
      </c>
      <c r="H195" s="2">
        <v>50</v>
      </c>
      <c r="I195" s="2">
        <v>100</v>
      </c>
      <c r="J195" s="1" t="str">
        <f>IF(
   Sales_Performance[[#This Row],[Date]] = _xlfn.MINIFS(Sales_Performance[Date],Sales_Performance[Customer ID],Sales_Performance[[#This Row],[Customer ID]]),
   "New Customer",
   "Returning Customer"
)</f>
        <v>Returning Customer</v>
      </c>
    </row>
    <row r="196" spans="1:10" x14ac:dyDescent="0.35">
      <c r="A196" t="s">
        <v>532</v>
      </c>
      <c r="B196" s="1">
        <v>45054</v>
      </c>
      <c r="C196" t="s">
        <v>363</v>
      </c>
      <c r="D196" t="s">
        <v>15</v>
      </c>
      <c r="E196">
        <v>22</v>
      </c>
      <c r="F196" t="s">
        <v>18</v>
      </c>
      <c r="G196">
        <v>1</v>
      </c>
      <c r="H196" s="2">
        <v>50</v>
      </c>
      <c r="I196" s="2">
        <v>50</v>
      </c>
      <c r="J196" s="1" t="str">
        <f>IF(
   Sales_Performance[[#This Row],[Date]] = _xlfn.MINIFS(Sales_Performance[Date],Sales_Performance[Customer ID],Sales_Performance[[#This Row],[Customer ID]]),
   "New Customer",
   "Returning Customer"
)</f>
        <v>Returning Customer</v>
      </c>
    </row>
    <row r="197" spans="1:10" x14ac:dyDescent="0.35">
      <c r="A197" t="s">
        <v>585</v>
      </c>
      <c r="B197" s="1">
        <v>45025</v>
      </c>
      <c r="C197" t="s">
        <v>338</v>
      </c>
      <c r="D197" t="s">
        <v>15</v>
      </c>
      <c r="E197">
        <v>23</v>
      </c>
      <c r="F197" t="s">
        <v>16</v>
      </c>
      <c r="G197">
        <v>2</v>
      </c>
      <c r="H197" s="2">
        <v>500</v>
      </c>
      <c r="I197" s="2">
        <v>1000</v>
      </c>
      <c r="J197" s="1" t="str">
        <f>IF(
   Sales_Performance[[#This Row],[Date]] = _xlfn.MINIFS(Sales_Performance[Date],Sales_Performance[Customer ID],Sales_Performance[[#This Row],[Customer ID]]),
   "New Customer",
   "Returning Customer"
)</f>
        <v>Returning Customer</v>
      </c>
    </row>
    <row r="198" spans="1:10" x14ac:dyDescent="0.35">
      <c r="A198" t="s">
        <v>1054</v>
      </c>
      <c r="B198" s="1">
        <v>45024</v>
      </c>
      <c r="C198" t="s">
        <v>545</v>
      </c>
      <c r="D198" t="s">
        <v>10</v>
      </c>
      <c r="E198">
        <v>43</v>
      </c>
      <c r="F198" t="s">
        <v>16</v>
      </c>
      <c r="G198">
        <v>2</v>
      </c>
      <c r="H198" s="2">
        <v>500</v>
      </c>
      <c r="I198" s="2">
        <v>1000</v>
      </c>
      <c r="J198" s="1" t="str">
        <f>IF(
   Sales_Performance[[#This Row],[Date]] = _xlfn.MINIFS(Sales_Performance[Date],Sales_Performance[Customer ID],Sales_Performance[[#This Row],[Customer ID]]),
   "New Customer",
   "Returning Customer"
)</f>
        <v>New Customer</v>
      </c>
    </row>
    <row r="199" spans="1:10" x14ac:dyDescent="0.35">
      <c r="A199" t="s">
        <v>980</v>
      </c>
      <c r="B199" s="1">
        <v>45201</v>
      </c>
      <c r="C199" t="s">
        <v>626</v>
      </c>
      <c r="D199" t="s">
        <v>15</v>
      </c>
      <c r="E199">
        <v>21</v>
      </c>
      <c r="F199" t="s">
        <v>18</v>
      </c>
      <c r="G199">
        <v>4</v>
      </c>
      <c r="H199" s="2">
        <v>25</v>
      </c>
      <c r="I199" s="2">
        <v>100</v>
      </c>
      <c r="J199" s="1" t="str">
        <f>IF(
   Sales_Performance[[#This Row],[Date]] = _xlfn.MINIFS(Sales_Performance[Date],Sales_Performance[Customer ID],Sales_Performance[[#This Row],[Customer ID]]),
   "New Customer",
   "Returning Customer"
)</f>
        <v>Returning Customer</v>
      </c>
    </row>
    <row r="200" spans="1:10" x14ac:dyDescent="0.35">
      <c r="A200" t="s">
        <v>1339</v>
      </c>
      <c r="B200" s="1">
        <v>45156</v>
      </c>
      <c r="C200" t="s">
        <v>1398</v>
      </c>
      <c r="D200" t="s">
        <v>10</v>
      </c>
      <c r="E200">
        <v>36</v>
      </c>
      <c r="F200" t="s">
        <v>16</v>
      </c>
      <c r="G200">
        <v>4</v>
      </c>
      <c r="H200" s="2">
        <v>25</v>
      </c>
      <c r="I200" s="2">
        <v>100</v>
      </c>
      <c r="J200" s="1" t="str">
        <f>IF(
   Sales_Performance[[#This Row],[Date]] = _xlfn.MINIFS(Sales_Performance[Date],Sales_Performance[Customer ID],Sales_Performance[[#This Row],[Customer ID]]),
   "New Customer",
   "Returning Customer"
)</f>
        <v>Returning Customer</v>
      </c>
    </row>
    <row r="201" spans="1:10" x14ac:dyDescent="0.35">
      <c r="A201" t="s">
        <v>146</v>
      </c>
      <c r="B201" s="1">
        <v>44998</v>
      </c>
      <c r="C201" t="s">
        <v>765</v>
      </c>
      <c r="D201" t="s">
        <v>15</v>
      </c>
      <c r="E201">
        <v>37</v>
      </c>
      <c r="F201" t="s">
        <v>16</v>
      </c>
      <c r="G201">
        <v>4</v>
      </c>
      <c r="H201" s="2">
        <v>25</v>
      </c>
      <c r="I201" s="2">
        <v>100</v>
      </c>
      <c r="J201" s="1" t="str">
        <f>IF(
   Sales_Performance[[#This Row],[Date]] = _xlfn.MINIFS(Sales_Performance[Date],Sales_Performance[Customer ID],Sales_Performance[[#This Row],[Customer ID]]),
   "New Customer",
   "Returning Customer"
)</f>
        <v>New Customer</v>
      </c>
    </row>
    <row r="202" spans="1:10" x14ac:dyDescent="0.35">
      <c r="A202" t="s">
        <v>556</v>
      </c>
      <c r="B202" s="1">
        <v>45143</v>
      </c>
      <c r="C202" t="s">
        <v>179</v>
      </c>
      <c r="D202" t="s">
        <v>10</v>
      </c>
      <c r="E202">
        <v>50</v>
      </c>
      <c r="F202" t="s">
        <v>16</v>
      </c>
      <c r="G202">
        <v>1</v>
      </c>
      <c r="H202" s="2">
        <v>500</v>
      </c>
      <c r="I202" s="2">
        <v>500</v>
      </c>
      <c r="J202" s="1" t="str">
        <f>IF(
   Sales_Performance[[#This Row],[Date]] = _xlfn.MINIFS(Sales_Performance[Date],Sales_Performance[Customer ID],Sales_Performance[[#This Row],[Customer ID]]),
   "New Customer",
   "Returning Customer"
)</f>
        <v>Returning Customer</v>
      </c>
    </row>
    <row r="203" spans="1:10" x14ac:dyDescent="0.35">
      <c r="A203" t="s">
        <v>714</v>
      </c>
      <c r="B203" s="1">
        <v>45039</v>
      </c>
      <c r="C203" t="s">
        <v>346</v>
      </c>
      <c r="D203" t="s">
        <v>15</v>
      </c>
      <c r="E203">
        <v>43</v>
      </c>
      <c r="F203" t="s">
        <v>18</v>
      </c>
      <c r="G203">
        <v>1</v>
      </c>
      <c r="H203" s="2">
        <v>500</v>
      </c>
      <c r="I203" s="2">
        <v>500</v>
      </c>
      <c r="J203" s="1" t="str">
        <f>IF(
   Sales_Performance[[#This Row],[Date]] = _xlfn.MINIFS(Sales_Performance[Date],Sales_Performance[Customer ID],Sales_Performance[[#This Row],[Customer ID]]),
   "New Customer",
   "Returning Customer"
)</f>
        <v>New Customer</v>
      </c>
    </row>
    <row r="204" spans="1:10" x14ac:dyDescent="0.35">
      <c r="A204" t="s">
        <v>1407</v>
      </c>
      <c r="B204" s="1">
        <v>45020</v>
      </c>
      <c r="C204" t="s">
        <v>62</v>
      </c>
      <c r="D204" t="s">
        <v>15</v>
      </c>
      <c r="E204">
        <v>37</v>
      </c>
      <c r="F204" t="s">
        <v>16</v>
      </c>
      <c r="G204">
        <v>3</v>
      </c>
      <c r="H204" s="2">
        <v>500</v>
      </c>
      <c r="I204" s="2">
        <v>1500</v>
      </c>
      <c r="J204" s="1" t="str">
        <f>IF(
   Sales_Performance[[#This Row],[Date]] = _xlfn.MINIFS(Sales_Performance[Date],Sales_Performance[Customer ID],Sales_Performance[[#This Row],[Customer ID]]),
   "New Customer",
   "Returning Customer"
)</f>
        <v>New Customer</v>
      </c>
    </row>
    <row r="205" spans="1:10" x14ac:dyDescent="0.35">
      <c r="A205" t="s">
        <v>734</v>
      </c>
      <c r="B205" s="1">
        <v>45069</v>
      </c>
      <c r="C205" t="s">
        <v>325</v>
      </c>
      <c r="D205" t="s">
        <v>15</v>
      </c>
      <c r="E205">
        <v>29</v>
      </c>
      <c r="F205" t="s">
        <v>18</v>
      </c>
      <c r="G205">
        <v>4</v>
      </c>
      <c r="H205" s="2">
        <v>500</v>
      </c>
      <c r="I205" s="2">
        <v>2000</v>
      </c>
      <c r="J205" s="1" t="str">
        <f>IF(
   Sales_Performance[[#This Row],[Date]] = _xlfn.MINIFS(Sales_Performance[Date],Sales_Performance[Customer ID],Sales_Performance[[#This Row],[Customer ID]]),
   "New Customer",
   "Returning Customer"
)</f>
        <v>Returning Customer</v>
      </c>
    </row>
    <row r="206" spans="1:10" x14ac:dyDescent="0.35">
      <c r="A206" t="s">
        <v>701</v>
      </c>
      <c r="B206" s="1">
        <v>45163</v>
      </c>
      <c r="C206" t="s">
        <v>409</v>
      </c>
      <c r="D206" t="s">
        <v>15</v>
      </c>
      <c r="E206">
        <v>64</v>
      </c>
      <c r="F206" t="s">
        <v>11</v>
      </c>
      <c r="G206">
        <v>4</v>
      </c>
      <c r="H206" s="2">
        <v>50</v>
      </c>
      <c r="I206" s="2">
        <v>200</v>
      </c>
      <c r="J206" s="1" t="str">
        <f>IF(
   Sales_Performance[[#This Row],[Date]] = _xlfn.MINIFS(Sales_Performance[Date],Sales_Performance[Customer ID],Sales_Performance[[#This Row],[Customer ID]]),
   "New Customer",
   "Returning Customer"
)</f>
        <v>New Customer</v>
      </c>
    </row>
    <row r="207" spans="1:10" x14ac:dyDescent="0.35">
      <c r="A207" t="s">
        <v>1285</v>
      </c>
      <c r="B207" s="1">
        <v>45054</v>
      </c>
      <c r="C207" t="s">
        <v>114</v>
      </c>
      <c r="D207" t="s">
        <v>15</v>
      </c>
      <c r="E207">
        <v>18</v>
      </c>
      <c r="F207" t="s">
        <v>11</v>
      </c>
      <c r="G207">
        <v>1</v>
      </c>
      <c r="H207" s="2">
        <v>500</v>
      </c>
      <c r="I207" s="2">
        <v>500</v>
      </c>
      <c r="J207" s="1" t="str">
        <f>IF(
   Sales_Performance[[#This Row],[Date]] = _xlfn.MINIFS(Sales_Performance[Date],Sales_Performance[Customer ID],Sales_Performance[[#This Row],[Customer ID]]),
   "New Customer",
   "Returning Customer"
)</f>
        <v>Returning Customer</v>
      </c>
    </row>
    <row r="208" spans="1:10" x14ac:dyDescent="0.35">
      <c r="A208" t="s">
        <v>440</v>
      </c>
      <c r="B208" s="1">
        <v>44965</v>
      </c>
      <c r="C208" t="s">
        <v>561</v>
      </c>
      <c r="D208" t="s">
        <v>10</v>
      </c>
      <c r="E208">
        <v>43</v>
      </c>
      <c r="F208" t="s">
        <v>16</v>
      </c>
      <c r="G208">
        <v>4</v>
      </c>
      <c r="H208" s="2">
        <v>50</v>
      </c>
      <c r="I208" s="2">
        <v>200</v>
      </c>
      <c r="J208" s="1" t="str">
        <f>IF(
   Sales_Performance[[#This Row],[Date]] = _xlfn.MINIFS(Sales_Performance[Date],Sales_Performance[Customer ID],Sales_Performance[[#This Row],[Customer ID]]),
   "New Customer",
   "Returning Customer"
)</f>
        <v>New Customer</v>
      </c>
    </row>
    <row r="209" spans="1:10" x14ac:dyDescent="0.35">
      <c r="A209" t="s">
        <v>73</v>
      </c>
      <c r="B209" s="1">
        <v>45153</v>
      </c>
      <c r="C209" t="s">
        <v>208</v>
      </c>
      <c r="D209" t="s">
        <v>15</v>
      </c>
      <c r="E209">
        <v>31</v>
      </c>
      <c r="F209" t="s">
        <v>11</v>
      </c>
      <c r="G209">
        <v>1</v>
      </c>
      <c r="H209" s="2">
        <v>25</v>
      </c>
      <c r="I209" s="2">
        <v>25</v>
      </c>
      <c r="J209" s="1" t="str">
        <f>IF(
   Sales_Performance[[#This Row],[Date]] = _xlfn.MINIFS(Sales_Performance[Date],Sales_Performance[Customer ID],Sales_Performance[[#This Row],[Customer ID]]),
   "New Customer",
   "Returning Customer"
)</f>
        <v>Returning Customer</v>
      </c>
    </row>
    <row r="210" spans="1:10" x14ac:dyDescent="0.35">
      <c r="A210" t="s">
        <v>318</v>
      </c>
      <c r="B210" s="1">
        <v>45208</v>
      </c>
      <c r="C210" t="s">
        <v>845</v>
      </c>
      <c r="D210" t="s">
        <v>10</v>
      </c>
      <c r="E210">
        <v>55</v>
      </c>
      <c r="F210" t="s">
        <v>11</v>
      </c>
      <c r="G210">
        <v>2</v>
      </c>
      <c r="H210" s="2">
        <v>25</v>
      </c>
      <c r="I210" s="2">
        <v>50</v>
      </c>
      <c r="J210" s="1" t="str">
        <f>IF(
   Sales_Performance[[#This Row],[Date]] = _xlfn.MINIFS(Sales_Performance[Date],Sales_Performance[Customer ID],Sales_Performance[[#This Row],[Customer ID]]),
   "New Customer",
   "Returning Customer"
)</f>
        <v>Returning Customer</v>
      </c>
    </row>
    <row r="211" spans="1:10" x14ac:dyDescent="0.35">
      <c r="A211" t="s">
        <v>1373</v>
      </c>
      <c r="B211" s="1">
        <v>44977</v>
      </c>
      <c r="C211" t="s">
        <v>1389</v>
      </c>
      <c r="D211" t="s">
        <v>10</v>
      </c>
      <c r="E211">
        <v>54</v>
      </c>
      <c r="F211" t="s">
        <v>16</v>
      </c>
      <c r="G211">
        <v>4</v>
      </c>
      <c r="H211" s="2">
        <v>25</v>
      </c>
      <c r="I211" s="2">
        <v>100</v>
      </c>
      <c r="J211" s="1" t="str">
        <f>IF(
   Sales_Performance[[#This Row],[Date]] = _xlfn.MINIFS(Sales_Performance[Date],Sales_Performance[Customer ID],Sales_Performance[[#This Row],[Customer ID]]),
   "New Customer",
   "Returning Customer"
)</f>
        <v>New Customer</v>
      </c>
    </row>
    <row r="212" spans="1:10" x14ac:dyDescent="0.35">
      <c r="A212" t="s">
        <v>1177</v>
      </c>
      <c r="B212" s="1">
        <v>44952</v>
      </c>
      <c r="C212" t="s">
        <v>1329</v>
      </c>
      <c r="D212" t="s">
        <v>10</v>
      </c>
      <c r="E212">
        <v>28</v>
      </c>
      <c r="F212" t="s">
        <v>16</v>
      </c>
      <c r="G212">
        <v>4</v>
      </c>
      <c r="H212" s="2">
        <v>30</v>
      </c>
      <c r="I212" s="2">
        <v>120</v>
      </c>
      <c r="J212" s="1" t="str">
        <f>IF(
   Sales_Performance[[#This Row],[Date]] = _xlfn.MINIFS(Sales_Performance[Date],Sales_Performance[Customer ID],Sales_Performance[[#This Row],[Customer ID]]),
   "New Customer",
   "Returning Customer"
)</f>
        <v>New Customer</v>
      </c>
    </row>
    <row r="213" spans="1:10" x14ac:dyDescent="0.35">
      <c r="A213" t="s">
        <v>1204</v>
      </c>
      <c r="B213" s="1">
        <v>45260</v>
      </c>
      <c r="C213" t="s">
        <v>1004</v>
      </c>
      <c r="D213" t="s">
        <v>10</v>
      </c>
      <c r="E213">
        <v>53</v>
      </c>
      <c r="F213" t="s">
        <v>11</v>
      </c>
      <c r="G213">
        <v>2</v>
      </c>
      <c r="H213" s="2">
        <v>30</v>
      </c>
      <c r="I213" s="2">
        <v>60</v>
      </c>
      <c r="J213" s="1" t="str">
        <f>IF(
   Sales_Performance[[#This Row],[Date]] = _xlfn.MINIFS(Sales_Performance[Date],Sales_Performance[Customer ID],Sales_Performance[[#This Row],[Customer ID]]),
   "New Customer",
   "Returning Customer"
)</f>
        <v>Returning Customer</v>
      </c>
    </row>
    <row r="214" spans="1:10" x14ac:dyDescent="0.35">
      <c r="A214" t="s">
        <v>931</v>
      </c>
      <c r="B214" s="1">
        <v>45156</v>
      </c>
      <c r="C214" t="s">
        <v>404</v>
      </c>
      <c r="D214" t="s">
        <v>15</v>
      </c>
      <c r="E214">
        <v>42</v>
      </c>
      <c r="F214" t="s">
        <v>11</v>
      </c>
      <c r="G214">
        <v>1</v>
      </c>
      <c r="H214" s="2">
        <v>30</v>
      </c>
      <c r="I214" s="2">
        <v>30</v>
      </c>
      <c r="J214" s="1" t="str">
        <f>IF(
   Sales_Performance[[#This Row],[Date]] = _xlfn.MINIFS(Sales_Performance[Date],Sales_Performance[Customer ID],Sales_Performance[[#This Row],[Customer ID]]),
   "New Customer",
   "Returning Customer"
)</f>
        <v>New Customer</v>
      </c>
    </row>
    <row r="215" spans="1:10" x14ac:dyDescent="0.35">
      <c r="A215" t="s">
        <v>435</v>
      </c>
      <c r="B215" s="1">
        <v>45203</v>
      </c>
      <c r="C215" t="s">
        <v>916</v>
      </c>
      <c r="D215" t="s">
        <v>15</v>
      </c>
      <c r="E215">
        <v>30</v>
      </c>
      <c r="F215" t="s">
        <v>18</v>
      </c>
      <c r="G215">
        <v>2</v>
      </c>
      <c r="H215" s="2">
        <v>300</v>
      </c>
      <c r="I215" s="2">
        <v>600</v>
      </c>
      <c r="J215" s="1" t="str">
        <f>IF(
   Sales_Performance[[#This Row],[Date]] = _xlfn.MINIFS(Sales_Performance[Date],Sales_Performance[Customer ID],Sales_Performance[[#This Row],[Customer ID]]),
   "New Customer",
   "Returning Customer"
)</f>
        <v>Returning Customer</v>
      </c>
    </row>
    <row r="216" spans="1:10" x14ac:dyDescent="0.35">
      <c r="A216" t="s">
        <v>1444</v>
      </c>
      <c r="B216" s="1">
        <v>44934</v>
      </c>
      <c r="C216" t="s">
        <v>1224</v>
      </c>
      <c r="D216" t="s">
        <v>10</v>
      </c>
      <c r="E216">
        <v>60</v>
      </c>
      <c r="F216" t="s">
        <v>16</v>
      </c>
      <c r="G216">
        <v>2</v>
      </c>
      <c r="H216" s="2">
        <v>300</v>
      </c>
      <c r="I216" s="2">
        <v>600</v>
      </c>
      <c r="J216" s="1" t="str">
        <f>IF(
   Sales_Performance[[#This Row],[Date]] = _xlfn.MINIFS(Sales_Performance[Date],Sales_Performance[Customer ID],Sales_Performance[[#This Row],[Customer ID]]),
   "New Customer",
   "Returning Customer"
)</f>
        <v>New Customer</v>
      </c>
    </row>
    <row r="217" spans="1:10" x14ac:dyDescent="0.35">
      <c r="A217" t="s">
        <v>712</v>
      </c>
      <c r="B217" s="1">
        <v>44974</v>
      </c>
      <c r="C217" t="s">
        <v>1433</v>
      </c>
      <c r="D217" t="s">
        <v>10</v>
      </c>
      <c r="E217">
        <v>20</v>
      </c>
      <c r="F217" t="s">
        <v>18</v>
      </c>
      <c r="G217">
        <v>4</v>
      </c>
      <c r="H217" s="2">
        <v>300</v>
      </c>
      <c r="I217" s="2">
        <v>1200</v>
      </c>
      <c r="J217" s="1" t="str">
        <f>IF(
   Sales_Performance[[#This Row],[Date]] = _xlfn.MINIFS(Sales_Performance[Date],Sales_Performance[Customer ID],Sales_Performance[[#This Row],[Customer ID]]),
   "New Customer",
   "Returning Customer"
)</f>
        <v>New Customer</v>
      </c>
    </row>
    <row r="218" spans="1:10" x14ac:dyDescent="0.35">
      <c r="A218" t="s">
        <v>921</v>
      </c>
      <c r="B218" s="1">
        <v>45048</v>
      </c>
      <c r="C218" t="s">
        <v>220</v>
      </c>
      <c r="D218" t="s">
        <v>10</v>
      </c>
      <c r="E218">
        <v>50</v>
      </c>
      <c r="F218" t="s">
        <v>11</v>
      </c>
      <c r="G218">
        <v>3</v>
      </c>
      <c r="H218" s="2">
        <v>30</v>
      </c>
      <c r="I218" s="2">
        <v>90</v>
      </c>
      <c r="J218" s="1" t="str">
        <f>IF(
   Sales_Performance[[#This Row],[Date]] = _xlfn.MINIFS(Sales_Performance[Date],Sales_Performance[Customer ID],Sales_Performance[[#This Row],[Customer ID]]),
   "New Customer",
   "Returning Customer"
)</f>
        <v>New Customer</v>
      </c>
    </row>
    <row r="219" spans="1:10" x14ac:dyDescent="0.35">
      <c r="A219" t="s">
        <v>899</v>
      </c>
      <c r="B219" s="1">
        <v>45012</v>
      </c>
      <c r="C219" t="s">
        <v>777</v>
      </c>
      <c r="D219" t="s">
        <v>15</v>
      </c>
      <c r="E219">
        <v>23</v>
      </c>
      <c r="F219" t="s">
        <v>16</v>
      </c>
      <c r="G219">
        <v>3</v>
      </c>
      <c r="H219" s="2">
        <v>30</v>
      </c>
      <c r="I219" s="2">
        <v>90</v>
      </c>
      <c r="J219" s="1" t="str">
        <f>IF(
   Sales_Performance[[#This Row],[Date]] = _xlfn.MINIFS(Sales_Performance[Date],Sales_Performance[Customer ID],Sales_Performance[[#This Row],[Customer ID]]),
   "New Customer",
   "Returning Customer"
)</f>
        <v>New Customer</v>
      </c>
    </row>
    <row r="220" spans="1:10" x14ac:dyDescent="0.35">
      <c r="A220" t="s">
        <v>417</v>
      </c>
      <c r="B220" s="1">
        <v>45135</v>
      </c>
      <c r="C220" t="s">
        <v>248</v>
      </c>
      <c r="D220" t="s">
        <v>15</v>
      </c>
      <c r="E220">
        <v>27</v>
      </c>
      <c r="F220" t="s">
        <v>18</v>
      </c>
      <c r="G220">
        <v>3</v>
      </c>
      <c r="H220" s="2">
        <v>300</v>
      </c>
      <c r="I220" s="2">
        <v>900</v>
      </c>
      <c r="J220" s="1" t="str">
        <f>IF(
   Sales_Performance[[#This Row],[Date]] = _xlfn.MINIFS(Sales_Performance[Date],Sales_Performance[Customer ID],Sales_Performance[[#This Row],[Customer ID]]),
   "New Customer",
   "Returning Customer"
)</f>
        <v>New Customer</v>
      </c>
    </row>
    <row r="221" spans="1:10" x14ac:dyDescent="0.35">
      <c r="A221" t="s">
        <v>1013</v>
      </c>
      <c r="B221" s="1">
        <v>45175</v>
      </c>
      <c r="C221" t="s">
        <v>835</v>
      </c>
      <c r="D221" t="s">
        <v>15</v>
      </c>
      <c r="E221">
        <v>22</v>
      </c>
      <c r="F221" t="s">
        <v>16</v>
      </c>
      <c r="G221">
        <v>4</v>
      </c>
      <c r="H221" s="2">
        <v>300</v>
      </c>
      <c r="I221" s="2">
        <v>1200</v>
      </c>
      <c r="J221" s="1" t="str">
        <f>IF(
   Sales_Performance[[#This Row],[Date]] = _xlfn.MINIFS(Sales_Performance[Date],Sales_Performance[Customer ID],Sales_Performance[[#This Row],[Customer ID]]),
   "New Customer",
   "Returning Customer"
)</f>
        <v>Returning Customer</v>
      </c>
    </row>
    <row r="222" spans="1:10" x14ac:dyDescent="0.35">
      <c r="A222" t="s">
        <v>458</v>
      </c>
      <c r="B222" s="1">
        <v>45173</v>
      </c>
      <c r="C222" t="s">
        <v>1398</v>
      </c>
      <c r="D222" t="s">
        <v>15</v>
      </c>
      <c r="E222">
        <v>40</v>
      </c>
      <c r="F222" t="s">
        <v>11</v>
      </c>
      <c r="G222">
        <v>2</v>
      </c>
      <c r="H222" s="2">
        <v>500</v>
      </c>
      <c r="I222" s="2">
        <v>1000</v>
      </c>
      <c r="J222" s="1" t="str">
        <f>IF(
   Sales_Performance[[#This Row],[Date]] = _xlfn.MINIFS(Sales_Performance[Date],Sales_Performance[Customer ID],Sales_Performance[[#This Row],[Customer ID]]),
   "New Customer",
   "Returning Customer"
)</f>
        <v>Returning Customer</v>
      </c>
    </row>
    <row r="223" spans="1:10" x14ac:dyDescent="0.35">
      <c r="A223" t="s">
        <v>331</v>
      </c>
      <c r="B223" s="1">
        <v>45036</v>
      </c>
      <c r="C223" t="s">
        <v>671</v>
      </c>
      <c r="D223" t="s">
        <v>10</v>
      </c>
      <c r="E223">
        <v>27</v>
      </c>
      <c r="F223" t="s">
        <v>18</v>
      </c>
      <c r="G223">
        <v>4</v>
      </c>
      <c r="H223" s="2">
        <v>300</v>
      </c>
      <c r="I223" s="2">
        <v>1200</v>
      </c>
      <c r="J223" s="1" t="str">
        <f>IF(
   Sales_Performance[[#This Row],[Date]] = _xlfn.MINIFS(Sales_Performance[Date],Sales_Performance[Customer ID],Sales_Performance[[#This Row],[Customer ID]]),
   "New Customer",
   "Returning Customer"
)</f>
        <v>New Customer</v>
      </c>
    </row>
    <row r="224" spans="1:10" x14ac:dyDescent="0.35">
      <c r="A224" t="s">
        <v>1146</v>
      </c>
      <c r="B224" s="1">
        <v>45132</v>
      </c>
      <c r="C224" t="s">
        <v>441</v>
      </c>
      <c r="D224" t="s">
        <v>10</v>
      </c>
      <c r="E224">
        <v>61</v>
      </c>
      <c r="F224" t="s">
        <v>11</v>
      </c>
      <c r="G224">
        <v>2</v>
      </c>
      <c r="H224" s="2">
        <v>500</v>
      </c>
      <c r="I224" s="2">
        <v>1000</v>
      </c>
      <c r="J224" s="1" t="str">
        <f>IF(
   Sales_Performance[[#This Row],[Date]] = _xlfn.MINIFS(Sales_Performance[Date],Sales_Performance[Customer ID],Sales_Performance[[#This Row],[Customer ID]]),
   "New Customer",
   "Returning Customer"
)</f>
        <v>New Customer</v>
      </c>
    </row>
    <row r="225" spans="1:10" x14ac:dyDescent="0.35">
      <c r="A225" t="s">
        <v>560</v>
      </c>
      <c r="B225" s="1">
        <v>44939</v>
      </c>
      <c r="C225" t="s">
        <v>1374</v>
      </c>
      <c r="D225" t="s">
        <v>10</v>
      </c>
      <c r="E225">
        <v>50</v>
      </c>
      <c r="F225" t="s">
        <v>11</v>
      </c>
      <c r="G225">
        <v>1</v>
      </c>
      <c r="H225" s="2">
        <v>30</v>
      </c>
      <c r="I225" s="2">
        <v>30</v>
      </c>
      <c r="J225" s="1" t="str">
        <f>IF(
   Sales_Performance[[#This Row],[Date]] = _xlfn.MINIFS(Sales_Performance[Date],Sales_Performance[Customer ID],Sales_Performance[[#This Row],[Customer ID]]),
   "New Customer",
   "Returning Customer"
)</f>
        <v>New Customer</v>
      </c>
    </row>
    <row r="226" spans="1:10" x14ac:dyDescent="0.35">
      <c r="A226" t="s">
        <v>1287</v>
      </c>
      <c r="B226" s="1">
        <v>45228</v>
      </c>
      <c r="C226" t="s">
        <v>340</v>
      </c>
      <c r="D226" t="s">
        <v>15</v>
      </c>
      <c r="E226">
        <v>39</v>
      </c>
      <c r="F226" t="s">
        <v>18</v>
      </c>
      <c r="G226">
        <v>3</v>
      </c>
      <c r="H226" s="2">
        <v>300</v>
      </c>
      <c r="I226" s="2">
        <v>900</v>
      </c>
      <c r="J226" s="1" t="str">
        <f>IF(
   Sales_Performance[[#This Row],[Date]] = _xlfn.MINIFS(Sales_Performance[Date],Sales_Performance[Customer ID],Sales_Performance[[#This Row],[Customer ID]]),
   "New Customer",
   "Returning Customer"
)</f>
        <v>Returning Customer</v>
      </c>
    </row>
    <row r="227" spans="1:10" x14ac:dyDescent="0.35">
      <c r="A227" t="s">
        <v>337</v>
      </c>
      <c r="B227" s="1">
        <v>44957</v>
      </c>
      <c r="C227" t="s">
        <v>1064</v>
      </c>
      <c r="D227" t="s">
        <v>15</v>
      </c>
      <c r="E227">
        <v>19</v>
      </c>
      <c r="F227" t="s">
        <v>11</v>
      </c>
      <c r="G227">
        <v>4</v>
      </c>
      <c r="H227" s="2">
        <v>50</v>
      </c>
      <c r="I227" s="2">
        <v>200</v>
      </c>
      <c r="J227" s="1" t="str">
        <f>IF(
   Sales_Performance[[#This Row],[Date]] = _xlfn.MINIFS(Sales_Performance[Date],Sales_Performance[Customer ID],Sales_Performance[[#This Row],[Customer ID]]),
   "New Customer",
   "Returning Customer"
)</f>
        <v>New Customer</v>
      </c>
    </row>
    <row r="228" spans="1:10" x14ac:dyDescent="0.35">
      <c r="A228" t="s">
        <v>594</v>
      </c>
      <c r="B228" s="1">
        <v>45011</v>
      </c>
      <c r="C228" t="s">
        <v>93</v>
      </c>
      <c r="D228" t="s">
        <v>10</v>
      </c>
      <c r="E228">
        <v>30</v>
      </c>
      <c r="F228" t="s">
        <v>16</v>
      </c>
      <c r="G228">
        <v>4</v>
      </c>
      <c r="H228" s="2">
        <v>30</v>
      </c>
      <c r="I228" s="2">
        <v>120</v>
      </c>
      <c r="J228" s="1" t="str">
        <f>IF(
   Sales_Performance[[#This Row],[Date]] = _xlfn.MINIFS(Sales_Performance[Date],Sales_Performance[Customer ID],Sales_Performance[[#This Row],[Customer ID]]),
   "New Customer",
   "Returning Customer"
)</f>
        <v>Returning Customer</v>
      </c>
    </row>
    <row r="229" spans="1:10" x14ac:dyDescent="0.35">
      <c r="A229" t="s">
        <v>978</v>
      </c>
      <c r="B229" s="1">
        <v>45121</v>
      </c>
      <c r="C229" t="s">
        <v>154</v>
      </c>
      <c r="D229" t="s">
        <v>10</v>
      </c>
      <c r="E229">
        <v>57</v>
      </c>
      <c r="F229" t="s">
        <v>18</v>
      </c>
      <c r="G229">
        <v>2</v>
      </c>
      <c r="H229" s="2">
        <v>300</v>
      </c>
      <c r="I229" s="2">
        <v>600</v>
      </c>
      <c r="J229" s="1" t="str">
        <f>IF(
   Sales_Performance[[#This Row],[Date]] = _xlfn.MINIFS(Sales_Performance[Date],Sales_Performance[Customer ID],Sales_Performance[[#This Row],[Customer ID]]),
   "New Customer",
   "Returning Customer"
)</f>
        <v>New Customer</v>
      </c>
    </row>
    <row r="230" spans="1:10" x14ac:dyDescent="0.35">
      <c r="A230" t="s">
        <v>613</v>
      </c>
      <c r="B230" s="1">
        <v>44928</v>
      </c>
      <c r="C230" t="s">
        <v>742</v>
      </c>
      <c r="D230" t="s">
        <v>10</v>
      </c>
      <c r="E230">
        <v>19</v>
      </c>
      <c r="F230" t="s">
        <v>11</v>
      </c>
      <c r="G230">
        <v>3</v>
      </c>
      <c r="H230" s="2">
        <v>30</v>
      </c>
      <c r="I230" s="2">
        <v>90</v>
      </c>
      <c r="J230" s="1" t="str">
        <f>IF(
   Sales_Performance[[#This Row],[Date]] = _xlfn.MINIFS(Sales_Performance[Date],Sales_Performance[Customer ID],Sales_Performance[[#This Row],[Customer ID]]),
   "New Customer",
   "Returning Customer"
)</f>
        <v>New Customer</v>
      </c>
    </row>
    <row r="231" spans="1:10" x14ac:dyDescent="0.35">
      <c r="A231" t="s">
        <v>991</v>
      </c>
      <c r="B231" s="1">
        <v>45126</v>
      </c>
      <c r="C231" t="s">
        <v>125</v>
      </c>
      <c r="D231" t="s">
        <v>15</v>
      </c>
      <c r="E231">
        <v>37</v>
      </c>
      <c r="F231" t="s">
        <v>11</v>
      </c>
      <c r="G231">
        <v>2</v>
      </c>
      <c r="H231" s="2">
        <v>30</v>
      </c>
      <c r="I231" s="2">
        <v>60</v>
      </c>
      <c r="J231" s="1" t="str">
        <f>IF(
   Sales_Performance[[#This Row],[Date]] = _xlfn.MINIFS(Sales_Performance[Date],Sales_Performance[Customer ID],Sales_Performance[[#This Row],[Customer ID]]),
   "New Customer",
   "Returning Customer"
)</f>
        <v>Returning Customer</v>
      </c>
    </row>
    <row r="232" spans="1:10" x14ac:dyDescent="0.35">
      <c r="A232" t="s">
        <v>805</v>
      </c>
      <c r="B232" s="1">
        <v>45062</v>
      </c>
      <c r="C232" t="s">
        <v>907</v>
      </c>
      <c r="D232" t="s">
        <v>15</v>
      </c>
      <c r="E232">
        <v>18</v>
      </c>
      <c r="F232" t="s">
        <v>18</v>
      </c>
      <c r="G232">
        <v>1</v>
      </c>
      <c r="H232" s="2">
        <v>30</v>
      </c>
      <c r="I232" s="2">
        <v>30</v>
      </c>
      <c r="J232" s="1" t="str">
        <f>IF(
   Sales_Performance[[#This Row],[Date]] = _xlfn.MINIFS(Sales_Performance[Date],Sales_Performance[Customer ID],Sales_Performance[[#This Row],[Customer ID]]),
   "New Customer",
   "Returning Customer"
)</f>
        <v>Returning Customer</v>
      </c>
    </row>
    <row r="233" spans="1:10" x14ac:dyDescent="0.35">
      <c r="A233" t="s">
        <v>175</v>
      </c>
      <c r="B233" s="1">
        <v>45159</v>
      </c>
      <c r="C233" t="s">
        <v>93</v>
      </c>
      <c r="D233" t="s">
        <v>10</v>
      </c>
      <c r="E233">
        <v>54</v>
      </c>
      <c r="F233" t="s">
        <v>11</v>
      </c>
      <c r="G233">
        <v>1</v>
      </c>
      <c r="H233" s="2">
        <v>50</v>
      </c>
      <c r="I233" s="2">
        <v>50</v>
      </c>
      <c r="J233" s="1" t="str">
        <f>IF(
   Sales_Performance[[#This Row],[Date]] = _xlfn.MINIFS(Sales_Performance[Date],Sales_Performance[Customer ID],Sales_Performance[[#This Row],[Customer ID]]),
   "New Customer",
   "Returning Customer"
)</f>
        <v>Returning Customer</v>
      </c>
    </row>
    <row r="234" spans="1:10" x14ac:dyDescent="0.35">
      <c r="A234" t="s">
        <v>678</v>
      </c>
      <c r="B234" s="1">
        <v>45073</v>
      </c>
      <c r="C234" t="s">
        <v>595</v>
      </c>
      <c r="D234" t="s">
        <v>15</v>
      </c>
      <c r="E234">
        <v>26</v>
      </c>
      <c r="F234" t="s">
        <v>11</v>
      </c>
      <c r="G234">
        <v>2</v>
      </c>
      <c r="H234" s="2">
        <v>25</v>
      </c>
      <c r="I234" s="2">
        <v>50</v>
      </c>
      <c r="J234" s="1" t="str">
        <f>IF(
   Sales_Performance[[#This Row],[Date]] = _xlfn.MINIFS(Sales_Performance[Date],Sales_Performance[Customer ID],Sales_Performance[[#This Row],[Customer ID]]),
   "New Customer",
   "Returning Customer"
)</f>
        <v>New Customer</v>
      </c>
    </row>
    <row r="235" spans="1:10" x14ac:dyDescent="0.35">
      <c r="A235" t="s">
        <v>718</v>
      </c>
      <c r="B235" s="1">
        <v>45143</v>
      </c>
      <c r="C235" t="s">
        <v>1190</v>
      </c>
      <c r="D235" t="s">
        <v>15</v>
      </c>
      <c r="E235">
        <v>34</v>
      </c>
      <c r="F235" t="s">
        <v>18</v>
      </c>
      <c r="G235">
        <v>4</v>
      </c>
      <c r="H235" s="2">
        <v>300</v>
      </c>
      <c r="I235" s="2">
        <v>1200</v>
      </c>
      <c r="J235" s="1" t="str">
        <f>IF(
   Sales_Performance[[#This Row],[Date]] = _xlfn.MINIFS(Sales_Performance[Date],Sales_Performance[Customer ID],Sales_Performance[[#This Row],[Customer ID]]),
   "New Customer",
   "Returning Customer"
)</f>
        <v>New Customer</v>
      </c>
    </row>
    <row r="236" spans="1:10" x14ac:dyDescent="0.35">
      <c r="A236" t="s">
        <v>54</v>
      </c>
      <c r="B236" s="1">
        <v>45283</v>
      </c>
      <c r="C236" t="s">
        <v>715</v>
      </c>
      <c r="D236" t="s">
        <v>15</v>
      </c>
      <c r="E236">
        <v>26</v>
      </c>
      <c r="F236" t="s">
        <v>18</v>
      </c>
      <c r="G236">
        <v>1</v>
      </c>
      <c r="H236" s="2">
        <v>25</v>
      </c>
      <c r="I236" s="2">
        <v>25</v>
      </c>
      <c r="J236" s="1" t="str">
        <f>IF(
   Sales_Performance[[#This Row],[Date]] = _xlfn.MINIFS(Sales_Performance[Date],Sales_Performance[Customer ID],Sales_Performance[[#This Row],[Customer ID]]),
   "New Customer",
   "Returning Customer"
)</f>
        <v>Returning Customer</v>
      </c>
    </row>
    <row r="237" spans="1:10" x14ac:dyDescent="0.35">
      <c r="A237" t="s">
        <v>699</v>
      </c>
      <c r="B237" s="1">
        <v>45069</v>
      </c>
      <c r="C237" t="s">
        <v>865</v>
      </c>
      <c r="D237" t="s">
        <v>10</v>
      </c>
      <c r="E237">
        <v>44</v>
      </c>
      <c r="F237" t="s">
        <v>11</v>
      </c>
      <c r="G237">
        <v>4</v>
      </c>
      <c r="H237" s="2">
        <v>300</v>
      </c>
      <c r="I237" s="2">
        <v>1200</v>
      </c>
      <c r="J237" s="1" t="str">
        <f>IF(
   Sales_Performance[[#This Row],[Date]] = _xlfn.MINIFS(Sales_Performance[Date],Sales_Performance[Customer ID],Sales_Performance[[#This Row],[Customer ID]]),
   "New Customer",
   "Returning Customer"
)</f>
        <v>Returning Customer</v>
      </c>
    </row>
    <row r="238" spans="1:10" x14ac:dyDescent="0.35">
      <c r="A238" t="s">
        <v>1337</v>
      </c>
      <c r="B238" s="1">
        <v>45211</v>
      </c>
      <c r="C238" t="s">
        <v>315</v>
      </c>
      <c r="D238" t="s">
        <v>15</v>
      </c>
      <c r="E238">
        <v>28</v>
      </c>
      <c r="F238" t="s">
        <v>18</v>
      </c>
      <c r="G238">
        <v>1</v>
      </c>
      <c r="H238" s="2">
        <v>25</v>
      </c>
      <c r="I238" s="2">
        <v>25</v>
      </c>
      <c r="J238" s="1" t="str">
        <f>IF(
   Sales_Performance[[#This Row],[Date]] = _xlfn.MINIFS(Sales_Performance[Date],Sales_Performance[Customer ID],Sales_Performance[[#This Row],[Customer ID]]),
   "New Customer",
   "Returning Customer"
)</f>
        <v>Returning Customer</v>
      </c>
    </row>
    <row r="239" spans="1:10" x14ac:dyDescent="0.35">
      <c r="A239" t="s">
        <v>826</v>
      </c>
      <c r="B239" s="1">
        <v>45265</v>
      </c>
      <c r="C239" t="s">
        <v>1305</v>
      </c>
      <c r="D239" t="s">
        <v>15</v>
      </c>
      <c r="E239">
        <v>32</v>
      </c>
      <c r="F239" t="s">
        <v>18</v>
      </c>
      <c r="G239">
        <v>4</v>
      </c>
      <c r="H239" s="2">
        <v>25</v>
      </c>
      <c r="I239" s="2">
        <v>100</v>
      </c>
      <c r="J239" s="1" t="str">
        <f>IF(
   Sales_Performance[[#This Row],[Date]] = _xlfn.MINIFS(Sales_Performance[Date],Sales_Performance[Customer ID],Sales_Performance[[#This Row],[Customer ID]]),
   "New Customer",
   "Returning Customer"
)</f>
        <v>Returning Customer</v>
      </c>
    </row>
    <row r="240" spans="1:10" x14ac:dyDescent="0.35">
      <c r="A240" t="s">
        <v>1058</v>
      </c>
      <c r="B240" s="1">
        <v>45176</v>
      </c>
      <c r="C240" t="s">
        <v>290</v>
      </c>
      <c r="D240" t="s">
        <v>10</v>
      </c>
      <c r="E240">
        <v>41</v>
      </c>
      <c r="F240" t="s">
        <v>16</v>
      </c>
      <c r="G240">
        <v>4</v>
      </c>
      <c r="H240" s="2">
        <v>30</v>
      </c>
      <c r="I240" s="2">
        <v>120</v>
      </c>
      <c r="J240" s="1" t="str">
        <f>IF(
   Sales_Performance[[#This Row],[Date]] = _xlfn.MINIFS(Sales_Performance[Date],Sales_Performance[Customer ID],Sales_Performance[[#This Row],[Customer ID]]),
   "New Customer",
   "Returning Customer"
)</f>
        <v>Returning Customer</v>
      </c>
    </row>
    <row r="241" spans="1:10" x14ac:dyDescent="0.35">
      <c r="A241" t="s">
        <v>1442</v>
      </c>
      <c r="B241" s="1">
        <v>45006</v>
      </c>
      <c r="C241" t="s">
        <v>926</v>
      </c>
      <c r="D241" t="s">
        <v>15</v>
      </c>
      <c r="E241">
        <v>55</v>
      </c>
      <c r="F241" t="s">
        <v>18</v>
      </c>
      <c r="G241">
        <v>3</v>
      </c>
      <c r="H241" s="2">
        <v>500</v>
      </c>
      <c r="I241" s="2">
        <v>1500</v>
      </c>
      <c r="J241" s="1" t="str">
        <f>IF(
   Sales_Performance[[#This Row],[Date]] = _xlfn.MINIFS(Sales_Performance[Date],Sales_Performance[Customer ID],Sales_Performance[[#This Row],[Customer ID]]),
   "New Customer",
   "Returning Customer"
)</f>
        <v>Returning Customer</v>
      </c>
    </row>
    <row r="242" spans="1:10" x14ac:dyDescent="0.35">
      <c r="A242" t="s">
        <v>940</v>
      </c>
      <c r="B242" s="1">
        <v>45024</v>
      </c>
      <c r="C242" t="s">
        <v>909</v>
      </c>
      <c r="D242" t="s">
        <v>10</v>
      </c>
      <c r="E242">
        <v>52</v>
      </c>
      <c r="F242" t="s">
        <v>16</v>
      </c>
      <c r="G242">
        <v>4</v>
      </c>
      <c r="H242" s="2">
        <v>30</v>
      </c>
      <c r="I242" s="2">
        <v>120</v>
      </c>
      <c r="J242" s="1" t="str">
        <f>IF(
   Sales_Performance[[#This Row],[Date]] = _xlfn.MINIFS(Sales_Performance[Date],Sales_Performance[Customer ID],Sales_Performance[[#This Row],[Customer ID]]),
   "New Customer",
   "Returning Customer"
)</f>
        <v>New Customer</v>
      </c>
    </row>
    <row r="243" spans="1:10" x14ac:dyDescent="0.35">
      <c r="A243" t="s">
        <v>731</v>
      </c>
      <c r="B243" s="1">
        <v>45078</v>
      </c>
      <c r="C243" t="s">
        <v>1472</v>
      </c>
      <c r="D243" t="s">
        <v>10</v>
      </c>
      <c r="E243">
        <v>47</v>
      </c>
      <c r="F243" t="s">
        <v>16</v>
      </c>
      <c r="G243">
        <v>2</v>
      </c>
      <c r="H243" s="2">
        <v>30</v>
      </c>
      <c r="I243" s="2">
        <v>60</v>
      </c>
      <c r="J243" s="1" t="str">
        <f>IF(
   Sales_Performance[[#This Row],[Date]] = _xlfn.MINIFS(Sales_Performance[Date],Sales_Performance[Customer ID],Sales_Performance[[#This Row],[Customer ID]]),
   "New Customer",
   "Returning Customer"
)</f>
        <v>Returning Customer</v>
      </c>
    </row>
    <row r="244" spans="1:10" x14ac:dyDescent="0.35">
      <c r="A244" t="s">
        <v>1210</v>
      </c>
      <c r="B244" s="1">
        <v>45038</v>
      </c>
      <c r="C244" t="s">
        <v>886</v>
      </c>
      <c r="D244" t="s">
        <v>15</v>
      </c>
      <c r="E244">
        <v>48</v>
      </c>
      <c r="F244" t="s">
        <v>16</v>
      </c>
      <c r="G244">
        <v>2</v>
      </c>
      <c r="H244" s="2">
        <v>25</v>
      </c>
      <c r="I244" s="2">
        <v>50</v>
      </c>
      <c r="J244" s="1" t="str">
        <f>IF(
   Sales_Performance[[#This Row],[Date]] = _xlfn.MINIFS(Sales_Performance[Date],Sales_Performance[Customer ID],Sales_Performance[[#This Row],[Customer ID]]),
   "New Customer",
   "Returning Customer"
)</f>
        <v>Returning Customer</v>
      </c>
    </row>
    <row r="245" spans="1:10" x14ac:dyDescent="0.35">
      <c r="A245" t="s">
        <v>225</v>
      </c>
      <c r="B245" s="1">
        <v>44956</v>
      </c>
      <c r="C245" t="s">
        <v>275</v>
      </c>
      <c r="D245" t="s">
        <v>10</v>
      </c>
      <c r="E245">
        <v>22</v>
      </c>
      <c r="F245" t="s">
        <v>11</v>
      </c>
      <c r="G245">
        <v>3</v>
      </c>
      <c r="H245" s="2">
        <v>30</v>
      </c>
      <c r="I245" s="2">
        <v>90</v>
      </c>
      <c r="J245" s="1" t="str">
        <f>IF(
   Sales_Performance[[#This Row],[Date]] = _xlfn.MINIFS(Sales_Performance[Date],Sales_Performance[Customer ID],Sales_Performance[[#This Row],[Customer ID]]),
   "New Customer",
   "Returning Customer"
)</f>
        <v>New Customer</v>
      </c>
    </row>
    <row r="246" spans="1:10" x14ac:dyDescent="0.35">
      <c r="A246" t="s">
        <v>1401</v>
      </c>
      <c r="B246" s="1">
        <v>45223</v>
      </c>
      <c r="C246" t="s">
        <v>13</v>
      </c>
      <c r="D246" t="s">
        <v>10</v>
      </c>
      <c r="E246">
        <v>61</v>
      </c>
      <c r="F246" t="s">
        <v>16</v>
      </c>
      <c r="G246">
        <v>1</v>
      </c>
      <c r="H246" s="2">
        <v>25</v>
      </c>
      <c r="I246" s="2">
        <v>25</v>
      </c>
      <c r="J246" s="1" t="str">
        <f>IF(
   Sales_Performance[[#This Row],[Date]] = _xlfn.MINIFS(Sales_Performance[Date],Sales_Performance[Customer ID],Sales_Performance[[#This Row],[Customer ID]]),
   "New Customer",
   "Returning Customer"
)</f>
        <v>Returning Customer</v>
      </c>
    </row>
    <row r="247" spans="1:10" x14ac:dyDescent="0.35">
      <c r="A247" t="s">
        <v>210</v>
      </c>
      <c r="B247" s="1">
        <v>45204</v>
      </c>
      <c r="C247" t="s">
        <v>1426</v>
      </c>
      <c r="D247" t="s">
        <v>10</v>
      </c>
      <c r="E247">
        <v>31</v>
      </c>
      <c r="F247" t="s">
        <v>16</v>
      </c>
      <c r="G247">
        <v>1</v>
      </c>
      <c r="H247" s="2">
        <v>500</v>
      </c>
      <c r="I247" s="2">
        <v>500</v>
      </c>
      <c r="J247" s="1" t="str">
        <f>IF(
   Sales_Performance[[#This Row],[Date]] = _xlfn.MINIFS(Sales_Performance[Date],Sales_Performance[Customer ID],Sales_Performance[[#This Row],[Customer ID]]),
   "New Customer",
   "Returning Customer"
)</f>
        <v>Returning Customer</v>
      </c>
    </row>
    <row r="248" spans="1:10" x14ac:dyDescent="0.35">
      <c r="A248" t="s">
        <v>807</v>
      </c>
      <c r="B248" s="1">
        <v>44930</v>
      </c>
      <c r="C248" t="s">
        <v>874</v>
      </c>
      <c r="D248" t="s">
        <v>10</v>
      </c>
      <c r="E248">
        <v>30</v>
      </c>
      <c r="F248" t="s">
        <v>18</v>
      </c>
      <c r="G248">
        <v>3</v>
      </c>
      <c r="H248" s="2">
        <v>30</v>
      </c>
      <c r="I248" s="2">
        <v>90</v>
      </c>
      <c r="J248" s="1" t="str">
        <f>IF(
   Sales_Performance[[#This Row],[Date]] = _xlfn.MINIFS(Sales_Performance[Date],Sales_Performance[Customer ID],Sales_Performance[[#This Row],[Customer ID]]),
   "New Customer",
   "Returning Customer"
)</f>
        <v>New Customer</v>
      </c>
    </row>
    <row r="249" spans="1:10" x14ac:dyDescent="0.35">
      <c r="A249" t="s">
        <v>231</v>
      </c>
      <c r="B249" s="1">
        <v>44958</v>
      </c>
      <c r="C249" t="s">
        <v>1316</v>
      </c>
      <c r="D249" t="s">
        <v>15</v>
      </c>
      <c r="E249">
        <v>28</v>
      </c>
      <c r="F249" t="s">
        <v>11</v>
      </c>
      <c r="G249">
        <v>4</v>
      </c>
      <c r="H249" s="2">
        <v>300</v>
      </c>
      <c r="I249" s="2">
        <v>1200</v>
      </c>
      <c r="J249" s="1" t="str">
        <f>IF(
   Sales_Performance[[#This Row],[Date]] = _xlfn.MINIFS(Sales_Performance[Date],Sales_Performance[Customer ID],Sales_Performance[[#This Row],[Customer ID]]),
   "New Customer",
   "Returning Customer"
)</f>
        <v>New Customer</v>
      </c>
    </row>
    <row r="250" spans="1:10" x14ac:dyDescent="0.35">
      <c r="A250" t="s">
        <v>800</v>
      </c>
      <c r="B250" s="1">
        <v>45087</v>
      </c>
      <c r="C250" t="s">
        <v>1462</v>
      </c>
      <c r="D250" t="s">
        <v>15</v>
      </c>
      <c r="E250">
        <v>26</v>
      </c>
      <c r="F250" t="s">
        <v>11</v>
      </c>
      <c r="G250">
        <v>2</v>
      </c>
      <c r="H250" s="2">
        <v>25</v>
      </c>
      <c r="I250" s="2">
        <v>50</v>
      </c>
      <c r="J250" s="1" t="str">
        <f>IF(
   Sales_Performance[[#This Row],[Date]] = _xlfn.MINIFS(Sales_Performance[Date],Sales_Performance[Customer ID],Sales_Performance[[#This Row],[Customer ID]]),
   "New Customer",
   "Returning Customer"
)</f>
        <v>Returning Customer</v>
      </c>
    </row>
    <row r="251" spans="1:10" x14ac:dyDescent="0.35">
      <c r="A251" t="s">
        <v>259</v>
      </c>
      <c r="B251" s="1">
        <v>44956</v>
      </c>
      <c r="C251" t="s">
        <v>1143</v>
      </c>
      <c r="D251" t="s">
        <v>10</v>
      </c>
      <c r="E251">
        <v>51</v>
      </c>
      <c r="F251" t="s">
        <v>11</v>
      </c>
      <c r="G251">
        <v>1</v>
      </c>
      <c r="H251" s="2">
        <v>500</v>
      </c>
      <c r="I251" s="2">
        <v>500</v>
      </c>
      <c r="J251" s="1" t="str">
        <f>IF(
   Sales_Performance[[#This Row],[Date]] = _xlfn.MINIFS(Sales_Performance[Date],Sales_Performance[Customer ID],Sales_Performance[[#This Row],[Customer ID]]),
   "New Customer",
   "Returning Customer"
)</f>
        <v>New Customer</v>
      </c>
    </row>
    <row r="252" spans="1:10" x14ac:dyDescent="0.35">
      <c r="A252" t="s">
        <v>760</v>
      </c>
      <c r="B252" s="1">
        <v>44952</v>
      </c>
      <c r="C252" t="s">
        <v>35</v>
      </c>
      <c r="D252" t="s">
        <v>15</v>
      </c>
      <c r="E252">
        <v>29</v>
      </c>
      <c r="F252" t="s">
        <v>18</v>
      </c>
      <c r="G252">
        <v>3</v>
      </c>
      <c r="H252" s="2">
        <v>300</v>
      </c>
      <c r="I252" s="2">
        <v>900</v>
      </c>
      <c r="J252" s="1" t="str">
        <f>IF(
   Sales_Performance[[#This Row],[Date]] = _xlfn.MINIFS(Sales_Performance[Date],Sales_Performance[Customer ID],Sales_Performance[[#This Row],[Customer ID]]),
   "New Customer",
   "Returning Customer"
)</f>
        <v>New Customer</v>
      </c>
    </row>
    <row r="253" spans="1:10" x14ac:dyDescent="0.35">
      <c r="A253" t="s">
        <v>539</v>
      </c>
      <c r="B253" s="1">
        <v>45226</v>
      </c>
      <c r="C253" t="s">
        <v>981</v>
      </c>
      <c r="D253" t="s">
        <v>15</v>
      </c>
      <c r="E253">
        <v>52</v>
      </c>
      <c r="F253" t="s">
        <v>11</v>
      </c>
      <c r="G253">
        <v>3</v>
      </c>
      <c r="H253" s="2">
        <v>50</v>
      </c>
      <c r="I253" s="2">
        <v>150</v>
      </c>
      <c r="J253" s="1" t="str">
        <f>IF(
   Sales_Performance[[#This Row],[Date]] = _xlfn.MINIFS(Sales_Performance[Date],Sales_Performance[Customer ID],Sales_Performance[[#This Row],[Customer ID]]),
   "New Customer",
   "Returning Customer"
)</f>
        <v>New Customer</v>
      </c>
    </row>
    <row r="254" spans="1:10" x14ac:dyDescent="0.35">
      <c r="A254" t="s">
        <v>136</v>
      </c>
      <c r="B254" s="1">
        <v>45171</v>
      </c>
      <c r="C254" t="s">
        <v>1097</v>
      </c>
      <c r="D254" t="s">
        <v>15</v>
      </c>
      <c r="E254">
        <v>52</v>
      </c>
      <c r="F254" t="s">
        <v>11</v>
      </c>
      <c r="G254">
        <v>2</v>
      </c>
      <c r="H254" s="2">
        <v>25</v>
      </c>
      <c r="I254" s="2">
        <v>50</v>
      </c>
      <c r="J254" s="1" t="str">
        <f>IF(
   Sales_Performance[[#This Row],[Date]] = _xlfn.MINIFS(Sales_Performance[Date],Sales_Performance[Customer ID],Sales_Performance[[#This Row],[Customer ID]]),
   "New Customer",
   "Returning Customer"
)</f>
        <v>Returning Customer</v>
      </c>
    </row>
    <row r="255" spans="1:10" x14ac:dyDescent="0.35">
      <c r="A255" t="s">
        <v>1458</v>
      </c>
      <c r="B255" s="1">
        <v>45184</v>
      </c>
      <c r="C255" t="s">
        <v>1288</v>
      </c>
      <c r="D255" t="s">
        <v>15</v>
      </c>
      <c r="E255">
        <v>18</v>
      </c>
      <c r="F255" t="s">
        <v>16</v>
      </c>
      <c r="G255">
        <v>3</v>
      </c>
      <c r="H255" s="2">
        <v>25</v>
      </c>
      <c r="I255" s="2">
        <v>75</v>
      </c>
      <c r="J255" s="1" t="str">
        <f>IF(
   Sales_Performance[[#This Row],[Date]] = _xlfn.MINIFS(Sales_Performance[Date],Sales_Performance[Customer ID],Sales_Performance[[#This Row],[Customer ID]]),
   "New Customer",
   "Returning Customer"
)</f>
        <v>Returning Customer</v>
      </c>
    </row>
    <row r="256" spans="1:10" x14ac:dyDescent="0.35">
      <c r="A256" t="s">
        <v>124</v>
      </c>
      <c r="B256" s="1">
        <v>45198</v>
      </c>
      <c r="C256" t="s">
        <v>652</v>
      </c>
      <c r="D256" t="s">
        <v>10</v>
      </c>
      <c r="E256">
        <v>57</v>
      </c>
      <c r="F256" t="s">
        <v>11</v>
      </c>
      <c r="G256">
        <v>3</v>
      </c>
      <c r="H256" s="2">
        <v>50</v>
      </c>
      <c r="I256" s="2">
        <v>150</v>
      </c>
      <c r="J256" s="1" t="str">
        <f>IF(
   Sales_Performance[[#This Row],[Date]] = _xlfn.MINIFS(Sales_Performance[Date],Sales_Performance[Customer ID],Sales_Performance[[#This Row],[Customer ID]]),
   "New Customer",
   "Returning Customer"
)</f>
        <v>Returning Customer</v>
      </c>
    </row>
    <row r="257" spans="1:10" x14ac:dyDescent="0.35">
      <c r="A257" t="s">
        <v>535</v>
      </c>
      <c r="B257" s="1">
        <v>45007</v>
      </c>
      <c r="C257" t="s">
        <v>586</v>
      </c>
      <c r="D257" t="s">
        <v>10</v>
      </c>
      <c r="E257">
        <v>39</v>
      </c>
      <c r="F257" t="s">
        <v>18</v>
      </c>
      <c r="G257">
        <v>2</v>
      </c>
      <c r="H257" s="2">
        <v>50</v>
      </c>
      <c r="I257" s="2">
        <v>100</v>
      </c>
      <c r="J257" s="1" t="str">
        <f>IF(
   Sales_Performance[[#This Row],[Date]] = _xlfn.MINIFS(Sales_Performance[Date],Sales_Performance[Customer ID],Sales_Performance[[#This Row],[Customer ID]]),
   "New Customer",
   "Returning Customer"
)</f>
        <v>New Customer</v>
      </c>
    </row>
    <row r="258" spans="1:10" x14ac:dyDescent="0.35">
      <c r="A258" t="s">
        <v>21</v>
      </c>
      <c r="B258" s="1">
        <v>44956</v>
      </c>
      <c r="C258" t="s">
        <v>658</v>
      </c>
      <c r="D258" t="s">
        <v>15</v>
      </c>
      <c r="E258">
        <v>46</v>
      </c>
      <c r="F258" t="s">
        <v>11</v>
      </c>
      <c r="G258">
        <v>4</v>
      </c>
      <c r="H258" s="2">
        <v>25</v>
      </c>
      <c r="I258" s="2">
        <v>100</v>
      </c>
      <c r="J258" s="1" t="str">
        <f>IF(
   Sales_Performance[[#This Row],[Date]] = _xlfn.MINIFS(Sales_Performance[Date],Sales_Performance[Customer ID],Sales_Performance[[#This Row],[Customer ID]]),
   "New Customer",
   "Returning Customer"
)</f>
        <v>New Customer</v>
      </c>
    </row>
    <row r="259" spans="1:10" x14ac:dyDescent="0.35">
      <c r="A259" t="s">
        <v>776</v>
      </c>
      <c r="B259" s="1">
        <v>45008</v>
      </c>
      <c r="C259" t="s">
        <v>99</v>
      </c>
      <c r="D259" t="s">
        <v>15</v>
      </c>
      <c r="E259">
        <v>50</v>
      </c>
      <c r="F259" t="s">
        <v>11</v>
      </c>
      <c r="G259">
        <v>2</v>
      </c>
      <c r="H259" s="2">
        <v>50</v>
      </c>
      <c r="I259" s="2">
        <v>100</v>
      </c>
      <c r="J259" s="1" t="str">
        <f>IF(
   Sales_Performance[[#This Row],[Date]] = _xlfn.MINIFS(Sales_Performance[Date],Sales_Performance[Customer ID],Sales_Performance[[#This Row],[Customer ID]]),
   "New Customer",
   "Returning Customer"
)</f>
        <v>New Customer</v>
      </c>
    </row>
    <row r="260" spans="1:10" x14ac:dyDescent="0.35">
      <c r="A260" t="s">
        <v>925</v>
      </c>
      <c r="B260" s="1">
        <v>45187</v>
      </c>
      <c r="C260" t="s">
        <v>420</v>
      </c>
      <c r="D260" t="s">
        <v>15</v>
      </c>
      <c r="E260">
        <v>25</v>
      </c>
      <c r="F260" t="s">
        <v>18</v>
      </c>
      <c r="G260">
        <v>4</v>
      </c>
      <c r="H260" s="2">
        <v>50</v>
      </c>
      <c r="I260" s="2">
        <v>200</v>
      </c>
      <c r="J260" s="1" t="str">
        <f>IF(
   Sales_Performance[[#This Row],[Date]] = _xlfn.MINIFS(Sales_Performance[Date],Sales_Performance[Customer ID],Sales_Performance[[#This Row],[Customer ID]]),
   "New Customer",
   "Returning Customer"
)</f>
        <v>Returning Customer</v>
      </c>
    </row>
    <row r="261" spans="1:10" x14ac:dyDescent="0.35">
      <c r="A261" t="s">
        <v>131</v>
      </c>
      <c r="B261" s="1">
        <v>44968</v>
      </c>
      <c r="C261" t="s">
        <v>309</v>
      </c>
      <c r="D261" t="s">
        <v>10</v>
      </c>
      <c r="E261">
        <v>28</v>
      </c>
      <c r="F261" t="s">
        <v>11</v>
      </c>
      <c r="G261">
        <v>3</v>
      </c>
      <c r="H261" s="2">
        <v>30</v>
      </c>
      <c r="I261" s="2">
        <v>90</v>
      </c>
      <c r="J261" s="1" t="str">
        <f>IF(
   Sales_Performance[[#This Row],[Date]] = _xlfn.MINIFS(Sales_Performance[Date],Sales_Performance[Customer ID],Sales_Performance[[#This Row],[Customer ID]]),
   "New Customer",
   "Returning Customer"
)</f>
        <v>New Customer</v>
      </c>
    </row>
    <row r="262" spans="1:10" x14ac:dyDescent="0.35">
      <c r="A262" t="s">
        <v>1237</v>
      </c>
      <c r="B262" s="1">
        <v>45022</v>
      </c>
      <c r="C262" t="s">
        <v>158</v>
      </c>
      <c r="D262" t="s">
        <v>10</v>
      </c>
      <c r="E262">
        <v>58</v>
      </c>
      <c r="F262" t="s">
        <v>11</v>
      </c>
      <c r="G262">
        <v>4</v>
      </c>
      <c r="H262" s="2">
        <v>300</v>
      </c>
      <c r="I262" s="2">
        <v>1200</v>
      </c>
      <c r="J262" s="1" t="str">
        <f>IF(
   Sales_Performance[[#This Row],[Date]] = _xlfn.MINIFS(Sales_Performance[Date],Sales_Performance[Customer ID],Sales_Performance[[#This Row],[Customer ID]]),
   "New Customer",
   "Returning Customer"
)</f>
        <v>Returning Customer</v>
      </c>
    </row>
    <row r="263" spans="1:10" x14ac:dyDescent="0.35">
      <c r="A263" t="s">
        <v>1253</v>
      </c>
      <c r="B263" s="1">
        <v>44962</v>
      </c>
      <c r="C263" t="s">
        <v>1233</v>
      </c>
      <c r="D263" t="s">
        <v>15</v>
      </c>
      <c r="E263">
        <v>54</v>
      </c>
      <c r="F263" t="s">
        <v>11</v>
      </c>
      <c r="G263">
        <v>4</v>
      </c>
      <c r="H263" s="2">
        <v>300</v>
      </c>
      <c r="I263" s="2">
        <v>1200</v>
      </c>
      <c r="J263" s="1" t="str">
        <f>IF(
   Sales_Performance[[#This Row],[Date]] = _xlfn.MINIFS(Sales_Performance[Date],Sales_Performance[Customer ID],Sales_Performance[[#This Row],[Customer ID]]),
   "New Customer",
   "Returning Customer"
)</f>
        <v>New Customer</v>
      </c>
    </row>
    <row r="264" spans="1:10" x14ac:dyDescent="0.35">
      <c r="A264" t="s">
        <v>770</v>
      </c>
      <c r="B264" s="1">
        <v>45231</v>
      </c>
      <c r="C264" t="s">
        <v>829</v>
      </c>
      <c r="D264" t="s">
        <v>10</v>
      </c>
      <c r="E264">
        <v>31</v>
      </c>
      <c r="F264" t="s">
        <v>11</v>
      </c>
      <c r="G264">
        <v>3</v>
      </c>
      <c r="H264" s="2">
        <v>300</v>
      </c>
      <c r="I264" s="2">
        <v>900</v>
      </c>
      <c r="J264" s="1" t="str">
        <f>IF(
   Sales_Performance[[#This Row],[Date]] = _xlfn.MINIFS(Sales_Performance[Date],Sales_Performance[Customer ID],Sales_Performance[[#This Row],[Customer ID]]),
   "New Customer",
   "Returning Customer"
)</f>
        <v>New Customer</v>
      </c>
    </row>
    <row r="265" spans="1:10" x14ac:dyDescent="0.35">
      <c r="A265" t="s">
        <v>408</v>
      </c>
      <c r="B265" s="1">
        <v>44961</v>
      </c>
      <c r="C265" t="s">
        <v>158</v>
      </c>
      <c r="D265" t="s">
        <v>15</v>
      </c>
      <c r="E265">
        <v>47</v>
      </c>
      <c r="F265" t="s">
        <v>18</v>
      </c>
      <c r="G265">
        <v>4</v>
      </c>
      <c r="H265" s="2">
        <v>30</v>
      </c>
      <c r="I265" s="2">
        <v>120</v>
      </c>
      <c r="J265" s="1" t="str">
        <f>IF(
   Sales_Performance[[#This Row],[Date]] = _xlfn.MINIFS(Sales_Performance[Date],Sales_Performance[Customer ID],Sales_Performance[[#This Row],[Customer ID]]),
   "New Customer",
   "Returning Customer"
)</f>
        <v>New Customer</v>
      </c>
    </row>
    <row r="266" spans="1:10" x14ac:dyDescent="0.35">
      <c r="A266" t="s">
        <v>913</v>
      </c>
      <c r="B266" s="1">
        <v>45272</v>
      </c>
      <c r="C266" t="s">
        <v>883</v>
      </c>
      <c r="D266" t="s">
        <v>15</v>
      </c>
      <c r="E266">
        <v>52</v>
      </c>
      <c r="F266" t="s">
        <v>18</v>
      </c>
      <c r="G266">
        <v>3</v>
      </c>
      <c r="H266" s="2">
        <v>50</v>
      </c>
      <c r="I266" s="2">
        <v>150</v>
      </c>
      <c r="J266" s="1" t="str">
        <f>IF(
   Sales_Performance[[#This Row],[Date]] = _xlfn.MINIFS(Sales_Performance[Date],Sales_Performance[Customer ID],Sales_Performance[[#This Row],[Customer ID]]),
   "New Customer",
   "Returning Customer"
)</f>
        <v>Returning Customer</v>
      </c>
    </row>
    <row r="267" spans="1:10" x14ac:dyDescent="0.35">
      <c r="A267" t="s">
        <v>249</v>
      </c>
      <c r="B267" s="1">
        <v>45047</v>
      </c>
      <c r="C267" t="s">
        <v>170</v>
      </c>
      <c r="D267" t="s">
        <v>10</v>
      </c>
      <c r="E267">
        <v>38</v>
      </c>
      <c r="F267" t="s">
        <v>16</v>
      </c>
      <c r="G267">
        <v>1</v>
      </c>
      <c r="H267" s="2">
        <v>500</v>
      </c>
      <c r="I267" s="2">
        <v>500</v>
      </c>
      <c r="J267" s="1" t="str">
        <f>IF(
   Sales_Performance[[#This Row],[Date]] = _xlfn.MINIFS(Sales_Performance[Date],Sales_Performance[Customer ID],Sales_Performance[[#This Row],[Customer ID]]),
   "New Customer",
   "Returning Customer"
)</f>
        <v>New Customer</v>
      </c>
    </row>
    <row r="268" spans="1:10" x14ac:dyDescent="0.35">
      <c r="A268" t="s">
        <v>958</v>
      </c>
      <c r="B268" s="1">
        <v>45133</v>
      </c>
      <c r="C268" t="s">
        <v>1469</v>
      </c>
      <c r="D268" t="s">
        <v>10</v>
      </c>
      <c r="E268">
        <v>54</v>
      </c>
      <c r="F268" t="s">
        <v>18</v>
      </c>
      <c r="G268">
        <v>2</v>
      </c>
      <c r="H268" s="2">
        <v>50</v>
      </c>
      <c r="I268" s="2">
        <v>100</v>
      </c>
      <c r="J268" s="1" t="str">
        <f>IF(
   Sales_Performance[[#This Row],[Date]] = _xlfn.MINIFS(Sales_Performance[Date],Sales_Performance[Customer ID],Sales_Performance[[#This Row],[Customer ID]]),
   "New Customer",
   "Returning Customer"
)</f>
        <v>Returning Customer</v>
      </c>
    </row>
    <row r="269" spans="1:10" x14ac:dyDescent="0.35">
      <c r="A269" t="s">
        <v>1167</v>
      </c>
      <c r="B269" s="1">
        <v>44988</v>
      </c>
      <c r="C269" t="s">
        <v>114</v>
      </c>
      <c r="D269" t="s">
        <v>15</v>
      </c>
      <c r="E269">
        <v>22</v>
      </c>
      <c r="F269" t="s">
        <v>11</v>
      </c>
      <c r="G269">
        <v>2</v>
      </c>
      <c r="H269" s="2">
        <v>25</v>
      </c>
      <c r="I269" s="2">
        <v>50</v>
      </c>
      <c r="J269" s="1" t="str">
        <f>IF(
   Sales_Performance[[#This Row],[Date]] = _xlfn.MINIFS(Sales_Performance[Date],Sales_Performance[Customer ID],Sales_Performance[[#This Row],[Customer ID]]),
   "New Customer",
   "Returning Customer"
)</f>
        <v>New Customer</v>
      </c>
    </row>
    <row r="270" spans="1:10" x14ac:dyDescent="0.35">
      <c r="A270" t="s">
        <v>1377</v>
      </c>
      <c r="B270" s="1">
        <v>45284</v>
      </c>
      <c r="C270" t="s">
        <v>168</v>
      </c>
      <c r="D270" t="s">
        <v>15</v>
      </c>
      <c r="E270">
        <v>51</v>
      </c>
      <c r="F270" t="s">
        <v>16</v>
      </c>
      <c r="G270">
        <v>3</v>
      </c>
      <c r="H270" s="2">
        <v>50</v>
      </c>
      <c r="I270" s="2">
        <v>150</v>
      </c>
      <c r="J270" s="1" t="str">
        <f>IF(
   Sales_Performance[[#This Row],[Date]] = _xlfn.MINIFS(Sales_Performance[Date],Sales_Performance[Customer ID],Sales_Performance[[#This Row],[Customer ID]]),
   "New Customer",
   "Returning Customer"
)</f>
        <v>Returning Customer</v>
      </c>
    </row>
    <row r="271" spans="1:10" x14ac:dyDescent="0.35">
      <c r="A271" t="s">
        <v>345</v>
      </c>
      <c r="B271" s="1">
        <v>45218</v>
      </c>
      <c r="C271" t="s">
        <v>1494</v>
      </c>
      <c r="D271" t="s">
        <v>15</v>
      </c>
      <c r="E271">
        <v>36</v>
      </c>
      <c r="F271" t="s">
        <v>16</v>
      </c>
      <c r="G271">
        <v>4</v>
      </c>
      <c r="H271" s="2">
        <v>300</v>
      </c>
      <c r="I271" s="2">
        <v>1200</v>
      </c>
      <c r="J271" s="1" t="str">
        <f>IF(
   Sales_Performance[[#This Row],[Date]] = _xlfn.MINIFS(Sales_Performance[Date],Sales_Performance[Customer ID],Sales_Performance[[#This Row],[Customer ID]]),
   "New Customer",
   "Returning Customer"
)</f>
        <v>Returning Customer</v>
      </c>
    </row>
    <row r="272" spans="1:10" x14ac:dyDescent="0.35">
      <c r="A272" t="s">
        <v>751</v>
      </c>
      <c r="B272" s="1">
        <v>45053</v>
      </c>
      <c r="C272" t="s">
        <v>739</v>
      </c>
      <c r="D272" t="s">
        <v>10</v>
      </c>
      <c r="E272">
        <v>31</v>
      </c>
      <c r="F272" t="s">
        <v>16</v>
      </c>
      <c r="G272">
        <v>4</v>
      </c>
      <c r="H272" s="2">
        <v>50</v>
      </c>
      <c r="I272" s="2">
        <v>200</v>
      </c>
      <c r="J272" s="1" t="str">
        <f>IF(
   Sales_Performance[[#This Row],[Date]] = _xlfn.MINIFS(Sales_Performance[Date],Sales_Performance[Customer ID],Sales_Performance[[#This Row],[Customer ID]]),
   "New Customer",
   "Returning Customer"
)</f>
        <v>New Customer</v>
      </c>
    </row>
    <row r="273" spans="1:10" x14ac:dyDescent="0.35">
      <c r="A273" t="s">
        <v>1181</v>
      </c>
      <c r="B273" s="1">
        <v>45223</v>
      </c>
      <c r="C273" t="s">
        <v>465</v>
      </c>
      <c r="D273" t="s">
        <v>15</v>
      </c>
      <c r="E273">
        <v>43</v>
      </c>
      <c r="F273" t="s">
        <v>16</v>
      </c>
      <c r="G273">
        <v>4</v>
      </c>
      <c r="H273" s="2">
        <v>500</v>
      </c>
      <c r="I273" s="2">
        <v>2000</v>
      </c>
      <c r="J273" s="1" t="str">
        <f>IF(
   Sales_Performance[[#This Row],[Date]] = _xlfn.MINIFS(Sales_Performance[Date],Sales_Performance[Customer ID],Sales_Performance[[#This Row],[Customer ID]]),
   "New Customer",
   "Returning Customer"
)</f>
        <v>New Customer</v>
      </c>
    </row>
    <row r="274" spans="1:10" x14ac:dyDescent="0.35">
      <c r="A274" t="s">
        <v>1005</v>
      </c>
      <c r="B274" s="1">
        <v>45231</v>
      </c>
      <c r="C274" t="s">
        <v>656</v>
      </c>
      <c r="D274" t="s">
        <v>10</v>
      </c>
      <c r="E274">
        <v>21</v>
      </c>
      <c r="F274" t="s">
        <v>11</v>
      </c>
      <c r="G274">
        <v>2</v>
      </c>
      <c r="H274" s="2">
        <v>25</v>
      </c>
      <c r="I274" s="2">
        <v>50</v>
      </c>
      <c r="J274" s="1" t="str">
        <f>IF(
   Sales_Performance[[#This Row],[Date]] = _xlfn.MINIFS(Sales_Performance[Date],Sales_Performance[Customer ID],Sales_Performance[[#This Row],[Customer ID]]),
   "New Customer",
   "Returning Customer"
)</f>
        <v>New Customer</v>
      </c>
    </row>
    <row r="275" spans="1:10" x14ac:dyDescent="0.35">
      <c r="A275" t="s">
        <v>895</v>
      </c>
      <c r="B275" s="1">
        <v>44947</v>
      </c>
      <c r="C275" t="s">
        <v>623</v>
      </c>
      <c r="D275" t="s">
        <v>15</v>
      </c>
      <c r="E275">
        <v>42</v>
      </c>
      <c r="F275" t="s">
        <v>18</v>
      </c>
      <c r="G275">
        <v>1</v>
      </c>
      <c r="H275" s="2">
        <v>30</v>
      </c>
      <c r="I275" s="2">
        <v>30</v>
      </c>
      <c r="J275" s="1" t="str">
        <f>IF(
   Sales_Performance[[#This Row],[Date]] = _xlfn.MINIFS(Sales_Performance[Date],Sales_Performance[Customer ID],Sales_Performance[[#This Row],[Customer ID]]),
   "New Customer",
   "Returning Customer"
)</f>
        <v>New Customer</v>
      </c>
    </row>
    <row r="276" spans="1:10" x14ac:dyDescent="0.35">
      <c r="A276" t="s">
        <v>484</v>
      </c>
      <c r="B276" s="1">
        <v>45244</v>
      </c>
      <c r="C276" t="s">
        <v>1469</v>
      </c>
      <c r="D276" t="s">
        <v>10</v>
      </c>
      <c r="E276">
        <v>62</v>
      </c>
      <c r="F276" t="s">
        <v>11</v>
      </c>
      <c r="G276">
        <v>1</v>
      </c>
      <c r="H276" s="2">
        <v>30</v>
      </c>
      <c r="I276" s="2">
        <v>30</v>
      </c>
      <c r="J276" s="1" t="str">
        <f>IF(
   Sales_Performance[[#This Row],[Date]] = _xlfn.MINIFS(Sales_Performance[Date],Sales_Performance[Customer ID],Sales_Performance[[#This Row],[Customer ID]]),
   "New Customer",
   "Returning Customer"
)</f>
        <v>Returning Customer</v>
      </c>
    </row>
    <row r="277" spans="1:10" x14ac:dyDescent="0.35">
      <c r="A277" t="s">
        <v>1487</v>
      </c>
      <c r="B277" s="1">
        <v>44968</v>
      </c>
      <c r="C277" t="s">
        <v>1269</v>
      </c>
      <c r="D277" t="s">
        <v>10</v>
      </c>
      <c r="E277">
        <v>59</v>
      </c>
      <c r="F277" t="s">
        <v>16</v>
      </c>
      <c r="G277">
        <v>2</v>
      </c>
      <c r="H277" s="2">
        <v>500</v>
      </c>
      <c r="I277" s="2">
        <v>1000</v>
      </c>
      <c r="J277" s="1" t="str">
        <f>IF(
   Sales_Performance[[#This Row],[Date]] = _xlfn.MINIFS(Sales_Performance[Date],Sales_Performance[Customer ID],Sales_Performance[[#This Row],[Customer ID]]),
   "New Customer",
   "Returning Customer"
)</f>
        <v>New Customer</v>
      </c>
    </row>
    <row r="278" spans="1:10" x14ac:dyDescent="0.35">
      <c r="A278" t="s">
        <v>795</v>
      </c>
      <c r="B278" s="1">
        <v>45141</v>
      </c>
      <c r="C278" t="s">
        <v>232</v>
      </c>
      <c r="D278" t="s">
        <v>10</v>
      </c>
      <c r="E278">
        <v>42</v>
      </c>
      <c r="F278" t="s">
        <v>11</v>
      </c>
      <c r="G278">
        <v>1</v>
      </c>
      <c r="H278" s="2">
        <v>25</v>
      </c>
      <c r="I278" s="2">
        <v>25</v>
      </c>
      <c r="J278" s="1" t="str">
        <f>IF(
   Sales_Performance[[#This Row],[Date]] = _xlfn.MINIFS(Sales_Performance[Date],Sales_Performance[Customer ID],Sales_Performance[[#This Row],[Customer ID]]),
   "New Customer",
   "Returning Customer"
)</f>
        <v>Returning Customer</v>
      </c>
    </row>
    <row r="279" spans="1:10" x14ac:dyDescent="0.35">
      <c r="A279" t="s">
        <v>42</v>
      </c>
      <c r="B279" s="1">
        <v>45263</v>
      </c>
      <c r="C279" t="s">
        <v>1048</v>
      </c>
      <c r="D279" t="s">
        <v>15</v>
      </c>
      <c r="E279">
        <v>35</v>
      </c>
      <c r="F279" t="s">
        <v>11</v>
      </c>
      <c r="G279">
        <v>2</v>
      </c>
      <c r="H279" s="2">
        <v>300</v>
      </c>
      <c r="I279" s="2">
        <v>600</v>
      </c>
      <c r="J279" s="1" t="str">
        <f>IF(
   Sales_Performance[[#This Row],[Date]] = _xlfn.MINIFS(Sales_Performance[Date],Sales_Performance[Customer ID],Sales_Performance[[#This Row],[Customer ID]]),
   "New Customer",
   "Returning Customer"
)</f>
        <v>Returning Customer</v>
      </c>
    </row>
    <row r="280" spans="1:10" x14ac:dyDescent="0.35">
      <c r="A280" t="s">
        <v>1495</v>
      </c>
      <c r="B280" s="1">
        <v>45225</v>
      </c>
      <c r="C280" t="s">
        <v>1360</v>
      </c>
      <c r="D280" t="s">
        <v>15</v>
      </c>
      <c r="E280">
        <v>57</v>
      </c>
      <c r="F280" t="s">
        <v>18</v>
      </c>
      <c r="G280">
        <v>1</v>
      </c>
      <c r="H280" s="2">
        <v>50</v>
      </c>
      <c r="I280" s="2">
        <v>50</v>
      </c>
      <c r="J280" s="1" t="str">
        <f>IF(
   Sales_Performance[[#This Row],[Date]] = _xlfn.MINIFS(Sales_Performance[Date],Sales_Performance[Customer ID],Sales_Performance[[#This Row],[Customer ID]]),
   "New Customer",
   "Returning Customer"
)</f>
        <v>Returning Customer</v>
      </c>
    </row>
    <row r="281" spans="1:10" x14ac:dyDescent="0.35">
      <c r="A281" t="s">
        <v>120</v>
      </c>
      <c r="B281" s="1">
        <v>45143</v>
      </c>
      <c r="C281" t="s">
        <v>70</v>
      </c>
      <c r="D281" t="s">
        <v>15</v>
      </c>
      <c r="E281">
        <v>58</v>
      </c>
      <c r="F281" t="s">
        <v>18</v>
      </c>
      <c r="G281">
        <v>3</v>
      </c>
      <c r="H281" s="2">
        <v>300</v>
      </c>
      <c r="I281" s="2">
        <v>900</v>
      </c>
      <c r="J281" s="1" t="str">
        <f>IF(
   Sales_Performance[[#This Row],[Date]] = _xlfn.MINIFS(Sales_Performance[Date],Sales_Performance[Customer ID],Sales_Performance[[#This Row],[Customer ID]]),
   "New Customer",
   "Returning Customer"
)</f>
        <v>Returning Customer</v>
      </c>
    </row>
    <row r="282" spans="1:10" x14ac:dyDescent="0.35">
      <c r="A282" t="s">
        <v>1413</v>
      </c>
      <c r="B282" s="1">
        <v>45216</v>
      </c>
      <c r="C282" t="s">
        <v>900</v>
      </c>
      <c r="D282" t="s">
        <v>10</v>
      </c>
      <c r="E282">
        <v>25</v>
      </c>
      <c r="F282" t="s">
        <v>18</v>
      </c>
      <c r="G282">
        <v>3</v>
      </c>
      <c r="H282" s="2">
        <v>25</v>
      </c>
      <c r="I282" s="2">
        <v>75</v>
      </c>
      <c r="J282" s="1" t="str">
        <f>IF(
   Sales_Performance[[#This Row],[Date]] = _xlfn.MINIFS(Sales_Performance[Date],Sales_Performance[Customer ID],Sales_Performance[[#This Row],[Customer ID]]),
   "New Customer",
   "Returning Customer"
)</f>
        <v>Returning Customer</v>
      </c>
    </row>
    <row r="283" spans="1:10" x14ac:dyDescent="0.35">
      <c r="A283" t="s">
        <v>482</v>
      </c>
      <c r="B283" s="1">
        <v>45194</v>
      </c>
      <c r="C283" t="s">
        <v>690</v>
      </c>
      <c r="D283" t="s">
        <v>15</v>
      </c>
      <c r="E283">
        <v>56</v>
      </c>
      <c r="F283" t="s">
        <v>16</v>
      </c>
      <c r="G283">
        <v>3</v>
      </c>
      <c r="H283" s="2">
        <v>30</v>
      </c>
      <c r="I283" s="2">
        <v>90</v>
      </c>
      <c r="J283" s="1" t="str">
        <f>IF(
   Sales_Performance[[#This Row],[Date]] = _xlfn.MINIFS(Sales_Performance[Date],Sales_Performance[Customer ID],Sales_Performance[[#This Row],[Customer ID]]),
   "New Customer",
   "Returning Customer"
)</f>
        <v>Returning Customer</v>
      </c>
    </row>
    <row r="284" spans="1:10" x14ac:dyDescent="0.35">
      <c r="A284" t="s">
        <v>256</v>
      </c>
      <c r="B284" s="1">
        <v>45088</v>
      </c>
      <c r="C284" t="s">
        <v>204</v>
      </c>
      <c r="D284" t="s">
        <v>10</v>
      </c>
      <c r="E284">
        <v>57</v>
      </c>
      <c r="F284" t="s">
        <v>11</v>
      </c>
      <c r="G284">
        <v>2</v>
      </c>
      <c r="H284" s="2">
        <v>500</v>
      </c>
      <c r="I284" s="2">
        <v>1000</v>
      </c>
      <c r="J284" s="1" t="str">
        <f>IF(
   Sales_Performance[[#This Row],[Date]] = _xlfn.MINIFS(Sales_Performance[Date],Sales_Performance[Customer ID],Sales_Performance[[#This Row],[Customer ID]]),
   "New Customer",
   "Returning Customer"
)</f>
        <v>Returning Customer</v>
      </c>
    </row>
    <row r="285" spans="1:10" x14ac:dyDescent="0.35">
      <c r="A285" t="s">
        <v>628</v>
      </c>
      <c r="B285" s="1">
        <v>45060</v>
      </c>
      <c r="C285" t="s">
        <v>363</v>
      </c>
      <c r="D285" t="s">
        <v>10</v>
      </c>
      <c r="E285">
        <v>31</v>
      </c>
      <c r="F285" t="s">
        <v>11</v>
      </c>
      <c r="G285">
        <v>1</v>
      </c>
      <c r="H285" s="2">
        <v>500</v>
      </c>
      <c r="I285" s="2">
        <v>500</v>
      </c>
      <c r="J285" s="1" t="str">
        <f>IF(
   Sales_Performance[[#This Row],[Date]] = _xlfn.MINIFS(Sales_Performance[Date],Sales_Performance[Customer ID],Sales_Performance[[#This Row],[Customer ID]]),
   "New Customer",
   "Returning Customer"
)</f>
        <v>Returning Customer</v>
      </c>
    </row>
    <row r="286" spans="1:10" x14ac:dyDescent="0.35">
      <c r="A286" t="s">
        <v>738</v>
      </c>
      <c r="B286" s="1">
        <v>45031</v>
      </c>
      <c r="C286" t="s">
        <v>43</v>
      </c>
      <c r="D286" t="s">
        <v>15</v>
      </c>
      <c r="E286">
        <v>49</v>
      </c>
      <c r="F286" t="s">
        <v>18</v>
      </c>
      <c r="G286">
        <v>4</v>
      </c>
      <c r="H286" s="2">
        <v>50</v>
      </c>
      <c r="I286" s="2">
        <v>200</v>
      </c>
      <c r="J286" s="1" t="str">
        <f>IF(
   Sales_Performance[[#This Row],[Date]] = _xlfn.MINIFS(Sales_Performance[Date],Sales_Performance[Customer ID],Sales_Performance[[#This Row],[Customer ID]]),
   "New Customer",
   "Returning Customer"
)</f>
        <v>New Customer</v>
      </c>
    </row>
    <row r="287" spans="1:10" x14ac:dyDescent="0.35">
      <c r="A287" t="s">
        <v>917</v>
      </c>
      <c r="B287" s="1">
        <v>45269</v>
      </c>
      <c r="C287" t="s">
        <v>1099</v>
      </c>
      <c r="D287" t="s">
        <v>15</v>
      </c>
      <c r="E287">
        <v>55</v>
      </c>
      <c r="F287" t="s">
        <v>11</v>
      </c>
      <c r="G287">
        <v>1</v>
      </c>
      <c r="H287" s="2">
        <v>500</v>
      </c>
      <c r="I287" s="2">
        <v>500</v>
      </c>
      <c r="J287" s="1" t="str">
        <f>IF(
   Sales_Performance[[#This Row],[Date]] = _xlfn.MINIFS(Sales_Performance[Date],Sales_Performance[Customer ID],Sales_Performance[[#This Row],[Customer ID]]),
   "New Customer",
   "Returning Customer"
)</f>
        <v>Returning Customer</v>
      </c>
    </row>
    <row r="288" spans="1:10" x14ac:dyDescent="0.35">
      <c r="A288" t="s">
        <v>34</v>
      </c>
      <c r="B288" s="1">
        <v>45087</v>
      </c>
      <c r="C288" t="s">
        <v>1279</v>
      </c>
      <c r="D288" t="s">
        <v>10</v>
      </c>
      <c r="E288">
        <v>50</v>
      </c>
      <c r="F288" t="s">
        <v>11</v>
      </c>
      <c r="G288">
        <v>3</v>
      </c>
      <c r="H288" s="2">
        <v>500</v>
      </c>
      <c r="I288" s="2">
        <v>1500</v>
      </c>
      <c r="J288" s="1" t="str">
        <f>IF(
   Sales_Performance[[#This Row],[Date]] = _xlfn.MINIFS(Sales_Performance[Date],Sales_Performance[Customer ID],Sales_Performance[[#This Row],[Customer ID]]),
   "New Customer",
   "Returning Customer"
)</f>
        <v>New Customer</v>
      </c>
    </row>
    <row r="289" spans="1:10" x14ac:dyDescent="0.35">
      <c r="A289" t="s">
        <v>1391</v>
      </c>
      <c r="B289" s="1">
        <v>45049</v>
      </c>
      <c r="C289" t="s">
        <v>232</v>
      </c>
      <c r="D289" t="s">
        <v>15</v>
      </c>
      <c r="E289">
        <v>40</v>
      </c>
      <c r="F289" t="s">
        <v>11</v>
      </c>
      <c r="G289">
        <v>3</v>
      </c>
      <c r="H289" s="2">
        <v>25</v>
      </c>
      <c r="I289" s="2">
        <v>75</v>
      </c>
      <c r="J289" s="1" t="str">
        <f>IF(
   Sales_Performance[[#This Row],[Date]] = _xlfn.MINIFS(Sales_Performance[Date],Sales_Performance[Customer ID],Sales_Performance[[#This Row],[Customer ID]]),
   "New Customer",
   "Returning Customer"
)</f>
        <v>New Customer</v>
      </c>
    </row>
    <row r="290" spans="1:10" x14ac:dyDescent="0.35">
      <c r="A290" t="s">
        <v>314</v>
      </c>
      <c r="B290" s="1">
        <v>45062</v>
      </c>
      <c r="C290" t="s">
        <v>26</v>
      </c>
      <c r="D290" t="s">
        <v>15</v>
      </c>
      <c r="E290">
        <v>32</v>
      </c>
      <c r="F290" t="s">
        <v>18</v>
      </c>
      <c r="G290">
        <v>1</v>
      </c>
      <c r="H290" s="2">
        <v>300</v>
      </c>
      <c r="I290" s="2">
        <v>300</v>
      </c>
      <c r="J290" s="1" t="str">
        <f>IF(
   Sales_Performance[[#This Row],[Date]] = _xlfn.MINIFS(Sales_Performance[Date],Sales_Performance[Customer ID],Sales_Performance[[#This Row],[Customer ID]]),
   "New Customer",
   "Returning Customer"
)</f>
        <v>Returning Customer</v>
      </c>
    </row>
    <row r="291" spans="1:10" x14ac:dyDescent="0.35">
      <c r="A291" t="s">
        <v>691</v>
      </c>
      <c r="B291" s="1">
        <v>45129</v>
      </c>
      <c r="C291" t="s">
        <v>771</v>
      </c>
      <c r="D291" t="s">
        <v>10</v>
      </c>
      <c r="E291">
        <v>50</v>
      </c>
      <c r="F291" t="s">
        <v>16</v>
      </c>
      <c r="G291">
        <v>1</v>
      </c>
      <c r="H291" s="2">
        <v>50</v>
      </c>
      <c r="I291" s="2">
        <v>50</v>
      </c>
      <c r="J291" s="1" t="str">
        <f>IF(
   Sales_Performance[[#This Row],[Date]] = _xlfn.MINIFS(Sales_Performance[Date],Sales_Performance[Customer ID],Sales_Performance[[#This Row],[Customer ID]]),
   "New Customer",
   "Returning Customer"
)</f>
        <v>New Customer</v>
      </c>
    </row>
    <row r="292" spans="1:10" x14ac:dyDescent="0.35">
      <c r="A292" t="s">
        <v>1334</v>
      </c>
      <c r="B292" s="1">
        <v>45101</v>
      </c>
      <c r="C292" t="s">
        <v>1332</v>
      </c>
      <c r="D292" t="s">
        <v>10</v>
      </c>
      <c r="E292">
        <v>52</v>
      </c>
      <c r="F292" t="s">
        <v>18</v>
      </c>
      <c r="G292">
        <v>3</v>
      </c>
      <c r="H292" s="2">
        <v>300</v>
      </c>
      <c r="I292" s="2">
        <v>900</v>
      </c>
      <c r="J292" s="1" t="str">
        <f>IF(
   Sales_Performance[[#This Row],[Date]] = _xlfn.MINIFS(Sales_Performance[Date],Sales_Performance[Customer ID],Sales_Performance[[#This Row],[Customer ID]]),
   "New Customer",
   "Returning Customer"
)</f>
        <v>Returning Customer</v>
      </c>
    </row>
    <row r="293" spans="1:10" x14ac:dyDescent="0.35">
      <c r="A293" t="s">
        <v>828</v>
      </c>
      <c r="B293" s="1">
        <v>44994</v>
      </c>
      <c r="C293" t="s">
        <v>1417</v>
      </c>
      <c r="D293" t="s">
        <v>10</v>
      </c>
      <c r="E293">
        <v>42</v>
      </c>
      <c r="F293" t="s">
        <v>16</v>
      </c>
      <c r="G293">
        <v>4</v>
      </c>
      <c r="H293" s="2">
        <v>25</v>
      </c>
      <c r="I293" s="2">
        <v>100</v>
      </c>
      <c r="J293" s="1" t="str">
        <f>IF(
   Sales_Performance[[#This Row],[Date]] = _xlfn.MINIFS(Sales_Performance[Date],Sales_Performance[Customer ID],Sales_Performance[[#This Row],[Customer ID]]),
   "New Customer",
   "Returning Customer"
)</f>
        <v>New Customer</v>
      </c>
    </row>
    <row r="294" spans="1:10" x14ac:dyDescent="0.35">
      <c r="A294" t="s">
        <v>320</v>
      </c>
      <c r="B294" s="1">
        <v>45270</v>
      </c>
      <c r="C294" t="s">
        <v>194</v>
      </c>
      <c r="D294" t="s">
        <v>15</v>
      </c>
      <c r="E294">
        <v>34</v>
      </c>
      <c r="F294" t="s">
        <v>11</v>
      </c>
      <c r="G294">
        <v>4</v>
      </c>
      <c r="H294" s="2">
        <v>300</v>
      </c>
      <c r="I294" s="2">
        <v>1200</v>
      </c>
      <c r="J294" s="1" t="str">
        <f>IF(
   Sales_Performance[[#This Row],[Date]] = _xlfn.MINIFS(Sales_Performance[Date],Sales_Performance[Customer ID],Sales_Performance[[#This Row],[Customer ID]]),
   "New Customer",
   "Returning Customer"
)</f>
        <v>Returning Customer</v>
      </c>
    </row>
    <row r="295" spans="1:10" x14ac:dyDescent="0.35">
      <c r="A295" t="s">
        <v>98</v>
      </c>
      <c r="B295" s="1">
        <v>45257</v>
      </c>
      <c r="C295" t="s">
        <v>637</v>
      </c>
      <c r="D295" t="s">
        <v>10</v>
      </c>
      <c r="E295">
        <v>50</v>
      </c>
      <c r="F295" t="s">
        <v>16</v>
      </c>
      <c r="G295">
        <v>1</v>
      </c>
      <c r="H295" s="2">
        <v>25</v>
      </c>
      <c r="I295" s="2">
        <v>25</v>
      </c>
      <c r="J295" s="1" t="str">
        <f>IF(
   Sales_Performance[[#This Row],[Date]] = _xlfn.MINIFS(Sales_Performance[Date],Sales_Performance[Customer ID],Sales_Performance[[#This Row],[Customer ID]]),
   "New Customer",
   "Returning Customer"
)</f>
        <v>Returning Customer</v>
      </c>
    </row>
    <row r="296" spans="1:10" x14ac:dyDescent="0.35">
      <c r="A296" t="s">
        <v>490</v>
      </c>
      <c r="B296" s="1">
        <v>45080</v>
      </c>
      <c r="C296" t="s">
        <v>934</v>
      </c>
      <c r="D296" t="s">
        <v>10</v>
      </c>
      <c r="E296">
        <v>64</v>
      </c>
      <c r="F296" t="s">
        <v>18</v>
      </c>
      <c r="G296">
        <v>1</v>
      </c>
      <c r="H296" s="2">
        <v>25</v>
      </c>
      <c r="I296" s="2">
        <v>25</v>
      </c>
      <c r="J296" s="1" t="str">
        <f>IF(
   Sales_Performance[[#This Row],[Date]] = _xlfn.MINIFS(Sales_Performance[Date],Sales_Performance[Customer ID],Sales_Performance[[#This Row],[Customer ID]]),
   "New Customer",
   "Returning Customer"
)</f>
        <v>New Customer</v>
      </c>
    </row>
    <row r="297" spans="1:10" x14ac:dyDescent="0.35">
      <c r="A297" t="s">
        <v>1114</v>
      </c>
      <c r="B297" s="1">
        <v>45161</v>
      </c>
      <c r="C297" t="s">
        <v>1097</v>
      </c>
      <c r="D297" t="s">
        <v>15</v>
      </c>
      <c r="E297">
        <v>19</v>
      </c>
      <c r="F297" t="s">
        <v>18</v>
      </c>
      <c r="G297">
        <v>1</v>
      </c>
      <c r="H297" s="2">
        <v>500</v>
      </c>
      <c r="I297" s="2">
        <v>500</v>
      </c>
      <c r="J297" s="1" t="str">
        <f>IF(
   Sales_Performance[[#This Row],[Date]] = _xlfn.MINIFS(Sales_Performance[Date],Sales_Performance[Customer ID],Sales_Performance[[#This Row],[Customer ID]]),
   "New Customer",
   "Returning Customer"
)</f>
        <v>Returning Customer</v>
      </c>
    </row>
    <row r="298" spans="1:10" x14ac:dyDescent="0.35">
      <c r="A298" t="s">
        <v>901</v>
      </c>
      <c r="B298" s="1">
        <v>45088</v>
      </c>
      <c r="C298" t="s">
        <v>342</v>
      </c>
      <c r="D298" t="s">
        <v>10</v>
      </c>
      <c r="E298">
        <v>31</v>
      </c>
      <c r="F298" t="s">
        <v>16</v>
      </c>
      <c r="G298">
        <v>1</v>
      </c>
      <c r="H298" s="2">
        <v>300</v>
      </c>
      <c r="I298" s="2">
        <v>300</v>
      </c>
      <c r="J298" s="1" t="str">
        <f>IF(
   Sales_Performance[[#This Row],[Date]] = _xlfn.MINIFS(Sales_Performance[Date],Sales_Performance[Customer ID],Sales_Performance[[#This Row],[Customer ID]]),
   "New Customer",
   "Returning Customer"
)</f>
        <v>Returning Customer</v>
      </c>
    </row>
    <row r="299" spans="1:10" x14ac:dyDescent="0.35">
      <c r="A299" t="s">
        <v>289</v>
      </c>
      <c r="B299" s="1">
        <v>44964</v>
      </c>
      <c r="C299" t="s">
        <v>300</v>
      </c>
      <c r="D299" t="s">
        <v>10</v>
      </c>
      <c r="E299">
        <v>57</v>
      </c>
      <c r="F299" t="s">
        <v>16</v>
      </c>
      <c r="G299">
        <v>2</v>
      </c>
      <c r="H299" s="2">
        <v>50</v>
      </c>
      <c r="I299" s="2">
        <v>100</v>
      </c>
      <c r="J299" s="1" t="str">
        <f>IF(
   Sales_Performance[[#This Row],[Date]] = _xlfn.MINIFS(Sales_Performance[Date],Sales_Performance[Customer ID],Sales_Performance[[#This Row],[Customer ID]]),
   "New Customer",
   "Returning Customer"
)</f>
        <v>New Customer</v>
      </c>
    </row>
    <row r="300" spans="1:10" x14ac:dyDescent="0.35">
      <c r="A300" t="s">
        <v>1485</v>
      </c>
      <c r="B300" s="1">
        <v>44931</v>
      </c>
      <c r="C300" t="s">
        <v>808</v>
      </c>
      <c r="D300" t="s">
        <v>15</v>
      </c>
      <c r="E300">
        <v>57</v>
      </c>
      <c r="F300" t="s">
        <v>11</v>
      </c>
      <c r="G300">
        <v>1</v>
      </c>
      <c r="H300" s="2">
        <v>50</v>
      </c>
      <c r="I300" s="2">
        <v>50</v>
      </c>
      <c r="J300" s="1" t="str">
        <f>IF(
   Sales_Performance[[#This Row],[Date]] = _xlfn.MINIFS(Sales_Performance[Date],Sales_Performance[Customer ID],Sales_Performance[[#This Row],[Customer ID]]),
   "New Customer",
   "Returning Customer"
)</f>
        <v>New Customer</v>
      </c>
    </row>
    <row r="301" spans="1:10" x14ac:dyDescent="0.35">
      <c r="A301" t="s">
        <v>486</v>
      </c>
      <c r="B301" s="1">
        <v>45161</v>
      </c>
      <c r="C301" t="s">
        <v>476</v>
      </c>
      <c r="D301" t="s">
        <v>15</v>
      </c>
      <c r="E301">
        <v>56</v>
      </c>
      <c r="F301" t="s">
        <v>16</v>
      </c>
      <c r="G301">
        <v>4</v>
      </c>
      <c r="H301" s="2">
        <v>300</v>
      </c>
      <c r="I301" s="2">
        <v>1200</v>
      </c>
      <c r="J301" s="1" t="str">
        <f>IF(
   Sales_Performance[[#This Row],[Date]] = _xlfn.MINIFS(Sales_Performance[Date],Sales_Performance[Customer ID],Sales_Performance[[#This Row],[Customer ID]]),
   "New Customer",
   "Returning Customer"
)</f>
        <v>Returning Customer</v>
      </c>
    </row>
    <row r="302" spans="1:10" x14ac:dyDescent="0.35">
      <c r="A302" t="s">
        <v>873</v>
      </c>
      <c r="B302" s="1">
        <v>45245</v>
      </c>
      <c r="C302" t="s">
        <v>781</v>
      </c>
      <c r="D302" t="s">
        <v>10</v>
      </c>
      <c r="E302">
        <v>23</v>
      </c>
      <c r="F302" t="s">
        <v>11</v>
      </c>
      <c r="G302">
        <v>3</v>
      </c>
      <c r="H302" s="2">
        <v>500</v>
      </c>
      <c r="I302" s="2">
        <v>1500</v>
      </c>
      <c r="J302" s="1" t="str">
        <f>IF(
   Sales_Performance[[#This Row],[Date]] = _xlfn.MINIFS(Sales_Performance[Date],Sales_Performance[Customer ID],Sales_Performance[[#This Row],[Customer ID]]),
   "New Customer",
   "Returning Customer"
)</f>
        <v>New Customer</v>
      </c>
    </row>
    <row r="303" spans="1:10" x14ac:dyDescent="0.35">
      <c r="A303" t="s">
        <v>987</v>
      </c>
      <c r="B303" s="1">
        <v>45069</v>
      </c>
      <c r="C303" t="s">
        <v>747</v>
      </c>
      <c r="D303" t="s">
        <v>15</v>
      </c>
      <c r="E303">
        <v>18</v>
      </c>
      <c r="F303" t="s">
        <v>18</v>
      </c>
      <c r="G303">
        <v>3</v>
      </c>
      <c r="H303" s="2">
        <v>25</v>
      </c>
      <c r="I303" s="2">
        <v>75</v>
      </c>
      <c r="J303" s="1" t="str">
        <f>IF(
   Sales_Performance[[#This Row],[Date]] = _xlfn.MINIFS(Sales_Performance[Date],Sales_Performance[Customer ID],Sales_Performance[[#This Row],[Customer ID]]),
   "New Customer",
   "Returning Customer"
)</f>
        <v>New Customer</v>
      </c>
    </row>
    <row r="304" spans="1:10" x14ac:dyDescent="0.35">
      <c r="A304" t="s">
        <v>1077</v>
      </c>
      <c r="B304" s="1">
        <v>45215</v>
      </c>
      <c r="C304" t="s">
        <v>1235</v>
      </c>
      <c r="D304" t="s">
        <v>10</v>
      </c>
      <c r="E304">
        <v>23</v>
      </c>
      <c r="F304" t="s">
        <v>11</v>
      </c>
      <c r="G304">
        <v>2</v>
      </c>
      <c r="H304" s="2">
        <v>30</v>
      </c>
      <c r="I304" s="2">
        <v>60</v>
      </c>
      <c r="J304" s="1" t="str">
        <f>IF(
   Sales_Performance[[#This Row],[Date]] = _xlfn.MINIFS(Sales_Performance[Date],Sales_Performance[Customer ID],Sales_Performance[[#This Row],[Customer ID]]),
   "New Customer",
   "Returning Customer"
)</f>
        <v>Returning Customer</v>
      </c>
    </row>
    <row r="305" spans="1:10" x14ac:dyDescent="0.35">
      <c r="A305" t="s">
        <v>908</v>
      </c>
      <c r="B305" s="1">
        <v>44978</v>
      </c>
      <c r="C305" t="s">
        <v>825</v>
      </c>
      <c r="D305" t="s">
        <v>15</v>
      </c>
      <c r="E305">
        <v>20</v>
      </c>
      <c r="F305" t="s">
        <v>18</v>
      </c>
      <c r="G305">
        <v>1</v>
      </c>
      <c r="H305" s="2">
        <v>25</v>
      </c>
      <c r="I305" s="2">
        <v>25</v>
      </c>
      <c r="J305" s="1" t="str">
        <f>IF(
   Sales_Performance[[#This Row],[Date]] = _xlfn.MINIFS(Sales_Performance[Date],Sales_Performance[Customer ID],Sales_Performance[[#This Row],[Customer ID]]),
   "New Customer",
   "Returning Customer"
)</f>
        <v>New Customer</v>
      </c>
    </row>
    <row r="306" spans="1:10" x14ac:dyDescent="0.35">
      <c r="A306" t="s">
        <v>570</v>
      </c>
      <c r="B306" s="1">
        <v>44964</v>
      </c>
      <c r="C306" t="s">
        <v>713</v>
      </c>
      <c r="D306" t="s">
        <v>15</v>
      </c>
      <c r="E306">
        <v>24</v>
      </c>
      <c r="F306" t="s">
        <v>18</v>
      </c>
      <c r="G306">
        <v>3</v>
      </c>
      <c r="H306" s="2">
        <v>500</v>
      </c>
      <c r="I306" s="2">
        <v>1500</v>
      </c>
      <c r="J306" s="1" t="str">
        <f>IF(
   Sales_Performance[[#This Row],[Date]] = _xlfn.MINIFS(Sales_Performance[Date],Sales_Performance[Customer ID],Sales_Performance[[#This Row],[Customer ID]]),
   "New Customer",
   "Returning Customer"
)</f>
        <v>New Customer</v>
      </c>
    </row>
    <row r="307" spans="1:10" x14ac:dyDescent="0.35">
      <c r="A307" t="s">
        <v>374</v>
      </c>
      <c r="B307" s="1">
        <v>45202</v>
      </c>
      <c r="C307" t="s">
        <v>946</v>
      </c>
      <c r="D307" t="s">
        <v>15</v>
      </c>
      <c r="E307">
        <v>25</v>
      </c>
      <c r="F307" t="s">
        <v>18</v>
      </c>
      <c r="G307">
        <v>2</v>
      </c>
      <c r="H307" s="2">
        <v>300</v>
      </c>
      <c r="I307" s="2">
        <v>600</v>
      </c>
      <c r="J307" s="1" t="str">
        <f>IF(
   Sales_Performance[[#This Row],[Date]] = _xlfn.MINIFS(Sales_Performance[Date],Sales_Performance[Customer ID],Sales_Performance[[#This Row],[Customer ID]]),
   "New Customer",
   "Returning Customer"
)</f>
        <v>Returning Customer</v>
      </c>
    </row>
    <row r="308" spans="1:10" x14ac:dyDescent="0.35">
      <c r="A308" t="s">
        <v>1304</v>
      </c>
      <c r="B308" s="1">
        <v>45036</v>
      </c>
      <c r="C308" t="s">
        <v>911</v>
      </c>
      <c r="D308" t="s">
        <v>15</v>
      </c>
      <c r="E308">
        <v>59</v>
      </c>
      <c r="F308" t="s">
        <v>18</v>
      </c>
      <c r="G308">
        <v>3</v>
      </c>
      <c r="H308" s="2">
        <v>25</v>
      </c>
      <c r="I308" s="2">
        <v>75</v>
      </c>
      <c r="J308" s="1" t="str">
        <f>IF(
   Sales_Performance[[#This Row],[Date]] = _xlfn.MINIFS(Sales_Performance[Date],Sales_Performance[Customer ID],Sales_Performance[[#This Row],[Customer ID]]),
   "New Customer",
   "Returning Customer"
)</f>
        <v>New Customer</v>
      </c>
    </row>
    <row r="309" spans="1:10" x14ac:dyDescent="0.35">
      <c r="A309" t="s">
        <v>1416</v>
      </c>
      <c r="B309" s="1">
        <v>45186</v>
      </c>
      <c r="C309" t="s">
        <v>246</v>
      </c>
      <c r="D309" t="s">
        <v>10</v>
      </c>
      <c r="E309">
        <v>32</v>
      </c>
      <c r="F309" t="s">
        <v>16</v>
      </c>
      <c r="G309">
        <v>1</v>
      </c>
      <c r="H309" s="2">
        <v>50</v>
      </c>
      <c r="I309" s="2">
        <v>50</v>
      </c>
      <c r="J309" s="1" t="str">
        <f>IF(
   Sales_Performance[[#This Row],[Date]] = _xlfn.MINIFS(Sales_Performance[Date],Sales_Performance[Customer ID],Sales_Performance[[#This Row],[Customer ID]]),
   "New Customer",
   "Returning Customer"
)</f>
        <v>Returning Customer</v>
      </c>
    </row>
    <row r="310" spans="1:10" x14ac:dyDescent="0.35">
      <c r="A310" t="s">
        <v>522</v>
      </c>
      <c r="B310" s="1">
        <v>45062</v>
      </c>
      <c r="C310" t="s">
        <v>1184</v>
      </c>
      <c r="D310" t="s">
        <v>15</v>
      </c>
      <c r="E310">
        <v>64</v>
      </c>
      <c r="F310" t="s">
        <v>18</v>
      </c>
      <c r="G310">
        <v>1</v>
      </c>
      <c r="H310" s="2">
        <v>30</v>
      </c>
      <c r="I310" s="2">
        <v>30</v>
      </c>
      <c r="J310" s="1" t="str">
        <f>IF(
   Sales_Performance[[#This Row],[Date]] = _xlfn.MINIFS(Sales_Performance[Date],Sales_Performance[Customer ID],Sales_Performance[[#This Row],[Customer ID]]),
   "New Customer",
   "Returning Customer"
)</f>
        <v>Returning Customer</v>
      </c>
    </row>
    <row r="311" spans="1:10" x14ac:dyDescent="0.35">
      <c r="A311" t="s">
        <v>834</v>
      </c>
      <c r="B311" s="1">
        <v>44994</v>
      </c>
      <c r="C311" t="s">
        <v>918</v>
      </c>
      <c r="D311" t="s">
        <v>15</v>
      </c>
      <c r="E311">
        <v>46</v>
      </c>
      <c r="F311" t="s">
        <v>16</v>
      </c>
      <c r="G311">
        <v>4</v>
      </c>
      <c r="H311" s="2">
        <v>50</v>
      </c>
      <c r="I311" s="2">
        <v>200</v>
      </c>
      <c r="J311" s="1" t="str">
        <f>IF(
   Sales_Performance[[#This Row],[Date]] = _xlfn.MINIFS(Sales_Performance[Date],Sales_Performance[Customer ID],Sales_Performance[[#This Row],[Customer ID]]),
   "New Customer",
   "Returning Customer"
)</f>
        <v>Returning Customer</v>
      </c>
    </row>
    <row r="312" spans="1:10" x14ac:dyDescent="0.35">
      <c r="A312" t="s">
        <v>395</v>
      </c>
      <c r="B312" s="1">
        <v>45105</v>
      </c>
      <c r="C312" t="s">
        <v>1500</v>
      </c>
      <c r="D312" t="s">
        <v>10</v>
      </c>
      <c r="E312">
        <v>50</v>
      </c>
      <c r="F312" t="s">
        <v>18</v>
      </c>
      <c r="G312">
        <v>1</v>
      </c>
      <c r="H312" s="2">
        <v>300</v>
      </c>
      <c r="I312" s="2">
        <v>300</v>
      </c>
      <c r="J312" s="1" t="str">
        <f>IF(
   Sales_Performance[[#This Row],[Date]] = _xlfn.MINIFS(Sales_Performance[Date],Sales_Performance[Customer ID],Sales_Performance[[#This Row],[Customer ID]]),
   "New Customer",
   "Returning Customer"
)</f>
        <v>New Customer</v>
      </c>
    </row>
    <row r="313" spans="1:10" x14ac:dyDescent="0.35">
      <c r="A313" t="s">
        <v>786</v>
      </c>
      <c r="B313" s="1">
        <v>44962</v>
      </c>
      <c r="C313" t="s">
        <v>811</v>
      </c>
      <c r="D313" t="s">
        <v>15</v>
      </c>
      <c r="E313">
        <v>47</v>
      </c>
      <c r="F313" t="s">
        <v>16</v>
      </c>
      <c r="G313">
        <v>1</v>
      </c>
      <c r="H313" s="2">
        <v>25</v>
      </c>
      <c r="I313" s="2">
        <v>25</v>
      </c>
      <c r="J313" s="1" t="str">
        <f>IF(
   Sales_Performance[[#This Row],[Date]] = _xlfn.MINIFS(Sales_Performance[Date],Sales_Performance[Customer ID],Sales_Performance[[#This Row],[Customer ID]]),
   "New Customer",
   "Returning Customer"
)</f>
        <v>New Customer</v>
      </c>
    </row>
    <row r="314" spans="1:10" x14ac:dyDescent="0.35">
      <c r="A314" t="s">
        <v>596</v>
      </c>
      <c r="B314" s="1">
        <v>45006</v>
      </c>
      <c r="C314" t="s">
        <v>529</v>
      </c>
      <c r="D314" t="s">
        <v>10</v>
      </c>
      <c r="E314">
        <v>38</v>
      </c>
      <c r="F314" t="s">
        <v>18</v>
      </c>
      <c r="G314">
        <v>4</v>
      </c>
      <c r="H314" s="2">
        <v>50</v>
      </c>
      <c r="I314" s="2">
        <v>200</v>
      </c>
      <c r="J314" s="1" t="str">
        <f>IF(
   Sales_Performance[[#This Row],[Date]] = _xlfn.MINIFS(Sales_Performance[Date],Sales_Performance[Customer ID],Sales_Performance[[#This Row],[Customer ID]]),
   "New Customer",
   "Returning Customer"
)</f>
        <v>New Customer</v>
      </c>
    </row>
    <row r="315" spans="1:10" x14ac:dyDescent="0.35">
      <c r="A315" t="s">
        <v>743</v>
      </c>
      <c r="B315" s="1">
        <v>45052</v>
      </c>
      <c r="C315" t="s">
        <v>1414</v>
      </c>
      <c r="D315" t="s">
        <v>10</v>
      </c>
      <c r="E315">
        <v>56</v>
      </c>
      <c r="F315" t="s">
        <v>11</v>
      </c>
      <c r="G315">
        <v>2</v>
      </c>
      <c r="H315" s="2">
        <v>300</v>
      </c>
      <c r="I315" s="2">
        <v>600</v>
      </c>
      <c r="J315" s="1" t="str">
        <f>IF(
   Sales_Performance[[#This Row],[Date]] = _xlfn.MINIFS(Sales_Performance[Date],Sales_Performance[Customer ID],Sales_Performance[[#This Row],[Customer ID]]),
   "New Customer",
   "Returning Customer"
)</f>
        <v>New Customer</v>
      </c>
    </row>
    <row r="316" spans="1:10" x14ac:dyDescent="0.35">
      <c r="A316" t="s">
        <v>1072</v>
      </c>
      <c r="B316" s="1">
        <v>45116</v>
      </c>
      <c r="C316" t="s">
        <v>827</v>
      </c>
      <c r="D316" t="s">
        <v>15</v>
      </c>
      <c r="E316">
        <v>44</v>
      </c>
      <c r="F316" t="s">
        <v>16</v>
      </c>
      <c r="G316">
        <v>4</v>
      </c>
      <c r="H316" s="2">
        <v>25</v>
      </c>
      <c r="I316" s="2">
        <v>100</v>
      </c>
      <c r="J316" s="1" t="str">
        <f>IF(
   Sales_Performance[[#This Row],[Date]] = _xlfn.MINIFS(Sales_Performance[Date],Sales_Performance[Customer ID],Sales_Performance[[#This Row],[Customer ID]]),
   "New Customer",
   "Returning Customer"
)</f>
        <v>New Customer</v>
      </c>
    </row>
    <row r="317" spans="1:10" x14ac:dyDescent="0.35">
      <c r="A317" t="s">
        <v>716</v>
      </c>
      <c r="B317" s="1">
        <v>45072</v>
      </c>
      <c r="C317" t="s">
        <v>752</v>
      </c>
      <c r="D317" t="s">
        <v>15</v>
      </c>
      <c r="E317">
        <v>53</v>
      </c>
      <c r="F317" t="s">
        <v>16</v>
      </c>
      <c r="G317">
        <v>2</v>
      </c>
      <c r="H317" s="2">
        <v>500</v>
      </c>
      <c r="I317" s="2">
        <v>1000</v>
      </c>
      <c r="J317" s="1" t="str">
        <f>IF(
   Sales_Performance[[#This Row],[Date]] = _xlfn.MINIFS(Sales_Performance[Date],Sales_Performance[Customer ID],Sales_Performance[[#This Row],[Customer ID]]),
   "New Customer",
   "Returning Customer"
)</f>
        <v>Returning Customer</v>
      </c>
    </row>
    <row r="318" spans="1:10" x14ac:dyDescent="0.35">
      <c r="A318" t="s">
        <v>780</v>
      </c>
      <c r="B318" s="1">
        <v>45007</v>
      </c>
      <c r="C318" t="s">
        <v>1264</v>
      </c>
      <c r="D318" t="s">
        <v>15</v>
      </c>
      <c r="E318">
        <v>46</v>
      </c>
      <c r="F318" t="s">
        <v>18</v>
      </c>
      <c r="G318">
        <v>3</v>
      </c>
      <c r="H318" s="2">
        <v>30</v>
      </c>
      <c r="I318" s="2">
        <v>90</v>
      </c>
      <c r="J318" s="1" t="str">
        <f>IF(
   Sales_Performance[[#This Row],[Date]] = _xlfn.MINIFS(Sales_Performance[Date],Sales_Performance[Customer ID],Sales_Performance[[#This Row],[Customer ID]]),
   "New Customer",
   "Returning Customer"
)</f>
        <v>New Customer</v>
      </c>
    </row>
    <row r="319" spans="1:10" x14ac:dyDescent="0.35">
      <c r="A319" t="s">
        <v>938</v>
      </c>
      <c r="B319" s="1">
        <v>45151</v>
      </c>
      <c r="C319" t="s">
        <v>990</v>
      </c>
      <c r="D319" t="s">
        <v>10</v>
      </c>
      <c r="E319">
        <v>55</v>
      </c>
      <c r="F319" t="s">
        <v>16</v>
      </c>
      <c r="G319">
        <v>1</v>
      </c>
      <c r="H319" s="2">
        <v>500</v>
      </c>
      <c r="I319" s="2">
        <v>500</v>
      </c>
      <c r="J319" s="1" t="str">
        <f>IF(
   Sales_Performance[[#This Row],[Date]] = _xlfn.MINIFS(Sales_Performance[Date],Sales_Performance[Customer ID],Sales_Performance[[#This Row],[Customer ID]]),
   "New Customer",
   "Returning Customer"
)</f>
        <v>Returning Customer</v>
      </c>
    </row>
    <row r="320" spans="1:10" x14ac:dyDescent="0.35">
      <c r="A320" t="s">
        <v>385</v>
      </c>
      <c r="B320" s="1">
        <v>45205</v>
      </c>
      <c r="C320" t="s">
        <v>1012</v>
      </c>
      <c r="D320" t="s">
        <v>10</v>
      </c>
      <c r="E320">
        <v>50</v>
      </c>
      <c r="F320" t="s">
        <v>11</v>
      </c>
      <c r="G320">
        <v>3</v>
      </c>
      <c r="H320" s="2">
        <v>500</v>
      </c>
      <c r="I320" s="2">
        <v>1500</v>
      </c>
      <c r="J320" s="1" t="str">
        <f>IF(
   Sales_Performance[[#This Row],[Date]] = _xlfn.MINIFS(Sales_Performance[Date],Sales_Performance[Customer ID],Sales_Performance[[#This Row],[Customer ID]]),
   "New Customer",
   "Returning Customer"
)</f>
        <v>New Customer</v>
      </c>
    </row>
    <row r="321" spans="1:10" x14ac:dyDescent="0.35">
      <c r="A321" t="s">
        <v>724</v>
      </c>
      <c r="B321" s="1">
        <v>45287</v>
      </c>
      <c r="C321" t="s">
        <v>952</v>
      </c>
      <c r="D321" t="s">
        <v>15</v>
      </c>
      <c r="E321">
        <v>54</v>
      </c>
      <c r="F321" t="s">
        <v>11</v>
      </c>
      <c r="G321">
        <v>2</v>
      </c>
      <c r="H321" s="2">
        <v>300</v>
      </c>
      <c r="I321" s="2">
        <v>600</v>
      </c>
      <c r="J321" s="1" t="str">
        <f>IF(
   Sales_Performance[[#This Row],[Date]] = _xlfn.MINIFS(Sales_Performance[Date],Sales_Performance[Customer ID],Sales_Performance[[#This Row],[Customer ID]]),
   "New Customer",
   "Returning Customer"
)</f>
        <v>Returning Customer</v>
      </c>
    </row>
    <row r="322" spans="1:10" x14ac:dyDescent="0.35">
      <c r="A322" t="s">
        <v>1008</v>
      </c>
      <c r="B322" s="1">
        <v>45081</v>
      </c>
      <c r="C322" t="s">
        <v>506</v>
      </c>
      <c r="D322" t="s">
        <v>10</v>
      </c>
      <c r="E322">
        <v>44</v>
      </c>
      <c r="F322" t="s">
        <v>18</v>
      </c>
      <c r="G322">
        <v>1</v>
      </c>
      <c r="H322" s="2">
        <v>30</v>
      </c>
      <c r="I322" s="2">
        <v>30</v>
      </c>
      <c r="J322" s="1" t="str">
        <f>IF(
   Sales_Performance[[#This Row],[Date]] = _xlfn.MINIFS(Sales_Performance[Date],Sales_Performance[Customer ID],Sales_Performance[[#This Row],[Customer ID]]),
   "New Customer",
   "Returning Customer"
)</f>
        <v>New Customer</v>
      </c>
    </row>
    <row r="323" spans="1:10" x14ac:dyDescent="0.35">
      <c r="A323" t="s">
        <v>622</v>
      </c>
      <c r="B323" s="1">
        <v>45240</v>
      </c>
      <c r="C323" t="s">
        <v>93</v>
      </c>
      <c r="D323" t="s">
        <v>10</v>
      </c>
      <c r="E323">
        <v>50</v>
      </c>
      <c r="F323" t="s">
        <v>11</v>
      </c>
      <c r="G323">
        <v>1</v>
      </c>
      <c r="H323" s="2">
        <v>25</v>
      </c>
      <c r="I323" s="2">
        <v>25</v>
      </c>
      <c r="J323" s="1" t="str">
        <f>IF(
   Sales_Performance[[#This Row],[Date]] = _xlfn.MINIFS(Sales_Performance[Date],Sales_Performance[Customer ID],Sales_Performance[[#This Row],[Customer ID]]),
   "New Customer",
   "Returning Customer"
)</f>
        <v>Returning Customer</v>
      </c>
    </row>
    <row r="324" spans="1:10" x14ac:dyDescent="0.35">
      <c r="A324" t="s">
        <v>619</v>
      </c>
      <c r="B324" s="1">
        <v>45261</v>
      </c>
      <c r="C324" t="s">
        <v>187</v>
      </c>
      <c r="D324" t="s">
        <v>10</v>
      </c>
      <c r="E324">
        <v>21</v>
      </c>
      <c r="F324" t="s">
        <v>16</v>
      </c>
      <c r="G324">
        <v>2</v>
      </c>
      <c r="H324" s="2">
        <v>25</v>
      </c>
      <c r="I324" s="2">
        <v>50</v>
      </c>
      <c r="J324" s="1" t="str">
        <f>IF(
   Sales_Performance[[#This Row],[Date]] = _xlfn.MINIFS(Sales_Performance[Date],Sales_Performance[Customer ID],Sales_Performance[[#This Row],[Customer ID]]),
   "New Customer",
   "Returning Customer"
)</f>
        <v>Returning Customer</v>
      </c>
    </row>
    <row r="325" spans="1:10" x14ac:dyDescent="0.35">
      <c r="A325" t="s">
        <v>207</v>
      </c>
      <c r="B325" s="1">
        <v>45037</v>
      </c>
      <c r="C325" t="s">
        <v>706</v>
      </c>
      <c r="D325" t="s">
        <v>10</v>
      </c>
      <c r="E325">
        <v>23</v>
      </c>
      <c r="F325" t="s">
        <v>16</v>
      </c>
      <c r="G325">
        <v>4</v>
      </c>
      <c r="H325" s="2">
        <v>30</v>
      </c>
      <c r="I325" s="2">
        <v>120</v>
      </c>
      <c r="J325" s="1" t="str">
        <f>IF(
   Sales_Performance[[#This Row],[Date]] = _xlfn.MINIFS(Sales_Performance[Date],Sales_Performance[Customer ID],Sales_Performance[[#This Row],[Customer ID]]),
   "New Customer",
   "Returning Customer"
)</f>
        <v>New Customer</v>
      </c>
    </row>
    <row r="326" spans="1:10" x14ac:dyDescent="0.35">
      <c r="A326" t="s">
        <v>341</v>
      </c>
      <c r="B326" s="1">
        <v>45197</v>
      </c>
      <c r="C326" t="s">
        <v>1454</v>
      </c>
      <c r="D326" t="s">
        <v>10</v>
      </c>
      <c r="E326">
        <v>39</v>
      </c>
      <c r="F326" t="s">
        <v>11</v>
      </c>
      <c r="G326">
        <v>2</v>
      </c>
      <c r="H326" s="2">
        <v>50</v>
      </c>
      <c r="I326" s="2">
        <v>100</v>
      </c>
      <c r="J326" s="1" t="str">
        <f>IF(
   Sales_Performance[[#This Row],[Date]] = _xlfn.MINIFS(Sales_Performance[Date],Sales_Performance[Customer ID],Sales_Performance[[#This Row],[Customer ID]]),
   "New Customer",
   "Returning Customer"
)</f>
        <v>Returning Customer</v>
      </c>
    </row>
    <row r="327" spans="1:10" x14ac:dyDescent="0.35">
      <c r="A327" t="s">
        <v>625</v>
      </c>
      <c r="B327" s="1">
        <v>44931</v>
      </c>
      <c r="C327" t="s">
        <v>1059</v>
      </c>
      <c r="D327" t="s">
        <v>10</v>
      </c>
      <c r="E327">
        <v>19</v>
      </c>
      <c r="F327" t="s">
        <v>18</v>
      </c>
      <c r="G327">
        <v>2</v>
      </c>
      <c r="H327" s="2">
        <v>25</v>
      </c>
      <c r="I327" s="2">
        <v>50</v>
      </c>
      <c r="J327" s="1" t="str">
        <f>IF(
   Sales_Performance[[#This Row],[Date]] = _xlfn.MINIFS(Sales_Performance[Date],Sales_Performance[Customer ID],Sales_Performance[[#This Row],[Customer ID]]),
   "New Customer",
   "Returning Customer"
)</f>
        <v>New Customer</v>
      </c>
    </row>
    <row r="328" spans="1:10" x14ac:dyDescent="0.35">
      <c r="A328" t="s">
        <v>1474</v>
      </c>
      <c r="B328" s="1">
        <v>45268</v>
      </c>
      <c r="C328" t="s">
        <v>1014</v>
      </c>
      <c r="D328" t="s">
        <v>10</v>
      </c>
      <c r="E328">
        <v>27</v>
      </c>
      <c r="F328" t="s">
        <v>16</v>
      </c>
      <c r="G328">
        <v>2</v>
      </c>
      <c r="H328" s="2">
        <v>300</v>
      </c>
      <c r="I328" s="2">
        <v>600</v>
      </c>
      <c r="J328" s="1" t="str">
        <f>IF(
   Sales_Performance[[#This Row],[Date]] = _xlfn.MINIFS(Sales_Performance[Date],Sales_Performance[Customer ID],Sales_Performance[[#This Row],[Customer ID]]),
   "New Customer",
   "Returning Customer"
)</f>
        <v>Returning Customer</v>
      </c>
    </row>
    <row r="329" spans="1:10" x14ac:dyDescent="0.35">
      <c r="A329" t="s">
        <v>824</v>
      </c>
      <c r="B329" s="1">
        <v>45210</v>
      </c>
      <c r="C329" t="s">
        <v>123</v>
      </c>
      <c r="D329" t="s">
        <v>15</v>
      </c>
      <c r="E329">
        <v>22</v>
      </c>
      <c r="F329" t="s">
        <v>18</v>
      </c>
      <c r="G329">
        <v>2</v>
      </c>
      <c r="H329" s="2">
        <v>500</v>
      </c>
      <c r="I329" s="2">
        <v>1000</v>
      </c>
      <c r="J329" s="1" t="str">
        <f>IF(
   Sales_Performance[[#This Row],[Date]] = _xlfn.MINIFS(Sales_Performance[Date],Sales_Performance[Customer ID],Sales_Performance[[#This Row],[Customer ID]]),
   "New Customer",
   "Returning Customer"
)</f>
        <v>Returning Customer</v>
      </c>
    </row>
    <row r="330" spans="1:10" x14ac:dyDescent="0.35">
      <c r="A330" t="s">
        <v>1345</v>
      </c>
      <c r="B330" s="1">
        <v>45080</v>
      </c>
      <c r="C330" t="s">
        <v>1178</v>
      </c>
      <c r="D330" t="s">
        <v>15</v>
      </c>
      <c r="E330">
        <v>27</v>
      </c>
      <c r="F330" t="s">
        <v>16</v>
      </c>
      <c r="G330">
        <v>1</v>
      </c>
      <c r="H330" s="2">
        <v>500</v>
      </c>
      <c r="I330" s="2">
        <v>500</v>
      </c>
      <c r="J330" s="1" t="str">
        <f>IF(
   Sales_Performance[[#This Row],[Date]] = _xlfn.MINIFS(Sales_Performance[Date],Sales_Performance[Customer ID],Sales_Performance[[#This Row],[Customer ID]]),
   "New Customer",
   "Returning Customer"
)</f>
        <v>Returning Customer</v>
      </c>
    </row>
    <row r="331" spans="1:10" x14ac:dyDescent="0.35">
      <c r="A331" t="s">
        <v>856</v>
      </c>
      <c r="B331" s="1">
        <v>45266</v>
      </c>
      <c r="C331" t="s">
        <v>1238</v>
      </c>
      <c r="D331" t="s">
        <v>10</v>
      </c>
      <c r="E331">
        <v>50</v>
      </c>
      <c r="F331" t="s">
        <v>11</v>
      </c>
      <c r="G331">
        <v>2</v>
      </c>
      <c r="H331" s="2">
        <v>500</v>
      </c>
      <c r="I331" s="2">
        <v>1000</v>
      </c>
      <c r="J331" s="1" t="str">
        <f>IF(
   Sales_Performance[[#This Row],[Date]] = _xlfn.MINIFS(Sales_Performance[Date],Sales_Performance[Customer ID],Sales_Performance[[#This Row],[Customer ID]]),
   "New Customer",
   "Returning Customer"
)</f>
        <v>Returning Customer</v>
      </c>
    </row>
    <row r="332" spans="1:10" x14ac:dyDescent="0.35">
      <c r="A332" t="s">
        <v>219</v>
      </c>
      <c r="B332" s="1">
        <v>44980</v>
      </c>
      <c r="C332" t="s">
        <v>962</v>
      </c>
      <c r="D332" t="s">
        <v>15</v>
      </c>
      <c r="E332">
        <v>55</v>
      </c>
      <c r="F332" t="s">
        <v>18</v>
      </c>
      <c r="G332">
        <v>1</v>
      </c>
      <c r="H332" s="2">
        <v>30</v>
      </c>
      <c r="I332" s="2">
        <v>30</v>
      </c>
      <c r="J332" s="1" t="str">
        <f>IF(
   Sales_Performance[[#This Row],[Date]] = _xlfn.MINIFS(Sales_Performance[Date],Sales_Performance[Customer ID],Sales_Performance[[#This Row],[Customer ID]]),
   "New Customer",
   "Returning Customer"
)</f>
        <v>New Customer</v>
      </c>
    </row>
    <row r="333" spans="1:10" x14ac:dyDescent="0.35">
      <c r="A333" t="s">
        <v>240</v>
      </c>
      <c r="B333" s="1">
        <v>44995</v>
      </c>
      <c r="C333" t="s">
        <v>886</v>
      </c>
      <c r="D333" t="s">
        <v>15</v>
      </c>
      <c r="E333">
        <v>30</v>
      </c>
      <c r="F333" t="s">
        <v>18</v>
      </c>
      <c r="G333">
        <v>1</v>
      </c>
      <c r="H333" s="2">
        <v>25</v>
      </c>
      <c r="I333" s="2">
        <v>25</v>
      </c>
      <c r="J333" s="1" t="str">
        <f>IF(
   Sales_Performance[[#This Row],[Date]] = _xlfn.MINIFS(Sales_Performance[Date],Sales_Performance[Customer ID],Sales_Performance[[#This Row],[Customer ID]]),
   "New Customer",
   "Returning Customer"
)</f>
        <v>New Customer</v>
      </c>
    </row>
    <row r="334" spans="1:10" x14ac:dyDescent="0.35">
      <c r="A334" t="s">
        <v>306</v>
      </c>
      <c r="B334" s="1">
        <v>45062</v>
      </c>
      <c r="C334" t="s">
        <v>66</v>
      </c>
      <c r="D334" t="s">
        <v>15</v>
      </c>
      <c r="E334">
        <v>48</v>
      </c>
      <c r="F334" t="s">
        <v>16</v>
      </c>
      <c r="G334">
        <v>2</v>
      </c>
      <c r="H334" s="2">
        <v>300</v>
      </c>
      <c r="I334" s="2">
        <v>600</v>
      </c>
      <c r="J334" s="1" t="str">
        <f>IF(
   Sales_Performance[[#This Row],[Date]] = _xlfn.MINIFS(Sales_Performance[Date],Sales_Performance[Customer ID],Sales_Performance[[#This Row],[Customer ID]]),
   "New Customer",
   "Returning Customer"
)</f>
        <v>New Customer</v>
      </c>
    </row>
    <row r="335" spans="1:10" x14ac:dyDescent="0.35">
      <c r="A335" t="s">
        <v>1491</v>
      </c>
      <c r="B335" s="1">
        <v>44986</v>
      </c>
      <c r="C335" t="s">
        <v>599</v>
      </c>
      <c r="D335" t="s">
        <v>15</v>
      </c>
      <c r="E335">
        <v>64</v>
      </c>
      <c r="F335" t="s">
        <v>18</v>
      </c>
      <c r="G335">
        <v>2</v>
      </c>
      <c r="H335" s="2">
        <v>30</v>
      </c>
      <c r="I335" s="2">
        <v>60</v>
      </c>
      <c r="J335" s="1" t="str">
        <f>IF(
   Sales_Performance[[#This Row],[Date]] = _xlfn.MINIFS(Sales_Performance[Date],Sales_Performance[Customer ID],Sales_Performance[[#This Row],[Customer ID]]),
   "New Customer",
   "Returning Customer"
)</f>
        <v>New Customer</v>
      </c>
    </row>
    <row r="336" spans="1:10" x14ac:dyDescent="0.35">
      <c r="A336" t="s">
        <v>657</v>
      </c>
      <c r="B336" s="1">
        <v>45067</v>
      </c>
      <c r="C336" t="s">
        <v>260</v>
      </c>
      <c r="D336" t="s">
        <v>10</v>
      </c>
      <c r="E336">
        <v>37</v>
      </c>
      <c r="F336" t="s">
        <v>16</v>
      </c>
      <c r="G336">
        <v>1</v>
      </c>
      <c r="H336" s="2">
        <v>500</v>
      </c>
      <c r="I336" s="2">
        <v>500</v>
      </c>
      <c r="J336" s="1" t="str">
        <f>IF(
   Sales_Performance[[#This Row],[Date]] = _xlfn.MINIFS(Sales_Performance[Date],Sales_Performance[Customer ID],Sales_Performance[[#This Row],[Customer ID]]),
   "New Customer",
   "Returning Customer"
)</f>
        <v>Returning Customer</v>
      </c>
    </row>
    <row r="337" spans="1:10" x14ac:dyDescent="0.35">
      <c r="A337" t="s">
        <v>1317</v>
      </c>
      <c r="B337" s="1">
        <v>45099</v>
      </c>
      <c r="C337" t="s">
        <v>1243</v>
      </c>
      <c r="D337" t="s">
        <v>10</v>
      </c>
      <c r="E337">
        <v>45</v>
      </c>
      <c r="F337" t="s">
        <v>18</v>
      </c>
      <c r="G337">
        <v>1</v>
      </c>
      <c r="H337" s="2">
        <v>50</v>
      </c>
      <c r="I337" s="2">
        <v>50</v>
      </c>
      <c r="J337" s="1" t="str">
        <f>IF(
   Sales_Performance[[#This Row],[Date]] = _xlfn.MINIFS(Sales_Performance[Date],Sales_Performance[Customer ID],Sales_Performance[[#This Row],[Customer ID]]),
   "New Customer",
   "Returning Customer"
)</f>
        <v>New Customer</v>
      </c>
    </row>
    <row r="338" spans="1:10" x14ac:dyDescent="0.35">
      <c r="A338" t="s">
        <v>403</v>
      </c>
      <c r="B338" s="1">
        <v>44981</v>
      </c>
      <c r="C338" t="s">
        <v>1316</v>
      </c>
      <c r="D338" t="s">
        <v>10</v>
      </c>
      <c r="E338">
        <v>53</v>
      </c>
      <c r="F338" t="s">
        <v>16</v>
      </c>
      <c r="G338">
        <v>4</v>
      </c>
      <c r="H338" s="2">
        <v>50</v>
      </c>
      <c r="I338" s="2">
        <v>200</v>
      </c>
      <c r="J338" s="1" t="str">
        <f>IF(
   Sales_Performance[[#This Row],[Date]] = _xlfn.MINIFS(Sales_Performance[Date],Sales_Performance[Customer ID],Sales_Performance[[#This Row],[Customer ID]]),
   "New Customer",
   "Returning Customer"
)</f>
        <v>Returning Customer</v>
      </c>
    </row>
    <row r="339" spans="1:10" x14ac:dyDescent="0.35">
      <c r="A339" t="s">
        <v>1418</v>
      </c>
      <c r="B339" s="1">
        <v>45210</v>
      </c>
      <c r="C339" t="s">
        <v>1111</v>
      </c>
      <c r="D339" t="s">
        <v>15</v>
      </c>
      <c r="E339">
        <v>62</v>
      </c>
      <c r="F339" t="s">
        <v>16</v>
      </c>
      <c r="G339">
        <v>1</v>
      </c>
      <c r="H339" s="2">
        <v>300</v>
      </c>
      <c r="I339" s="2">
        <v>300</v>
      </c>
      <c r="J339" s="1" t="str">
        <f>IF(
   Sales_Performance[[#This Row],[Date]] = _xlfn.MINIFS(Sales_Performance[Date],Sales_Performance[Customer ID],Sales_Performance[[#This Row],[Customer ID]]),
   "New Customer",
   "Returning Customer"
)</f>
        <v>Returning Customer</v>
      </c>
    </row>
    <row r="340" spans="1:10" x14ac:dyDescent="0.35">
      <c r="A340" t="s">
        <v>858</v>
      </c>
      <c r="B340" s="1">
        <v>45006</v>
      </c>
      <c r="C340" t="s">
        <v>744</v>
      </c>
      <c r="D340" t="s">
        <v>15</v>
      </c>
      <c r="E340">
        <v>41</v>
      </c>
      <c r="F340" t="s">
        <v>16</v>
      </c>
      <c r="G340">
        <v>2</v>
      </c>
      <c r="H340" s="2">
        <v>300</v>
      </c>
      <c r="I340" s="2">
        <v>600</v>
      </c>
      <c r="J340" s="1" t="str">
        <f>IF(
   Sales_Performance[[#This Row],[Date]] = _xlfn.MINIFS(Sales_Performance[Date],Sales_Performance[Customer ID],Sales_Performance[[#This Row],[Customer ID]]),
   "New Customer",
   "Returning Customer"
)</f>
        <v>New Customer</v>
      </c>
    </row>
    <row r="341" spans="1:10" x14ac:dyDescent="0.35">
      <c r="A341" t="s">
        <v>1361</v>
      </c>
      <c r="B341" s="1">
        <v>45066</v>
      </c>
      <c r="C341" t="s">
        <v>309</v>
      </c>
      <c r="D341" t="s">
        <v>10</v>
      </c>
      <c r="E341">
        <v>32</v>
      </c>
      <c r="F341" t="s">
        <v>16</v>
      </c>
      <c r="G341">
        <v>2</v>
      </c>
      <c r="H341" s="2">
        <v>300</v>
      </c>
      <c r="I341" s="2">
        <v>600</v>
      </c>
      <c r="J341" s="1" t="str">
        <f>IF(
   Sales_Performance[[#This Row],[Date]] = _xlfn.MINIFS(Sales_Performance[Date],Sales_Performance[Customer ID],Sales_Performance[[#This Row],[Customer ID]]),
   "New Customer",
   "Returning Customer"
)</f>
        <v>Returning Customer</v>
      </c>
    </row>
    <row r="342" spans="1:10" x14ac:dyDescent="0.35">
      <c r="A342" t="s">
        <v>389</v>
      </c>
      <c r="B342" s="1">
        <v>45071</v>
      </c>
      <c r="C342" t="s">
        <v>474</v>
      </c>
      <c r="D342" t="s">
        <v>10</v>
      </c>
      <c r="E342">
        <v>46</v>
      </c>
      <c r="F342" t="s">
        <v>11</v>
      </c>
      <c r="G342">
        <v>2</v>
      </c>
      <c r="H342" s="2">
        <v>500</v>
      </c>
      <c r="I342" s="2">
        <v>1000</v>
      </c>
      <c r="J342" s="1" t="str">
        <f>IF(
   Sales_Performance[[#This Row],[Date]] = _xlfn.MINIFS(Sales_Performance[Date],Sales_Performance[Customer ID],Sales_Performance[[#This Row],[Customer ID]]),
   "New Customer",
   "Returning Customer"
)</f>
        <v>Returning Customer</v>
      </c>
    </row>
    <row r="343" spans="1:10" x14ac:dyDescent="0.35">
      <c r="A343" t="s">
        <v>860</v>
      </c>
      <c r="B343" s="1">
        <v>45236</v>
      </c>
      <c r="C343" t="s">
        <v>68</v>
      </c>
      <c r="D343" t="s">
        <v>15</v>
      </c>
      <c r="E343">
        <v>25</v>
      </c>
      <c r="F343" t="s">
        <v>16</v>
      </c>
      <c r="G343">
        <v>4</v>
      </c>
      <c r="H343" s="2">
        <v>300</v>
      </c>
      <c r="I343" s="2">
        <v>1200</v>
      </c>
      <c r="J343" s="1" t="str">
        <f>IF(
   Sales_Performance[[#This Row],[Date]] = _xlfn.MINIFS(Sales_Performance[Date],Sales_Performance[Customer ID],Sales_Performance[[#This Row],[Customer ID]]),
   "New Customer",
   "Returning Customer"
)</f>
        <v>Returning Customer</v>
      </c>
    </row>
    <row r="344" spans="1:10" x14ac:dyDescent="0.35">
      <c r="A344" t="s">
        <v>984</v>
      </c>
      <c r="B344" s="1">
        <v>45034</v>
      </c>
      <c r="C344" t="s">
        <v>1075</v>
      </c>
      <c r="D344" t="s">
        <v>15</v>
      </c>
      <c r="E344">
        <v>22</v>
      </c>
      <c r="F344" t="s">
        <v>18</v>
      </c>
      <c r="G344">
        <v>4</v>
      </c>
      <c r="H344" s="2">
        <v>25</v>
      </c>
      <c r="I344" s="2">
        <v>100</v>
      </c>
      <c r="J344" s="1" t="str">
        <f>IF(
   Sales_Performance[[#This Row],[Date]] = _xlfn.MINIFS(Sales_Performance[Date],Sales_Performance[Customer ID],Sales_Performance[[#This Row],[Customer ID]]),
   "New Customer",
   "Returning Customer"
)</f>
        <v>New Customer</v>
      </c>
    </row>
    <row r="345" spans="1:10" x14ac:dyDescent="0.35">
      <c r="A345" t="s">
        <v>1067</v>
      </c>
      <c r="B345" s="1">
        <v>45102</v>
      </c>
      <c r="C345" t="s">
        <v>642</v>
      </c>
      <c r="D345" t="s">
        <v>15</v>
      </c>
      <c r="E345">
        <v>46</v>
      </c>
      <c r="F345" t="s">
        <v>11</v>
      </c>
      <c r="G345">
        <v>3</v>
      </c>
      <c r="H345" s="2">
        <v>300</v>
      </c>
      <c r="I345" s="2">
        <v>900</v>
      </c>
      <c r="J345" s="1" t="str">
        <f>IF(
   Sales_Performance[[#This Row],[Date]] = _xlfn.MINIFS(Sales_Performance[Date],Sales_Performance[Customer ID],Sales_Performance[[#This Row],[Customer ID]]),
   "New Customer",
   "Returning Customer"
)</f>
        <v>Returning Customer</v>
      </c>
    </row>
    <row r="346" spans="1:10" x14ac:dyDescent="0.35">
      <c r="A346" t="s">
        <v>282</v>
      </c>
      <c r="B346" s="1">
        <v>45031</v>
      </c>
      <c r="C346" t="s">
        <v>682</v>
      </c>
      <c r="D346" t="s">
        <v>15</v>
      </c>
      <c r="E346">
        <v>64</v>
      </c>
      <c r="F346" t="s">
        <v>18</v>
      </c>
      <c r="G346">
        <v>1</v>
      </c>
      <c r="H346" s="2">
        <v>500</v>
      </c>
      <c r="I346" s="2">
        <v>500</v>
      </c>
      <c r="J346" s="1" t="str">
        <f>IF(
   Sales_Performance[[#This Row],[Date]] = _xlfn.MINIFS(Sales_Performance[Date],Sales_Performance[Customer ID],Sales_Performance[[#This Row],[Customer ID]]),
   "New Customer",
   "Returning Customer"
)</f>
        <v>New Customer</v>
      </c>
    </row>
    <row r="347" spans="1:10" x14ac:dyDescent="0.35">
      <c r="A347" t="s">
        <v>85</v>
      </c>
      <c r="B347" s="1">
        <v>45278</v>
      </c>
      <c r="C347" t="s">
        <v>1354</v>
      </c>
      <c r="D347" t="s">
        <v>15</v>
      </c>
      <c r="E347">
        <v>21</v>
      </c>
      <c r="F347" t="s">
        <v>11</v>
      </c>
      <c r="G347">
        <v>3</v>
      </c>
      <c r="H347" s="2">
        <v>300</v>
      </c>
      <c r="I347" s="2">
        <v>900</v>
      </c>
      <c r="J347" s="1" t="str">
        <f>IF(
   Sales_Performance[[#This Row],[Date]] = _xlfn.MINIFS(Sales_Performance[Date],Sales_Performance[Customer ID],Sales_Performance[[#This Row],[Customer ID]]),
   "New Customer",
   "Returning Customer"
)</f>
        <v>New Customer</v>
      </c>
    </row>
    <row r="348" spans="1:10" x14ac:dyDescent="0.35">
      <c r="A348" t="s">
        <v>578</v>
      </c>
      <c r="B348" s="1">
        <v>44979</v>
      </c>
      <c r="C348" t="s">
        <v>521</v>
      </c>
      <c r="D348" t="s">
        <v>10</v>
      </c>
      <c r="E348">
        <v>34</v>
      </c>
      <c r="F348" t="s">
        <v>16</v>
      </c>
      <c r="G348">
        <v>2</v>
      </c>
      <c r="H348" s="2">
        <v>25</v>
      </c>
      <c r="I348" s="2">
        <v>50</v>
      </c>
      <c r="J348" s="1" t="str">
        <f>IF(
   Sales_Performance[[#This Row],[Date]] = _xlfn.MINIFS(Sales_Performance[Date],Sales_Performance[Customer ID],Sales_Performance[[#This Row],[Customer ID]]),
   "New Customer",
   "Returning Customer"
)</f>
        <v>New Customer</v>
      </c>
    </row>
    <row r="349" spans="1:10" x14ac:dyDescent="0.35">
      <c r="A349" t="s">
        <v>153</v>
      </c>
      <c r="B349" s="1">
        <v>45251</v>
      </c>
      <c r="C349" t="s">
        <v>1031</v>
      </c>
      <c r="D349" t="s">
        <v>15</v>
      </c>
      <c r="E349">
        <v>29</v>
      </c>
      <c r="F349" t="s">
        <v>16</v>
      </c>
      <c r="G349">
        <v>2</v>
      </c>
      <c r="H349" s="2">
        <v>50</v>
      </c>
      <c r="I349" s="2">
        <v>100</v>
      </c>
      <c r="J349" s="1" t="str">
        <f>IF(
   Sales_Performance[[#This Row],[Date]] = _xlfn.MINIFS(Sales_Performance[Date],Sales_Performance[Customer ID],Sales_Performance[[#This Row],[Customer ID]]),
   "New Customer",
   "Returning Customer"
)</f>
        <v>Returning Customer</v>
      </c>
    </row>
    <row r="350" spans="1:10" x14ac:dyDescent="0.35">
      <c r="A350" t="s">
        <v>1074</v>
      </c>
      <c r="B350" s="1">
        <v>45062</v>
      </c>
      <c r="C350" t="s">
        <v>1150</v>
      </c>
      <c r="D350" t="s">
        <v>10</v>
      </c>
      <c r="E350">
        <v>62</v>
      </c>
      <c r="F350" t="s">
        <v>11</v>
      </c>
      <c r="G350">
        <v>4</v>
      </c>
      <c r="H350" s="2">
        <v>50</v>
      </c>
      <c r="I350" s="2">
        <v>200</v>
      </c>
      <c r="J350" s="1" t="str">
        <f>IF(
   Sales_Performance[[#This Row],[Date]] = _xlfn.MINIFS(Sales_Performance[Date],Sales_Performance[Customer ID],Sales_Performance[[#This Row],[Customer ID]]),
   "New Customer",
   "Returning Customer"
)</f>
        <v>New Customer</v>
      </c>
    </row>
    <row r="351" spans="1:10" x14ac:dyDescent="0.35">
      <c r="A351" t="s">
        <v>195</v>
      </c>
      <c r="B351" s="1">
        <v>45185</v>
      </c>
      <c r="C351" t="s">
        <v>253</v>
      </c>
      <c r="D351" t="s">
        <v>15</v>
      </c>
      <c r="E351">
        <v>19</v>
      </c>
      <c r="F351" t="s">
        <v>11</v>
      </c>
      <c r="G351">
        <v>4</v>
      </c>
      <c r="H351" s="2">
        <v>500</v>
      </c>
      <c r="I351" s="2">
        <v>2000</v>
      </c>
      <c r="J351" s="1" t="str">
        <f>IF(
   Sales_Performance[[#This Row],[Date]] = _xlfn.MINIFS(Sales_Performance[Date],Sales_Performance[Customer ID],Sales_Performance[[#This Row],[Customer ID]]),
   "New Customer",
   "Returning Customer"
)</f>
        <v>New Customer</v>
      </c>
    </row>
    <row r="352" spans="1:10" x14ac:dyDescent="0.35">
      <c r="A352" t="s">
        <v>746</v>
      </c>
      <c r="B352" s="1">
        <v>45177</v>
      </c>
      <c r="C352" t="s">
        <v>1441</v>
      </c>
      <c r="D352" t="s">
        <v>15</v>
      </c>
      <c r="E352">
        <v>44</v>
      </c>
      <c r="F352" t="s">
        <v>18</v>
      </c>
      <c r="G352">
        <v>3</v>
      </c>
      <c r="H352" s="2">
        <v>25</v>
      </c>
      <c r="I352" s="2">
        <v>75</v>
      </c>
      <c r="J352" s="1" t="str">
        <f>IF(
   Sales_Performance[[#This Row],[Date]] = _xlfn.MINIFS(Sales_Performance[Date],Sales_Performance[Customer ID],Sales_Performance[[#This Row],[Customer ID]]),
   "New Customer",
   "Returning Customer"
)</f>
        <v>Returning Customer</v>
      </c>
    </row>
    <row r="353" spans="1:10" x14ac:dyDescent="0.35">
      <c r="A353" t="s">
        <v>1313</v>
      </c>
      <c r="B353" s="1">
        <v>45055</v>
      </c>
      <c r="C353" t="s">
        <v>867</v>
      </c>
      <c r="D353" t="s">
        <v>10</v>
      </c>
      <c r="E353">
        <v>48</v>
      </c>
      <c r="F353" t="s">
        <v>18</v>
      </c>
      <c r="G353">
        <v>4</v>
      </c>
      <c r="H353" s="2">
        <v>25</v>
      </c>
      <c r="I353" s="2">
        <v>100</v>
      </c>
      <c r="J353" s="1" t="str">
        <f>IF(
   Sales_Performance[[#This Row],[Date]] = _xlfn.MINIFS(Sales_Performance[Date],Sales_Performance[Customer ID],Sales_Performance[[#This Row],[Customer ID]]),
   "New Customer",
   "Returning Customer"
)</f>
        <v>New Customer</v>
      </c>
    </row>
    <row r="354" spans="1:10" x14ac:dyDescent="0.35">
      <c r="A354" t="s">
        <v>655</v>
      </c>
      <c r="B354" s="1">
        <v>44953</v>
      </c>
      <c r="C354" t="s">
        <v>453</v>
      </c>
      <c r="D354" t="s">
        <v>10</v>
      </c>
      <c r="E354">
        <v>53</v>
      </c>
      <c r="F354" t="s">
        <v>16</v>
      </c>
      <c r="G354">
        <v>2</v>
      </c>
      <c r="H354" s="2">
        <v>30</v>
      </c>
      <c r="I354" s="2">
        <v>60</v>
      </c>
      <c r="J354" s="1" t="str">
        <f>IF(
   Sales_Performance[[#This Row],[Date]] = _xlfn.MINIFS(Sales_Performance[Date],Sales_Performance[Customer ID],Sales_Performance[[#This Row],[Customer ID]]),
   "New Customer",
   "Returning Customer"
)</f>
        <v>New Customer</v>
      </c>
    </row>
    <row r="355" spans="1:10" x14ac:dyDescent="0.35">
      <c r="A355" t="s">
        <v>1367</v>
      </c>
      <c r="B355" s="1">
        <v>44974</v>
      </c>
      <c r="C355" t="s">
        <v>386</v>
      </c>
      <c r="D355" t="s">
        <v>10</v>
      </c>
      <c r="E355">
        <v>53</v>
      </c>
      <c r="F355" t="s">
        <v>11</v>
      </c>
      <c r="G355">
        <v>4</v>
      </c>
      <c r="H355" s="2">
        <v>500</v>
      </c>
      <c r="I355" s="2">
        <v>2000</v>
      </c>
      <c r="J355" s="1" t="str">
        <f>IF(
   Sales_Performance[[#This Row],[Date]] = _xlfn.MINIFS(Sales_Performance[Date],Sales_Performance[Customer ID],Sales_Performance[[#This Row],[Customer ID]]),
   "New Customer",
   "Returning Customer"
)</f>
        <v>New Customer</v>
      </c>
    </row>
    <row r="356" spans="1:10" x14ac:dyDescent="0.35">
      <c r="A356" t="s">
        <v>1089</v>
      </c>
      <c r="B356" s="1">
        <v>45251</v>
      </c>
      <c r="C356" t="s">
        <v>827</v>
      </c>
      <c r="D356" t="s">
        <v>10</v>
      </c>
      <c r="E356">
        <v>43</v>
      </c>
      <c r="F356" t="s">
        <v>11</v>
      </c>
      <c r="G356">
        <v>3</v>
      </c>
      <c r="H356" s="2">
        <v>300</v>
      </c>
      <c r="I356" s="2">
        <v>900</v>
      </c>
      <c r="J356" s="1" t="str">
        <f>IF(
   Sales_Performance[[#This Row],[Date]] = _xlfn.MINIFS(Sales_Performance[Date],Sales_Performance[Customer ID],Sales_Performance[[#This Row],[Customer ID]]),
   "New Customer",
   "Returning Customer"
)</f>
        <v>Returning Customer</v>
      </c>
    </row>
    <row r="357" spans="1:10" x14ac:dyDescent="0.35">
      <c r="A357" t="s">
        <v>348</v>
      </c>
      <c r="B357" s="1">
        <v>45143</v>
      </c>
      <c r="C357" t="s">
        <v>1448</v>
      </c>
      <c r="D357" t="s">
        <v>15</v>
      </c>
      <c r="E357">
        <v>60</v>
      </c>
      <c r="F357" t="s">
        <v>11</v>
      </c>
      <c r="G357">
        <v>2</v>
      </c>
      <c r="H357" s="2">
        <v>500</v>
      </c>
      <c r="I357" s="2">
        <v>1000</v>
      </c>
      <c r="J357" s="1" t="str">
        <f>IF(
   Sales_Performance[[#This Row],[Date]] = _xlfn.MINIFS(Sales_Performance[Date],Sales_Performance[Customer ID],Sales_Performance[[#This Row],[Customer ID]]),
   "New Customer",
   "Returning Customer"
)</f>
        <v>New Customer</v>
      </c>
    </row>
    <row r="358" spans="1:10" x14ac:dyDescent="0.35">
      <c r="A358" t="s">
        <v>612</v>
      </c>
      <c r="B358" s="1">
        <v>45068</v>
      </c>
      <c r="C358" t="s">
        <v>971</v>
      </c>
      <c r="D358" t="s">
        <v>15</v>
      </c>
      <c r="E358">
        <v>44</v>
      </c>
      <c r="F358" t="s">
        <v>16</v>
      </c>
      <c r="G358">
        <v>3</v>
      </c>
      <c r="H358" s="2">
        <v>30</v>
      </c>
      <c r="I358" s="2">
        <v>90</v>
      </c>
      <c r="J358" s="1" t="str">
        <f>IF(
   Sales_Performance[[#This Row],[Date]] = _xlfn.MINIFS(Sales_Performance[Date],Sales_Performance[Customer ID],Sales_Performance[[#This Row],[Customer ID]]),
   "New Customer",
   "Returning Customer"
)</f>
        <v>Returning Customer</v>
      </c>
    </row>
    <row r="359" spans="1:10" x14ac:dyDescent="0.35">
      <c r="A359" t="s">
        <v>923</v>
      </c>
      <c r="B359" s="1">
        <v>44974</v>
      </c>
      <c r="C359" t="s">
        <v>241</v>
      </c>
      <c r="D359" t="s">
        <v>10</v>
      </c>
      <c r="E359">
        <v>22</v>
      </c>
      <c r="F359" t="s">
        <v>16</v>
      </c>
      <c r="G359">
        <v>3</v>
      </c>
      <c r="H359" s="2">
        <v>300</v>
      </c>
      <c r="I359" s="2">
        <v>900</v>
      </c>
      <c r="J359" s="1" t="str">
        <f>IF(
   Sales_Performance[[#This Row],[Date]] = _xlfn.MINIFS(Sales_Performance[Date],Sales_Performance[Customer ID],Sales_Performance[[#This Row],[Customer ID]]),
   "New Customer",
   "Returning Customer"
)</f>
        <v>New Customer</v>
      </c>
    </row>
    <row r="360" spans="1:10" x14ac:dyDescent="0.35">
      <c r="A360" t="s">
        <v>110</v>
      </c>
      <c r="B360" s="1">
        <v>44949</v>
      </c>
      <c r="C360" t="s">
        <v>234</v>
      </c>
      <c r="D360" t="s">
        <v>15</v>
      </c>
      <c r="E360">
        <v>22</v>
      </c>
      <c r="F360" t="s">
        <v>16</v>
      </c>
      <c r="G360">
        <v>4</v>
      </c>
      <c r="H360" s="2">
        <v>500</v>
      </c>
      <c r="I360" s="2">
        <v>2000</v>
      </c>
      <c r="J360" s="1" t="str">
        <f>IF(
   Sales_Performance[[#This Row],[Date]] = _xlfn.MINIFS(Sales_Performance[Date],Sales_Performance[Customer ID],Sales_Performance[[#This Row],[Customer ID]]),
   "New Customer",
   "Returning Customer"
)</f>
        <v>New Customer</v>
      </c>
    </row>
    <row r="361" spans="1:10" x14ac:dyDescent="0.35">
      <c r="A361" t="s">
        <v>141</v>
      </c>
      <c r="B361" s="1">
        <v>44928</v>
      </c>
      <c r="C361" t="s">
        <v>351</v>
      </c>
      <c r="D361" t="s">
        <v>15</v>
      </c>
      <c r="E361">
        <v>37</v>
      </c>
      <c r="F361" t="s">
        <v>16</v>
      </c>
      <c r="G361">
        <v>3</v>
      </c>
      <c r="H361" s="2">
        <v>500</v>
      </c>
      <c r="I361" s="2">
        <v>1500</v>
      </c>
      <c r="J361" s="1" t="str">
        <f>IF(
   Sales_Performance[[#This Row],[Date]] = _xlfn.MINIFS(Sales_Performance[Date],Sales_Performance[Customer ID],Sales_Performance[[#This Row],[Customer ID]]),
   "New Customer",
   "Returning Customer"
)</f>
        <v>New Customer</v>
      </c>
    </row>
    <row r="362" spans="1:10" x14ac:dyDescent="0.35">
      <c r="A362" t="s">
        <v>1247</v>
      </c>
      <c r="B362" s="1">
        <v>45097</v>
      </c>
      <c r="C362" t="s">
        <v>453</v>
      </c>
      <c r="D362" t="s">
        <v>15</v>
      </c>
      <c r="E362">
        <v>28</v>
      </c>
      <c r="F362" t="s">
        <v>16</v>
      </c>
      <c r="G362">
        <v>3</v>
      </c>
      <c r="H362" s="2">
        <v>30</v>
      </c>
      <c r="I362" s="2">
        <v>90</v>
      </c>
      <c r="J362" s="1" t="str">
        <f>IF(
   Sales_Performance[[#This Row],[Date]] = _xlfn.MINIFS(Sales_Performance[Date],Sales_Performance[Customer ID],Sales_Performance[[#This Row],[Customer ID]]),
   "New Customer",
   "Returning Customer"
)</f>
        <v>Returning Customer</v>
      </c>
    </row>
    <row r="363" spans="1:10" x14ac:dyDescent="0.35">
      <c r="A363" t="s">
        <v>40</v>
      </c>
      <c r="B363" s="1">
        <v>44993</v>
      </c>
      <c r="C363" t="s">
        <v>675</v>
      </c>
      <c r="D363" t="s">
        <v>15</v>
      </c>
      <c r="E363">
        <v>27</v>
      </c>
      <c r="F363" t="s">
        <v>16</v>
      </c>
      <c r="G363">
        <v>1</v>
      </c>
      <c r="H363" s="2">
        <v>25</v>
      </c>
      <c r="I363" s="2">
        <v>25</v>
      </c>
      <c r="J363" s="1" t="str">
        <f>IF(
   Sales_Performance[[#This Row],[Date]] = _xlfn.MINIFS(Sales_Performance[Date],Sales_Performance[Customer ID],Sales_Performance[[#This Row],[Customer ID]]),
   "New Customer",
   "Returning Customer"
)</f>
        <v>New Customer</v>
      </c>
    </row>
    <row r="364" spans="1:10" x14ac:dyDescent="0.35">
      <c r="A364" t="s">
        <v>401</v>
      </c>
      <c r="B364" s="1">
        <v>45253</v>
      </c>
      <c r="C364" t="s">
        <v>330</v>
      </c>
      <c r="D364" t="s">
        <v>10</v>
      </c>
      <c r="E364">
        <v>57</v>
      </c>
      <c r="F364" t="s">
        <v>18</v>
      </c>
      <c r="G364">
        <v>4</v>
      </c>
      <c r="H364" s="2">
        <v>300</v>
      </c>
      <c r="I364" s="2">
        <v>1200</v>
      </c>
      <c r="J364" s="1" t="str">
        <f>IF(
   Sales_Performance[[#This Row],[Date]] = _xlfn.MINIFS(Sales_Performance[Date],Sales_Performance[Customer ID],Sales_Performance[[#This Row],[Customer ID]]),
   "New Customer",
   "Returning Customer"
)</f>
        <v>Returning Customer</v>
      </c>
    </row>
    <row r="365" spans="1:10" x14ac:dyDescent="0.35">
      <c r="A365" t="s">
        <v>919</v>
      </c>
      <c r="B365" s="1">
        <v>45061</v>
      </c>
      <c r="C365" t="s">
        <v>857</v>
      </c>
      <c r="D365" t="s">
        <v>15</v>
      </c>
      <c r="E365">
        <v>55</v>
      </c>
      <c r="F365" t="s">
        <v>11</v>
      </c>
      <c r="G365">
        <v>4</v>
      </c>
      <c r="H365" s="2">
        <v>30</v>
      </c>
      <c r="I365" s="2">
        <v>120</v>
      </c>
      <c r="J365" s="1" t="str">
        <f>IF(
   Sales_Performance[[#This Row],[Date]] = _xlfn.MINIFS(Sales_Performance[Date],Sales_Performance[Customer ID],Sales_Performance[[#This Row],[Customer ID]]),
   "New Customer",
   "Returning Customer"
)</f>
        <v>New Customer</v>
      </c>
    </row>
    <row r="366" spans="1:10" x14ac:dyDescent="0.35">
      <c r="A366" t="s">
        <v>846</v>
      </c>
      <c r="B366" s="1">
        <v>45009</v>
      </c>
      <c r="C366" t="s">
        <v>1182</v>
      </c>
      <c r="D366" t="s">
        <v>10</v>
      </c>
      <c r="E366">
        <v>23</v>
      </c>
      <c r="F366" t="s">
        <v>11</v>
      </c>
      <c r="G366">
        <v>3</v>
      </c>
      <c r="H366" s="2">
        <v>50</v>
      </c>
      <c r="I366" s="2">
        <v>150</v>
      </c>
      <c r="J366" s="1" t="str">
        <f>IF(
   Sales_Performance[[#This Row],[Date]] = _xlfn.MINIFS(Sales_Performance[Date],Sales_Performance[Customer ID],Sales_Performance[[#This Row],[Customer ID]]),
   "New Customer",
   "Returning Customer"
)</f>
        <v>New Customer</v>
      </c>
    </row>
    <row r="367" spans="1:10" x14ac:dyDescent="0.35">
      <c r="A367" t="s">
        <v>544</v>
      </c>
      <c r="B367" s="1">
        <v>45153</v>
      </c>
      <c r="C367" t="s">
        <v>1408</v>
      </c>
      <c r="D367" t="s">
        <v>10</v>
      </c>
      <c r="E367">
        <v>25</v>
      </c>
      <c r="F367" t="s">
        <v>11</v>
      </c>
      <c r="G367">
        <v>1</v>
      </c>
      <c r="H367" s="2">
        <v>25</v>
      </c>
      <c r="I367" s="2">
        <v>25</v>
      </c>
      <c r="J367" s="1" t="str">
        <f>IF(
   Sales_Performance[[#This Row],[Date]] = _xlfn.MINIFS(Sales_Performance[Date],Sales_Performance[Customer ID],Sales_Performance[[#This Row],[Customer ID]]),
   "New Customer",
   "Returning Customer"
)</f>
        <v>Returning Customer</v>
      </c>
    </row>
    <row r="368" spans="1:10" x14ac:dyDescent="0.35">
      <c r="A368" t="s">
        <v>1126</v>
      </c>
      <c r="B368" s="1">
        <v>45209</v>
      </c>
      <c r="C368" t="s">
        <v>1481</v>
      </c>
      <c r="D368" t="s">
        <v>15</v>
      </c>
      <c r="E368">
        <v>40</v>
      </c>
      <c r="F368" t="s">
        <v>11</v>
      </c>
      <c r="G368">
        <v>4</v>
      </c>
      <c r="H368" s="2">
        <v>50</v>
      </c>
      <c r="I368" s="2">
        <v>200</v>
      </c>
      <c r="J368" s="1" t="str">
        <f>IF(
   Sales_Performance[[#This Row],[Date]] = _xlfn.MINIFS(Sales_Performance[Date],Sales_Performance[Customer ID],Sales_Performance[[#This Row],[Customer ID]]),
   "New Customer",
   "Returning Customer"
)</f>
        <v>Returning Customer</v>
      </c>
    </row>
    <row r="369" spans="1:10" x14ac:dyDescent="0.35">
      <c r="A369" t="s">
        <v>1149</v>
      </c>
      <c r="B369" s="1">
        <v>45288</v>
      </c>
      <c r="C369" t="s">
        <v>154</v>
      </c>
      <c r="D369" t="s">
        <v>10</v>
      </c>
      <c r="E369">
        <v>64</v>
      </c>
      <c r="F369" t="s">
        <v>11</v>
      </c>
      <c r="G369">
        <v>2</v>
      </c>
      <c r="H369" s="2">
        <v>25</v>
      </c>
      <c r="I369" s="2">
        <v>50</v>
      </c>
      <c r="J369" s="1" t="str">
        <f>IF(
   Sales_Performance[[#This Row],[Date]] = _xlfn.MINIFS(Sales_Performance[Date],Sales_Performance[Customer ID],Sales_Performance[[#This Row],[Customer ID]]),
   "New Customer",
   "Returning Customer"
)</f>
        <v>Returning Customer</v>
      </c>
    </row>
    <row r="370" spans="1:10" x14ac:dyDescent="0.35">
      <c r="A370" t="s">
        <v>1192</v>
      </c>
      <c r="B370" s="1">
        <v>45121</v>
      </c>
      <c r="C370" t="s">
        <v>325</v>
      </c>
      <c r="D370" t="s">
        <v>15</v>
      </c>
      <c r="E370">
        <v>48</v>
      </c>
      <c r="F370" t="s">
        <v>16</v>
      </c>
      <c r="G370">
        <v>1</v>
      </c>
      <c r="H370" s="2">
        <v>300</v>
      </c>
      <c r="I370" s="2">
        <v>300</v>
      </c>
      <c r="J370" s="1" t="str">
        <f>IF(
   Sales_Performance[[#This Row],[Date]] = _xlfn.MINIFS(Sales_Performance[Date],Sales_Performance[Customer ID],Sales_Performance[[#This Row],[Customer ID]]),
   "New Customer",
   "Returning Customer"
)</f>
        <v>Returning Customer</v>
      </c>
    </row>
    <row r="371" spans="1:10" x14ac:dyDescent="0.35">
      <c r="A371" t="s">
        <v>928</v>
      </c>
      <c r="B371" s="1">
        <v>45145</v>
      </c>
      <c r="C371" t="s">
        <v>307</v>
      </c>
      <c r="D371" t="s">
        <v>15</v>
      </c>
      <c r="E371">
        <v>43</v>
      </c>
      <c r="F371" t="s">
        <v>11</v>
      </c>
      <c r="G371">
        <v>3</v>
      </c>
      <c r="H371" s="2">
        <v>300</v>
      </c>
      <c r="I371" s="2">
        <v>900</v>
      </c>
      <c r="J371" s="1" t="str">
        <f>IF(
   Sales_Performance[[#This Row],[Date]] = _xlfn.MINIFS(Sales_Performance[Date],Sales_Performance[Customer ID],Sales_Performance[[#This Row],[Customer ID]]),
   "New Customer",
   "Returning Customer"
)</f>
        <v>New Customer</v>
      </c>
    </row>
    <row r="372" spans="1:10" x14ac:dyDescent="0.35">
      <c r="A372" t="s">
        <v>144</v>
      </c>
      <c r="B372" s="1">
        <v>45214</v>
      </c>
      <c r="C372" t="s">
        <v>1318</v>
      </c>
      <c r="D372" t="s">
        <v>10</v>
      </c>
      <c r="E372">
        <v>63</v>
      </c>
      <c r="F372" t="s">
        <v>11</v>
      </c>
      <c r="G372">
        <v>4</v>
      </c>
      <c r="H372" s="2">
        <v>300</v>
      </c>
      <c r="I372" s="2">
        <v>1200</v>
      </c>
      <c r="J372" s="1" t="str">
        <f>IF(
   Sales_Performance[[#This Row],[Date]] = _xlfn.MINIFS(Sales_Performance[Date],Sales_Performance[Customer ID],Sales_Performance[[#This Row],[Customer ID]]),
   "New Customer",
   "Returning Customer"
)</f>
        <v>Returning Customer</v>
      </c>
    </row>
    <row r="373" spans="1:10" x14ac:dyDescent="0.35">
      <c r="A373" t="s">
        <v>133</v>
      </c>
      <c r="B373" s="1">
        <v>44931</v>
      </c>
      <c r="C373" t="s">
        <v>1472</v>
      </c>
      <c r="D373" t="s">
        <v>15</v>
      </c>
      <c r="E373">
        <v>60</v>
      </c>
      <c r="F373" t="s">
        <v>11</v>
      </c>
      <c r="G373">
        <v>2</v>
      </c>
      <c r="H373" s="2">
        <v>500</v>
      </c>
      <c r="I373" s="2">
        <v>1000</v>
      </c>
      <c r="J373" s="1" t="str">
        <f>IF(
   Sales_Performance[[#This Row],[Date]] = _xlfn.MINIFS(Sales_Performance[Date],Sales_Performance[Customer ID],Sales_Performance[[#This Row],[Customer ID]]),
   "New Customer",
   "Returning Customer"
)</f>
        <v>New Customer</v>
      </c>
    </row>
    <row r="374" spans="1:10" x14ac:dyDescent="0.35">
      <c r="A374" t="s">
        <v>27</v>
      </c>
      <c r="B374" s="1">
        <v>44984</v>
      </c>
      <c r="C374" t="s">
        <v>1155</v>
      </c>
      <c r="D374" t="s">
        <v>10</v>
      </c>
      <c r="E374">
        <v>29</v>
      </c>
      <c r="F374" t="s">
        <v>18</v>
      </c>
      <c r="G374">
        <v>4</v>
      </c>
      <c r="H374" s="2">
        <v>50</v>
      </c>
      <c r="I374" s="2">
        <v>200</v>
      </c>
      <c r="J374" s="1" t="str">
        <f>IF(
   Sales_Performance[[#This Row],[Date]] = _xlfn.MINIFS(Sales_Performance[Date],Sales_Performance[Customer ID],Sales_Performance[[#This Row],[Customer ID]]),
   "New Customer",
   "Returning Customer"
)</f>
        <v>New Customer</v>
      </c>
    </row>
    <row r="375" spans="1:10" x14ac:dyDescent="0.35">
      <c r="A375" t="s">
        <v>1056</v>
      </c>
      <c r="B375" s="1">
        <v>44965</v>
      </c>
      <c r="C375" t="s">
        <v>30</v>
      </c>
      <c r="D375" t="s">
        <v>15</v>
      </c>
      <c r="E375">
        <v>43</v>
      </c>
      <c r="F375" t="s">
        <v>11</v>
      </c>
      <c r="G375">
        <v>2</v>
      </c>
      <c r="H375" s="2">
        <v>25</v>
      </c>
      <c r="I375" s="2">
        <v>50</v>
      </c>
      <c r="J375" s="1" t="str">
        <f>IF(
   Sales_Performance[[#This Row],[Date]] = _xlfn.MINIFS(Sales_Performance[Date],Sales_Performance[Customer ID],Sales_Performance[[#This Row],[Customer ID]]),
   "New Customer",
   "Returning Customer"
)</f>
        <v>Returning Customer</v>
      </c>
    </row>
    <row r="376" spans="1:10" x14ac:dyDescent="0.35">
      <c r="A376" t="s">
        <v>1319</v>
      </c>
      <c r="B376" s="1">
        <v>45280</v>
      </c>
      <c r="C376" t="s">
        <v>896</v>
      </c>
      <c r="D376" t="s">
        <v>15</v>
      </c>
      <c r="E376">
        <v>30</v>
      </c>
      <c r="F376" t="s">
        <v>18</v>
      </c>
      <c r="G376">
        <v>3</v>
      </c>
      <c r="H376" s="2">
        <v>300</v>
      </c>
      <c r="I376" s="2">
        <v>900</v>
      </c>
      <c r="J376" s="1" t="str">
        <f>IF(
   Sales_Performance[[#This Row],[Date]] = _xlfn.MINIFS(Sales_Performance[Date],Sales_Performance[Customer ID],Sales_Performance[[#This Row],[Customer ID]]),
   "New Customer",
   "Returning Customer"
)</f>
        <v>New Customer</v>
      </c>
    </row>
    <row r="377" spans="1:10" x14ac:dyDescent="0.35">
      <c r="A377" t="s">
        <v>459</v>
      </c>
      <c r="B377" s="1">
        <v>45003</v>
      </c>
      <c r="C377" t="s">
        <v>172</v>
      </c>
      <c r="D377" t="s">
        <v>15</v>
      </c>
      <c r="E377">
        <v>57</v>
      </c>
      <c r="F377" t="s">
        <v>16</v>
      </c>
      <c r="G377">
        <v>4</v>
      </c>
      <c r="H377" s="2">
        <v>30</v>
      </c>
      <c r="I377" s="2">
        <v>120</v>
      </c>
      <c r="J377" s="1" t="str">
        <f>IF(
   Sales_Performance[[#This Row],[Date]] = _xlfn.MINIFS(Sales_Performance[Date],Sales_Performance[Customer ID],Sales_Performance[[#This Row],[Customer ID]]),
   "New Customer",
   "Returning Customer"
)</f>
        <v>New Customer</v>
      </c>
    </row>
    <row r="378" spans="1:10" x14ac:dyDescent="0.35">
      <c r="A378" t="s">
        <v>1160</v>
      </c>
      <c r="B378" s="1">
        <v>45206</v>
      </c>
      <c r="C378" t="s">
        <v>1020</v>
      </c>
      <c r="D378" t="s">
        <v>15</v>
      </c>
      <c r="E378">
        <v>35</v>
      </c>
      <c r="F378" t="s">
        <v>11</v>
      </c>
      <c r="G378">
        <v>4</v>
      </c>
      <c r="H378" s="2">
        <v>300</v>
      </c>
      <c r="I378" s="2">
        <v>1200</v>
      </c>
      <c r="J378" s="1" t="str">
        <f>IF(
   Sales_Performance[[#This Row],[Date]] = _xlfn.MINIFS(Sales_Performance[Date],Sales_Performance[Customer ID],Sales_Performance[[#This Row],[Customer ID]]),
   "New Customer",
   "Returning Customer"
)</f>
        <v>Returning Customer</v>
      </c>
    </row>
    <row r="379" spans="1:10" x14ac:dyDescent="0.35">
      <c r="A379" t="s">
        <v>468</v>
      </c>
      <c r="B379" s="1">
        <v>44945</v>
      </c>
      <c r="C379" t="s">
        <v>1004</v>
      </c>
      <c r="D379" t="s">
        <v>15</v>
      </c>
      <c r="E379">
        <v>42</v>
      </c>
      <c r="F379" t="s">
        <v>16</v>
      </c>
      <c r="G379">
        <v>1</v>
      </c>
      <c r="H379" s="2">
        <v>30</v>
      </c>
      <c r="I379" s="2">
        <v>30</v>
      </c>
      <c r="J379" s="1" t="str">
        <f>IF(
   Sales_Performance[[#This Row],[Date]] = _xlfn.MINIFS(Sales_Performance[Date],Sales_Performance[Customer ID],Sales_Performance[[#This Row],[Customer ID]]),
   "New Customer",
   "Returning Customer"
)</f>
        <v>New Customer</v>
      </c>
    </row>
    <row r="380" spans="1:10" x14ac:dyDescent="0.35">
      <c r="A380" t="s">
        <v>1255</v>
      </c>
      <c r="B380" s="1">
        <v>45116</v>
      </c>
      <c r="C380" t="s">
        <v>789</v>
      </c>
      <c r="D380" t="s">
        <v>10</v>
      </c>
      <c r="E380">
        <v>50</v>
      </c>
      <c r="F380" t="s">
        <v>16</v>
      </c>
      <c r="G380">
        <v>3</v>
      </c>
      <c r="H380" s="2">
        <v>25</v>
      </c>
      <c r="I380" s="2">
        <v>75</v>
      </c>
      <c r="J380" s="1" t="str">
        <f>IF(
   Sales_Performance[[#This Row],[Date]] = _xlfn.MINIFS(Sales_Performance[Date],Sales_Performance[Customer ID],Sales_Performance[[#This Row],[Customer ID]]),
   "New Customer",
   "Returning Customer"
)</f>
        <v>Returning Customer</v>
      </c>
    </row>
    <row r="381" spans="1:10" x14ac:dyDescent="0.35">
      <c r="A381" t="s">
        <v>200</v>
      </c>
      <c r="B381" s="1">
        <v>44976</v>
      </c>
      <c r="C381" t="s">
        <v>101</v>
      </c>
      <c r="D381" t="s">
        <v>15</v>
      </c>
      <c r="E381">
        <v>22</v>
      </c>
      <c r="F381" t="s">
        <v>16</v>
      </c>
      <c r="G381">
        <v>1</v>
      </c>
      <c r="H381" s="2">
        <v>25</v>
      </c>
      <c r="I381" s="2">
        <v>25</v>
      </c>
      <c r="J381" s="1" t="str">
        <f>IF(
   Sales_Performance[[#This Row],[Date]] = _xlfn.MINIFS(Sales_Performance[Date],Sales_Performance[Customer ID],Sales_Performance[[#This Row],[Customer ID]]),
   "New Customer",
   "Returning Customer"
)</f>
        <v>New Customer</v>
      </c>
    </row>
    <row r="382" spans="1:10" x14ac:dyDescent="0.35">
      <c r="A382" t="s">
        <v>1026</v>
      </c>
      <c r="B382" s="1">
        <v>45225</v>
      </c>
      <c r="C382" t="s">
        <v>909</v>
      </c>
      <c r="D382" t="s">
        <v>10</v>
      </c>
      <c r="E382">
        <v>64</v>
      </c>
      <c r="F382" t="s">
        <v>16</v>
      </c>
      <c r="G382">
        <v>2</v>
      </c>
      <c r="H382" s="2">
        <v>300</v>
      </c>
      <c r="I382" s="2">
        <v>600</v>
      </c>
      <c r="J382" s="1" t="str">
        <f>IF(
   Sales_Performance[[#This Row],[Date]] = _xlfn.MINIFS(Sales_Performance[Date],Sales_Performance[Customer ID],Sales_Performance[[#This Row],[Customer ID]]),
   "New Customer",
   "Returning Customer"
)</f>
        <v>Returning Customer</v>
      </c>
    </row>
    <row r="383" spans="1:10" x14ac:dyDescent="0.35">
      <c r="A383" t="s">
        <v>1131</v>
      </c>
      <c r="B383" s="1">
        <v>45209</v>
      </c>
      <c r="C383" t="s">
        <v>483</v>
      </c>
      <c r="D383" t="s">
        <v>10</v>
      </c>
      <c r="E383">
        <v>57</v>
      </c>
      <c r="F383" t="s">
        <v>18</v>
      </c>
      <c r="G383">
        <v>4</v>
      </c>
      <c r="H383" s="2">
        <v>300</v>
      </c>
      <c r="I383" s="2">
        <v>1200</v>
      </c>
      <c r="J383" s="1" t="str">
        <f>IF(
   Sales_Performance[[#This Row],[Date]] = _xlfn.MINIFS(Sales_Performance[Date],Sales_Performance[Customer ID],Sales_Performance[[#This Row],[Customer ID]]),
   "New Customer",
   "Returning Customer"
)</f>
        <v>Returning Customer</v>
      </c>
    </row>
    <row r="384" spans="1:10" x14ac:dyDescent="0.35">
      <c r="A384" t="s">
        <v>695</v>
      </c>
      <c r="B384" s="1">
        <v>45002</v>
      </c>
      <c r="C384" t="s">
        <v>922</v>
      </c>
      <c r="D384" t="s">
        <v>15</v>
      </c>
      <c r="E384">
        <v>60</v>
      </c>
      <c r="F384" t="s">
        <v>16</v>
      </c>
      <c r="G384">
        <v>4</v>
      </c>
      <c r="H384" s="2">
        <v>25</v>
      </c>
      <c r="I384" s="2">
        <v>100</v>
      </c>
      <c r="J384" s="1" t="str">
        <f>IF(
   Sales_Performance[[#This Row],[Date]] = _xlfn.MINIFS(Sales_Performance[Date],Sales_Performance[Customer ID],Sales_Performance[[#This Row],[Customer ID]]),
   "New Customer",
   "Returning Customer"
)</f>
        <v>New Customer</v>
      </c>
    </row>
    <row r="385" spans="1:10" x14ac:dyDescent="0.35">
      <c r="A385" t="s">
        <v>335</v>
      </c>
      <c r="B385" s="1">
        <v>45147</v>
      </c>
      <c r="C385" t="s">
        <v>1292</v>
      </c>
      <c r="D385" t="s">
        <v>10</v>
      </c>
      <c r="E385">
        <v>29</v>
      </c>
      <c r="F385" t="s">
        <v>16</v>
      </c>
      <c r="G385">
        <v>2</v>
      </c>
      <c r="H385" s="2">
        <v>300</v>
      </c>
      <c r="I385" s="2">
        <v>600</v>
      </c>
      <c r="J385" s="1" t="str">
        <f>IF(
   Sales_Performance[[#This Row],[Date]] = _xlfn.MINIFS(Sales_Performance[Date],Sales_Performance[Customer ID],Sales_Performance[[#This Row],[Customer ID]]),
   "New Customer",
   "Returning Customer"
)</f>
        <v>Returning Customer</v>
      </c>
    </row>
    <row r="386" spans="1:10" x14ac:dyDescent="0.35">
      <c r="A386" t="s">
        <v>1273</v>
      </c>
      <c r="B386" s="1">
        <v>44992</v>
      </c>
      <c r="C386" t="s">
        <v>761</v>
      </c>
      <c r="D386" t="s">
        <v>15</v>
      </c>
      <c r="E386">
        <v>61</v>
      </c>
      <c r="F386" t="s">
        <v>16</v>
      </c>
      <c r="G386">
        <v>3</v>
      </c>
      <c r="H386" s="2">
        <v>30</v>
      </c>
      <c r="I386" s="2">
        <v>90</v>
      </c>
      <c r="J386" s="1" t="str">
        <f>IF(
   Sales_Performance[[#This Row],[Date]] = _xlfn.MINIFS(Sales_Performance[Date],Sales_Performance[Customer ID],Sales_Performance[[#This Row],[Customer ID]]),
   "New Customer",
   "Returning Customer"
)</f>
        <v>New Customer</v>
      </c>
    </row>
    <row r="387" spans="1:10" x14ac:dyDescent="0.35">
      <c r="A387" t="s">
        <v>1463</v>
      </c>
      <c r="B387" s="1">
        <v>44948</v>
      </c>
      <c r="C387" t="s">
        <v>13</v>
      </c>
      <c r="D387" t="s">
        <v>15</v>
      </c>
      <c r="E387">
        <v>53</v>
      </c>
      <c r="F387" t="s">
        <v>11</v>
      </c>
      <c r="G387">
        <v>1</v>
      </c>
      <c r="H387" s="2">
        <v>300</v>
      </c>
      <c r="I387" s="2">
        <v>300</v>
      </c>
      <c r="J387" s="1" t="str">
        <f>IF(
   Sales_Performance[[#This Row],[Date]] = _xlfn.MINIFS(Sales_Performance[Date],Sales_Performance[Customer ID],Sales_Performance[[#This Row],[Customer ID]]),
   "New Customer",
   "Returning Customer"
)</f>
        <v>New Customer</v>
      </c>
    </row>
    <row r="388" spans="1:10" x14ac:dyDescent="0.35">
      <c r="A388" t="s">
        <v>270</v>
      </c>
      <c r="B388" s="1">
        <v>45084</v>
      </c>
      <c r="C388" t="s">
        <v>399</v>
      </c>
      <c r="D388" t="s">
        <v>10</v>
      </c>
      <c r="E388">
        <v>21</v>
      </c>
      <c r="F388" t="s">
        <v>11</v>
      </c>
      <c r="G388">
        <v>1</v>
      </c>
      <c r="H388" s="2">
        <v>50</v>
      </c>
      <c r="I388" s="2">
        <v>50</v>
      </c>
      <c r="J388" s="1" t="str">
        <f>IF(
   Sales_Performance[[#This Row],[Date]] = _xlfn.MINIFS(Sales_Performance[Date],Sales_Performance[Customer ID],Sales_Performance[[#This Row],[Customer ID]]),
   "New Customer",
   "Returning Customer"
)</f>
        <v>New Customer</v>
      </c>
    </row>
    <row r="389" spans="1:10" x14ac:dyDescent="0.35">
      <c r="A389" t="s">
        <v>376</v>
      </c>
      <c r="B389" s="1">
        <v>45113</v>
      </c>
      <c r="C389" t="s">
        <v>1000</v>
      </c>
      <c r="D389" t="s">
        <v>10</v>
      </c>
      <c r="E389">
        <v>22</v>
      </c>
      <c r="F389" t="s">
        <v>18</v>
      </c>
      <c r="G389">
        <v>4</v>
      </c>
      <c r="H389" s="2">
        <v>500</v>
      </c>
      <c r="I389" s="2">
        <v>2000</v>
      </c>
      <c r="J389" s="1" t="str">
        <f>IF(
   Sales_Performance[[#This Row],[Date]] = _xlfn.MINIFS(Sales_Performance[Date],Sales_Performance[Customer ID],Sales_Performance[[#This Row],[Customer ID]]),
   "New Customer",
   "Returning Customer"
)</f>
        <v>New Customer</v>
      </c>
    </row>
    <row r="390" spans="1:10" x14ac:dyDescent="0.35">
      <c r="A390" t="s">
        <v>479</v>
      </c>
      <c r="B390" s="1">
        <v>44947</v>
      </c>
      <c r="C390" t="s">
        <v>688</v>
      </c>
      <c r="D390" t="s">
        <v>15</v>
      </c>
      <c r="E390">
        <v>54</v>
      </c>
      <c r="F390" t="s">
        <v>18</v>
      </c>
      <c r="G390">
        <v>2</v>
      </c>
      <c r="H390" s="2">
        <v>30</v>
      </c>
      <c r="I390" s="2">
        <v>60</v>
      </c>
      <c r="J390" s="1" t="str">
        <f>IF(
   Sales_Performance[[#This Row],[Date]] = _xlfn.MINIFS(Sales_Performance[Date],Sales_Performance[Customer ID],Sales_Performance[[#This Row],[Customer ID]]),
   "New Customer",
   "Returning Customer"
)</f>
        <v>New Customer</v>
      </c>
    </row>
    <row r="391" spans="1:10" x14ac:dyDescent="0.35">
      <c r="A391" t="s">
        <v>1403</v>
      </c>
      <c r="B391" s="1">
        <v>45110</v>
      </c>
      <c r="C391" t="s">
        <v>476</v>
      </c>
      <c r="D391" t="s">
        <v>10</v>
      </c>
      <c r="E391">
        <v>25</v>
      </c>
      <c r="F391" t="s">
        <v>11</v>
      </c>
      <c r="G391">
        <v>4</v>
      </c>
      <c r="H391" s="2">
        <v>50</v>
      </c>
      <c r="I391" s="2">
        <v>200</v>
      </c>
      <c r="J391" s="1" t="str">
        <f>IF(
   Sales_Performance[[#This Row],[Date]] = _xlfn.MINIFS(Sales_Performance[Date],Sales_Performance[Customer ID],Sales_Performance[[#This Row],[Customer ID]]),
   "New Customer",
   "Returning Customer"
)</f>
        <v>New Customer</v>
      </c>
    </row>
    <row r="392" spans="1:10" x14ac:dyDescent="0.35">
      <c r="A392" t="s">
        <v>1461</v>
      </c>
      <c r="B392" s="1">
        <v>45110</v>
      </c>
      <c r="C392" t="s">
        <v>55</v>
      </c>
      <c r="D392" t="s">
        <v>15</v>
      </c>
      <c r="E392">
        <v>55</v>
      </c>
      <c r="F392" t="s">
        <v>11</v>
      </c>
      <c r="G392">
        <v>1</v>
      </c>
      <c r="H392" s="2">
        <v>30</v>
      </c>
      <c r="I392" s="2">
        <v>30</v>
      </c>
      <c r="J392" s="1" t="str">
        <f>IF(
   Sales_Performance[[#This Row],[Date]] = _xlfn.MINIFS(Sales_Performance[Date],Sales_Performance[Customer ID],Sales_Performance[[#This Row],[Customer ID]]),
   "New Customer",
   "Returning Customer"
)</f>
        <v>Returning Customer</v>
      </c>
    </row>
    <row r="393" spans="1:10" x14ac:dyDescent="0.35">
      <c r="A393" t="s">
        <v>503</v>
      </c>
      <c r="B393" s="1">
        <v>45034</v>
      </c>
      <c r="C393" t="s">
        <v>1332</v>
      </c>
      <c r="D393" t="s">
        <v>15</v>
      </c>
      <c r="E393">
        <v>59</v>
      </c>
      <c r="F393" t="s">
        <v>18</v>
      </c>
      <c r="G393">
        <v>2</v>
      </c>
      <c r="H393" s="2">
        <v>25</v>
      </c>
      <c r="I393" s="2">
        <v>50</v>
      </c>
      <c r="J393" s="1" t="str">
        <f>IF(
   Sales_Performance[[#This Row],[Date]] = _xlfn.MINIFS(Sales_Performance[Date],Sales_Performance[Customer ID],Sales_Performance[[#This Row],[Customer ID]]),
   "New Customer",
   "Returning Customer"
)</f>
        <v>New Customer</v>
      </c>
    </row>
    <row r="394" spans="1:10" x14ac:dyDescent="0.35">
      <c r="A394" t="s">
        <v>1032</v>
      </c>
      <c r="B394" s="1">
        <v>45276</v>
      </c>
      <c r="C394" t="s">
        <v>1454</v>
      </c>
      <c r="D394" t="s">
        <v>15</v>
      </c>
      <c r="E394">
        <v>45</v>
      </c>
      <c r="F394" t="s">
        <v>11</v>
      </c>
      <c r="G394">
        <v>1</v>
      </c>
      <c r="H394" s="2">
        <v>30</v>
      </c>
      <c r="I394" s="2">
        <v>30</v>
      </c>
      <c r="J394" s="1" t="str">
        <f>IF(
   Sales_Performance[[#This Row],[Date]] = _xlfn.MINIFS(Sales_Performance[Date],Sales_Performance[Customer ID],Sales_Performance[[#This Row],[Customer ID]]),
   "New Customer",
   "Returning Customer"
)</f>
        <v>Returning Customer</v>
      </c>
    </row>
    <row r="395" spans="1:10" x14ac:dyDescent="0.35">
      <c r="A395" t="s">
        <v>106</v>
      </c>
      <c r="B395" s="1">
        <v>45054</v>
      </c>
      <c r="C395" t="s">
        <v>916</v>
      </c>
      <c r="D395" t="s">
        <v>15</v>
      </c>
      <c r="E395">
        <v>48</v>
      </c>
      <c r="F395" t="s">
        <v>16</v>
      </c>
      <c r="G395">
        <v>3</v>
      </c>
      <c r="H395" s="2">
        <v>500</v>
      </c>
      <c r="I395" s="2">
        <v>1500</v>
      </c>
      <c r="J395" s="1" t="str">
        <f>IF(
   Sales_Performance[[#This Row],[Date]] = _xlfn.MINIFS(Sales_Performance[Date],Sales_Performance[Customer ID],Sales_Performance[[#This Row],[Customer ID]]),
   "New Customer",
   "Returning Customer"
)</f>
        <v>New Customer</v>
      </c>
    </row>
    <row r="396" spans="1:10" x14ac:dyDescent="0.35">
      <c r="A396" t="s">
        <v>548</v>
      </c>
      <c r="B396" s="1">
        <v>45268</v>
      </c>
      <c r="C396" t="s">
        <v>702</v>
      </c>
      <c r="D396" t="s">
        <v>15</v>
      </c>
      <c r="E396">
        <v>26</v>
      </c>
      <c r="F396" t="s">
        <v>16</v>
      </c>
      <c r="G396">
        <v>2</v>
      </c>
      <c r="H396" s="2">
        <v>500</v>
      </c>
      <c r="I396" s="2">
        <v>1000</v>
      </c>
      <c r="J396" s="1" t="str">
        <f>IF(
   Sales_Performance[[#This Row],[Date]] = _xlfn.MINIFS(Sales_Performance[Date],Sales_Performance[Customer ID],Sales_Performance[[#This Row],[Customer ID]]),
   "New Customer",
   "Returning Customer"
)</f>
        <v>New Customer</v>
      </c>
    </row>
    <row r="397" spans="1:10" x14ac:dyDescent="0.35">
      <c r="A397" t="s">
        <v>113</v>
      </c>
      <c r="B397" s="1">
        <v>44979</v>
      </c>
      <c r="C397" t="s">
        <v>204</v>
      </c>
      <c r="D397" t="s">
        <v>15</v>
      </c>
      <c r="E397">
        <v>46</v>
      </c>
      <c r="F397" t="s">
        <v>18</v>
      </c>
      <c r="G397">
        <v>1</v>
      </c>
      <c r="H397" s="2">
        <v>25</v>
      </c>
      <c r="I397" s="2">
        <v>25</v>
      </c>
      <c r="J397" s="1" t="str">
        <f>IF(
   Sales_Performance[[#This Row],[Date]] = _xlfn.MINIFS(Sales_Performance[Date],Sales_Performance[Customer ID],Sales_Performance[[#This Row],[Customer ID]]),
   "New Customer",
   "Returning Customer"
)</f>
        <v>New Customer</v>
      </c>
    </row>
    <row r="398" spans="1:10" x14ac:dyDescent="0.35">
      <c r="A398" t="s">
        <v>95</v>
      </c>
      <c r="B398" s="1">
        <v>45108</v>
      </c>
      <c r="C398" t="s">
        <v>808</v>
      </c>
      <c r="D398" t="s">
        <v>10</v>
      </c>
      <c r="E398">
        <v>31</v>
      </c>
      <c r="F398" t="s">
        <v>11</v>
      </c>
      <c r="G398">
        <v>4</v>
      </c>
      <c r="H398" s="2">
        <v>25</v>
      </c>
      <c r="I398" s="2">
        <v>100</v>
      </c>
      <c r="J398" s="1" t="str">
        <f>IF(
   Sales_Performance[[#This Row],[Date]] = _xlfn.MINIFS(Sales_Performance[Date],Sales_Performance[Customer ID],Sales_Performance[[#This Row],[Customer ID]]),
   "New Customer",
   "Returning Customer"
)</f>
        <v>Returning Customer</v>
      </c>
    </row>
    <row r="399" spans="1:10" x14ac:dyDescent="0.35">
      <c r="A399" t="s">
        <v>516</v>
      </c>
      <c r="B399" s="1">
        <v>45213</v>
      </c>
      <c r="C399" t="s">
        <v>268</v>
      </c>
      <c r="D399" t="s">
        <v>10</v>
      </c>
      <c r="E399">
        <v>57</v>
      </c>
      <c r="F399" t="s">
        <v>11</v>
      </c>
      <c r="G399">
        <v>2</v>
      </c>
      <c r="H399" s="2">
        <v>30</v>
      </c>
      <c r="I399" s="2">
        <v>60</v>
      </c>
      <c r="J399" s="1" t="str">
        <f>IF(
   Sales_Performance[[#This Row],[Date]] = _xlfn.MINIFS(Sales_Performance[Date],Sales_Performance[Customer ID],Sales_Performance[[#This Row],[Customer ID]]),
   "New Customer",
   "Returning Customer"
)</f>
        <v>New Customer</v>
      </c>
    </row>
    <row r="400" spans="1:10" x14ac:dyDescent="0.35">
      <c r="A400" t="s">
        <v>1328</v>
      </c>
      <c r="B400" s="1">
        <v>45135</v>
      </c>
      <c r="C400" t="s">
        <v>382</v>
      </c>
      <c r="D400" t="s">
        <v>15</v>
      </c>
      <c r="E400">
        <v>58</v>
      </c>
      <c r="F400" t="s">
        <v>18</v>
      </c>
      <c r="G400">
        <v>3</v>
      </c>
      <c r="H400" s="2">
        <v>300</v>
      </c>
      <c r="I400" s="2">
        <v>900</v>
      </c>
      <c r="J400" s="1" t="str">
        <f>IF(
   Sales_Performance[[#This Row],[Date]] = _xlfn.MINIFS(Sales_Performance[Date],Sales_Performance[Customer ID],Sales_Performance[[#This Row],[Customer ID]]),
   "New Customer",
   "Returning Customer"
)</f>
        <v>New Customer</v>
      </c>
    </row>
    <row r="401" spans="1:10" x14ac:dyDescent="0.35">
      <c r="A401" t="s">
        <v>464</v>
      </c>
      <c r="B401" s="1">
        <v>45244</v>
      </c>
      <c r="C401" t="s">
        <v>1035</v>
      </c>
      <c r="D401" t="s">
        <v>15</v>
      </c>
      <c r="E401">
        <v>39</v>
      </c>
      <c r="F401" t="s">
        <v>11</v>
      </c>
      <c r="G401">
        <v>4</v>
      </c>
      <c r="H401" s="2">
        <v>25</v>
      </c>
      <c r="I401" s="2">
        <v>100</v>
      </c>
      <c r="J401" s="1" t="str">
        <f>IF(
   Sales_Performance[[#This Row],[Date]] = _xlfn.MINIFS(Sales_Performance[Date],Sales_Performance[Customer ID],Sales_Performance[[#This Row],[Customer ID]]),
   "New Customer",
   "Returning Customer"
)</f>
        <v>New Customer</v>
      </c>
    </row>
    <row r="402" spans="1:10" x14ac:dyDescent="0.35">
      <c r="A402" t="s">
        <v>936</v>
      </c>
      <c r="B402" s="1">
        <v>45006</v>
      </c>
      <c r="C402" t="s">
        <v>487</v>
      </c>
      <c r="D402" t="s">
        <v>10</v>
      </c>
      <c r="E402">
        <v>28</v>
      </c>
      <c r="F402" t="s">
        <v>16</v>
      </c>
      <c r="G402">
        <v>4</v>
      </c>
      <c r="H402" s="2">
        <v>300</v>
      </c>
      <c r="I402" s="2">
        <v>1200</v>
      </c>
      <c r="J402" s="1" t="str">
        <f>IF(
   Sales_Performance[[#This Row],[Date]] = _xlfn.MINIFS(Sales_Performance[Date],Sales_Performance[Customer ID],Sales_Performance[[#This Row],[Customer ID]]),
   "New Customer",
   "Returning Customer"
)</f>
        <v>New Customer</v>
      </c>
    </row>
    <row r="403" spans="1:10" x14ac:dyDescent="0.35">
      <c r="A403" t="s">
        <v>1198</v>
      </c>
      <c r="B403" s="1">
        <v>45103</v>
      </c>
      <c r="C403" t="s">
        <v>1322</v>
      </c>
      <c r="D403" t="s">
        <v>15</v>
      </c>
      <c r="E403">
        <v>20</v>
      </c>
      <c r="F403" t="s">
        <v>11</v>
      </c>
      <c r="G403">
        <v>4</v>
      </c>
      <c r="H403" s="2">
        <v>300</v>
      </c>
      <c r="I403" s="2">
        <v>1200</v>
      </c>
      <c r="J403" s="1" t="str">
        <f>IF(
   Sales_Performance[[#This Row],[Date]] = _xlfn.MINIFS(Sales_Performance[Date],Sales_Performance[Customer ID],Sales_Performance[[#This Row],[Customer ID]]),
   "New Customer",
   "Returning Customer"
)</f>
        <v>Returning Customer</v>
      </c>
    </row>
    <row r="404" spans="1:10" x14ac:dyDescent="0.35">
      <c r="A404" t="s">
        <v>553</v>
      </c>
      <c r="B404" s="1">
        <v>45048</v>
      </c>
      <c r="C404" t="s">
        <v>74</v>
      </c>
      <c r="D404" t="s">
        <v>10</v>
      </c>
      <c r="E404">
        <v>40</v>
      </c>
      <c r="F404" t="s">
        <v>18</v>
      </c>
      <c r="G404">
        <v>1</v>
      </c>
      <c r="H404" s="2">
        <v>50</v>
      </c>
      <c r="I404" s="2">
        <v>50</v>
      </c>
      <c r="J404" s="1" t="str">
        <f>IF(
   Sales_Performance[[#This Row],[Date]] = _xlfn.MINIFS(Sales_Performance[Date],Sales_Performance[Customer ID],Sales_Performance[[#This Row],[Customer ID]]),
   "New Customer",
   "Returning Customer"
)</f>
        <v>New Customer</v>
      </c>
    </row>
    <row r="405" spans="1:10" x14ac:dyDescent="0.35">
      <c r="A405" t="s">
        <v>1311</v>
      </c>
      <c r="B405" s="1">
        <v>45010</v>
      </c>
      <c r="C405" t="s">
        <v>411</v>
      </c>
      <c r="D405" t="s">
        <v>15</v>
      </c>
      <c r="E405">
        <v>18</v>
      </c>
      <c r="F405" t="s">
        <v>18</v>
      </c>
      <c r="G405">
        <v>2</v>
      </c>
      <c r="H405" s="2">
        <v>500</v>
      </c>
      <c r="I405" s="2">
        <v>1000</v>
      </c>
      <c r="J405" s="1" t="str">
        <f>IF(
   Sales_Performance[[#This Row],[Date]] = _xlfn.MINIFS(Sales_Performance[Date],Sales_Performance[Customer ID],Sales_Performance[[#This Row],[Customer ID]]),
   "New Customer",
   "Returning Customer"
)</f>
        <v>Returning Customer</v>
      </c>
    </row>
    <row r="406" spans="1:10" x14ac:dyDescent="0.35">
      <c r="A406" t="s">
        <v>1164</v>
      </c>
      <c r="B406" s="1">
        <v>45017</v>
      </c>
      <c r="C406" t="s">
        <v>941</v>
      </c>
      <c r="D406" t="s">
        <v>10</v>
      </c>
      <c r="E406">
        <v>63</v>
      </c>
      <c r="F406" t="s">
        <v>11</v>
      </c>
      <c r="G406">
        <v>4</v>
      </c>
      <c r="H406" s="2">
        <v>300</v>
      </c>
      <c r="I406" s="2">
        <v>1200</v>
      </c>
      <c r="J406" s="1" t="str">
        <f>IF(
   Sales_Performance[[#This Row],[Date]] = _xlfn.MINIFS(Sales_Performance[Date],Sales_Performance[Customer ID],Sales_Performance[[#This Row],[Customer ID]]),
   "New Customer",
   "Returning Customer"
)</f>
        <v>New Customer</v>
      </c>
    </row>
    <row r="407" spans="1:10" x14ac:dyDescent="0.35">
      <c r="A407" t="s">
        <v>1438</v>
      </c>
      <c r="B407" s="1">
        <v>45138</v>
      </c>
      <c r="C407" t="s">
        <v>371</v>
      </c>
      <c r="D407" t="s">
        <v>15</v>
      </c>
      <c r="E407">
        <v>54</v>
      </c>
      <c r="F407" t="s">
        <v>18</v>
      </c>
      <c r="G407">
        <v>3</v>
      </c>
      <c r="H407" s="2">
        <v>500</v>
      </c>
      <c r="I407" s="2">
        <v>1500</v>
      </c>
      <c r="J407" s="1" t="str">
        <f>IF(
   Sales_Performance[[#This Row],[Date]] = _xlfn.MINIFS(Sales_Performance[Date],Sales_Performance[Customer ID],Sales_Performance[[#This Row],[Customer ID]]),
   "New Customer",
   "Returning Customer"
)</f>
        <v>Returning Customer</v>
      </c>
    </row>
    <row r="408" spans="1:10" x14ac:dyDescent="0.35">
      <c r="A408" t="s">
        <v>333</v>
      </c>
      <c r="B408" s="1">
        <v>44939</v>
      </c>
      <c r="C408" t="s">
        <v>371</v>
      </c>
      <c r="D408" t="s">
        <v>10</v>
      </c>
      <c r="E408">
        <v>38</v>
      </c>
      <c r="F408" t="s">
        <v>11</v>
      </c>
      <c r="G408">
        <v>2</v>
      </c>
      <c r="H408" s="2">
        <v>300</v>
      </c>
      <c r="I408" s="2">
        <v>600</v>
      </c>
      <c r="J408" s="1" t="str">
        <f>IF(
   Sales_Performance[[#This Row],[Date]] = _xlfn.MINIFS(Sales_Performance[Date],Sales_Performance[Customer ID],Sales_Performance[[#This Row],[Customer ID]]),
   "New Customer",
   "Returning Customer"
)</f>
        <v>New Customer</v>
      </c>
    </row>
    <row r="409" spans="1:10" x14ac:dyDescent="0.35">
      <c r="A409" t="s">
        <v>767</v>
      </c>
      <c r="B409" s="1">
        <v>45018</v>
      </c>
      <c r="C409" t="s">
        <v>315</v>
      </c>
      <c r="D409" t="s">
        <v>15</v>
      </c>
      <c r="E409">
        <v>43</v>
      </c>
      <c r="F409" t="s">
        <v>11</v>
      </c>
      <c r="G409">
        <v>3</v>
      </c>
      <c r="H409" s="2">
        <v>50</v>
      </c>
      <c r="I409" s="2">
        <v>150</v>
      </c>
      <c r="J409" s="1" t="str">
        <f>IF(
   Sales_Performance[[#This Row],[Date]] = _xlfn.MINIFS(Sales_Performance[Date],Sales_Performance[Customer ID],Sales_Performance[[#This Row],[Customer ID]]),
   "New Customer",
   "Returning Customer"
)</f>
        <v>Returning Customer</v>
      </c>
    </row>
    <row r="410" spans="1:10" x14ac:dyDescent="0.35">
      <c r="A410" t="s">
        <v>550</v>
      </c>
      <c r="B410" s="1">
        <v>45097</v>
      </c>
      <c r="C410" t="s">
        <v>1286</v>
      </c>
      <c r="D410" t="s">
        <v>10</v>
      </c>
      <c r="E410">
        <v>63</v>
      </c>
      <c r="F410" t="s">
        <v>11</v>
      </c>
      <c r="G410">
        <v>4</v>
      </c>
      <c r="H410" s="2">
        <v>25</v>
      </c>
      <c r="I410" s="2">
        <v>100</v>
      </c>
      <c r="J410" s="1" t="str">
        <f>IF(
   Sales_Performance[[#This Row],[Date]] = _xlfn.MINIFS(Sales_Performance[Date],Sales_Performance[Customer ID],Sales_Performance[[#This Row],[Customer ID]]),
   "New Customer",
   "Returning Customer"
)</f>
        <v>New Customer</v>
      </c>
    </row>
    <row r="411" spans="1:10" x14ac:dyDescent="0.35">
      <c r="A411" t="s">
        <v>343</v>
      </c>
      <c r="B411" s="1">
        <v>45137</v>
      </c>
      <c r="C411" t="s">
        <v>1066</v>
      </c>
      <c r="D411" t="s">
        <v>15</v>
      </c>
      <c r="E411">
        <v>53</v>
      </c>
      <c r="F411" t="s">
        <v>11</v>
      </c>
      <c r="G411">
        <v>3</v>
      </c>
      <c r="H411" s="2">
        <v>50</v>
      </c>
      <c r="I411" s="2">
        <v>150</v>
      </c>
      <c r="J411" s="1" t="str">
        <f>IF(
   Sales_Performance[[#This Row],[Date]] = _xlfn.MINIFS(Sales_Performance[Date],Sales_Performance[Customer ID],Sales_Performance[[#This Row],[Customer ID]]),
   "New Customer",
   "Returning Customer"
)</f>
        <v>New Customer</v>
      </c>
    </row>
    <row r="412" spans="1:10" x14ac:dyDescent="0.35">
      <c r="A412" t="s">
        <v>108</v>
      </c>
      <c r="B412" s="1">
        <v>45269</v>
      </c>
      <c r="C412" t="s">
        <v>64</v>
      </c>
      <c r="D412" t="s">
        <v>10</v>
      </c>
      <c r="E412">
        <v>40</v>
      </c>
      <c r="F412" t="s">
        <v>11</v>
      </c>
      <c r="G412">
        <v>1</v>
      </c>
      <c r="H412" s="2">
        <v>25</v>
      </c>
      <c r="I412" s="2">
        <v>25</v>
      </c>
      <c r="J412" s="1" t="str">
        <f>IF(
   Sales_Performance[[#This Row],[Date]] = _xlfn.MINIFS(Sales_Performance[Date],Sales_Performance[Customer ID],Sales_Performance[[#This Row],[Customer ID]]),
   "New Customer",
   "Returning Customer"
)</f>
        <v>Returning Customer</v>
      </c>
    </row>
    <row r="413" spans="1:10" x14ac:dyDescent="0.35">
      <c r="A413" t="s">
        <v>997</v>
      </c>
      <c r="B413" s="1">
        <v>45054</v>
      </c>
      <c r="C413" t="s">
        <v>939</v>
      </c>
      <c r="D413" t="s">
        <v>10</v>
      </c>
      <c r="E413">
        <v>18</v>
      </c>
      <c r="F413" t="s">
        <v>18</v>
      </c>
      <c r="G413">
        <v>3</v>
      </c>
      <c r="H413" s="2">
        <v>25</v>
      </c>
      <c r="I413" s="2">
        <v>75</v>
      </c>
      <c r="J413" s="1" t="str">
        <f>IF(
   Sales_Performance[[#This Row],[Date]] = _xlfn.MINIFS(Sales_Performance[Date],Sales_Performance[Customer ID],Sales_Performance[[#This Row],[Customer ID]]),
   "New Customer",
   "Returning Customer"
)</f>
        <v>Returning Customer</v>
      </c>
    </row>
    <row r="414" spans="1:10" x14ac:dyDescent="0.35">
      <c r="A414" t="s">
        <v>184</v>
      </c>
      <c r="B414" s="1">
        <v>45236</v>
      </c>
      <c r="C414" t="s">
        <v>971</v>
      </c>
      <c r="D414" t="s">
        <v>15</v>
      </c>
      <c r="E414">
        <v>40</v>
      </c>
      <c r="F414" t="s">
        <v>18</v>
      </c>
      <c r="G414">
        <v>3</v>
      </c>
      <c r="H414" s="2">
        <v>500</v>
      </c>
      <c r="I414" s="2">
        <v>1500</v>
      </c>
      <c r="J414" s="1" t="str">
        <f>IF(
   Sales_Performance[[#This Row],[Date]] = _xlfn.MINIFS(Sales_Performance[Date],Sales_Performance[Customer ID],Sales_Performance[[#This Row],[Customer ID]]),
   "New Customer",
   "Returning Customer"
)</f>
        <v>Returning Customer</v>
      </c>
    </row>
    <row r="415" spans="1:10" x14ac:dyDescent="0.35">
      <c r="A415" t="s">
        <v>1232</v>
      </c>
      <c r="B415" s="1">
        <v>45063</v>
      </c>
      <c r="C415" t="s">
        <v>504</v>
      </c>
      <c r="D415" t="s">
        <v>15</v>
      </c>
      <c r="E415">
        <v>57</v>
      </c>
      <c r="F415" t="s">
        <v>16</v>
      </c>
      <c r="G415">
        <v>2</v>
      </c>
      <c r="H415" s="2">
        <v>500</v>
      </c>
      <c r="I415" s="2">
        <v>1000</v>
      </c>
      <c r="J415" s="1" t="str">
        <f>IF(
   Sales_Performance[[#This Row],[Date]] = _xlfn.MINIFS(Sales_Performance[Date],Sales_Performance[Customer ID],Sales_Performance[[#This Row],[Customer ID]]),
   "New Customer",
   "Returning Customer"
)</f>
        <v>New Customer</v>
      </c>
    </row>
    <row r="416" spans="1:10" x14ac:dyDescent="0.35">
      <c r="A416" t="s">
        <v>774</v>
      </c>
      <c r="B416" s="1">
        <v>45008</v>
      </c>
      <c r="C416" t="s">
        <v>1360</v>
      </c>
      <c r="D416" t="s">
        <v>10</v>
      </c>
      <c r="E416">
        <v>32</v>
      </c>
      <c r="F416" t="s">
        <v>16</v>
      </c>
      <c r="G416">
        <v>3</v>
      </c>
      <c r="H416" s="2">
        <v>50</v>
      </c>
      <c r="I416" s="2">
        <v>150</v>
      </c>
      <c r="J416" s="1" t="str">
        <f>IF(
   Sales_Performance[[#This Row],[Date]] = _xlfn.MINIFS(Sales_Performance[Date],Sales_Performance[Customer ID],Sales_Performance[[#This Row],[Customer ID]]),
   "New Customer",
   "Returning Customer"
)</f>
        <v>New Customer</v>
      </c>
    </row>
    <row r="417" spans="1:10" x14ac:dyDescent="0.35">
      <c r="A417" t="s">
        <v>495</v>
      </c>
      <c r="B417" s="1">
        <v>45286</v>
      </c>
      <c r="C417" t="s">
        <v>1507</v>
      </c>
      <c r="D417" t="s">
        <v>15</v>
      </c>
      <c r="E417">
        <v>38</v>
      </c>
      <c r="F417" t="s">
        <v>18</v>
      </c>
      <c r="G417">
        <v>3</v>
      </c>
      <c r="H417" s="2">
        <v>300</v>
      </c>
      <c r="I417" s="2">
        <v>900</v>
      </c>
      <c r="J417" s="1" t="str">
        <f>IF(
   Sales_Performance[[#This Row],[Date]] = _xlfn.MINIFS(Sales_Performance[Date],Sales_Performance[Customer ID],Sales_Performance[[#This Row],[Customer ID]]),
   "New Customer",
   "Returning Customer"
)</f>
        <v>Returning Customer</v>
      </c>
    </row>
    <row r="418" spans="1:10" x14ac:dyDescent="0.35">
      <c r="A418" t="s">
        <v>582</v>
      </c>
      <c r="B418" s="1">
        <v>44982</v>
      </c>
      <c r="C418" t="s">
        <v>1231</v>
      </c>
      <c r="D418" t="s">
        <v>10</v>
      </c>
      <c r="E418">
        <v>64</v>
      </c>
      <c r="F418" t="s">
        <v>18</v>
      </c>
      <c r="G418">
        <v>1</v>
      </c>
      <c r="H418" s="2">
        <v>50</v>
      </c>
      <c r="I418" s="2">
        <v>50</v>
      </c>
      <c r="J418" s="1" t="str">
        <f>IF(
   Sales_Performance[[#This Row],[Date]] = _xlfn.MINIFS(Sales_Performance[Date],Sales_Performance[Customer ID],Sales_Performance[[#This Row],[Customer ID]]),
   "New Customer",
   "Returning Customer"
)</f>
        <v>New Customer</v>
      </c>
    </row>
    <row r="419" spans="1:10" x14ac:dyDescent="0.35">
      <c r="A419" t="s">
        <v>243</v>
      </c>
      <c r="B419" s="1">
        <v>45122</v>
      </c>
      <c r="C419" t="s">
        <v>1433</v>
      </c>
      <c r="D419" t="s">
        <v>15</v>
      </c>
      <c r="E419">
        <v>26</v>
      </c>
      <c r="F419" t="s">
        <v>16</v>
      </c>
      <c r="G419">
        <v>3</v>
      </c>
      <c r="H419" s="2">
        <v>500</v>
      </c>
      <c r="I419" s="2">
        <v>1500</v>
      </c>
      <c r="J419" s="1" t="str">
        <f>IF(
   Sales_Performance[[#This Row],[Date]] = _xlfn.MINIFS(Sales_Performance[Date],Sales_Performance[Customer ID],Sales_Performance[[#This Row],[Customer ID]]),
   "New Customer",
   "Returning Customer"
)</f>
        <v>Returning Customer</v>
      </c>
    </row>
    <row r="420" spans="1:10" x14ac:dyDescent="0.35">
      <c r="A420" t="s">
        <v>1326</v>
      </c>
      <c r="B420" s="1">
        <v>44946</v>
      </c>
      <c r="C420" t="s">
        <v>620</v>
      </c>
      <c r="D420" t="s">
        <v>10</v>
      </c>
      <c r="E420">
        <v>26</v>
      </c>
      <c r="F420" t="s">
        <v>16</v>
      </c>
      <c r="G420">
        <v>3</v>
      </c>
      <c r="H420" s="2">
        <v>25</v>
      </c>
      <c r="I420" s="2">
        <v>75</v>
      </c>
      <c r="J420" s="1" t="str">
        <f>IF(
   Sales_Performance[[#This Row],[Date]] = _xlfn.MINIFS(Sales_Performance[Date],Sales_Performance[Customer ID],Sales_Performance[[#This Row],[Customer ID]]),
   "New Customer",
   "Returning Customer"
)</f>
        <v>New Customer</v>
      </c>
    </row>
    <row r="421" spans="1:10" x14ac:dyDescent="0.35">
      <c r="A421" t="s">
        <v>1242</v>
      </c>
      <c r="B421" s="1">
        <v>45167</v>
      </c>
      <c r="C421" t="s">
        <v>1199</v>
      </c>
      <c r="D421" t="s">
        <v>15</v>
      </c>
      <c r="E421">
        <v>27</v>
      </c>
      <c r="F421" t="s">
        <v>16</v>
      </c>
      <c r="G421">
        <v>4</v>
      </c>
      <c r="H421" s="2">
        <v>500</v>
      </c>
      <c r="I421" s="2">
        <v>2000</v>
      </c>
      <c r="J421" s="1" t="str">
        <f>IF(
   Sales_Performance[[#This Row],[Date]] = _xlfn.MINIFS(Sales_Performance[Date],Sales_Performance[Customer ID],Sales_Performance[[#This Row],[Customer ID]]),
   "New Customer",
   "Returning Customer"
)</f>
        <v>Returning Customer</v>
      </c>
    </row>
    <row r="422" spans="1:10" x14ac:dyDescent="0.35">
      <c r="A422" t="s">
        <v>1227</v>
      </c>
      <c r="B422" s="1">
        <v>45040</v>
      </c>
      <c r="C422" t="s">
        <v>768</v>
      </c>
      <c r="D422" t="s">
        <v>10</v>
      </c>
      <c r="E422">
        <v>43</v>
      </c>
      <c r="F422" t="s">
        <v>16</v>
      </c>
      <c r="G422">
        <v>4</v>
      </c>
      <c r="H422" s="2">
        <v>30</v>
      </c>
      <c r="I422" s="2">
        <v>120</v>
      </c>
      <c r="J422" s="1" t="str">
        <f>IF(
   Sales_Performance[[#This Row],[Date]] = _xlfn.MINIFS(Sales_Performance[Date],Sales_Performance[Customer ID],Sales_Performance[[#This Row],[Customer ID]]),
   "New Customer",
   "Returning Customer"
)</f>
        <v>Returning Customer</v>
      </c>
    </row>
    <row r="423" spans="1:10" x14ac:dyDescent="0.35">
      <c r="A423" t="s">
        <v>876</v>
      </c>
      <c r="B423" s="1">
        <v>45029</v>
      </c>
      <c r="C423" t="s">
        <v>1383</v>
      </c>
      <c r="D423" t="s">
        <v>15</v>
      </c>
      <c r="E423">
        <v>58</v>
      </c>
      <c r="F423" t="s">
        <v>16</v>
      </c>
      <c r="G423">
        <v>2</v>
      </c>
      <c r="H423" s="2">
        <v>30</v>
      </c>
      <c r="I423" s="2">
        <v>60</v>
      </c>
      <c r="J423" s="1" t="str">
        <f>IF(
   Sales_Performance[[#This Row],[Date]] = _xlfn.MINIFS(Sales_Performance[Date],Sales_Performance[Customer ID],Sales_Performance[[#This Row],[Customer ID]]),
   "New Customer",
   "Returning Customer"
)</f>
        <v>New Customer</v>
      </c>
    </row>
    <row r="424" spans="1:10" x14ac:dyDescent="0.35">
      <c r="A424" t="s">
        <v>381</v>
      </c>
      <c r="B424" s="1">
        <v>45162</v>
      </c>
      <c r="C424" t="s">
        <v>1029</v>
      </c>
      <c r="D424" t="s">
        <v>10</v>
      </c>
      <c r="E424">
        <v>52</v>
      </c>
      <c r="F424" t="s">
        <v>11</v>
      </c>
      <c r="G424">
        <v>4</v>
      </c>
      <c r="H424" s="2">
        <v>300</v>
      </c>
      <c r="I424" s="2">
        <v>1200</v>
      </c>
      <c r="J424" s="1" t="str">
        <f>IF(
   Sales_Performance[[#This Row],[Date]] = _xlfn.MINIFS(Sales_Performance[Date],Sales_Performance[Customer ID],Sales_Performance[[#This Row],[Customer ID]]),
   "New Customer",
   "Returning Customer"
)</f>
        <v>Returning Customer</v>
      </c>
    </row>
    <row r="425" spans="1:10" x14ac:dyDescent="0.35">
      <c r="A425" t="s">
        <v>1353</v>
      </c>
      <c r="B425" s="1">
        <v>45062</v>
      </c>
      <c r="C425" t="s">
        <v>775</v>
      </c>
      <c r="D425" t="s">
        <v>10</v>
      </c>
      <c r="E425">
        <v>54</v>
      </c>
      <c r="F425" t="s">
        <v>11</v>
      </c>
      <c r="G425">
        <v>3</v>
      </c>
      <c r="H425" s="2">
        <v>300</v>
      </c>
      <c r="I425" s="2">
        <v>900</v>
      </c>
      <c r="J425" s="1" t="str">
        <f>IF(
   Sales_Performance[[#This Row],[Date]] = _xlfn.MINIFS(Sales_Performance[Date],Sales_Performance[Customer ID],Sales_Performance[[#This Row],[Customer ID]]),
   "New Customer",
   "Returning Customer"
)</f>
        <v>New Customer</v>
      </c>
    </row>
    <row r="426" spans="1:10" x14ac:dyDescent="0.35">
      <c r="A426" t="s">
        <v>1042</v>
      </c>
      <c r="B426" s="1">
        <v>45106</v>
      </c>
      <c r="C426" t="s">
        <v>1248</v>
      </c>
      <c r="D426" t="s">
        <v>15</v>
      </c>
      <c r="E426">
        <v>42</v>
      </c>
      <c r="F426" t="s">
        <v>18</v>
      </c>
      <c r="G426">
        <v>4</v>
      </c>
      <c r="H426" s="2">
        <v>500</v>
      </c>
      <c r="I426" s="2">
        <v>2000</v>
      </c>
      <c r="J426" s="1" t="str">
        <f>IF(
   Sales_Performance[[#This Row],[Date]] = _xlfn.MINIFS(Sales_Performance[Date],Sales_Performance[Customer ID],Sales_Performance[[#This Row],[Customer ID]]),
   "New Customer",
   "Returning Customer"
)</f>
        <v>New Customer</v>
      </c>
    </row>
    <row r="427" spans="1:10" x14ac:dyDescent="0.35">
      <c r="A427" t="s">
        <v>372</v>
      </c>
      <c r="B427" s="1">
        <v>45083</v>
      </c>
      <c r="C427" t="s">
        <v>1356</v>
      </c>
      <c r="D427" t="s">
        <v>15</v>
      </c>
      <c r="E427">
        <v>43</v>
      </c>
      <c r="F427" t="s">
        <v>11</v>
      </c>
      <c r="G427">
        <v>4</v>
      </c>
      <c r="H427" s="2">
        <v>300</v>
      </c>
      <c r="I427" s="2">
        <v>1200</v>
      </c>
      <c r="J427" s="1" t="str">
        <f>IF(
   Sales_Performance[[#This Row],[Date]] = _xlfn.MINIFS(Sales_Performance[Date],Sales_Performance[Customer ID],Sales_Performance[[#This Row],[Customer ID]]),
   "New Customer",
   "Returning Customer"
)</f>
        <v>Returning Customer</v>
      </c>
    </row>
    <row r="428" spans="1:10" x14ac:dyDescent="0.35">
      <c r="A428" t="s">
        <v>1388</v>
      </c>
      <c r="B428" s="1">
        <v>45043</v>
      </c>
      <c r="C428" t="s">
        <v>1266</v>
      </c>
      <c r="D428" t="s">
        <v>15</v>
      </c>
      <c r="E428">
        <v>28</v>
      </c>
      <c r="F428" t="s">
        <v>16</v>
      </c>
      <c r="G428">
        <v>4</v>
      </c>
      <c r="H428" s="2">
        <v>300</v>
      </c>
      <c r="I428" s="2">
        <v>1200</v>
      </c>
      <c r="J428" s="1" t="str">
        <f>IF(
   Sales_Performance[[#This Row],[Date]] = _xlfn.MINIFS(Sales_Performance[Date],Sales_Performance[Customer ID],Sales_Performance[[#This Row],[Customer ID]]),
   "New Customer",
   "Returning Customer"
)</f>
        <v>New Customer</v>
      </c>
    </row>
    <row r="429" spans="1:10" x14ac:dyDescent="0.35">
      <c r="A429" t="s">
        <v>576</v>
      </c>
      <c r="B429" s="1">
        <v>45041</v>
      </c>
      <c r="C429" t="s">
        <v>351</v>
      </c>
      <c r="D429" t="s">
        <v>10</v>
      </c>
      <c r="E429">
        <v>55</v>
      </c>
      <c r="F429" t="s">
        <v>16</v>
      </c>
      <c r="G429">
        <v>1</v>
      </c>
      <c r="H429" s="2">
        <v>30</v>
      </c>
      <c r="I429" s="2">
        <v>30</v>
      </c>
      <c r="J429" s="1" t="str">
        <f>IF(
   Sales_Performance[[#This Row],[Date]] = _xlfn.MINIFS(Sales_Performance[Date],Sales_Performance[Customer ID],Sales_Performance[[#This Row],[Customer ID]]),
   "New Customer",
   "Returning Customer"
)</f>
        <v>Returning Customer</v>
      </c>
    </row>
    <row r="430" spans="1:10" x14ac:dyDescent="0.35">
      <c r="A430" t="s">
        <v>1429</v>
      </c>
      <c r="B430" s="1">
        <v>44939</v>
      </c>
      <c r="C430" t="s">
        <v>334</v>
      </c>
      <c r="D430" t="s">
        <v>15</v>
      </c>
      <c r="E430">
        <v>19</v>
      </c>
      <c r="F430" t="s">
        <v>16</v>
      </c>
      <c r="G430">
        <v>4</v>
      </c>
      <c r="H430" s="2">
        <v>300</v>
      </c>
      <c r="I430" s="2">
        <v>1200</v>
      </c>
      <c r="J430" s="1" t="str">
        <f>IF(
   Sales_Performance[[#This Row],[Date]] = _xlfn.MINIFS(Sales_Performance[Date],Sales_Performance[Customer ID],Sales_Performance[[#This Row],[Customer ID]]),
   "New Customer",
   "Returning Customer"
)</f>
        <v>New Customer</v>
      </c>
    </row>
    <row r="431" spans="1:10" x14ac:dyDescent="0.35">
      <c r="A431" t="s">
        <v>693</v>
      </c>
      <c r="B431" s="1">
        <v>45264</v>
      </c>
      <c r="C431" t="s">
        <v>713</v>
      </c>
      <c r="D431" t="s">
        <v>10</v>
      </c>
      <c r="E431">
        <v>24</v>
      </c>
      <c r="F431" t="s">
        <v>11</v>
      </c>
      <c r="G431">
        <v>1</v>
      </c>
      <c r="H431" s="2">
        <v>30</v>
      </c>
      <c r="I431" s="2">
        <v>30</v>
      </c>
      <c r="J431" s="1" t="str">
        <f>IF(
   Sales_Performance[[#This Row],[Date]] = _xlfn.MINIFS(Sales_Performance[Date],Sales_Performance[Customer ID],Sales_Performance[[#This Row],[Customer ID]]),
   "New Customer",
   "Returning Customer"
)</f>
        <v>Returning Customer</v>
      </c>
    </row>
    <row r="432" spans="1:10" x14ac:dyDescent="0.35">
      <c r="A432" t="s">
        <v>139</v>
      </c>
      <c r="B432" s="1">
        <v>45025</v>
      </c>
      <c r="C432" t="s">
        <v>930</v>
      </c>
      <c r="D432" t="s">
        <v>15</v>
      </c>
      <c r="E432">
        <v>35</v>
      </c>
      <c r="F432" t="s">
        <v>11</v>
      </c>
      <c r="G432">
        <v>1</v>
      </c>
      <c r="H432" s="2">
        <v>25</v>
      </c>
      <c r="I432" s="2">
        <v>25</v>
      </c>
      <c r="J432" s="1" t="str">
        <f>IF(
   Sales_Performance[[#This Row],[Date]] = _xlfn.MINIFS(Sales_Performance[Date],Sales_Performance[Customer ID],Sales_Performance[[#This Row],[Customer ID]]),
   "New Customer",
   "Returning Customer"
)</f>
        <v>New Customer</v>
      </c>
    </row>
    <row r="433" spans="1:10" x14ac:dyDescent="0.35">
      <c r="A433" t="s">
        <v>1265</v>
      </c>
      <c r="B433" s="1">
        <v>45131</v>
      </c>
      <c r="C433" t="s">
        <v>962</v>
      </c>
      <c r="D433" t="s">
        <v>10</v>
      </c>
      <c r="E433">
        <v>44</v>
      </c>
      <c r="F433" t="s">
        <v>16</v>
      </c>
      <c r="G433">
        <v>4</v>
      </c>
      <c r="H433" s="2">
        <v>500</v>
      </c>
      <c r="I433" s="2">
        <v>2000</v>
      </c>
      <c r="J433" s="1" t="str">
        <f>IF(
   Sales_Performance[[#This Row],[Date]] = _xlfn.MINIFS(Sales_Performance[Date],Sales_Performance[Customer ID],Sales_Performance[[#This Row],[Customer ID]]),
   "New Customer",
   "Returning Customer"
)</f>
        <v>Returning Customer</v>
      </c>
    </row>
    <row r="434" spans="1:10" x14ac:dyDescent="0.35">
      <c r="A434" t="s">
        <v>454</v>
      </c>
      <c r="B434" s="1">
        <v>45095</v>
      </c>
      <c r="C434" t="s">
        <v>603</v>
      </c>
      <c r="D434" t="s">
        <v>15</v>
      </c>
      <c r="E434">
        <v>51</v>
      </c>
      <c r="F434" t="s">
        <v>11</v>
      </c>
      <c r="G434">
        <v>3</v>
      </c>
      <c r="H434" s="2">
        <v>300</v>
      </c>
      <c r="I434" s="2">
        <v>900</v>
      </c>
      <c r="J434" s="1" t="str">
        <f>IF(
   Sales_Performance[[#This Row],[Date]] = _xlfn.MINIFS(Sales_Performance[Date],Sales_Performance[Customer ID],Sales_Performance[[#This Row],[Customer ID]]),
   "New Customer",
   "Returning Customer"
)</f>
        <v>Returning Customer</v>
      </c>
    </row>
    <row r="435" spans="1:10" x14ac:dyDescent="0.35">
      <c r="A435" t="s">
        <v>1275</v>
      </c>
      <c r="B435" s="1">
        <v>45069</v>
      </c>
      <c r="C435" t="s">
        <v>1143</v>
      </c>
      <c r="D435" t="s">
        <v>10</v>
      </c>
      <c r="E435">
        <v>44</v>
      </c>
      <c r="F435" t="s">
        <v>11</v>
      </c>
      <c r="G435">
        <v>1</v>
      </c>
      <c r="H435" s="2">
        <v>30</v>
      </c>
      <c r="I435" s="2">
        <v>30</v>
      </c>
      <c r="J435" s="1" t="str">
        <f>IF(
   Sales_Performance[[#This Row],[Date]] = _xlfn.MINIFS(Sales_Performance[Date],Sales_Performance[Customer ID],Sales_Performance[[#This Row],[Customer ID]]),
   "New Customer",
   "Returning Customer"
)</f>
        <v>Returning Customer</v>
      </c>
    </row>
    <row r="436" spans="1:10" x14ac:dyDescent="0.35">
      <c r="A436" t="s">
        <v>304</v>
      </c>
      <c r="B436" s="1">
        <v>44949</v>
      </c>
      <c r="C436" t="s">
        <v>1481</v>
      </c>
      <c r="D436" t="s">
        <v>15</v>
      </c>
      <c r="E436">
        <v>54</v>
      </c>
      <c r="F436" t="s">
        <v>11</v>
      </c>
      <c r="G436">
        <v>2</v>
      </c>
      <c r="H436" s="2">
        <v>500</v>
      </c>
      <c r="I436" s="2">
        <v>1000</v>
      </c>
      <c r="J436" s="1" t="str">
        <f>IF(
   Sales_Performance[[#This Row],[Date]] = _xlfn.MINIFS(Sales_Performance[Date],Sales_Performance[Customer ID],Sales_Performance[[#This Row],[Customer ID]]),
   "New Customer",
   "Returning Customer"
)</f>
        <v>New Customer</v>
      </c>
    </row>
    <row r="437" spans="1:10" x14ac:dyDescent="0.35">
      <c r="A437" t="s">
        <v>683</v>
      </c>
      <c r="B437" s="1">
        <v>44962</v>
      </c>
      <c r="C437" t="s">
        <v>332</v>
      </c>
      <c r="D437" t="s">
        <v>10</v>
      </c>
      <c r="E437">
        <v>34</v>
      </c>
      <c r="F437" t="s">
        <v>16</v>
      </c>
      <c r="G437">
        <v>3</v>
      </c>
      <c r="H437" s="2">
        <v>50</v>
      </c>
      <c r="I437" s="2">
        <v>150</v>
      </c>
      <c r="J437" s="1" t="str">
        <f>IF(
   Sales_Performance[[#This Row],[Date]] = _xlfn.MINIFS(Sales_Performance[Date],Sales_Performance[Customer ID],Sales_Performance[[#This Row],[Customer ID]]),
   "New Customer",
   "Returning Customer"
)</f>
        <v>New Customer</v>
      </c>
    </row>
    <row r="438" spans="1:10" x14ac:dyDescent="0.35">
      <c r="A438" t="s">
        <v>1110</v>
      </c>
      <c r="B438" s="1">
        <v>45069</v>
      </c>
      <c r="C438" t="s">
        <v>1064</v>
      </c>
      <c r="D438" t="s">
        <v>15</v>
      </c>
      <c r="E438">
        <v>60</v>
      </c>
      <c r="F438" t="s">
        <v>11</v>
      </c>
      <c r="G438">
        <v>3</v>
      </c>
      <c r="H438" s="2">
        <v>300</v>
      </c>
      <c r="I438" s="2">
        <v>900</v>
      </c>
      <c r="J438" s="1" t="str">
        <f>IF(
   Sales_Performance[[#This Row],[Date]] = _xlfn.MINIFS(Sales_Performance[Date],Sales_Performance[Customer ID],Sales_Performance[[#This Row],[Customer ID]]),
   "New Customer",
   "Returning Customer"
)</f>
        <v>Returning Customer</v>
      </c>
    </row>
    <row r="439" spans="1:10" x14ac:dyDescent="0.35">
      <c r="A439" t="s">
        <v>285</v>
      </c>
      <c r="B439" s="1">
        <v>45106</v>
      </c>
      <c r="C439" t="s">
        <v>818</v>
      </c>
      <c r="D439" t="s">
        <v>10</v>
      </c>
      <c r="E439">
        <v>61</v>
      </c>
      <c r="F439" t="s">
        <v>18</v>
      </c>
      <c r="G439">
        <v>4</v>
      </c>
      <c r="H439" s="2">
        <v>25</v>
      </c>
      <c r="I439" s="2">
        <v>100</v>
      </c>
      <c r="J439" s="1" t="str">
        <f>IF(
   Sales_Performance[[#This Row],[Date]] = _xlfn.MINIFS(Sales_Performance[Date],Sales_Performance[Customer ID],Sales_Performance[[#This Row],[Customer ID]]),
   "New Customer",
   "Returning Customer"
)</f>
        <v>Returning Customer</v>
      </c>
    </row>
    <row r="440" spans="1:10" x14ac:dyDescent="0.35">
      <c r="A440" t="s">
        <v>437</v>
      </c>
      <c r="B440" s="1">
        <v>45255</v>
      </c>
      <c r="C440" t="s">
        <v>1214</v>
      </c>
      <c r="D440" t="s">
        <v>10</v>
      </c>
      <c r="E440">
        <v>41</v>
      </c>
      <c r="F440" t="s">
        <v>18</v>
      </c>
      <c r="G440">
        <v>2</v>
      </c>
      <c r="H440" s="2">
        <v>25</v>
      </c>
      <c r="I440" s="2">
        <v>50</v>
      </c>
      <c r="J440" s="1" t="str">
        <f>IF(
   Sales_Performance[[#This Row],[Date]] = _xlfn.MINIFS(Sales_Performance[Date],Sales_Performance[Customer ID],Sales_Performance[[#This Row],[Customer ID]]),
   "New Customer",
   "Returning Customer"
)</f>
        <v>Returning Customer</v>
      </c>
    </row>
    <row r="441" spans="1:10" x14ac:dyDescent="0.35">
      <c r="A441" t="s">
        <v>31</v>
      </c>
      <c r="B441" s="1">
        <v>45187</v>
      </c>
      <c r="C441" t="s">
        <v>773</v>
      </c>
      <c r="D441" t="s">
        <v>15</v>
      </c>
      <c r="E441">
        <v>42</v>
      </c>
      <c r="F441" t="s">
        <v>18</v>
      </c>
      <c r="G441">
        <v>4</v>
      </c>
      <c r="H441" s="2">
        <v>50</v>
      </c>
      <c r="I441" s="2">
        <v>200</v>
      </c>
      <c r="J441" s="1" t="str">
        <f>IF(
   Sales_Performance[[#This Row],[Date]] = _xlfn.MINIFS(Sales_Performance[Date],Sales_Performance[Customer ID],Sales_Performance[[#This Row],[Customer ID]]),
   "New Customer",
   "Returning Customer"
)</f>
        <v>Returning Customer</v>
      </c>
    </row>
    <row r="442" spans="1:10" x14ac:dyDescent="0.35">
      <c r="A442" t="s">
        <v>1434</v>
      </c>
      <c r="B442" s="1">
        <v>45131</v>
      </c>
      <c r="C442" t="s">
        <v>652</v>
      </c>
      <c r="D442" t="s">
        <v>10</v>
      </c>
      <c r="E442">
        <v>24</v>
      </c>
      <c r="F442" t="s">
        <v>18</v>
      </c>
      <c r="G442">
        <v>2</v>
      </c>
      <c r="H442" s="2">
        <v>30</v>
      </c>
      <c r="I442" s="2">
        <v>60</v>
      </c>
      <c r="J442" s="1" t="str">
        <f>IF(
   Sales_Performance[[#This Row],[Date]] = _xlfn.MINIFS(Sales_Performance[Date],Sales_Performance[Customer ID],Sales_Performance[[#This Row],[Customer ID]]),
   "New Customer",
   "Returning Customer"
)</f>
        <v>Returning Customer</v>
      </c>
    </row>
    <row r="443" spans="1:10" x14ac:dyDescent="0.35">
      <c r="A443" t="s">
        <v>1297</v>
      </c>
      <c r="B443" s="1">
        <v>45274</v>
      </c>
      <c r="C443" t="s">
        <v>1211</v>
      </c>
      <c r="D443" t="s">
        <v>10</v>
      </c>
      <c r="E443">
        <v>23</v>
      </c>
      <c r="F443" t="s">
        <v>16</v>
      </c>
      <c r="G443">
        <v>2</v>
      </c>
      <c r="H443" s="2">
        <v>300</v>
      </c>
      <c r="I443" s="2">
        <v>600</v>
      </c>
      <c r="J443" s="1" t="str">
        <f>IF(
   Sales_Performance[[#This Row],[Date]] = _xlfn.MINIFS(Sales_Performance[Date],Sales_Performance[Customer ID],Sales_Performance[[#This Row],[Customer ID]]),
   "New Customer",
   "Returning Customer"
)</f>
        <v>Returning Customer</v>
      </c>
    </row>
    <row r="444" spans="1:10" x14ac:dyDescent="0.35">
      <c r="A444" t="s">
        <v>954</v>
      </c>
      <c r="B444" s="1">
        <v>45201</v>
      </c>
      <c r="C444" t="s">
        <v>476</v>
      </c>
      <c r="D444" t="s">
        <v>10</v>
      </c>
      <c r="E444">
        <v>41</v>
      </c>
      <c r="F444" t="s">
        <v>16</v>
      </c>
      <c r="G444">
        <v>4</v>
      </c>
      <c r="H444" s="2">
        <v>30</v>
      </c>
      <c r="I444" s="2">
        <v>120</v>
      </c>
      <c r="J444" s="1" t="str">
        <f>IF(
   Sales_Performance[[#This Row],[Date]] = _xlfn.MINIFS(Sales_Performance[Date],Sales_Performance[Customer ID],Sales_Performance[[#This Row],[Customer ID]]),
   "New Customer",
   "Returning Customer"
)</f>
        <v>Returning Customer</v>
      </c>
    </row>
    <row r="445" spans="1:10" x14ac:dyDescent="0.35">
      <c r="A445" t="s">
        <v>1268</v>
      </c>
      <c r="B445" s="1">
        <v>45096</v>
      </c>
      <c r="C445" t="s">
        <v>506</v>
      </c>
      <c r="D445" t="s">
        <v>15</v>
      </c>
      <c r="E445">
        <v>50</v>
      </c>
      <c r="F445" t="s">
        <v>16</v>
      </c>
      <c r="G445">
        <v>4</v>
      </c>
      <c r="H445" s="2">
        <v>25</v>
      </c>
      <c r="I445" s="2">
        <v>100</v>
      </c>
      <c r="J445" s="1" t="str">
        <f>IF(
   Sales_Performance[[#This Row],[Date]] = _xlfn.MINIFS(Sales_Performance[Date],Sales_Performance[Customer ID],Sales_Performance[[#This Row],[Customer ID]]),
   "New Customer",
   "Returning Customer"
)</f>
        <v>Returning Customer</v>
      </c>
    </row>
    <row r="446" spans="1:10" x14ac:dyDescent="0.35">
      <c r="A446" t="s">
        <v>598</v>
      </c>
      <c r="B446" s="1">
        <v>44941</v>
      </c>
      <c r="C446" t="s">
        <v>1356</v>
      </c>
      <c r="D446" t="s">
        <v>10</v>
      </c>
      <c r="E446">
        <v>46</v>
      </c>
      <c r="F446" t="s">
        <v>18</v>
      </c>
      <c r="G446">
        <v>2</v>
      </c>
      <c r="H446" s="2">
        <v>30</v>
      </c>
      <c r="I446" s="2">
        <v>60</v>
      </c>
      <c r="J446" s="1" t="str">
        <f>IF(
   Sales_Performance[[#This Row],[Date]] = _xlfn.MINIFS(Sales_Performance[Date],Sales_Performance[Customer ID],Sales_Performance[[#This Row],[Customer ID]]),
   "New Customer",
   "Returning Customer"
)</f>
        <v>New Customer</v>
      </c>
    </row>
    <row r="447" spans="1:10" x14ac:dyDescent="0.35">
      <c r="A447" t="s">
        <v>670</v>
      </c>
      <c r="B447" s="1">
        <v>45052</v>
      </c>
      <c r="C447" t="s">
        <v>125</v>
      </c>
      <c r="D447" t="s">
        <v>10</v>
      </c>
      <c r="E447">
        <v>30</v>
      </c>
      <c r="F447" t="s">
        <v>18</v>
      </c>
      <c r="G447">
        <v>2</v>
      </c>
      <c r="H447" s="2">
        <v>50</v>
      </c>
      <c r="I447" s="2">
        <v>100</v>
      </c>
      <c r="J447" s="1" t="str">
        <f>IF(
   Sales_Performance[[#This Row],[Date]] = _xlfn.MINIFS(Sales_Performance[Date],Sales_Performance[Customer ID],Sales_Performance[[#This Row],[Customer ID]]),
   "New Customer",
   "Returning Customer"
)</f>
        <v>New Customer</v>
      </c>
    </row>
    <row r="448" spans="1:10" x14ac:dyDescent="0.35">
      <c r="A448" t="s">
        <v>1257</v>
      </c>
      <c r="B448" s="1">
        <v>45162</v>
      </c>
      <c r="C448" t="s">
        <v>1099</v>
      </c>
      <c r="D448" t="s">
        <v>15</v>
      </c>
      <c r="E448">
        <v>27</v>
      </c>
      <c r="F448" t="s">
        <v>18</v>
      </c>
      <c r="G448">
        <v>3</v>
      </c>
      <c r="H448" s="2">
        <v>25</v>
      </c>
      <c r="I448" s="2">
        <v>75</v>
      </c>
      <c r="J448" s="1" t="str">
        <f>IF(
   Sales_Performance[[#This Row],[Date]] = _xlfn.MINIFS(Sales_Performance[Date],Sales_Performance[Customer ID],Sales_Performance[[#This Row],[Customer ID]]),
   "New Customer",
   "Returning Customer"
)</f>
        <v>New Customer</v>
      </c>
    </row>
    <row r="449" spans="1:10" x14ac:dyDescent="0.35">
      <c r="A449" t="s">
        <v>589</v>
      </c>
      <c r="B449" s="1">
        <v>44986</v>
      </c>
      <c r="C449" t="s">
        <v>979</v>
      </c>
      <c r="D449" t="s">
        <v>15</v>
      </c>
      <c r="E449">
        <v>60</v>
      </c>
      <c r="F449" t="s">
        <v>18</v>
      </c>
      <c r="G449">
        <v>4</v>
      </c>
      <c r="H449" s="2">
        <v>25</v>
      </c>
      <c r="I449" s="2">
        <v>100</v>
      </c>
      <c r="J449" s="1" t="str">
        <f>IF(
   Sales_Performance[[#This Row],[Date]] = _xlfn.MINIFS(Sales_Performance[Date],Sales_Performance[Customer ID],Sales_Performance[[#This Row],[Customer ID]]),
   "New Customer",
   "Returning Customer"
)</f>
        <v>New Customer</v>
      </c>
    </row>
    <row r="450" spans="1:10" x14ac:dyDescent="0.35">
      <c r="A450" t="s">
        <v>502</v>
      </c>
      <c r="B450" s="1">
        <v>45060</v>
      </c>
      <c r="C450" t="s">
        <v>187</v>
      </c>
      <c r="D450" t="s">
        <v>10</v>
      </c>
      <c r="E450">
        <v>39</v>
      </c>
      <c r="F450" t="s">
        <v>11</v>
      </c>
      <c r="G450">
        <v>2</v>
      </c>
      <c r="H450" s="2">
        <v>30</v>
      </c>
      <c r="I450" s="2">
        <v>60</v>
      </c>
      <c r="J450" s="1" t="str">
        <f>IF(
   Sales_Performance[[#This Row],[Date]] = _xlfn.MINIFS(Sales_Performance[Date],Sales_Performance[Customer ID],Sales_Performance[[#This Row],[Customer ID]]),
   "New Customer",
   "Returning Customer"
)</f>
        <v>New Customer</v>
      </c>
    </row>
    <row r="451" spans="1:10" x14ac:dyDescent="0.35">
      <c r="A451" t="s">
        <v>891</v>
      </c>
      <c r="B451" s="1">
        <v>45018</v>
      </c>
      <c r="C451" t="s">
        <v>1214</v>
      </c>
      <c r="D451" t="s">
        <v>10</v>
      </c>
      <c r="E451">
        <v>43</v>
      </c>
      <c r="F451" t="s">
        <v>11</v>
      </c>
      <c r="G451">
        <v>3</v>
      </c>
      <c r="H451" s="2">
        <v>50</v>
      </c>
      <c r="I451" s="2">
        <v>150</v>
      </c>
      <c r="J451" s="1" t="str">
        <f>IF(
   Sales_Performance[[#This Row],[Date]] = _xlfn.MINIFS(Sales_Performance[Date],Sales_Performance[Customer ID],Sales_Performance[[#This Row],[Customer ID]]),
   "New Customer",
   "Returning Customer"
)</f>
        <v>New Customer</v>
      </c>
    </row>
    <row r="452" spans="1:10" x14ac:dyDescent="0.35">
      <c r="A452" t="s">
        <v>1502</v>
      </c>
      <c r="B452" s="1">
        <v>45224</v>
      </c>
      <c r="C452" t="s">
        <v>134</v>
      </c>
      <c r="D452" t="s">
        <v>10</v>
      </c>
      <c r="E452">
        <v>45</v>
      </c>
      <c r="F452" t="s">
        <v>18</v>
      </c>
      <c r="G452">
        <v>4</v>
      </c>
      <c r="H452" s="2">
        <v>500</v>
      </c>
      <c r="I452" s="2">
        <v>2000</v>
      </c>
      <c r="J452" s="1" t="str">
        <f>IF(
   Sales_Performance[[#This Row],[Date]] = _xlfn.MINIFS(Sales_Performance[Date],Sales_Performance[Customer ID],Sales_Performance[[#This Row],[Customer ID]]),
   "New Customer",
   "Returning Customer"
)</f>
        <v>Returning Customer</v>
      </c>
    </row>
    <row r="453" spans="1:10" x14ac:dyDescent="0.35">
      <c r="A453" t="s">
        <v>58</v>
      </c>
      <c r="B453" s="1">
        <v>45062</v>
      </c>
      <c r="C453" t="s">
        <v>1288</v>
      </c>
      <c r="D453" t="s">
        <v>15</v>
      </c>
      <c r="E453">
        <v>38</v>
      </c>
      <c r="F453" t="s">
        <v>18</v>
      </c>
      <c r="G453">
        <v>3</v>
      </c>
      <c r="H453" s="2">
        <v>50</v>
      </c>
      <c r="I453" s="2">
        <v>150</v>
      </c>
      <c r="J453" s="1" t="str">
        <f>IF(
   Sales_Performance[[#This Row],[Date]] = _xlfn.MINIFS(Sales_Performance[Date],Sales_Performance[Customer ID],Sales_Performance[[#This Row],[Customer ID]]),
   "New Customer",
   "Returning Customer"
)</f>
        <v>Returning Customer</v>
      </c>
    </row>
    <row r="454" spans="1:10" x14ac:dyDescent="0.35">
      <c r="A454" t="s">
        <v>236</v>
      </c>
      <c r="B454" s="1">
        <v>44946</v>
      </c>
      <c r="C454" t="s">
        <v>1467</v>
      </c>
      <c r="D454" t="s">
        <v>10</v>
      </c>
      <c r="E454">
        <v>24</v>
      </c>
      <c r="F454" t="s">
        <v>18</v>
      </c>
      <c r="G454">
        <v>1</v>
      </c>
      <c r="H454" s="2">
        <v>50</v>
      </c>
      <c r="I454" s="2">
        <v>50</v>
      </c>
      <c r="J454" s="1" t="str">
        <f>IF(
   Sales_Performance[[#This Row],[Date]] = _xlfn.MINIFS(Sales_Performance[Date],Sales_Performance[Customer ID],Sales_Performance[[#This Row],[Customer ID]]),
   "New Customer",
   "Returning Customer"
)</f>
        <v>Returning Customer</v>
      </c>
    </row>
    <row r="455" spans="1:10" x14ac:dyDescent="0.35">
      <c r="A455" t="s">
        <v>272</v>
      </c>
      <c r="B455" s="1">
        <v>44982</v>
      </c>
      <c r="C455" t="s">
        <v>351</v>
      </c>
      <c r="D455" t="s">
        <v>10</v>
      </c>
      <c r="E455">
        <v>34</v>
      </c>
      <c r="F455" t="s">
        <v>18</v>
      </c>
      <c r="G455">
        <v>3</v>
      </c>
      <c r="H455" s="2">
        <v>500</v>
      </c>
      <c r="I455" s="2">
        <v>1500</v>
      </c>
      <c r="J455" s="1" t="str">
        <f>IF(
   Sales_Performance[[#This Row],[Date]] = _xlfn.MINIFS(Sales_Performance[Date],Sales_Performance[Customer ID],Sales_Performance[[#This Row],[Customer ID]]),
   "New Customer",
   "Returning Customer"
)</f>
        <v>Returning Customer</v>
      </c>
    </row>
    <row r="456" spans="1:10" x14ac:dyDescent="0.35">
      <c r="A456" t="s">
        <v>1159</v>
      </c>
      <c r="B456" s="1">
        <v>45232</v>
      </c>
      <c r="C456" t="s">
        <v>909</v>
      </c>
      <c r="D456" t="s">
        <v>15</v>
      </c>
      <c r="E456">
        <v>37</v>
      </c>
      <c r="F456" t="s">
        <v>11</v>
      </c>
      <c r="G456">
        <v>3</v>
      </c>
      <c r="H456" s="2">
        <v>500</v>
      </c>
      <c r="I456" s="2">
        <v>1500</v>
      </c>
      <c r="J456" s="1" t="str">
        <f>IF(
   Sales_Performance[[#This Row],[Date]] = _xlfn.MINIFS(Sales_Performance[Date],Sales_Performance[Customer ID],Sales_Performance[[#This Row],[Customer ID]]),
   "New Customer",
   "Returning Customer"
)</f>
        <v>Returning Customer</v>
      </c>
    </row>
    <row r="457" spans="1:10" x14ac:dyDescent="0.35">
      <c r="A457" t="s">
        <v>412</v>
      </c>
      <c r="B457" s="1">
        <v>45149</v>
      </c>
      <c r="C457" t="s">
        <v>506</v>
      </c>
      <c r="D457" t="s">
        <v>10</v>
      </c>
      <c r="E457">
        <v>58</v>
      </c>
      <c r="F457" t="s">
        <v>18</v>
      </c>
      <c r="G457">
        <v>2</v>
      </c>
      <c r="H457" s="2">
        <v>300</v>
      </c>
      <c r="I457" s="2">
        <v>600</v>
      </c>
      <c r="J457" s="1" t="str">
        <f>IF(
   Sales_Performance[[#This Row],[Date]] = _xlfn.MINIFS(Sales_Performance[Date],Sales_Performance[Customer ID],Sales_Performance[[#This Row],[Customer ID]]),
   "New Customer",
   "Returning Customer"
)</f>
        <v>Returning Customer</v>
      </c>
    </row>
    <row r="458" spans="1:10" x14ac:dyDescent="0.35">
      <c r="A458" t="s">
        <v>733</v>
      </c>
      <c r="B458" s="1">
        <v>45103</v>
      </c>
      <c r="C458" t="s">
        <v>1488</v>
      </c>
      <c r="D458" t="s">
        <v>15</v>
      </c>
      <c r="E458">
        <v>37</v>
      </c>
      <c r="F458" t="s">
        <v>11</v>
      </c>
      <c r="G458">
        <v>3</v>
      </c>
      <c r="H458" s="2">
        <v>300</v>
      </c>
      <c r="I458" s="2">
        <v>900</v>
      </c>
      <c r="J458" s="1" t="str">
        <f>IF(
   Sales_Performance[[#This Row],[Date]] = _xlfn.MINIFS(Sales_Performance[Date],Sales_Performance[Customer ID],Sales_Performance[[#This Row],[Customer ID]]),
   "New Customer",
   "Returning Customer"
)</f>
        <v>Returning Customer</v>
      </c>
    </row>
    <row r="459" spans="1:10" x14ac:dyDescent="0.35">
      <c r="A459" t="s">
        <v>421</v>
      </c>
      <c r="B459" s="1">
        <v>45201</v>
      </c>
      <c r="C459" t="s">
        <v>1395</v>
      </c>
      <c r="D459" t="s">
        <v>10</v>
      </c>
      <c r="E459">
        <v>27</v>
      </c>
      <c r="F459" t="s">
        <v>18</v>
      </c>
      <c r="G459">
        <v>3</v>
      </c>
      <c r="H459" s="2">
        <v>25</v>
      </c>
      <c r="I459" s="2">
        <v>75</v>
      </c>
      <c r="J459" s="1" t="str">
        <f>IF(
   Sales_Performance[[#This Row],[Date]] = _xlfn.MINIFS(Sales_Performance[Date],Sales_Performance[Customer ID],Sales_Performance[[#This Row],[Customer ID]]),
   "New Customer",
   "Returning Customer"
)</f>
        <v>New Customer</v>
      </c>
    </row>
    <row r="460" spans="1:10" x14ac:dyDescent="0.35">
      <c r="A460" t="s">
        <v>323</v>
      </c>
      <c r="B460" s="1">
        <v>45087</v>
      </c>
      <c r="C460" t="s">
        <v>1507</v>
      </c>
      <c r="D460" t="s">
        <v>15</v>
      </c>
      <c r="E460">
        <v>39</v>
      </c>
      <c r="F460" t="s">
        <v>18</v>
      </c>
      <c r="G460">
        <v>4</v>
      </c>
      <c r="H460" s="2">
        <v>50</v>
      </c>
      <c r="I460" s="2">
        <v>200</v>
      </c>
      <c r="J460" s="1" t="str">
        <f>IF(
   Sales_Performance[[#This Row],[Date]] = _xlfn.MINIFS(Sales_Performance[Date],Sales_Performance[Customer ID],Sales_Performance[[#This Row],[Customer ID]]),
   "New Customer",
   "Returning Customer"
)</f>
        <v>New Customer</v>
      </c>
    </row>
    <row r="461" spans="1:10" x14ac:dyDescent="0.35">
      <c r="A461" t="s">
        <v>467</v>
      </c>
      <c r="B461" s="1">
        <v>45150</v>
      </c>
      <c r="C461" t="s">
        <v>811</v>
      </c>
      <c r="D461" t="s">
        <v>10</v>
      </c>
      <c r="E461">
        <v>45</v>
      </c>
      <c r="F461" t="s">
        <v>18</v>
      </c>
      <c r="G461">
        <v>2</v>
      </c>
      <c r="H461" s="2">
        <v>50</v>
      </c>
      <c r="I461" s="2">
        <v>100</v>
      </c>
      <c r="J461" s="1" t="str">
        <f>IF(
   Sales_Performance[[#This Row],[Date]] = _xlfn.MINIFS(Sales_Performance[Date],Sales_Performance[Customer ID],Sales_Performance[[#This Row],[Customer ID]]),
   "New Customer",
   "Returning Customer"
)</f>
        <v>Returning Customer</v>
      </c>
    </row>
    <row r="462" spans="1:10" x14ac:dyDescent="0.35">
      <c r="A462" t="s">
        <v>638</v>
      </c>
      <c r="B462" s="1">
        <v>45237</v>
      </c>
      <c r="C462" t="s">
        <v>1211</v>
      </c>
      <c r="D462" t="s">
        <v>15</v>
      </c>
      <c r="E462">
        <v>57</v>
      </c>
      <c r="F462" t="s">
        <v>18</v>
      </c>
      <c r="G462">
        <v>1</v>
      </c>
      <c r="H462" s="2">
        <v>25</v>
      </c>
      <c r="I462" s="2">
        <v>25</v>
      </c>
      <c r="J462" s="1" t="str">
        <f>IF(
   Sales_Performance[[#This Row],[Date]] = _xlfn.MINIFS(Sales_Performance[Date],Sales_Performance[Customer ID],Sales_Performance[[#This Row],[Customer ID]]),
   "New Customer",
   "Returning Customer"
)</f>
        <v>New Customer</v>
      </c>
    </row>
    <row r="463" spans="1:10" x14ac:dyDescent="0.35">
      <c r="A463" t="s">
        <v>1473</v>
      </c>
      <c r="B463" s="1">
        <v>45188</v>
      </c>
      <c r="C463" t="s">
        <v>601</v>
      </c>
      <c r="D463" t="s">
        <v>10</v>
      </c>
      <c r="E463">
        <v>24</v>
      </c>
      <c r="F463" t="s">
        <v>11</v>
      </c>
      <c r="G463">
        <v>4</v>
      </c>
      <c r="H463" s="2">
        <v>25</v>
      </c>
      <c r="I463" s="2">
        <v>100</v>
      </c>
      <c r="J463" s="1" t="str">
        <f>IF(
   Sales_Performance[[#This Row],[Date]] = _xlfn.MINIFS(Sales_Performance[Date],Sales_Performance[Customer ID],Sales_Performance[[#This Row],[Customer ID]]),
   "New Customer",
   "Returning Customer"
)</f>
        <v>Returning Customer</v>
      </c>
    </row>
    <row r="464" spans="1:10" x14ac:dyDescent="0.35">
      <c r="A464" t="s">
        <v>361</v>
      </c>
      <c r="B464" s="1">
        <v>44986</v>
      </c>
      <c r="C464" t="s">
        <v>1505</v>
      </c>
      <c r="D464" t="s">
        <v>15</v>
      </c>
      <c r="E464">
        <v>18</v>
      </c>
      <c r="F464" t="s">
        <v>11</v>
      </c>
      <c r="G464">
        <v>1</v>
      </c>
      <c r="H464" s="2">
        <v>300</v>
      </c>
      <c r="I464" s="2">
        <v>300</v>
      </c>
      <c r="J464" s="1" t="str">
        <f>IF(
   Sales_Performance[[#This Row],[Date]] = _xlfn.MINIFS(Sales_Performance[Date],Sales_Performance[Customer ID],Sales_Performance[[#This Row],[Customer ID]]),
   "New Customer",
   "Returning Customer"
)</f>
        <v>Returning Customer</v>
      </c>
    </row>
    <row r="465" spans="1:10" x14ac:dyDescent="0.35">
      <c r="A465" t="s">
        <v>367</v>
      </c>
      <c r="B465" s="1">
        <v>45124</v>
      </c>
      <c r="C465" t="s">
        <v>722</v>
      </c>
      <c r="D465" t="s">
        <v>15</v>
      </c>
      <c r="E465">
        <v>49</v>
      </c>
      <c r="F465" t="s">
        <v>16</v>
      </c>
      <c r="G465">
        <v>3</v>
      </c>
      <c r="H465" s="2">
        <v>300</v>
      </c>
      <c r="I465" s="2">
        <v>900</v>
      </c>
      <c r="J465" s="1" t="str">
        <f>IF(
   Sales_Performance[[#This Row],[Date]] = _xlfn.MINIFS(Sales_Performance[Date],Sales_Performance[Customer ID],Sales_Performance[[#This Row],[Customer ID]]),
   "New Customer",
   "Returning Customer"
)</f>
        <v>New Customer</v>
      </c>
    </row>
    <row r="466" spans="1:10" x14ac:dyDescent="0.35">
      <c r="A466" t="s">
        <v>238</v>
      </c>
      <c r="B466" s="1">
        <v>45222</v>
      </c>
      <c r="C466" t="s">
        <v>794</v>
      </c>
      <c r="D466" t="s">
        <v>10</v>
      </c>
      <c r="E466">
        <v>30</v>
      </c>
      <c r="F466" t="s">
        <v>18</v>
      </c>
      <c r="G466">
        <v>4</v>
      </c>
      <c r="H466" s="2">
        <v>25</v>
      </c>
      <c r="I466" s="2">
        <v>100</v>
      </c>
      <c r="J466" s="1" t="str">
        <f>IF(
   Sales_Performance[[#This Row],[Date]] = _xlfn.MINIFS(Sales_Performance[Date],Sales_Performance[Customer ID],Sales_Performance[[#This Row],[Customer ID]]),
   "New Customer",
   "Returning Customer"
)</f>
        <v>New Customer</v>
      </c>
    </row>
    <row r="467" spans="1:10" x14ac:dyDescent="0.35">
      <c r="A467" t="s">
        <v>1380</v>
      </c>
      <c r="B467" s="1">
        <v>45024</v>
      </c>
      <c r="C467" t="s">
        <v>104</v>
      </c>
      <c r="D467" t="s">
        <v>15</v>
      </c>
      <c r="E467">
        <v>47</v>
      </c>
      <c r="F467" t="s">
        <v>16</v>
      </c>
      <c r="G467">
        <v>4</v>
      </c>
      <c r="H467" s="2">
        <v>25</v>
      </c>
      <c r="I467" s="2">
        <v>100</v>
      </c>
      <c r="J467" s="1" t="str">
        <f>IF(
   Sales_Performance[[#This Row],[Date]] = _xlfn.MINIFS(Sales_Performance[Date],Sales_Performance[Customer ID],Sales_Performance[[#This Row],[Customer ID]]),
   "New Customer",
   "Returning Customer"
)</f>
        <v>New Customer</v>
      </c>
    </row>
    <row r="468" spans="1:10" x14ac:dyDescent="0.35">
      <c r="A468" t="s">
        <v>1125</v>
      </c>
      <c r="B468" s="1">
        <v>45057</v>
      </c>
      <c r="C468" t="s">
        <v>336</v>
      </c>
      <c r="D468" t="s">
        <v>15</v>
      </c>
      <c r="E468">
        <v>40</v>
      </c>
      <c r="F468" t="s">
        <v>16</v>
      </c>
      <c r="G468">
        <v>1</v>
      </c>
      <c r="H468" s="2">
        <v>30</v>
      </c>
      <c r="I468" s="2">
        <v>30</v>
      </c>
      <c r="J468" s="1" t="str">
        <f>IF(
   Sales_Performance[[#This Row],[Date]] = _xlfn.MINIFS(Sales_Performance[Date],Sales_Performance[Customer ID],Sales_Performance[[#This Row],[Customer ID]]),
   "New Customer",
   "Returning Customer"
)</f>
        <v>New Customer</v>
      </c>
    </row>
    <row r="469" spans="1:10" x14ac:dyDescent="0.35">
      <c r="A469" t="s">
        <v>546</v>
      </c>
      <c r="B469" s="1">
        <v>44949</v>
      </c>
      <c r="C469" t="s">
        <v>1426</v>
      </c>
      <c r="D469" t="s">
        <v>15</v>
      </c>
      <c r="E469">
        <v>36</v>
      </c>
      <c r="F469" t="s">
        <v>11</v>
      </c>
      <c r="G469">
        <v>4</v>
      </c>
      <c r="H469" s="2">
        <v>30</v>
      </c>
      <c r="I469" s="2">
        <v>120</v>
      </c>
      <c r="J469" s="1" t="str">
        <f>IF(
   Sales_Performance[[#This Row],[Date]] = _xlfn.MINIFS(Sales_Performance[Date],Sales_Performance[Customer ID],Sales_Performance[[#This Row],[Customer ID]]),
   "New Customer",
   "Returning Customer"
)</f>
        <v>New Customer</v>
      </c>
    </row>
    <row r="470" spans="1:10" x14ac:dyDescent="0.35">
      <c r="A470" t="s">
        <v>405</v>
      </c>
      <c r="B470" s="1">
        <v>44990</v>
      </c>
      <c r="C470" t="s">
        <v>1322</v>
      </c>
      <c r="D470" t="s">
        <v>15</v>
      </c>
      <c r="E470">
        <v>36</v>
      </c>
      <c r="F470" t="s">
        <v>18</v>
      </c>
      <c r="G470">
        <v>1</v>
      </c>
      <c r="H470" s="2">
        <v>300</v>
      </c>
      <c r="I470" s="2">
        <v>300</v>
      </c>
      <c r="J470" s="1" t="str">
        <f>IF(
   Sales_Performance[[#This Row],[Date]] = _xlfn.MINIFS(Sales_Performance[Date],Sales_Performance[Customer ID],Sales_Performance[[#This Row],[Customer ID]]),
   "New Customer",
   "Returning Customer"
)</f>
        <v>New Customer</v>
      </c>
    </row>
    <row r="471" spans="1:10" x14ac:dyDescent="0.35">
      <c r="A471" t="s">
        <v>1145</v>
      </c>
      <c r="B471" s="1">
        <v>45289</v>
      </c>
      <c r="C471" t="s">
        <v>1035</v>
      </c>
      <c r="D471" t="s">
        <v>15</v>
      </c>
      <c r="E471">
        <v>49</v>
      </c>
      <c r="F471" t="s">
        <v>11</v>
      </c>
      <c r="G471">
        <v>4</v>
      </c>
      <c r="H471" s="2">
        <v>25</v>
      </c>
      <c r="I471" s="2">
        <v>100</v>
      </c>
      <c r="J471" s="1" t="str">
        <f>IF(
   Sales_Performance[[#This Row],[Date]] = _xlfn.MINIFS(Sales_Performance[Date],Sales_Performance[Customer ID],Sales_Performance[[#This Row],[Customer ID]]),
   "New Customer",
   "Returning Customer"
)</f>
        <v>Returning Customer</v>
      </c>
    </row>
    <row r="472" spans="1:10" x14ac:dyDescent="0.35">
      <c r="A472" t="s">
        <v>1071</v>
      </c>
      <c r="B472" s="1">
        <v>45150</v>
      </c>
      <c r="C472" t="s">
        <v>652</v>
      </c>
      <c r="D472" t="s">
        <v>15</v>
      </c>
      <c r="E472">
        <v>47</v>
      </c>
      <c r="F472" t="s">
        <v>16</v>
      </c>
      <c r="G472">
        <v>4</v>
      </c>
      <c r="H472" s="2">
        <v>30</v>
      </c>
      <c r="I472" s="2">
        <v>120</v>
      </c>
      <c r="J472" s="1" t="str">
        <f>IF(
   Sales_Performance[[#This Row],[Date]] = _xlfn.MINIFS(Sales_Performance[Date],Sales_Performance[Customer ID],Sales_Performance[[#This Row],[Customer ID]]),
   "New Customer",
   "Returning Customer"
)</f>
        <v>Returning Customer</v>
      </c>
    </row>
    <row r="473" spans="1:10" x14ac:dyDescent="0.35">
      <c r="A473" t="s">
        <v>1133</v>
      </c>
      <c r="B473" s="1">
        <v>44927</v>
      </c>
      <c r="C473" t="s">
        <v>1464</v>
      </c>
      <c r="D473" t="s">
        <v>10</v>
      </c>
      <c r="E473">
        <v>46</v>
      </c>
      <c r="F473" t="s">
        <v>18</v>
      </c>
      <c r="G473">
        <v>3</v>
      </c>
      <c r="H473" s="2">
        <v>500</v>
      </c>
      <c r="I473" s="2">
        <v>1500</v>
      </c>
      <c r="J473" s="1" t="str">
        <f>IF(
   Sales_Performance[[#This Row],[Date]] = _xlfn.MINIFS(Sales_Performance[Date],Sales_Performance[Customer ID],Sales_Performance[[#This Row],[Customer ID]]),
   "New Customer",
   "Returning Customer"
)</f>
        <v>New Customer</v>
      </c>
    </row>
    <row r="474" spans="1:10" x14ac:dyDescent="0.35">
      <c r="A474" t="s">
        <v>1406</v>
      </c>
      <c r="B474" s="1">
        <v>45193</v>
      </c>
      <c r="C474" t="s">
        <v>181</v>
      </c>
      <c r="D474" t="s">
        <v>15</v>
      </c>
      <c r="E474">
        <v>62</v>
      </c>
      <c r="F474" t="s">
        <v>11</v>
      </c>
      <c r="G474">
        <v>1</v>
      </c>
      <c r="H474" s="2">
        <v>300</v>
      </c>
      <c r="I474" s="2">
        <v>300</v>
      </c>
      <c r="J474" s="1" t="str">
        <f>IF(
   Sales_Performance[[#This Row],[Date]] = _xlfn.MINIFS(Sales_Performance[Date],Sales_Performance[Customer ID],Sales_Performance[[#This Row],[Customer ID]]),
   "New Customer",
   "Returning Customer"
)</f>
        <v>Returning Customer</v>
      </c>
    </row>
    <row r="475" spans="1:10" x14ac:dyDescent="0.35">
      <c r="A475" t="s">
        <v>360</v>
      </c>
      <c r="B475" s="1">
        <v>45202</v>
      </c>
      <c r="C475" t="s">
        <v>1428</v>
      </c>
      <c r="D475" t="s">
        <v>10</v>
      </c>
      <c r="E475">
        <v>46</v>
      </c>
      <c r="F475" t="s">
        <v>18</v>
      </c>
      <c r="G475">
        <v>4</v>
      </c>
      <c r="H475" s="2">
        <v>300</v>
      </c>
      <c r="I475" s="2">
        <v>1200</v>
      </c>
      <c r="J475" s="1" t="str">
        <f>IF(
   Sales_Performance[[#This Row],[Date]] = _xlfn.MINIFS(Sales_Performance[Date],Sales_Performance[Customer ID],Sales_Performance[[#This Row],[Customer ID]]),
   "New Customer",
   "Returning Customer"
)</f>
        <v>New Customer</v>
      </c>
    </row>
    <row r="476" spans="1:10" x14ac:dyDescent="0.35">
      <c r="A476" t="s">
        <v>1351</v>
      </c>
      <c r="B476" s="1">
        <v>45278</v>
      </c>
      <c r="C476" t="s">
        <v>577</v>
      </c>
      <c r="D476" t="s">
        <v>15</v>
      </c>
      <c r="E476">
        <v>47</v>
      </c>
      <c r="F476" t="s">
        <v>18</v>
      </c>
      <c r="G476">
        <v>2</v>
      </c>
      <c r="H476" s="2">
        <v>25</v>
      </c>
      <c r="I476" s="2">
        <v>50</v>
      </c>
      <c r="J476" s="1" t="str">
        <f>IF(
   Sales_Performance[[#This Row],[Date]] = _xlfn.MINIFS(Sales_Performance[Date],Sales_Performance[Customer ID],Sales_Performance[[#This Row],[Customer ID]]),
   "New Customer",
   "Returning Customer"
)</f>
        <v>New Customer</v>
      </c>
    </row>
    <row r="477" spans="1:10" x14ac:dyDescent="0.35">
      <c r="A477" t="s">
        <v>710</v>
      </c>
      <c r="B477" s="1">
        <v>45270</v>
      </c>
      <c r="C477" t="s">
        <v>1261</v>
      </c>
      <c r="D477" t="s">
        <v>10</v>
      </c>
      <c r="E477">
        <v>33</v>
      </c>
      <c r="F477" t="s">
        <v>16</v>
      </c>
      <c r="G477">
        <v>2</v>
      </c>
      <c r="H477" s="2">
        <v>50</v>
      </c>
      <c r="I477" s="2">
        <v>100</v>
      </c>
      <c r="J477" s="1" t="str">
        <f>IF(
   Sales_Performance[[#This Row],[Date]] = _xlfn.MINIFS(Sales_Performance[Date],Sales_Performance[Customer ID],Sales_Performance[[#This Row],[Customer ID]]),
   "New Customer",
   "Returning Customer"
)</f>
        <v>Returning Customer</v>
      </c>
    </row>
    <row r="478" spans="1:10" x14ac:dyDescent="0.35">
      <c r="A478" t="s">
        <v>609</v>
      </c>
      <c r="B478" s="1">
        <v>45027</v>
      </c>
      <c r="C478" t="s">
        <v>1178</v>
      </c>
      <c r="D478" t="s">
        <v>10</v>
      </c>
      <c r="E478">
        <v>57</v>
      </c>
      <c r="F478" t="s">
        <v>16</v>
      </c>
      <c r="G478">
        <v>2</v>
      </c>
      <c r="H478" s="2">
        <v>25</v>
      </c>
      <c r="I478" s="2">
        <v>50</v>
      </c>
      <c r="J478" s="1" t="str">
        <f>IF(
   Sales_Performance[[#This Row],[Date]] = _xlfn.MINIFS(Sales_Performance[Date],Sales_Performance[Customer ID],Sales_Performance[[#This Row],[Customer ID]]),
   "New Customer",
   "Returning Customer"
)</f>
        <v>New Customer</v>
      </c>
    </row>
    <row r="479" spans="1:10" x14ac:dyDescent="0.35">
      <c r="A479" t="s">
        <v>1001</v>
      </c>
      <c r="B479" s="1">
        <v>45113</v>
      </c>
      <c r="C479" t="s">
        <v>1481</v>
      </c>
      <c r="D479" t="s">
        <v>15</v>
      </c>
      <c r="E479">
        <v>36</v>
      </c>
      <c r="F479" t="s">
        <v>16</v>
      </c>
      <c r="G479">
        <v>2</v>
      </c>
      <c r="H479" s="2">
        <v>30</v>
      </c>
      <c r="I479" s="2">
        <v>60</v>
      </c>
      <c r="J479" s="1" t="str">
        <f>IF(
   Sales_Performance[[#This Row],[Date]] = _xlfn.MINIFS(Sales_Performance[Date],Sales_Performance[Customer ID],Sales_Performance[[#This Row],[Customer ID]]),
   "New Customer",
   "Returning Customer"
)</f>
        <v>Returning Customer</v>
      </c>
    </row>
    <row r="480" spans="1:10" x14ac:dyDescent="0.35">
      <c r="A480" t="s">
        <v>380</v>
      </c>
      <c r="B480" s="1">
        <v>45147</v>
      </c>
      <c r="C480" t="s">
        <v>886</v>
      </c>
      <c r="D480" t="s">
        <v>15</v>
      </c>
      <c r="E480">
        <v>35</v>
      </c>
      <c r="F480" t="s">
        <v>16</v>
      </c>
      <c r="G480">
        <v>3</v>
      </c>
      <c r="H480" s="2">
        <v>50</v>
      </c>
      <c r="I480" s="2">
        <v>150</v>
      </c>
      <c r="J480" s="1" t="str">
        <f>IF(
   Sales_Performance[[#This Row],[Date]] = _xlfn.MINIFS(Sales_Performance[Date],Sales_Performance[Customer ID],Sales_Performance[[#This Row],[Customer ID]]),
   "New Customer",
   "Returning Customer"
)</f>
        <v>Returning Customer</v>
      </c>
    </row>
    <row r="481" spans="1:10" x14ac:dyDescent="0.35">
      <c r="A481" t="s">
        <v>672</v>
      </c>
      <c r="B481" s="1">
        <v>45120</v>
      </c>
      <c r="C481" t="s">
        <v>536</v>
      </c>
      <c r="D481" t="s">
        <v>10</v>
      </c>
      <c r="E481">
        <v>34</v>
      </c>
      <c r="F481" t="s">
        <v>11</v>
      </c>
      <c r="G481">
        <v>2</v>
      </c>
      <c r="H481" s="2">
        <v>50</v>
      </c>
      <c r="I481" s="2">
        <v>100</v>
      </c>
      <c r="J481" s="1" t="str">
        <f>IF(
   Sales_Performance[[#This Row],[Date]] = _xlfn.MINIFS(Sales_Performance[Date],Sales_Performance[Customer ID],Sales_Performance[[#This Row],[Customer ID]]),
   "New Customer",
   "Returning Customer"
)</f>
        <v>New Customer</v>
      </c>
    </row>
    <row r="482" spans="1:10" x14ac:dyDescent="0.35">
      <c r="A482" t="s">
        <v>1262</v>
      </c>
      <c r="B482" s="1">
        <v>44962</v>
      </c>
      <c r="C482" t="s">
        <v>305</v>
      </c>
      <c r="D482" t="s">
        <v>15</v>
      </c>
      <c r="E482">
        <v>18</v>
      </c>
      <c r="F482" t="s">
        <v>11</v>
      </c>
      <c r="G482">
        <v>4</v>
      </c>
      <c r="H482" s="2">
        <v>30</v>
      </c>
      <c r="I482" s="2">
        <v>120</v>
      </c>
      <c r="J482" s="1" t="str">
        <f>IF(
   Sales_Performance[[#This Row],[Date]] = _xlfn.MINIFS(Sales_Performance[Date],Sales_Performance[Customer ID],Sales_Performance[[#This Row],[Customer ID]]),
   "New Customer",
   "Returning Customer"
)</f>
        <v>New Customer</v>
      </c>
    </row>
    <row r="483" spans="1:10" x14ac:dyDescent="0.35">
      <c r="A483" t="s">
        <v>509</v>
      </c>
      <c r="B483" s="1">
        <v>45267</v>
      </c>
      <c r="C483" t="s">
        <v>529</v>
      </c>
      <c r="D483" t="s">
        <v>10</v>
      </c>
      <c r="E483">
        <v>31</v>
      </c>
      <c r="F483" t="s">
        <v>11</v>
      </c>
      <c r="G483">
        <v>1</v>
      </c>
      <c r="H483" s="2">
        <v>500</v>
      </c>
      <c r="I483" s="2">
        <v>500</v>
      </c>
      <c r="J483" s="1" t="str">
        <f>IF(
   Sales_Performance[[#This Row],[Date]] = _xlfn.MINIFS(Sales_Performance[Date],Sales_Performance[Customer ID],Sales_Performance[[#This Row],[Customer ID]]),
   "New Customer",
   "Returning Customer"
)</f>
        <v>Returning Customer</v>
      </c>
    </row>
    <row r="484" spans="1:10" x14ac:dyDescent="0.35">
      <c r="A484" t="s">
        <v>202</v>
      </c>
      <c r="B484" s="1">
        <v>45096</v>
      </c>
      <c r="C484" t="s">
        <v>867</v>
      </c>
      <c r="D484" t="s">
        <v>15</v>
      </c>
      <c r="E484">
        <v>64</v>
      </c>
      <c r="F484" t="s">
        <v>16</v>
      </c>
      <c r="G484">
        <v>4</v>
      </c>
      <c r="H484" s="2">
        <v>30</v>
      </c>
      <c r="I484" s="2">
        <v>120</v>
      </c>
      <c r="J484" s="1" t="str">
        <f>IF(
   Sales_Performance[[#This Row],[Date]] = _xlfn.MINIFS(Sales_Performance[Date],Sales_Performance[Customer ID],Sales_Performance[[#This Row],[Customer ID]]),
   "New Customer",
   "Returning Customer"
)</f>
        <v>Returning Customer</v>
      </c>
    </row>
    <row r="485" spans="1:10" x14ac:dyDescent="0.35">
      <c r="A485" t="s">
        <v>878</v>
      </c>
      <c r="B485" s="1">
        <v>45246</v>
      </c>
      <c r="C485" t="s">
        <v>1122</v>
      </c>
      <c r="D485" t="s">
        <v>10</v>
      </c>
      <c r="E485">
        <v>19</v>
      </c>
      <c r="F485" t="s">
        <v>11</v>
      </c>
      <c r="G485">
        <v>3</v>
      </c>
      <c r="H485" s="2">
        <v>500</v>
      </c>
      <c r="I485" s="2">
        <v>1500</v>
      </c>
      <c r="J485" s="1" t="str">
        <f>IF(
   Sales_Performance[[#This Row],[Date]] = _xlfn.MINIFS(Sales_Performance[Date],Sales_Performance[Customer ID],Sales_Performance[[#This Row],[Customer ID]]),
   "New Customer",
   "Returning Customer"
)</f>
        <v>Returning Customer</v>
      </c>
    </row>
    <row r="486" spans="1:10" x14ac:dyDescent="0.35">
      <c r="A486" t="s">
        <v>993</v>
      </c>
      <c r="B486" s="1">
        <v>45087</v>
      </c>
      <c r="C486" t="s">
        <v>84</v>
      </c>
      <c r="D486" t="s">
        <v>10</v>
      </c>
      <c r="E486">
        <v>45</v>
      </c>
      <c r="F486" t="s">
        <v>16</v>
      </c>
      <c r="G486">
        <v>2</v>
      </c>
      <c r="H486" s="2">
        <v>500</v>
      </c>
      <c r="I486" s="2">
        <v>1000</v>
      </c>
      <c r="J486" s="1" t="str">
        <f>IF(
   Sales_Performance[[#This Row],[Date]] = _xlfn.MINIFS(Sales_Performance[Date],Sales_Performance[Customer ID],Sales_Performance[[#This Row],[Customer ID]]),
   "New Customer",
   "Returning Customer"
)</f>
        <v>New Customer</v>
      </c>
    </row>
    <row r="487" spans="1:10" x14ac:dyDescent="0.35">
      <c r="A487" t="s">
        <v>510</v>
      </c>
      <c r="B487" s="1">
        <v>45266</v>
      </c>
      <c r="C487" t="s">
        <v>1428</v>
      </c>
      <c r="D487" t="s">
        <v>10</v>
      </c>
      <c r="E487">
        <v>47</v>
      </c>
      <c r="F487" t="s">
        <v>18</v>
      </c>
      <c r="G487">
        <v>3</v>
      </c>
      <c r="H487" s="2">
        <v>30</v>
      </c>
      <c r="I487" s="2">
        <v>90</v>
      </c>
      <c r="J487" s="1" t="str">
        <f>IF(
   Sales_Performance[[#This Row],[Date]] = _xlfn.MINIFS(Sales_Performance[Date],Sales_Performance[Customer ID],Sales_Performance[[#This Row],[Customer ID]]),
   "New Customer",
   "Returning Customer"
)</f>
        <v>Returning Customer</v>
      </c>
    </row>
    <row r="488" spans="1:10" x14ac:dyDescent="0.35">
      <c r="A488" t="s">
        <v>1490</v>
      </c>
      <c r="B488" s="1">
        <v>44990</v>
      </c>
      <c r="C488" t="s">
        <v>1147</v>
      </c>
      <c r="D488" t="s">
        <v>15</v>
      </c>
      <c r="E488">
        <v>55</v>
      </c>
      <c r="F488" t="s">
        <v>18</v>
      </c>
      <c r="G488">
        <v>4</v>
      </c>
      <c r="H488" s="2">
        <v>30</v>
      </c>
      <c r="I488" s="2">
        <v>120</v>
      </c>
      <c r="J488" s="1" t="str">
        <f>IF(
   Sales_Performance[[#This Row],[Date]] = _xlfn.MINIFS(Sales_Performance[Date],Sales_Performance[Customer ID],Sales_Performance[[#This Row],[Customer ID]]),
   "New Customer",
   "Returning Customer"
)</f>
        <v>New Customer</v>
      </c>
    </row>
    <row r="489" spans="1:10" x14ac:dyDescent="0.35">
      <c r="A489" t="s">
        <v>1095</v>
      </c>
      <c r="B489" s="1">
        <v>45080</v>
      </c>
      <c r="C489" t="s">
        <v>402</v>
      </c>
      <c r="D489" t="s">
        <v>15</v>
      </c>
      <c r="E489">
        <v>21</v>
      </c>
      <c r="F489" t="s">
        <v>18</v>
      </c>
      <c r="G489">
        <v>1</v>
      </c>
      <c r="H489" s="2">
        <v>500</v>
      </c>
      <c r="I489" s="2">
        <v>500</v>
      </c>
      <c r="J489" s="1" t="str">
        <f>IF(
   Sales_Performance[[#This Row],[Date]] = _xlfn.MINIFS(Sales_Performance[Date],Sales_Performance[Customer ID],Sales_Performance[[#This Row],[Customer ID]]),
   "New Customer",
   "Returning Customer"
)</f>
        <v>New Customer</v>
      </c>
    </row>
    <row r="490" spans="1:10" x14ac:dyDescent="0.35">
      <c r="A490" t="s">
        <v>1503</v>
      </c>
      <c r="B490" s="1">
        <v>45186</v>
      </c>
      <c r="C490" t="s">
        <v>590</v>
      </c>
      <c r="D490" t="s">
        <v>10</v>
      </c>
      <c r="E490">
        <v>18</v>
      </c>
      <c r="F490" t="s">
        <v>16</v>
      </c>
      <c r="G490">
        <v>3</v>
      </c>
      <c r="H490" s="2">
        <v>50</v>
      </c>
      <c r="I490" s="2">
        <v>150</v>
      </c>
      <c r="J490" s="1" t="str">
        <f>IF(
   Sales_Performance[[#This Row],[Date]] = _xlfn.MINIFS(Sales_Performance[Date],Sales_Performance[Customer ID],Sales_Performance[[#This Row],[Customer ID]]),
   "New Customer",
   "Returning Customer"
)</f>
        <v>New Customer</v>
      </c>
    </row>
    <row r="491" spans="1:10" x14ac:dyDescent="0.35">
      <c r="A491" t="s">
        <v>892</v>
      </c>
      <c r="B491" s="1">
        <v>45085</v>
      </c>
      <c r="C491" t="s">
        <v>941</v>
      </c>
      <c r="D491" t="s">
        <v>10</v>
      </c>
      <c r="E491">
        <v>25</v>
      </c>
      <c r="F491" t="s">
        <v>18</v>
      </c>
      <c r="G491">
        <v>1</v>
      </c>
      <c r="H491" s="2">
        <v>500</v>
      </c>
      <c r="I491" s="2">
        <v>500</v>
      </c>
      <c r="J491" s="1" t="str">
        <f>IF(
   Sales_Performance[[#This Row],[Date]] = _xlfn.MINIFS(Sales_Performance[Date],Sales_Performance[Customer ID],Sales_Performance[[#This Row],[Customer ID]]),
   "New Customer",
   "Returning Customer"
)</f>
        <v>Returning Customer</v>
      </c>
    </row>
    <row r="492" spans="1:10" x14ac:dyDescent="0.35">
      <c r="A492" t="s">
        <v>122</v>
      </c>
      <c r="B492" s="1">
        <v>44967</v>
      </c>
      <c r="C492" t="s">
        <v>1478</v>
      </c>
      <c r="D492" t="s">
        <v>15</v>
      </c>
      <c r="E492">
        <v>38</v>
      </c>
      <c r="F492" t="s">
        <v>11</v>
      </c>
      <c r="G492">
        <v>3</v>
      </c>
      <c r="H492" s="2">
        <v>500</v>
      </c>
      <c r="I492" s="2">
        <v>1500</v>
      </c>
      <c r="J492" s="1" t="str">
        <f>IF(
   Sales_Performance[[#This Row],[Date]] = _xlfn.MINIFS(Sales_Performance[Date],Sales_Performance[Customer ID],Sales_Performance[[#This Row],[Customer ID]]),
   "New Customer",
   "Returning Customer"
)</f>
        <v>New Customer</v>
      </c>
    </row>
    <row r="493" spans="1:10" x14ac:dyDescent="0.35">
      <c r="A493" t="s">
        <v>1158</v>
      </c>
      <c r="B493" s="1">
        <v>45268</v>
      </c>
      <c r="C493" t="s">
        <v>549</v>
      </c>
      <c r="D493" t="s">
        <v>15</v>
      </c>
      <c r="E493">
        <v>46</v>
      </c>
      <c r="F493" t="s">
        <v>11</v>
      </c>
      <c r="G493">
        <v>3</v>
      </c>
      <c r="H493" s="2">
        <v>300</v>
      </c>
      <c r="I493" s="2">
        <v>900</v>
      </c>
      <c r="J493" s="1" t="str">
        <f>IF(
   Sales_Performance[[#This Row],[Date]] = _xlfn.MINIFS(Sales_Performance[Date],Sales_Performance[Customer ID],Sales_Performance[[#This Row],[Customer ID]]),
   "New Customer",
   "Returning Customer"
)</f>
        <v>New Customer</v>
      </c>
    </row>
    <row r="494" spans="1:10" x14ac:dyDescent="0.35">
      <c r="A494" t="s">
        <v>281</v>
      </c>
      <c r="B494" s="1">
        <v>45136</v>
      </c>
      <c r="C494" t="s">
        <v>756</v>
      </c>
      <c r="D494" t="s">
        <v>10</v>
      </c>
      <c r="E494">
        <v>56</v>
      </c>
      <c r="F494" t="s">
        <v>18</v>
      </c>
      <c r="G494">
        <v>1</v>
      </c>
      <c r="H494" s="2">
        <v>500</v>
      </c>
      <c r="I494" s="2">
        <v>500</v>
      </c>
      <c r="J494" s="1" t="str">
        <f>IF(
   Sales_Performance[[#This Row],[Date]] = _xlfn.MINIFS(Sales_Performance[Date],Sales_Performance[Customer ID],Sales_Performance[[#This Row],[Customer ID]]),
   "New Customer",
   "Returning Customer"
)</f>
        <v>New Customer</v>
      </c>
    </row>
    <row r="495" spans="1:10" x14ac:dyDescent="0.35">
      <c r="A495" t="s">
        <v>461</v>
      </c>
      <c r="B495" s="1">
        <v>45094</v>
      </c>
      <c r="C495" t="s">
        <v>101</v>
      </c>
      <c r="D495" t="s">
        <v>15</v>
      </c>
      <c r="E495">
        <v>20</v>
      </c>
      <c r="F495" t="s">
        <v>18</v>
      </c>
      <c r="G495">
        <v>1</v>
      </c>
      <c r="H495" s="2">
        <v>50</v>
      </c>
      <c r="I495" s="2">
        <v>50</v>
      </c>
      <c r="J495" s="1" t="str">
        <f>IF(
   Sales_Performance[[#This Row],[Date]] = _xlfn.MINIFS(Sales_Performance[Date],Sales_Performance[Customer ID],Sales_Performance[[#This Row],[Customer ID]]),
   "New Customer",
   "Returning Customer"
)</f>
        <v>Returning Customer</v>
      </c>
    </row>
    <row r="496" spans="1:10" x14ac:dyDescent="0.35">
      <c r="A496" t="s">
        <v>130</v>
      </c>
      <c r="B496" s="1">
        <v>45133</v>
      </c>
      <c r="C496" t="s">
        <v>1017</v>
      </c>
      <c r="D496" t="s">
        <v>10</v>
      </c>
      <c r="E496">
        <v>49</v>
      </c>
      <c r="F496" t="s">
        <v>18</v>
      </c>
      <c r="G496">
        <v>2</v>
      </c>
      <c r="H496" s="2">
        <v>300</v>
      </c>
      <c r="I496" s="2">
        <v>600</v>
      </c>
      <c r="J496" s="1" t="str">
        <f>IF(
   Sales_Performance[[#This Row],[Date]] = _xlfn.MINIFS(Sales_Performance[Date],Sales_Performance[Customer ID],Sales_Performance[[#This Row],[Customer ID]]),
   "New Customer",
   "Returning Customer"
)</f>
        <v>Returning Customer</v>
      </c>
    </row>
    <row r="497" spans="1:10" x14ac:dyDescent="0.35">
      <c r="A497" t="s">
        <v>875</v>
      </c>
      <c r="B497" s="1">
        <v>45283</v>
      </c>
      <c r="C497" t="s">
        <v>463</v>
      </c>
      <c r="D497" t="s">
        <v>15</v>
      </c>
      <c r="E497">
        <v>27</v>
      </c>
      <c r="F497" t="s">
        <v>11</v>
      </c>
      <c r="G497">
        <v>1</v>
      </c>
      <c r="H497" s="2">
        <v>25</v>
      </c>
      <c r="I497" s="2">
        <v>25</v>
      </c>
      <c r="J497" s="1" t="str">
        <f>IF(
   Sales_Performance[[#This Row],[Date]] = _xlfn.MINIFS(Sales_Performance[Date],Sales_Performance[Customer ID],Sales_Performance[[#This Row],[Customer ID]]),
   "New Customer",
   "Returning Customer"
)</f>
        <v>Returning Customer</v>
      </c>
    </row>
    <row r="498" spans="1:10" x14ac:dyDescent="0.35">
      <c r="A498" t="s">
        <v>439</v>
      </c>
      <c r="B498" s="1">
        <v>45078</v>
      </c>
      <c r="C498" t="s">
        <v>1138</v>
      </c>
      <c r="D498" t="s">
        <v>10</v>
      </c>
      <c r="E498">
        <v>27</v>
      </c>
      <c r="F498" t="s">
        <v>16</v>
      </c>
      <c r="G498">
        <v>2</v>
      </c>
      <c r="H498" s="2">
        <v>25</v>
      </c>
      <c r="I498" s="2">
        <v>50</v>
      </c>
      <c r="J498" s="1" t="str">
        <f>IF(
   Sales_Performance[[#This Row],[Date]] = _xlfn.MINIFS(Sales_Performance[Date],Sales_Performance[Customer ID],Sales_Performance[[#This Row],[Customer ID]]),
   "New Customer",
   "Returning Customer"
)</f>
        <v>New Customer</v>
      </c>
    </row>
    <row r="499" spans="1:10" x14ac:dyDescent="0.35">
      <c r="A499" t="s">
        <v>994</v>
      </c>
      <c r="B499" s="1">
        <v>45210</v>
      </c>
      <c r="C499" t="s">
        <v>123</v>
      </c>
      <c r="D499" t="s">
        <v>15</v>
      </c>
      <c r="E499">
        <v>36</v>
      </c>
      <c r="F499" t="s">
        <v>11</v>
      </c>
      <c r="G499">
        <v>4</v>
      </c>
      <c r="H499" s="2">
        <v>50</v>
      </c>
      <c r="I499" s="2">
        <v>200</v>
      </c>
      <c r="J499" s="1" t="str">
        <f>IF(
   Sales_Performance[[#This Row],[Date]] = _xlfn.MINIFS(Sales_Performance[Date],Sales_Performance[Customer ID],Sales_Performance[[#This Row],[Customer ID]]),
   "New Customer",
   "Returning Customer"
)</f>
        <v>Returning Customer</v>
      </c>
    </row>
    <row r="500" spans="1:10" x14ac:dyDescent="0.35">
      <c r="A500" t="s">
        <v>1062</v>
      </c>
      <c r="B500" s="1">
        <v>44992</v>
      </c>
      <c r="C500" t="s">
        <v>241</v>
      </c>
      <c r="D500" t="s">
        <v>10</v>
      </c>
      <c r="E500">
        <v>63</v>
      </c>
      <c r="F500" t="s">
        <v>16</v>
      </c>
      <c r="G500">
        <v>4</v>
      </c>
      <c r="H500" s="2">
        <v>500</v>
      </c>
      <c r="I500" s="2">
        <v>2000</v>
      </c>
      <c r="J500" s="1" t="str">
        <f>IF(
   Sales_Performance[[#This Row],[Date]] = _xlfn.MINIFS(Sales_Performance[Date],Sales_Performance[Customer ID],Sales_Performance[[#This Row],[Customer ID]]),
   "New Customer",
   "Returning Customer"
)</f>
        <v>Returning Customer</v>
      </c>
    </row>
    <row r="501" spans="1:10" x14ac:dyDescent="0.35">
      <c r="A501" t="s">
        <v>128</v>
      </c>
      <c r="B501" s="1">
        <v>45025</v>
      </c>
      <c r="C501" t="s">
        <v>478</v>
      </c>
      <c r="D501" t="s">
        <v>15</v>
      </c>
      <c r="E501">
        <v>51</v>
      </c>
      <c r="F501" t="s">
        <v>16</v>
      </c>
      <c r="G501">
        <v>2</v>
      </c>
      <c r="H501" s="2">
        <v>30</v>
      </c>
      <c r="I501" s="2">
        <v>60</v>
      </c>
      <c r="J501" s="1" t="str">
        <f>IF(
   Sales_Performance[[#This Row],[Date]] = _xlfn.MINIFS(Sales_Performance[Date],Sales_Performance[Customer ID],Sales_Performance[[#This Row],[Customer ID]]),
   "New Customer",
   "Returning Customer"
)</f>
        <v>New Customer</v>
      </c>
    </row>
    <row r="502" spans="1:10" x14ac:dyDescent="0.35">
      <c r="A502" t="s">
        <v>1118</v>
      </c>
      <c r="B502" s="1">
        <v>45142</v>
      </c>
      <c r="C502" t="s">
        <v>1132</v>
      </c>
      <c r="D502" t="s">
        <v>15</v>
      </c>
      <c r="E502">
        <v>50</v>
      </c>
      <c r="F502" t="s">
        <v>18</v>
      </c>
      <c r="G502">
        <v>2</v>
      </c>
      <c r="H502" s="2">
        <v>50</v>
      </c>
      <c r="I502" s="2">
        <v>100</v>
      </c>
      <c r="J502" s="1" t="str">
        <f>IF(
   Sales_Performance[[#This Row],[Date]] = _xlfn.MINIFS(Sales_Performance[Date],Sales_Performance[Customer ID],Sales_Performance[[#This Row],[Customer ID]]),
   "New Customer",
   "Returning Customer"
)</f>
        <v>New Customer</v>
      </c>
    </row>
    <row r="503" spans="1:10" x14ac:dyDescent="0.35">
      <c r="A503" t="s">
        <v>326</v>
      </c>
      <c r="B503" s="1">
        <v>45209</v>
      </c>
      <c r="C503" t="s">
        <v>424</v>
      </c>
      <c r="D503" t="s">
        <v>10</v>
      </c>
      <c r="E503">
        <v>31</v>
      </c>
      <c r="F503" t="s">
        <v>18</v>
      </c>
      <c r="G503">
        <v>4</v>
      </c>
      <c r="H503" s="2">
        <v>30</v>
      </c>
      <c r="I503" s="2">
        <v>120</v>
      </c>
      <c r="J503" s="1" t="str">
        <f>IF(
   Sales_Performance[[#This Row],[Date]] = _xlfn.MINIFS(Sales_Performance[Date],Sales_Performance[Customer ID],Sales_Performance[[#This Row],[Customer ID]]),
   "New Customer",
   "Returning Customer"
)</f>
        <v>Returning Customer</v>
      </c>
    </row>
    <row r="504" spans="1:10" x14ac:dyDescent="0.35">
      <c r="A504" t="s">
        <v>1007</v>
      </c>
      <c r="B504" s="1">
        <v>45267</v>
      </c>
      <c r="C504" t="s">
        <v>652</v>
      </c>
      <c r="D504" t="s">
        <v>10</v>
      </c>
      <c r="E504">
        <v>40</v>
      </c>
      <c r="F504" t="s">
        <v>16</v>
      </c>
      <c r="G504">
        <v>3</v>
      </c>
      <c r="H504" s="2">
        <v>300</v>
      </c>
      <c r="I504" s="2">
        <v>900</v>
      </c>
      <c r="J504" s="1" t="str">
        <f>IF(
   Sales_Performance[[#This Row],[Date]] = _xlfn.MINIFS(Sales_Performance[Date],Sales_Performance[Customer ID],Sales_Performance[[#This Row],[Customer ID]]),
   "New Customer",
   "Returning Customer"
)</f>
        <v>Returning Customer</v>
      </c>
    </row>
    <row r="505" spans="1:10" x14ac:dyDescent="0.35">
      <c r="A505" t="s">
        <v>1437</v>
      </c>
      <c r="B505" s="1">
        <v>45121</v>
      </c>
      <c r="C505" t="s">
        <v>1155</v>
      </c>
      <c r="D505" t="s">
        <v>10</v>
      </c>
      <c r="E505">
        <v>45</v>
      </c>
      <c r="F505" t="s">
        <v>11</v>
      </c>
      <c r="G505">
        <v>3</v>
      </c>
      <c r="H505" s="2">
        <v>300</v>
      </c>
      <c r="I505" s="2">
        <v>900</v>
      </c>
      <c r="J505" s="1" t="str">
        <f>IF(
   Sales_Performance[[#This Row],[Date]] = _xlfn.MINIFS(Sales_Performance[Date],Sales_Performance[Customer ID],Sales_Performance[[#This Row],[Customer ID]]),
   "New Customer",
   "Returning Customer"
)</f>
        <v>Returning Customer</v>
      </c>
    </row>
    <row r="506" spans="1:10" x14ac:dyDescent="0.35">
      <c r="A506" t="s">
        <v>91</v>
      </c>
      <c r="B506" s="1">
        <v>45273</v>
      </c>
      <c r="C506" t="s">
        <v>406</v>
      </c>
      <c r="D506" t="s">
        <v>15</v>
      </c>
      <c r="E506">
        <v>49</v>
      </c>
      <c r="F506" t="s">
        <v>11</v>
      </c>
      <c r="G506">
        <v>3</v>
      </c>
      <c r="H506" s="2">
        <v>25</v>
      </c>
      <c r="I506" s="2">
        <v>75</v>
      </c>
      <c r="J506" s="1" t="str">
        <f>IF(
   Sales_Performance[[#This Row],[Date]] = _xlfn.MINIFS(Sales_Performance[Date],Sales_Performance[Customer ID],Sales_Performance[[#This Row],[Customer ID]]),
   "New Customer",
   "Returning Customer"
)</f>
        <v>Returning Customer</v>
      </c>
    </row>
    <row r="507" spans="1:10" x14ac:dyDescent="0.35">
      <c r="A507" t="s">
        <v>288</v>
      </c>
      <c r="B507" s="1">
        <v>45016</v>
      </c>
      <c r="C507" t="s">
        <v>353</v>
      </c>
      <c r="D507" t="s">
        <v>10</v>
      </c>
      <c r="E507">
        <v>24</v>
      </c>
      <c r="F507" t="s">
        <v>16</v>
      </c>
      <c r="G507">
        <v>4</v>
      </c>
      <c r="H507" s="2">
        <v>300</v>
      </c>
      <c r="I507" s="2">
        <v>1200</v>
      </c>
      <c r="J507" s="1" t="str">
        <f>IF(
   Sales_Performance[[#This Row],[Date]] = _xlfn.MINIFS(Sales_Performance[Date],Sales_Performance[Customer ID],Sales_Performance[[#This Row],[Customer ID]]),
   "New Customer",
   "Returning Customer"
)</f>
        <v>New Customer</v>
      </c>
    </row>
    <row r="508" spans="1:10" x14ac:dyDescent="0.35">
      <c r="A508" t="s">
        <v>53</v>
      </c>
      <c r="B508" s="1">
        <v>45242</v>
      </c>
      <c r="C508" t="s">
        <v>181</v>
      </c>
      <c r="D508" t="s">
        <v>15</v>
      </c>
      <c r="E508">
        <v>46</v>
      </c>
      <c r="F508" t="s">
        <v>18</v>
      </c>
      <c r="G508">
        <v>3</v>
      </c>
      <c r="H508" s="2">
        <v>50</v>
      </c>
      <c r="I508" s="2">
        <v>150</v>
      </c>
      <c r="J508" s="1" t="str">
        <f>IF(
   Sales_Performance[[#This Row],[Date]] = _xlfn.MINIFS(Sales_Performance[Date],Sales_Performance[Customer ID],Sales_Performance[[#This Row],[Customer ID]]),
   "New Customer",
   "Returning Customer"
)</f>
        <v>Returning Customer</v>
      </c>
    </row>
    <row r="509" spans="1:10" x14ac:dyDescent="0.35">
      <c r="A509" t="s">
        <v>1484</v>
      </c>
      <c r="B509" s="1">
        <v>45218</v>
      </c>
      <c r="C509" t="s">
        <v>1078</v>
      </c>
      <c r="D509" t="s">
        <v>10</v>
      </c>
      <c r="E509">
        <v>25</v>
      </c>
      <c r="F509" t="s">
        <v>18</v>
      </c>
      <c r="G509">
        <v>1</v>
      </c>
      <c r="H509" s="2">
        <v>300</v>
      </c>
      <c r="I509" s="2">
        <v>300</v>
      </c>
      <c r="J509" s="1" t="str">
        <f>IF(
   Sales_Performance[[#This Row],[Date]] = _xlfn.MINIFS(Sales_Performance[Date],Sales_Performance[Customer ID],Sales_Performance[[#This Row],[Customer ID]]),
   "New Customer",
   "Returning Customer"
)</f>
        <v>Returning Customer</v>
      </c>
    </row>
    <row r="510" spans="1:10" x14ac:dyDescent="0.35">
      <c r="A510" t="s">
        <v>1323</v>
      </c>
      <c r="B510" s="1">
        <v>45081</v>
      </c>
      <c r="C510" t="s">
        <v>1228</v>
      </c>
      <c r="D510" t="s">
        <v>15</v>
      </c>
      <c r="E510">
        <v>18</v>
      </c>
      <c r="F510" t="s">
        <v>11</v>
      </c>
      <c r="G510">
        <v>1</v>
      </c>
      <c r="H510" s="2">
        <v>50</v>
      </c>
      <c r="I510" s="2">
        <v>50</v>
      </c>
      <c r="J510" s="1" t="str">
        <f>IF(
   Sales_Performance[[#This Row],[Date]] = _xlfn.MINIFS(Sales_Performance[Date],Sales_Performance[Customer ID],Sales_Performance[[#This Row],[Customer ID]]),
   "New Customer",
   "Returning Customer"
)</f>
        <v>New Customer</v>
      </c>
    </row>
    <row r="511" spans="1:10" x14ac:dyDescent="0.35">
      <c r="A511" t="s">
        <v>769</v>
      </c>
      <c r="B511" s="1">
        <v>45134</v>
      </c>
      <c r="C511" t="s">
        <v>692</v>
      </c>
      <c r="D511" t="s">
        <v>15</v>
      </c>
      <c r="E511">
        <v>20</v>
      </c>
      <c r="F511" t="s">
        <v>18</v>
      </c>
      <c r="G511">
        <v>3</v>
      </c>
      <c r="H511" s="2">
        <v>30</v>
      </c>
      <c r="I511" s="2">
        <v>90</v>
      </c>
      <c r="J511" s="1" t="str">
        <f>IF(
   Sales_Performance[[#This Row],[Date]] = _xlfn.MINIFS(Sales_Performance[Date],Sales_Performance[Customer ID],Sales_Performance[[#This Row],[Customer ID]]),
   "New Customer",
   "Returning Customer"
)</f>
        <v>New Customer</v>
      </c>
    </row>
    <row r="512" spans="1:10" x14ac:dyDescent="0.35">
      <c r="A512" t="s">
        <v>228</v>
      </c>
      <c r="B512" s="1">
        <v>45207</v>
      </c>
      <c r="C512" t="s">
        <v>957</v>
      </c>
      <c r="D512" t="s">
        <v>15</v>
      </c>
      <c r="E512">
        <v>41</v>
      </c>
      <c r="F512" t="s">
        <v>16</v>
      </c>
      <c r="G512">
        <v>1</v>
      </c>
      <c r="H512" s="2">
        <v>25</v>
      </c>
      <c r="I512" s="2">
        <v>25</v>
      </c>
      <c r="J512" s="1" t="str">
        <f>IF(
   Sales_Performance[[#This Row],[Date]] = _xlfn.MINIFS(Sales_Performance[Date],Sales_Performance[Customer ID],Sales_Performance[[#This Row],[Customer ID]]),
   "New Customer",
   "Returning Customer"
)</f>
        <v>New Customer</v>
      </c>
    </row>
    <row r="513" spans="1:10" x14ac:dyDescent="0.35">
      <c r="A513" t="s">
        <v>127</v>
      </c>
      <c r="B513" s="1">
        <v>44927</v>
      </c>
      <c r="C513" t="s">
        <v>531</v>
      </c>
      <c r="D513" t="s">
        <v>15</v>
      </c>
      <c r="E513">
        <v>40</v>
      </c>
      <c r="F513" t="s">
        <v>16</v>
      </c>
      <c r="G513">
        <v>4</v>
      </c>
      <c r="H513" s="2">
        <v>300</v>
      </c>
      <c r="I513" s="2">
        <v>1200</v>
      </c>
      <c r="J513" s="1" t="str">
        <f>IF(
   Sales_Performance[[#This Row],[Date]] = _xlfn.MINIFS(Sales_Performance[Date],Sales_Performance[Customer ID],Sales_Performance[[#This Row],[Customer ID]]),
   "New Customer",
   "Returning Customer"
)</f>
        <v>New Customer</v>
      </c>
    </row>
    <row r="514" spans="1:10" x14ac:dyDescent="0.35">
      <c r="A514" t="s">
        <v>636</v>
      </c>
      <c r="B514" s="1">
        <v>45077</v>
      </c>
      <c r="C514" t="s">
        <v>732</v>
      </c>
      <c r="D514" t="s">
        <v>15</v>
      </c>
      <c r="E514">
        <v>26</v>
      </c>
      <c r="F514" t="s">
        <v>16</v>
      </c>
      <c r="G514">
        <v>3</v>
      </c>
      <c r="H514" s="2">
        <v>300</v>
      </c>
      <c r="I514" s="2">
        <v>900</v>
      </c>
      <c r="J514" s="1" t="str">
        <f>IF(
   Sales_Performance[[#This Row],[Date]] = _xlfn.MINIFS(Sales_Performance[Date],Sales_Performance[Customer ID],Sales_Performance[[#This Row],[Customer ID]]),
   "New Customer",
   "Returning Customer"
)</f>
        <v>New Customer</v>
      </c>
    </row>
    <row r="515" spans="1:10" x14ac:dyDescent="0.35">
      <c r="A515" t="s">
        <v>1102</v>
      </c>
      <c r="B515" s="1">
        <v>45082</v>
      </c>
      <c r="C515" t="s">
        <v>342</v>
      </c>
      <c r="D515" t="s">
        <v>15</v>
      </c>
      <c r="E515">
        <v>25</v>
      </c>
      <c r="F515" t="s">
        <v>11</v>
      </c>
      <c r="G515">
        <v>1</v>
      </c>
      <c r="H515" s="2">
        <v>50</v>
      </c>
      <c r="I515" s="2">
        <v>50</v>
      </c>
      <c r="J515" s="1" t="str">
        <f>IF(
   Sales_Performance[[#This Row],[Date]] = _xlfn.MINIFS(Sales_Performance[Date],Sales_Performance[Customer ID],Sales_Performance[[#This Row],[Customer ID]]),
   "New Customer",
   "Returning Customer"
)</f>
        <v>New Customer</v>
      </c>
    </row>
    <row r="516" spans="1:10" x14ac:dyDescent="0.35">
      <c r="A516" t="s">
        <v>1174</v>
      </c>
      <c r="B516" s="1">
        <v>45073</v>
      </c>
      <c r="C516" t="s">
        <v>1451</v>
      </c>
      <c r="D516" t="s">
        <v>15</v>
      </c>
      <c r="E516">
        <v>64</v>
      </c>
      <c r="F516" t="s">
        <v>16</v>
      </c>
      <c r="G516">
        <v>4</v>
      </c>
      <c r="H516" s="2">
        <v>500</v>
      </c>
      <c r="I516" s="2">
        <v>2000</v>
      </c>
      <c r="J516" s="1" t="str">
        <f>IF(
   Sales_Performance[[#This Row],[Date]] = _xlfn.MINIFS(Sales_Performance[Date],Sales_Performance[Customer ID],Sales_Performance[[#This Row],[Customer ID]]),
   "New Customer",
   "Returning Customer"
)</f>
        <v>Returning Customer</v>
      </c>
    </row>
    <row r="517" spans="1:10" x14ac:dyDescent="0.35">
      <c r="A517" t="s">
        <v>1092</v>
      </c>
      <c r="B517" s="1">
        <v>45034</v>
      </c>
      <c r="C517" t="s">
        <v>1417</v>
      </c>
      <c r="D517" t="s">
        <v>10</v>
      </c>
      <c r="E517">
        <v>54</v>
      </c>
      <c r="F517" t="s">
        <v>11</v>
      </c>
      <c r="G517">
        <v>2</v>
      </c>
      <c r="H517" s="2">
        <v>25</v>
      </c>
      <c r="I517" s="2">
        <v>50</v>
      </c>
      <c r="J517" s="1" t="str">
        <f>IF(
   Sales_Performance[[#This Row],[Date]] = _xlfn.MINIFS(Sales_Performance[Date],Sales_Performance[Customer ID],Sales_Performance[[#This Row],[Customer ID]]),
   "New Customer",
   "Returning Customer"
)</f>
        <v>Returning Customer</v>
      </c>
    </row>
    <row r="518" spans="1:10" x14ac:dyDescent="0.35">
      <c r="A518" t="s">
        <v>758</v>
      </c>
      <c r="B518" s="1">
        <v>45147</v>
      </c>
      <c r="C518" t="s">
        <v>1031</v>
      </c>
      <c r="D518" t="s">
        <v>10</v>
      </c>
      <c r="E518">
        <v>20</v>
      </c>
      <c r="F518" t="s">
        <v>16</v>
      </c>
      <c r="G518">
        <v>2</v>
      </c>
      <c r="H518" s="2">
        <v>30</v>
      </c>
      <c r="I518" s="2">
        <v>60</v>
      </c>
      <c r="J518" s="1" t="str">
        <f>IF(
   Sales_Performance[[#This Row],[Date]] = _xlfn.MINIFS(Sales_Performance[Date],Sales_Performance[Customer ID],Sales_Performance[[#This Row],[Customer ID]]),
   "New Customer",
   "Returning Customer"
)</f>
        <v>New Customer</v>
      </c>
    </row>
    <row r="519" spans="1:10" x14ac:dyDescent="0.35">
      <c r="A519" t="s">
        <v>239</v>
      </c>
      <c r="B519" s="1">
        <v>45223</v>
      </c>
      <c r="C519" t="s">
        <v>294</v>
      </c>
      <c r="D519" t="s">
        <v>10</v>
      </c>
      <c r="E519">
        <v>50</v>
      </c>
      <c r="F519" t="s">
        <v>11</v>
      </c>
      <c r="G519">
        <v>2</v>
      </c>
      <c r="H519" s="2">
        <v>50</v>
      </c>
      <c r="I519" s="2">
        <v>100</v>
      </c>
      <c r="J519" s="1" t="str">
        <f>IF(
   Sales_Performance[[#This Row],[Date]] = _xlfn.MINIFS(Sales_Performance[Date],Sales_Performance[Customer ID],Sales_Performance[[#This Row],[Customer ID]]),
   "New Customer",
   "Returning Customer"
)</f>
        <v>Returning Customer</v>
      </c>
    </row>
    <row r="520" spans="1:10" x14ac:dyDescent="0.35">
      <c r="A520" t="s">
        <v>60</v>
      </c>
      <c r="B520" s="1">
        <v>45237</v>
      </c>
      <c r="C520" t="s">
        <v>808</v>
      </c>
      <c r="D520" t="s">
        <v>15</v>
      </c>
      <c r="E520">
        <v>45</v>
      </c>
      <c r="F520" t="s">
        <v>18</v>
      </c>
      <c r="G520">
        <v>2</v>
      </c>
      <c r="H520" s="2">
        <v>30</v>
      </c>
      <c r="I520" s="2">
        <v>60</v>
      </c>
      <c r="J520" s="1" t="str">
        <f>IF(
   Sales_Performance[[#This Row],[Date]] = _xlfn.MINIFS(Sales_Performance[Date],Sales_Performance[Customer ID],Sales_Performance[[#This Row],[Customer ID]]),
   "New Customer",
   "Returning Customer"
)</f>
        <v>Returning Customer</v>
      </c>
    </row>
    <row r="521" spans="1:10" x14ac:dyDescent="0.35">
      <c r="A521" t="s">
        <v>279</v>
      </c>
      <c r="B521" s="1">
        <v>45262</v>
      </c>
      <c r="C521" t="s">
        <v>1456</v>
      </c>
      <c r="D521" t="s">
        <v>15</v>
      </c>
      <c r="E521">
        <v>64</v>
      </c>
      <c r="F521" t="s">
        <v>16</v>
      </c>
      <c r="G521">
        <v>1</v>
      </c>
      <c r="H521" s="2">
        <v>30</v>
      </c>
      <c r="I521" s="2">
        <v>30</v>
      </c>
      <c r="J521" s="1" t="str">
        <f>IF(
   Sales_Performance[[#This Row],[Date]] = _xlfn.MINIFS(Sales_Performance[Date],Sales_Performance[Customer ID],Sales_Performance[[#This Row],[Customer ID]]),
   "New Customer",
   "Returning Customer"
)</f>
        <v>Returning Customer</v>
      </c>
    </row>
    <row r="522" spans="1:10" x14ac:dyDescent="0.35">
      <c r="A522" t="s">
        <v>1324</v>
      </c>
      <c r="B522" s="1">
        <v>45091</v>
      </c>
      <c r="C522" t="s">
        <v>453</v>
      </c>
      <c r="D522" t="s">
        <v>15</v>
      </c>
      <c r="E522">
        <v>25</v>
      </c>
      <c r="F522" t="s">
        <v>16</v>
      </c>
      <c r="G522">
        <v>3</v>
      </c>
      <c r="H522" s="2">
        <v>300</v>
      </c>
      <c r="I522" s="2">
        <v>900</v>
      </c>
      <c r="J522" s="1" t="str">
        <f>IF(
   Sales_Performance[[#This Row],[Date]] = _xlfn.MINIFS(Sales_Performance[Date],Sales_Performance[Customer ID],Sales_Performance[[#This Row],[Customer ID]]),
   "New Customer",
   "Returning Customer"
)</f>
        <v>Returning Customer</v>
      </c>
    </row>
    <row r="523" spans="1:10" x14ac:dyDescent="0.35">
      <c r="A523" t="s">
        <v>59</v>
      </c>
      <c r="B523" s="1">
        <v>45165</v>
      </c>
      <c r="C523" t="s">
        <v>700</v>
      </c>
      <c r="D523" t="s">
        <v>15</v>
      </c>
      <c r="E523">
        <v>51</v>
      </c>
      <c r="F523" t="s">
        <v>11</v>
      </c>
      <c r="G523">
        <v>1</v>
      </c>
      <c r="H523" s="2">
        <v>300</v>
      </c>
      <c r="I523" s="2">
        <v>300</v>
      </c>
      <c r="J523" s="1" t="str">
        <f>IF(
   Sales_Performance[[#This Row],[Date]] = _xlfn.MINIFS(Sales_Performance[Date],Sales_Performance[Customer ID],Sales_Performance[[#This Row],[Customer ID]]),
   "New Customer",
   "Returning Customer"
)</f>
        <v>Returning Customer</v>
      </c>
    </row>
    <row r="524" spans="1:10" x14ac:dyDescent="0.35">
      <c r="A524" t="s">
        <v>9</v>
      </c>
      <c r="B524" s="1">
        <v>45153</v>
      </c>
      <c r="C524" t="s">
        <v>855</v>
      </c>
      <c r="D524" t="s">
        <v>10</v>
      </c>
      <c r="E524">
        <v>52</v>
      </c>
      <c r="F524" t="s">
        <v>11</v>
      </c>
      <c r="G524">
        <v>4</v>
      </c>
      <c r="H524" s="2">
        <v>50</v>
      </c>
      <c r="I524" s="2">
        <v>200</v>
      </c>
      <c r="J524" s="1" t="str">
        <f>IF(
   Sales_Performance[[#This Row],[Date]] = _xlfn.MINIFS(Sales_Performance[Date],Sales_Performance[Customer ID],Sales_Performance[[#This Row],[Customer ID]]),
   "New Customer",
   "Returning Customer"
)</f>
        <v>New Customer</v>
      </c>
    </row>
    <row r="525" spans="1:10" x14ac:dyDescent="0.35">
      <c r="A525" t="s">
        <v>817</v>
      </c>
      <c r="B525" s="1">
        <v>45248</v>
      </c>
      <c r="C525" t="s">
        <v>571</v>
      </c>
      <c r="D525" t="s">
        <v>15</v>
      </c>
      <c r="E525">
        <v>63</v>
      </c>
      <c r="F525" t="s">
        <v>18</v>
      </c>
      <c r="G525">
        <v>1</v>
      </c>
      <c r="H525" s="2">
        <v>30</v>
      </c>
      <c r="I525" s="2">
        <v>30</v>
      </c>
      <c r="J525" s="1" t="str">
        <f>IF(
   Sales_Performance[[#This Row],[Date]] = _xlfn.MINIFS(Sales_Performance[Date],Sales_Performance[Customer ID],Sales_Performance[[#This Row],[Customer ID]]),
   "New Customer",
   "Returning Customer"
)</f>
        <v>Returning Customer</v>
      </c>
    </row>
    <row r="526" spans="1:10" x14ac:dyDescent="0.35">
      <c r="A526" t="s">
        <v>152</v>
      </c>
      <c r="B526" s="1">
        <v>45153</v>
      </c>
      <c r="C526" t="s">
        <v>840</v>
      </c>
      <c r="D526" t="s">
        <v>10</v>
      </c>
      <c r="E526">
        <v>49</v>
      </c>
      <c r="F526" t="s">
        <v>16</v>
      </c>
      <c r="G526">
        <v>1</v>
      </c>
      <c r="H526" s="2">
        <v>500</v>
      </c>
      <c r="I526" s="2">
        <v>500</v>
      </c>
      <c r="J526" s="1" t="str">
        <f>IF(
   Sales_Performance[[#This Row],[Date]] = _xlfn.MINIFS(Sales_Performance[Date],Sales_Performance[Customer ID],Sales_Performance[[#This Row],[Customer ID]]),
   "New Customer",
   "Returning Customer"
)</f>
        <v>Returning Customer</v>
      </c>
    </row>
    <row r="527" spans="1:10" x14ac:dyDescent="0.35">
      <c r="A527" t="s">
        <v>552</v>
      </c>
      <c r="B527" s="1">
        <v>45272</v>
      </c>
      <c r="C527" t="s">
        <v>441</v>
      </c>
      <c r="D527" t="s">
        <v>15</v>
      </c>
      <c r="E527">
        <v>41</v>
      </c>
      <c r="F527" t="s">
        <v>11</v>
      </c>
      <c r="G527">
        <v>1</v>
      </c>
      <c r="H527" s="2">
        <v>50</v>
      </c>
      <c r="I527" s="2">
        <v>50</v>
      </c>
      <c r="J527" s="1" t="str">
        <f>IF(
   Sales_Performance[[#This Row],[Date]] = _xlfn.MINIFS(Sales_Performance[Date],Sales_Performance[Customer ID],Sales_Performance[[#This Row],[Customer ID]]),
   "New Customer",
   "Returning Customer"
)</f>
        <v>Returning Customer</v>
      </c>
    </row>
    <row r="528" spans="1:10" x14ac:dyDescent="0.35">
      <c r="A528" t="s">
        <v>584</v>
      </c>
      <c r="B528" s="1">
        <v>45036</v>
      </c>
      <c r="C528" t="s">
        <v>1147</v>
      </c>
      <c r="D528" t="s">
        <v>10</v>
      </c>
      <c r="E528">
        <v>31</v>
      </c>
      <c r="F528" t="s">
        <v>16</v>
      </c>
      <c r="G528">
        <v>4</v>
      </c>
      <c r="H528" s="2">
        <v>500</v>
      </c>
      <c r="I528" s="2">
        <v>2000</v>
      </c>
      <c r="J528" s="1" t="str">
        <f>IF(
   Sales_Performance[[#This Row],[Date]] = _xlfn.MINIFS(Sales_Performance[Date],Sales_Performance[Customer ID],Sales_Performance[[#This Row],[Customer ID]]),
   "New Customer",
   "Returning Customer"
)</f>
        <v>Returning Customer</v>
      </c>
    </row>
    <row r="529" spans="1:10" x14ac:dyDescent="0.35">
      <c r="A529" t="s">
        <v>650</v>
      </c>
      <c r="B529" s="1">
        <v>45188</v>
      </c>
      <c r="C529" t="s">
        <v>232</v>
      </c>
      <c r="D529" t="s">
        <v>10</v>
      </c>
      <c r="E529">
        <v>49</v>
      </c>
      <c r="F529" t="s">
        <v>18</v>
      </c>
      <c r="G529">
        <v>2</v>
      </c>
      <c r="H529" s="2">
        <v>30</v>
      </c>
      <c r="I529" s="2">
        <v>60</v>
      </c>
      <c r="J529" s="1" t="str">
        <f>IF(
   Sales_Performance[[#This Row],[Date]] = _xlfn.MINIFS(Sales_Performance[Date],Sales_Performance[Customer ID],Sales_Performance[[#This Row],[Customer ID]]),
   "New Customer",
   "Returning Customer"
)</f>
        <v>Returning Customer</v>
      </c>
    </row>
    <row r="530" spans="1:10" x14ac:dyDescent="0.35">
      <c r="A530" t="s">
        <v>1083</v>
      </c>
      <c r="B530" s="1">
        <v>45169</v>
      </c>
      <c r="C530" t="s">
        <v>134</v>
      </c>
      <c r="D530" t="s">
        <v>15</v>
      </c>
      <c r="E530">
        <v>63</v>
      </c>
      <c r="F530" t="s">
        <v>11</v>
      </c>
      <c r="G530">
        <v>2</v>
      </c>
      <c r="H530" s="2">
        <v>25</v>
      </c>
      <c r="I530" s="2">
        <v>50</v>
      </c>
      <c r="J530" s="1" t="str">
        <f>IF(
   Sales_Performance[[#This Row],[Date]] = _xlfn.MINIFS(Sales_Performance[Date],Sales_Performance[Customer ID],Sales_Performance[[#This Row],[Customer ID]]),
   "New Customer",
   "Returning Customer"
)</f>
        <v>New Customer</v>
      </c>
    </row>
    <row r="531" spans="1:10" x14ac:dyDescent="0.35">
      <c r="A531" t="s">
        <v>944</v>
      </c>
      <c r="B531" s="1">
        <v>45013</v>
      </c>
      <c r="C531" t="s">
        <v>309</v>
      </c>
      <c r="D531" t="s">
        <v>10</v>
      </c>
      <c r="E531">
        <v>60</v>
      </c>
      <c r="F531" t="s">
        <v>16</v>
      </c>
      <c r="G531">
        <v>2</v>
      </c>
      <c r="H531" s="2">
        <v>50</v>
      </c>
      <c r="I531" s="2">
        <v>100</v>
      </c>
      <c r="J531" s="1" t="str">
        <f>IF(
   Sales_Performance[[#This Row],[Date]] = _xlfn.MINIFS(Sales_Performance[Date],Sales_Performance[Customer ID],Sales_Performance[[#This Row],[Customer ID]]),
   "New Customer",
   "Returning Customer"
)</f>
        <v>Returning Customer</v>
      </c>
    </row>
    <row r="532" spans="1:10" x14ac:dyDescent="0.35">
      <c r="A532" t="s">
        <v>1209</v>
      </c>
      <c r="B532" s="1">
        <v>45264</v>
      </c>
      <c r="C532" t="s">
        <v>1165</v>
      </c>
      <c r="D532" t="s">
        <v>15</v>
      </c>
      <c r="E532">
        <v>33</v>
      </c>
      <c r="F532" t="s">
        <v>18</v>
      </c>
      <c r="G532">
        <v>3</v>
      </c>
      <c r="H532" s="2">
        <v>50</v>
      </c>
      <c r="I532" s="2">
        <v>150</v>
      </c>
      <c r="J532" s="1" t="str">
        <f>IF(
   Sales_Performance[[#This Row],[Date]] = _xlfn.MINIFS(Sales_Performance[Date],Sales_Performance[Customer ID],Sales_Performance[[#This Row],[Customer ID]]),
   "New Customer",
   "Returning Customer"
)</f>
        <v>New Customer</v>
      </c>
    </row>
    <row r="533" spans="1:10" x14ac:dyDescent="0.35">
      <c r="A533" t="s">
        <v>1166</v>
      </c>
      <c r="B533" s="1">
        <v>44970</v>
      </c>
      <c r="C533" t="s">
        <v>637</v>
      </c>
      <c r="D533" t="s">
        <v>10</v>
      </c>
      <c r="E533">
        <v>21</v>
      </c>
      <c r="F533" t="s">
        <v>18</v>
      </c>
      <c r="G533">
        <v>4</v>
      </c>
      <c r="H533" s="2">
        <v>500</v>
      </c>
      <c r="I533" s="2">
        <v>2000</v>
      </c>
      <c r="J533" s="1" t="str">
        <f>IF(
   Sales_Performance[[#This Row],[Date]] = _xlfn.MINIFS(Sales_Performance[Date],Sales_Performance[Customer ID],Sales_Performance[[#This Row],[Customer ID]]),
   "New Customer",
   "Returning Customer"
)</f>
        <v>New Customer</v>
      </c>
    </row>
    <row r="534" spans="1:10" x14ac:dyDescent="0.35">
      <c r="A534" t="s">
        <v>723</v>
      </c>
      <c r="B534" s="1">
        <v>45072</v>
      </c>
      <c r="C534" t="s">
        <v>1006</v>
      </c>
      <c r="D534" t="s">
        <v>15</v>
      </c>
      <c r="E534">
        <v>54</v>
      </c>
      <c r="F534" t="s">
        <v>16</v>
      </c>
      <c r="G534">
        <v>4</v>
      </c>
      <c r="H534" s="2">
        <v>30</v>
      </c>
      <c r="I534" s="2">
        <v>120</v>
      </c>
      <c r="J534" s="1" t="str">
        <f>IF(
   Sales_Performance[[#This Row],[Date]] = _xlfn.MINIFS(Sales_Performance[Date],Sales_Performance[Customer ID],Sales_Performance[[#This Row],[Customer ID]]),
   "New Customer",
   "Returning Customer"
)</f>
        <v>New Customer</v>
      </c>
    </row>
    <row r="535" spans="1:10" x14ac:dyDescent="0.35">
      <c r="A535" t="s">
        <v>258</v>
      </c>
      <c r="B535" s="1">
        <v>45190</v>
      </c>
      <c r="C535" t="s">
        <v>765</v>
      </c>
      <c r="D535" t="s">
        <v>15</v>
      </c>
      <c r="E535">
        <v>38</v>
      </c>
      <c r="F535" t="s">
        <v>11</v>
      </c>
      <c r="G535">
        <v>1</v>
      </c>
      <c r="H535" s="2">
        <v>30</v>
      </c>
      <c r="I535" s="2">
        <v>30</v>
      </c>
      <c r="J535" s="1" t="str">
        <f>IF(
   Sales_Performance[[#This Row],[Date]] = _xlfn.MINIFS(Sales_Performance[Date],Sales_Performance[Customer ID],Sales_Performance[[#This Row],[Customer ID]]),
   "New Customer",
   "Returning Customer"
)</f>
        <v>Returning Customer</v>
      </c>
    </row>
    <row r="536" spans="1:10" x14ac:dyDescent="0.35">
      <c r="A536" t="s">
        <v>182</v>
      </c>
      <c r="B536" s="1">
        <v>45243</v>
      </c>
      <c r="C536" t="s">
        <v>77</v>
      </c>
      <c r="D536" t="s">
        <v>10</v>
      </c>
      <c r="E536">
        <v>18</v>
      </c>
      <c r="F536" t="s">
        <v>16</v>
      </c>
      <c r="G536">
        <v>4</v>
      </c>
      <c r="H536" s="2">
        <v>300</v>
      </c>
      <c r="I536" s="2">
        <v>1200</v>
      </c>
      <c r="J536" s="1" t="str">
        <f>IF(
   Sales_Performance[[#This Row],[Date]] = _xlfn.MINIFS(Sales_Performance[Date],Sales_Performance[Customer ID],Sales_Performance[[#This Row],[Customer ID]]),
   "New Customer",
   "Returning Customer"
)</f>
        <v>New Customer</v>
      </c>
    </row>
    <row r="537" spans="1:10" x14ac:dyDescent="0.35">
      <c r="A537" t="s">
        <v>1501</v>
      </c>
      <c r="B537" s="1">
        <v>45266</v>
      </c>
      <c r="C537" t="s">
        <v>962</v>
      </c>
      <c r="D537" t="s">
        <v>15</v>
      </c>
      <c r="E537">
        <v>31</v>
      </c>
      <c r="F537" t="s">
        <v>16</v>
      </c>
      <c r="G537">
        <v>3</v>
      </c>
      <c r="H537" s="2">
        <v>500</v>
      </c>
      <c r="I537" s="2">
        <v>1500</v>
      </c>
      <c r="J537" s="1" t="str">
        <f>IF(
   Sales_Performance[[#This Row],[Date]] = _xlfn.MINIFS(Sales_Performance[Date],Sales_Performance[Customer ID],Sales_Performance[[#This Row],[Customer ID]]),
   "New Customer",
   "Returning Customer"
)</f>
        <v>Returning Customer</v>
      </c>
    </row>
    <row r="538" spans="1:10" x14ac:dyDescent="0.35">
      <c r="A538" t="s">
        <v>778</v>
      </c>
      <c r="B538" s="1">
        <v>45251</v>
      </c>
      <c r="C538" t="s">
        <v>445</v>
      </c>
      <c r="D538" t="s">
        <v>15</v>
      </c>
      <c r="E538">
        <v>48</v>
      </c>
      <c r="F538" t="s">
        <v>18</v>
      </c>
      <c r="G538">
        <v>2</v>
      </c>
      <c r="H538" s="2">
        <v>30</v>
      </c>
      <c r="I538" s="2">
        <v>60</v>
      </c>
      <c r="J538" s="1" t="str">
        <f>IF(
   Sales_Performance[[#This Row],[Date]] = _xlfn.MINIFS(Sales_Performance[Date],Sales_Performance[Customer ID],Sales_Performance[[#This Row],[Customer ID]]),
   "New Customer",
   "Returning Customer"
)</f>
        <v>Returning Customer</v>
      </c>
    </row>
    <row r="539" spans="1:10" x14ac:dyDescent="0.35">
      <c r="A539" t="s">
        <v>894</v>
      </c>
      <c r="B539" s="1">
        <v>45244</v>
      </c>
      <c r="C539" t="s">
        <v>1009</v>
      </c>
      <c r="D539" t="s">
        <v>10</v>
      </c>
      <c r="E539">
        <v>35</v>
      </c>
      <c r="F539" t="s">
        <v>16</v>
      </c>
      <c r="G539">
        <v>3</v>
      </c>
      <c r="H539" s="2">
        <v>300</v>
      </c>
      <c r="I539" s="2">
        <v>900</v>
      </c>
      <c r="J539" s="1" t="str">
        <f>IF(
   Sales_Performance[[#This Row],[Date]] = _xlfn.MINIFS(Sales_Performance[Date],Sales_Performance[Customer ID],Sales_Performance[[#This Row],[Customer ID]]),
   "New Customer",
   "Returning Customer"
)</f>
        <v>Returning Customer</v>
      </c>
    </row>
    <row r="540" spans="1:10" x14ac:dyDescent="0.35">
      <c r="A540" t="s">
        <v>81</v>
      </c>
      <c r="B540" s="1">
        <v>45098</v>
      </c>
      <c r="C540" t="s">
        <v>1462</v>
      </c>
      <c r="D540" t="s">
        <v>15</v>
      </c>
      <c r="E540">
        <v>24</v>
      </c>
      <c r="F540" t="s">
        <v>11</v>
      </c>
      <c r="G540">
        <v>4</v>
      </c>
      <c r="H540" s="2">
        <v>25</v>
      </c>
      <c r="I540" s="2">
        <v>100</v>
      </c>
      <c r="J540" s="1" t="str">
        <f>IF(
   Sales_Performance[[#This Row],[Date]] = _xlfn.MINIFS(Sales_Performance[Date],Sales_Performance[Customer ID],Sales_Performance[[#This Row],[Customer ID]]),
   "New Customer",
   "Returning Customer"
)</f>
        <v>Returning Customer</v>
      </c>
    </row>
    <row r="541" spans="1:10" x14ac:dyDescent="0.35">
      <c r="A541" t="s">
        <v>1409</v>
      </c>
      <c r="B541" s="1">
        <v>44974</v>
      </c>
      <c r="C541" t="s">
        <v>652</v>
      </c>
      <c r="D541" t="s">
        <v>15</v>
      </c>
      <c r="E541">
        <v>27</v>
      </c>
      <c r="F541" t="s">
        <v>18</v>
      </c>
      <c r="G541">
        <v>4</v>
      </c>
      <c r="H541" s="2">
        <v>50</v>
      </c>
      <c r="I541" s="2">
        <v>200</v>
      </c>
      <c r="J541" s="1" t="str">
        <f>IF(
   Sales_Performance[[#This Row],[Date]] = _xlfn.MINIFS(Sales_Performance[Date],Sales_Performance[Customer ID],Sales_Performance[[#This Row],[Customer ID]]),
   "New Customer",
   "Returning Customer"
)</f>
        <v>New Customer</v>
      </c>
    </row>
    <row r="542" spans="1:10" x14ac:dyDescent="0.35">
      <c r="A542" t="s">
        <v>1489</v>
      </c>
      <c r="B542" s="1">
        <v>45047</v>
      </c>
      <c r="C542" t="s">
        <v>859</v>
      </c>
      <c r="D542" t="s">
        <v>15</v>
      </c>
      <c r="E542">
        <v>24</v>
      </c>
      <c r="F542" t="s">
        <v>16</v>
      </c>
      <c r="G542">
        <v>1</v>
      </c>
      <c r="H542" s="2">
        <v>25</v>
      </c>
      <c r="I542" s="2">
        <v>25</v>
      </c>
      <c r="J542" s="1" t="str">
        <f>IF(
   Sales_Performance[[#This Row],[Date]] = _xlfn.MINIFS(Sales_Performance[Date],Sales_Performance[Customer ID],Sales_Performance[[#This Row],[Customer ID]]),
   "New Customer",
   "Returning Customer"
)</f>
        <v>New Customer</v>
      </c>
    </row>
    <row r="543" spans="1:10" x14ac:dyDescent="0.35">
      <c r="A543" t="s">
        <v>624</v>
      </c>
      <c r="B543" s="1">
        <v>45271</v>
      </c>
      <c r="C543" t="s">
        <v>827</v>
      </c>
      <c r="D543" t="s">
        <v>10</v>
      </c>
      <c r="E543">
        <v>50</v>
      </c>
      <c r="F543" t="s">
        <v>11</v>
      </c>
      <c r="G543">
        <v>1</v>
      </c>
      <c r="H543" s="2">
        <v>50</v>
      </c>
      <c r="I543" s="2">
        <v>50</v>
      </c>
      <c r="J543" s="1" t="str">
        <f>IF(
   Sales_Performance[[#This Row],[Date]] = _xlfn.MINIFS(Sales_Performance[Date],Sales_Performance[Customer ID],Sales_Performance[[#This Row],[Customer ID]]),
   "New Customer",
   "Returning Customer"
)</f>
        <v>Returning Customer</v>
      </c>
    </row>
    <row r="544" spans="1:10" x14ac:dyDescent="0.35">
      <c r="A544" t="s">
        <v>291</v>
      </c>
      <c r="B544" s="1">
        <v>45085</v>
      </c>
      <c r="C544" t="s">
        <v>1120</v>
      </c>
      <c r="D544" t="s">
        <v>15</v>
      </c>
      <c r="E544">
        <v>40</v>
      </c>
      <c r="F544" t="s">
        <v>18</v>
      </c>
      <c r="G544">
        <v>4</v>
      </c>
      <c r="H544" s="2">
        <v>300</v>
      </c>
      <c r="I544" s="2">
        <v>1200</v>
      </c>
      <c r="J544" s="1" t="str">
        <f>IF(
   Sales_Performance[[#This Row],[Date]] = _xlfn.MINIFS(Sales_Performance[Date],Sales_Performance[Customer ID],Sales_Performance[[#This Row],[Customer ID]]),
   "New Customer",
   "Returning Customer"
)</f>
        <v>New Customer</v>
      </c>
    </row>
    <row r="545" spans="1:10" x14ac:dyDescent="0.35">
      <c r="A545" t="s">
        <v>94</v>
      </c>
      <c r="B545" s="1">
        <v>45042</v>
      </c>
      <c r="C545" t="s">
        <v>123</v>
      </c>
      <c r="D545" t="s">
        <v>10</v>
      </c>
      <c r="E545">
        <v>38</v>
      </c>
      <c r="F545" t="s">
        <v>11</v>
      </c>
      <c r="G545">
        <v>2</v>
      </c>
      <c r="H545" s="2">
        <v>30</v>
      </c>
      <c r="I545" s="2">
        <v>60</v>
      </c>
      <c r="J545" s="1" t="str">
        <f>IF(
   Sales_Performance[[#This Row],[Date]] = _xlfn.MINIFS(Sales_Performance[Date],Sales_Performance[Customer ID],Sales_Performance[[#This Row],[Customer ID]]),
   "New Customer",
   "Returning Customer"
)</f>
        <v>New Customer</v>
      </c>
    </row>
    <row r="546" spans="1:10" x14ac:dyDescent="0.35">
      <c r="A546" t="s">
        <v>1241</v>
      </c>
      <c r="B546" s="1">
        <v>45028</v>
      </c>
      <c r="C546" t="s">
        <v>344</v>
      </c>
      <c r="D546" t="s">
        <v>15</v>
      </c>
      <c r="E546">
        <v>36</v>
      </c>
      <c r="F546" t="s">
        <v>18</v>
      </c>
      <c r="G546">
        <v>2</v>
      </c>
      <c r="H546" s="2">
        <v>500</v>
      </c>
      <c r="I546" s="2">
        <v>1000</v>
      </c>
      <c r="J546" s="1" t="str">
        <f>IF(
   Sales_Performance[[#This Row],[Date]] = _xlfn.MINIFS(Sales_Performance[Date],Sales_Performance[Customer ID],Sales_Performance[[#This Row],[Customer ID]]),
   "New Customer",
   "Returning Customer"
)</f>
        <v>New Customer</v>
      </c>
    </row>
    <row r="547" spans="1:10" x14ac:dyDescent="0.35">
      <c r="A547" t="s">
        <v>659</v>
      </c>
      <c r="B547" s="1">
        <v>45112</v>
      </c>
      <c r="C547" t="s">
        <v>761</v>
      </c>
      <c r="D547" t="s">
        <v>10</v>
      </c>
      <c r="E547">
        <v>62</v>
      </c>
      <c r="F547" t="s">
        <v>16</v>
      </c>
      <c r="G547">
        <v>1</v>
      </c>
      <c r="H547" s="2">
        <v>50</v>
      </c>
      <c r="I547" s="2">
        <v>50</v>
      </c>
      <c r="J547" s="1" t="str">
        <f>IF(
   Sales_Performance[[#This Row],[Date]] = _xlfn.MINIFS(Sales_Performance[Date],Sales_Performance[Customer ID],Sales_Performance[[#This Row],[Customer ID]]),
   "New Customer",
   "Returning Customer"
)</f>
        <v>Returning Customer</v>
      </c>
    </row>
    <row r="548" spans="1:10" x14ac:dyDescent="0.35">
      <c r="A548" t="s">
        <v>1206</v>
      </c>
      <c r="B548" s="1">
        <v>45002</v>
      </c>
      <c r="C548" t="s">
        <v>315</v>
      </c>
      <c r="D548" t="s">
        <v>10</v>
      </c>
      <c r="E548">
        <v>36</v>
      </c>
      <c r="F548" t="s">
        <v>16</v>
      </c>
      <c r="G548">
        <v>3</v>
      </c>
      <c r="H548" s="2">
        <v>300</v>
      </c>
      <c r="I548" s="2">
        <v>900</v>
      </c>
      <c r="J548" s="1" t="str">
        <f>IF(
   Sales_Performance[[#This Row],[Date]] = _xlfn.MINIFS(Sales_Performance[Date],Sales_Performance[Customer ID],Sales_Performance[[#This Row],[Customer ID]]),
   "New Customer",
   "Returning Customer"
)</f>
        <v>New Customer</v>
      </c>
    </row>
    <row r="549" spans="1:10" x14ac:dyDescent="0.35">
      <c r="A549" t="s">
        <v>278</v>
      </c>
      <c r="B549" s="1">
        <v>44939</v>
      </c>
      <c r="C549" t="s">
        <v>1193</v>
      </c>
      <c r="D549" t="s">
        <v>10</v>
      </c>
      <c r="E549">
        <v>53</v>
      </c>
      <c r="F549" t="s">
        <v>11</v>
      </c>
      <c r="G549">
        <v>4</v>
      </c>
      <c r="H549" s="2">
        <v>25</v>
      </c>
      <c r="I549" s="2">
        <v>100</v>
      </c>
      <c r="J549" s="1" t="str">
        <f>IF(
   Sales_Performance[[#This Row],[Date]] = _xlfn.MINIFS(Sales_Performance[Date],Sales_Performance[Customer ID],Sales_Performance[[#This Row],[Customer ID]]),
   "New Customer",
   "Returning Customer"
)</f>
        <v>New Customer</v>
      </c>
    </row>
    <row r="550" spans="1:10" x14ac:dyDescent="0.35">
      <c r="A550" t="s">
        <v>763</v>
      </c>
      <c r="B550" s="1">
        <v>44950</v>
      </c>
      <c r="C550" t="s">
        <v>1392</v>
      </c>
      <c r="D550" t="s">
        <v>15</v>
      </c>
      <c r="E550">
        <v>46</v>
      </c>
      <c r="F550" t="s">
        <v>18</v>
      </c>
      <c r="G550">
        <v>4</v>
      </c>
      <c r="H550" s="2">
        <v>500</v>
      </c>
      <c r="I550" s="2">
        <v>2000</v>
      </c>
      <c r="J550" s="1" t="str">
        <f>IF(
   Sales_Performance[[#This Row],[Date]] = _xlfn.MINIFS(Sales_Performance[Date],Sales_Performance[Customer ID],Sales_Performance[[#This Row],[Customer ID]]),
   "New Customer",
   "Returning Customer"
)</f>
        <v>Returning Customer</v>
      </c>
    </row>
    <row r="551" spans="1:10" x14ac:dyDescent="0.35">
      <c r="A551" t="s">
        <v>889</v>
      </c>
      <c r="B551" s="1">
        <v>45052</v>
      </c>
      <c r="C551" t="s">
        <v>1097</v>
      </c>
      <c r="D551" t="s">
        <v>10</v>
      </c>
      <c r="E551">
        <v>35</v>
      </c>
      <c r="F551" t="s">
        <v>11</v>
      </c>
      <c r="G551">
        <v>2</v>
      </c>
      <c r="H551" s="2">
        <v>30</v>
      </c>
      <c r="I551" s="2">
        <v>60</v>
      </c>
      <c r="J551" s="1" t="str">
        <f>IF(
   Sales_Performance[[#This Row],[Date]] = _xlfn.MINIFS(Sales_Performance[Date],Sales_Performance[Customer ID],Sales_Performance[[#This Row],[Customer ID]]),
   "New Customer",
   "Returning Customer"
)</f>
        <v>New Customer</v>
      </c>
    </row>
    <row r="552" spans="1:10" x14ac:dyDescent="0.35">
      <c r="A552" t="s">
        <v>972</v>
      </c>
      <c r="B552" s="1">
        <v>45170</v>
      </c>
      <c r="C552" t="s">
        <v>1068</v>
      </c>
      <c r="D552" t="s">
        <v>15</v>
      </c>
      <c r="E552">
        <v>19</v>
      </c>
      <c r="F552" t="s">
        <v>11</v>
      </c>
      <c r="G552">
        <v>2</v>
      </c>
      <c r="H552" s="2">
        <v>300</v>
      </c>
      <c r="I552" s="2">
        <v>600</v>
      </c>
      <c r="J552" s="1" t="str">
        <f>IF(
   Sales_Performance[[#This Row],[Date]] = _xlfn.MINIFS(Sales_Performance[Date],Sales_Performance[Customer ID],Sales_Performance[[#This Row],[Customer ID]]),
   "New Customer",
   "Returning Customer"
)</f>
        <v>Returning Customer</v>
      </c>
    </row>
    <row r="553" spans="1:10" x14ac:dyDescent="0.35">
      <c r="A553" t="s">
        <v>880</v>
      </c>
      <c r="B553" s="1">
        <v>45239</v>
      </c>
      <c r="C553" t="s">
        <v>448</v>
      </c>
      <c r="D553" t="s">
        <v>15</v>
      </c>
      <c r="E553">
        <v>18</v>
      </c>
      <c r="F553" t="s">
        <v>16</v>
      </c>
      <c r="G553">
        <v>4</v>
      </c>
      <c r="H553" s="2">
        <v>500</v>
      </c>
      <c r="I553" s="2">
        <v>2000</v>
      </c>
      <c r="J553" s="1" t="str">
        <f>IF(
   Sales_Performance[[#This Row],[Date]] = _xlfn.MINIFS(Sales_Performance[Date],Sales_Performance[Customer ID],Sales_Performance[[#This Row],[Customer ID]]),
   "New Customer",
   "Returning Customer"
)</f>
        <v>Returning Customer</v>
      </c>
    </row>
    <row r="554" spans="1:10" x14ac:dyDescent="0.35">
      <c r="A554" t="s">
        <v>75</v>
      </c>
      <c r="B554" s="1">
        <v>44964</v>
      </c>
      <c r="C554" t="s">
        <v>1318</v>
      </c>
      <c r="D554" t="s">
        <v>15</v>
      </c>
      <c r="E554">
        <v>64</v>
      </c>
      <c r="F554" t="s">
        <v>11</v>
      </c>
      <c r="G554">
        <v>1</v>
      </c>
      <c r="H554" s="2">
        <v>300</v>
      </c>
      <c r="I554" s="2">
        <v>300</v>
      </c>
      <c r="J554" s="1" t="str">
        <f>IF(
   Sales_Performance[[#This Row],[Date]] = _xlfn.MINIFS(Sales_Performance[Date],Sales_Performance[Customer ID],Sales_Performance[[#This Row],[Customer ID]]),
   "New Customer",
   "Returning Customer"
)</f>
        <v>New Customer</v>
      </c>
    </row>
    <row r="555" spans="1:10" x14ac:dyDescent="0.35">
      <c r="A555" t="s">
        <v>870</v>
      </c>
      <c r="B555" s="1">
        <v>45160</v>
      </c>
      <c r="C555" t="s">
        <v>1193</v>
      </c>
      <c r="D555" t="s">
        <v>10</v>
      </c>
      <c r="E555">
        <v>22</v>
      </c>
      <c r="F555" t="s">
        <v>18</v>
      </c>
      <c r="G555">
        <v>4</v>
      </c>
      <c r="H555" s="2">
        <v>300</v>
      </c>
      <c r="I555" s="2">
        <v>1200</v>
      </c>
      <c r="J555" s="1" t="str">
        <f>IF(
   Sales_Performance[[#This Row],[Date]] = _xlfn.MINIFS(Sales_Performance[Date],Sales_Performance[Customer ID],Sales_Performance[[#This Row],[Customer ID]]),
   "New Customer",
   "Returning Customer"
)</f>
        <v>Returning Customer</v>
      </c>
    </row>
    <row r="556" spans="1:10" x14ac:dyDescent="0.35">
      <c r="A556" t="s">
        <v>173</v>
      </c>
      <c r="B556" s="1">
        <v>45139</v>
      </c>
      <c r="C556" t="s">
        <v>1288</v>
      </c>
      <c r="D556" t="s">
        <v>10</v>
      </c>
      <c r="E556">
        <v>37</v>
      </c>
      <c r="F556" t="s">
        <v>18</v>
      </c>
      <c r="G556">
        <v>4</v>
      </c>
      <c r="H556" s="2">
        <v>30</v>
      </c>
      <c r="I556" s="2">
        <v>120</v>
      </c>
      <c r="J556" s="1" t="str">
        <f>IF(
   Sales_Performance[[#This Row],[Date]] = _xlfn.MINIFS(Sales_Performance[Date],Sales_Performance[Customer ID],Sales_Performance[[#This Row],[Customer ID]]),
   "New Customer",
   "Returning Customer"
)</f>
        <v>Returning Customer</v>
      </c>
    </row>
    <row r="557" spans="1:10" x14ac:dyDescent="0.35">
      <c r="A557" t="s">
        <v>129</v>
      </c>
      <c r="B557" s="1">
        <v>45249</v>
      </c>
      <c r="C557" t="s">
        <v>1426</v>
      </c>
      <c r="D557" t="s">
        <v>15</v>
      </c>
      <c r="E557">
        <v>28</v>
      </c>
      <c r="F557" t="s">
        <v>18</v>
      </c>
      <c r="G557">
        <v>2</v>
      </c>
      <c r="H557" s="2">
        <v>50</v>
      </c>
      <c r="I557" s="2">
        <v>100</v>
      </c>
      <c r="J557" s="1" t="str">
        <f>IF(
   Sales_Performance[[#This Row],[Date]] = _xlfn.MINIFS(Sales_Performance[Date],Sales_Performance[Customer ID],Sales_Performance[[#This Row],[Customer ID]]),
   "New Customer",
   "Returning Customer"
)</f>
        <v>Returning Customer</v>
      </c>
    </row>
    <row r="558" spans="1:10" x14ac:dyDescent="0.35">
      <c r="A558" t="s">
        <v>1260</v>
      </c>
      <c r="B558" s="1">
        <v>45041</v>
      </c>
      <c r="C558" t="s">
        <v>1055</v>
      </c>
      <c r="D558" t="s">
        <v>15</v>
      </c>
      <c r="E558">
        <v>45</v>
      </c>
      <c r="F558" t="s">
        <v>18</v>
      </c>
      <c r="G558">
        <v>1</v>
      </c>
      <c r="H558" s="2">
        <v>30</v>
      </c>
      <c r="I558" s="2">
        <v>30</v>
      </c>
      <c r="J558" s="1" t="str">
        <f>IF(
   Sales_Performance[[#This Row],[Date]] = _xlfn.MINIFS(Sales_Performance[Date],Sales_Performance[Customer ID],Sales_Performance[[#This Row],[Customer ID]]),
   "New Customer",
   "Returning Customer"
)</f>
        <v>Returning Customer</v>
      </c>
    </row>
    <row r="559" spans="1:10" x14ac:dyDescent="0.35">
      <c r="A559" t="s">
        <v>915</v>
      </c>
      <c r="B559" s="1">
        <v>45222</v>
      </c>
      <c r="C559" t="s">
        <v>1346</v>
      </c>
      <c r="D559" t="s">
        <v>10</v>
      </c>
      <c r="E559">
        <v>30</v>
      </c>
      <c r="F559" t="s">
        <v>18</v>
      </c>
      <c r="G559">
        <v>3</v>
      </c>
      <c r="H559" s="2">
        <v>50</v>
      </c>
      <c r="I559" s="2">
        <v>150</v>
      </c>
      <c r="J559" s="1" t="str">
        <f>IF(
   Sales_Performance[[#This Row],[Date]] = _xlfn.MINIFS(Sales_Performance[Date],Sales_Performance[Customer ID],Sales_Performance[[#This Row],[Customer ID]]),
   "New Customer",
   "Returning Customer"
)</f>
        <v>New Customer</v>
      </c>
    </row>
    <row r="560" spans="1:10" x14ac:dyDescent="0.35">
      <c r="A560" t="s">
        <v>1246</v>
      </c>
      <c r="B560" s="1">
        <v>45221</v>
      </c>
      <c r="C560" t="s">
        <v>934</v>
      </c>
      <c r="D560" t="s">
        <v>15</v>
      </c>
      <c r="E560">
        <v>59</v>
      </c>
      <c r="F560" t="s">
        <v>18</v>
      </c>
      <c r="G560">
        <v>2</v>
      </c>
      <c r="H560" s="2">
        <v>500</v>
      </c>
      <c r="I560" s="2">
        <v>1000</v>
      </c>
      <c r="J560" s="1" t="str">
        <f>IF(
   Sales_Performance[[#This Row],[Date]] = _xlfn.MINIFS(Sales_Performance[Date],Sales_Performance[Customer ID],Sales_Performance[[#This Row],[Customer ID]]),
   "New Customer",
   "Returning Customer"
)</f>
        <v>Returning Customer</v>
      </c>
    </row>
    <row r="561" spans="1:10" x14ac:dyDescent="0.35">
      <c r="A561" t="s">
        <v>237</v>
      </c>
      <c r="B561" s="1">
        <v>45026</v>
      </c>
      <c r="C561" t="s">
        <v>709</v>
      </c>
      <c r="D561" t="s">
        <v>10</v>
      </c>
      <c r="E561">
        <v>19</v>
      </c>
      <c r="F561" t="s">
        <v>16</v>
      </c>
      <c r="G561">
        <v>1</v>
      </c>
      <c r="H561" s="2">
        <v>30</v>
      </c>
      <c r="I561" s="2">
        <v>30</v>
      </c>
      <c r="J561" s="1" t="str">
        <f>IF(
   Sales_Performance[[#This Row],[Date]] = _xlfn.MINIFS(Sales_Performance[Date],Sales_Performance[Customer ID],Sales_Performance[[#This Row],[Customer ID]]),
   "New Customer",
   "Returning Customer"
)</f>
        <v>Returning Customer</v>
      </c>
    </row>
    <row r="562" spans="1:10" x14ac:dyDescent="0.35">
      <c r="A562" t="s">
        <v>117</v>
      </c>
      <c r="B562" s="1">
        <v>45283</v>
      </c>
      <c r="C562" t="s">
        <v>575</v>
      </c>
      <c r="D562" t="s">
        <v>15</v>
      </c>
      <c r="E562">
        <v>20</v>
      </c>
      <c r="F562" t="s">
        <v>11</v>
      </c>
      <c r="G562">
        <v>1</v>
      </c>
      <c r="H562" s="2">
        <v>300</v>
      </c>
      <c r="I562" s="2">
        <v>300</v>
      </c>
      <c r="J562" s="1" t="str">
        <f>IF(
   Sales_Performance[[#This Row],[Date]] = _xlfn.MINIFS(Sales_Performance[Date],Sales_Performance[Customer ID],Sales_Performance[[#This Row],[Customer ID]]),
   "New Customer",
   "Returning Customer"
)</f>
        <v>Returning Customer</v>
      </c>
    </row>
    <row r="563" spans="1:10" x14ac:dyDescent="0.35">
      <c r="A563" t="s">
        <v>720</v>
      </c>
      <c r="B563" s="1">
        <v>45123</v>
      </c>
      <c r="C563" t="s">
        <v>1182</v>
      </c>
      <c r="D563" t="s">
        <v>15</v>
      </c>
      <c r="E563">
        <v>40</v>
      </c>
      <c r="F563" t="s">
        <v>16</v>
      </c>
      <c r="G563">
        <v>3</v>
      </c>
      <c r="H563" s="2">
        <v>30</v>
      </c>
      <c r="I563" s="2">
        <v>90</v>
      </c>
      <c r="J563" s="1" t="str">
        <f>IF(
   Sales_Performance[[#This Row],[Date]] = _xlfn.MINIFS(Sales_Performance[Date],Sales_Performance[Customer ID],Sales_Performance[[#This Row],[Customer ID]]),
   "New Customer",
   "Returning Customer"
)</f>
        <v>Returning Customer</v>
      </c>
    </row>
    <row r="564" spans="1:10" x14ac:dyDescent="0.35">
      <c r="A564" t="s">
        <v>79</v>
      </c>
      <c r="B564" s="1">
        <v>45180</v>
      </c>
      <c r="C564" t="s">
        <v>1193</v>
      </c>
      <c r="D564" t="s">
        <v>15</v>
      </c>
      <c r="E564">
        <v>29</v>
      </c>
      <c r="F564" t="s">
        <v>11</v>
      </c>
      <c r="G564">
        <v>4</v>
      </c>
      <c r="H564" s="2">
        <v>50</v>
      </c>
      <c r="I564" s="2">
        <v>200</v>
      </c>
      <c r="J564" s="1" t="str">
        <f>IF(
   Sales_Performance[[#This Row],[Date]] = _xlfn.MINIFS(Sales_Performance[Date],Sales_Performance[Customer ID],Sales_Performance[[#This Row],[Customer ID]]),
   "New Customer",
   "Returning Customer"
)</f>
        <v>Returning Customer</v>
      </c>
    </row>
    <row r="565" spans="1:10" x14ac:dyDescent="0.35">
      <c r="A565" t="s">
        <v>1411</v>
      </c>
      <c r="B565" s="1">
        <v>45131</v>
      </c>
      <c r="C565" t="s">
        <v>1276</v>
      </c>
      <c r="D565" t="s">
        <v>10</v>
      </c>
      <c r="E565">
        <v>37</v>
      </c>
      <c r="F565" t="s">
        <v>11</v>
      </c>
      <c r="G565">
        <v>2</v>
      </c>
      <c r="H565" s="2">
        <v>500</v>
      </c>
      <c r="I565" s="2">
        <v>1000</v>
      </c>
      <c r="J565" s="1" t="str">
        <f>IF(
   Sales_Performance[[#This Row],[Date]] = _xlfn.MINIFS(Sales_Performance[Date],Sales_Performance[Customer ID],Sales_Performance[[#This Row],[Customer ID]]),
   "New Customer",
   "Returning Customer"
)</f>
        <v>New Customer</v>
      </c>
    </row>
    <row r="566" spans="1:10" x14ac:dyDescent="0.35">
      <c r="A566" t="s">
        <v>1113</v>
      </c>
      <c r="B566" s="1">
        <v>45051</v>
      </c>
      <c r="C566" t="s">
        <v>990</v>
      </c>
      <c r="D566" t="s">
        <v>10</v>
      </c>
      <c r="E566">
        <v>22</v>
      </c>
      <c r="F566" t="s">
        <v>11</v>
      </c>
      <c r="G566">
        <v>1</v>
      </c>
      <c r="H566" s="2">
        <v>50</v>
      </c>
      <c r="I566" s="2">
        <v>50</v>
      </c>
      <c r="J566" s="1" t="str">
        <f>IF(
   Sales_Performance[[#This Row],[Date]] = _xlfn.MINIFS(Sales_Performance[Date],Sales_Performance[Customer ID],Sales_Performance[[#This Row],[Customer ID]]),
   "New Customer",
   "Returning Customer"
)</f>
        <v>Returning Customer</v>
      </c>
    </row>
    <row r="567" spans="1:10" x14ac:dyDescent="0.35">
      <c r="A567" t="s">
        <v>1069</v>
      </c>
      <c r="B567" s="1">
        <v>45002</v>
      </c>
      <c r="C567" t="s">
        <v>1305</v>
      </c>
      <c r="D567" t="s">
        <v>10</v>
      </c>
      <c r="E567">
        <v>54</v>
      </c>
      <c r="F567" t="s">
        <v>16</v>
      </c>
      <c r="G567">
        <v>3</v>
      </c>
      <c r="H567" s="2">
        <v>25</v>
      </c>
      <c r="I567" s="2">
        <v>75</v>
      </c>
      <c r="J567" s="1" t="str">
        <f>IF(
   Sales_Performance[[#This Row],[Date]] = _xlfn.MINIFS(Sales_Performance[Date],Sales_Performance[Customer ID],Sales_Performance[[#This Row],[Customer ID]]),
   "New Customer",
   "Returning Customer"
)</f>
        <v>New Customer</v>
      </c>
    </row>
    <row r="568" spans="1:10" x14ac:dyDescent="0.35">
      <c r="A568" t="s">
        <v>1085</v>
      </c>
      <c r="B568" s="1">
        <v>45262</v>
      </c>
      <c r="C568" t="s">
        <v>255</v>
      </c>
      <c r="D568" t="s">
        <v>15</v>
      </c>
      <c r="E568">
        <v>55</v>
      </c>
      <c r="F568" t="s">
        <v>11</v>
      </c>
      <c r="G568">
        <v>3</v>
      </c>
      <c r="H568" s="2">
        <v>500</v>
      </c>
      <c r="I568" s="2">
        <v>1500</v>
      </c>
      <c r="J568" s="1" t="str">
        <f>IF(
   Sales_Performance[[#This Row],[Date]] = _xlfn.MINIFS(Sales_Performance[Date],Sales_Performance[Customer ID],Sales_Performance[[#This Row],[Customer ID]]),
   "New Customer",
   "Returning Customer"
)</f>
        <v>Returning Customer</v>
      </c>
    </row>
    <row r="569" spans="1:10" x14ac:dyDescent="0.35">
      <c r="A569" t="s">
        <v>960</v>
      </c>
      <c r="B569" s="1">
        <v>45279</v>
      </c>
      <c r="C569" t="s">
        <v>406</v>
      </c>
      <c r="D569" t="s">
        <v>15</v>
      </c>
      <c r="E569">
        <v>47</v>
      </c>
      <c r="F569" t="s">
        <v>16</v>
      </c>
      <c r="G569">
        <v>2</v>
      </c>
      <c r="H569" s="2">
        <v>50</v>
      </c>
      <c r="I569" s="2">
        <v>100</v>
      </c>
      <c r="J569" s="1" t="str">
        <f>IF(
   Sales_Performance[[#This Row],[Date]] = _xlfn.MINIFS(Sales_Performance[Date],Sales_Performance[Customer ID],Sales_Performance[[#This Row],[Customer ID]]),
   "New Customer",
   "Returning Customer"
)</f>
        <v>Returning Customer</v>
      </c>
    </row>
    <row r="570" spans="1:10" x14ac:dyDescent="0.35">
      <c r="A570" t="s">
        <v>63</v>
      </c>
      <c r="B570" s="1">
        <v>45025</v>
      </c>
      <c r="C570" t="s">
        <v>1378</v>
      </c>
      <c r="D570" t="s">
        <v>10</v>
      </c>
      <c r="E570">
        <v>21</v>
      </c>
      <c r="F570" t="s">
        <v>18</v>
      </c>
      <c r="G570">
        <v>4</v>
      </c>
      <c r="H570" s="2">
        <v>50</v>
      </c>
      <c r="I570" s="2">
        <v>200</v>
      </c>
      <c r="J570" s="1" t="str">
        <f>IF(
   Sales_Performance[[#This Row],[Date]] = _xlfn.MINIFS(Sales_Performance[Date],Sales_Performance[Customer ID],Sales_Performance[[#This Row],[Customer ID]]),
   "New Customer",
   "Returning Customer"
)</f>
        <v>New Customer</v>
      </c>
    </row>
    <row r="571" spans="1:10" x14ac:dyDescent="0.35">
      <c r="A571" t="s">
        <v>78</v>
      </c>
      <c r="B571" s="1">
        <v>44929</v>
      </c>
      <c r="C571" t="s">
        <v>924</v>
      </c>
      <c r="D571" t="s">
        <v>15</v>
      </c>
      <c r="E571">
        <v>26</v>
      </c>
      <c r="F571" t="s">
        <v>18</v>
      </c>
      <c r="G571">
        <v>2</v>
      </c>
      <c r="H571" s="2">
        <v>300</v>
      </c>
      <c r="I571" s="2">
        <v>600</v>
      </c>
      <c r="J571" s="1" t="str">
        <f>IF(
   Sales_Performance[[#This Row],[Date]] = _xlfn.MINIFS(Sales_Performance[Date],Sales_Performance[Customer ID],Sales_Performance[[#This Row],[Customer ID]]),
   "New Customer",
   "Returning Customer"
)</f>
        <v>New Customer</v>
      </c>
    </row>
    <row r="572" spans="1:10" x14ac:dyDescent="0.35">
      <c r="A572" t="s">
        <v>166</v>
      </c>
      <c r="B572" s="1">
        <v>44981</v>
      </c>
      <c r="C572" t="s">
        <v>640</v>
      </c>
      <c r="D572" t="s">
        <v>10</v>
      </c>
      <c r="E572">
        <v>51</v>
      </c>
      <c r="F572" t="s">
        <v>18</v>
      </c>
      <c r="G572">
        <v>3</v>
      </c>
      <c r="H572" s="2">
        <v>500</v>
      </c>
      <c r="I572" s="2">
        <v>1500</v>
      </c>
      <c r="J572" s="1" t="str">
        <f>IF(
   Sales_Performance[[#This Row],[Date]] = _xlfn.MINIFS(Sales_Performance[Date],Sales_Performance[Customer ID],Sales_Performance[[#This Row],[Customer ID]]),
   "New Customer",
   "Returning Customer"
)</f>
        <v>New Customer</v>
      </c>
    </row>
    <row r="573" spans="1:10" x14ac:dyDescent="0.35">
      <c r="A573" t="s">
        <v>782</v>
      </c>
      <c r="B573" s="1">
        <v>45144</v>
      </c>
      <c r="C573" t="s">
        <v>491</v>
      </c>
      <c r="D573" t="s">
        <v>15</v>
      </c>
      <c r="E573">
        <v>61</v>
      </c>
      <c r="F573" t="s">
        <v>11</v>
      </c>
      <c r="G573">
        <v>1</v>
      </c>
      <c r="H573" s="2">
        <v>500</v>
      </c>
      <c r="I573" s="2">
        <v>500</v>
      </c>
      <c r="J573" s="1" t="str">
        <f>IF(
   Sales_Performance[[#This Row],[Date]] = _xlfn.MINIFS(Sales_Performance[Date],Sales_Performance[Customer ID],Sales_Performance[[#This Row],[Customer ID]]),
   "New Customer",
   "Returning Customer"
)</f>
        <v>New Customer</v>
      </c>
    </row>
    <row r="574" spans="1:10" x14ac:dyDescent="0.35">
      <c r="A574" t="s">
        <v>1151</v>
      </c>
      <c r="B574" s="1">
        <v>45039</v>
      </c>
      <c r="C574" t="s">
        <v>1417</v>
      </c>
      <c r="D574" t="s">
        <v>15</v>
      </c>
      <c r="E574">
        <v>52</v>
      </c>
      <c r="F574" t="s">
        <v>16</v>
      </c>
      <c r="G574">
        <v>3</v>
      </c>
      <c r="H574" s="2">
        <v>30</v>
      </c>
      <c r="I574" s="2">
        <v>90</v>
      </c>
      <c r="J574" s="1" t="str">
        <f>IF(
   Sales_Performance[[#This Row],[Date]] = _xlfn.MINIFS(Sales_Performance[Date],Sales_Performance[Customer ID],Sales_Performance[[#This Row],[Customer ID]]),
   "New Customer",
   "Returning Customer"
)</f>
        <v>Returning Customer</v>
      </c>
    </row>
    <row r="575" spans="1:10" x14ac:dyDescent="0.35">
      <c r="A575" t="s">
        <v>215</v>
      </c>
      <c r="B575" s="1">
        <v>45017</v>
      </c>
      <c r="C575" t="s">
        <v>1051</v>
      </c>
      <c r="D575" t="s">
        <v>15</v>
      </c>
      <c r="E575">
        <v>39</v>
      </c>
      <c r="F575" t="s">
        <v>18</v>
      </c>
      <c r="G575">
        <v>4</v>
      </c>
      <c r="H575" s="2">
        <v>300</v>
      </c>
      <c r="I575" s="2">
        <v>1200</v>
      </c>
      <c r="J575" s="1" t="str">
        <f>IF(
   Sales_Performance[[#This Row],[Date]] = _xlfn.MINIFS(Sales_Performance[Date],Sales_Performance[Customer ID],Sales_Performance[[#This Row],[Customer ID]]),
   "New Customer",
   "Returning Customer"
)</f>
        <v>New Customer</v>
      </c>
    </row>
    <row r="576" spans="1:10" x14ac:dyDescent="0.35">
      <c r="A576" t="s">
        <v>927</v>
      </c>
      <c r="B576" s="1">
        <v>45283</v>
      </c>
      <c r="C576" t="s">
        <v>918</v>
      </c>
      <c r="D576" t="s">
        <v>15</v>
      </c>
      <c r="E576">
        <v>61</v>
      </c>
      <c r="F576" t="s">
        <v>16</v>
      </c>
      <c r="G576">
        <v>4</v>
      </c>
      <c r="H576" s="2">
        <v>25</v>
      </c>
      <c r="I576" s="2">
        <v>100</v>
      </c>
      <c r="J576" s="1" t="str">
        <f>IF(
   Sales_Performance[[#This Row],[Date]] = _xlfn.MINIFS(Sales_Performance[Date],Sales_Performance[Customer ID],Sales_Performance[[#This Row],[Customer ID]]),
   "New Customer",
   "Returning Customer"
)</f>
        <v>Returning Customer</v>
      </c>
    </row>
    <row r="577" spans="1:10" x14ac:dyDescent="0.35">
      <c r="A577" t="s">
        <v>1497</v>
      </c>
      <c r="B577" s="1">
        <v>45192</v>
      </c>
      <c r="C577" t="s">
        <v>1111</v>
      </c>
      <c r="D577" t="s">
        <v>10</v>
      </c>
      <c r="E577">
        <v>41</v>
      </c>
      <c r="F577" t="s">
        <v>16</v>
      </c>
      <c r="G577">
        <v>2</v>
      </c>
      <c r="H577" s="2">
        <v>50</v>
      </c>
      <c r="I577" s="2">
        <v>100</v>
      </c>
      <c r="J577" s="1" t="str">
        <f>IF(
   Sales_Performance[[#This Row],[Date]] = _xlfn.MINIFS(Sales_Performance[Date],Sales_Performance[Customer ID],Sales_Performance[[#This Row],[Customer ID]]),
   "New Customer",
   "Returning Customer"
)</f>
        <v>New Customer</v>
      </c>
    </row>
    <row r="578" spans="1:10" x14ac:dyDescent="0.35">
      <c r="A578" t="s">
        <v>198</v>
      </c>
      <c r="B578" s="1">
        <v>45164</v>
      </c>
      <c r="C578" t="s">
        <v>948</v>
      </c>
      <c r="D578" t="s">
        <v>10</v>
      </c>
      <c r="E578">
        <v>34</v>
      </c>
      <c r="F578" t="s">
        <v>11</v>
      </c>
      <c r="G578">
        <v>1</v>
      </c>
      <c r="H578" s="2">
        <v>30</v>
      </c>
      <c r="I578" s="2">
        <v>30</v>
      </c>
      <c r="J578" s="1" t="str">
        <f>IF(
   Sales_Performance[[#This Row],[Date]] = _xlfn.MINIFS(Sales_Performance[Date],Sales_Performance[Customer ID],Sales_Performance[[#This Row],[Customer ID]]),
   "New Customer",
   "Returning Customer"
)</f>
        <v>Returning Customer</v>
      </c>
    </row>
    <row r="579" spans="1:10" x14ac:dyDescent="0.35">
      <c r="A579" t="s">
        <v>1252</v>
      </c>
      <c r="B579" s="1">
        <v>44952</v>
      </c>
      <c r="C579" t="s">
        <v>1057</v>
      </c>
      <c r="D579" t="s">
        <v>15</v>
      </c>
      <c r="E579">
        <v>27</v>
      </c>
      <c r="F579" t="s">
        <v>18</v>
      </c>
      <c r="G579">
        <v>1</v>
      </c>
      <c r="H579" s="2">
        <v>50</v>
      </c>
      <c r="I579" s="2">
        <v>50</v>
      </c>
      <c r="J579" s="1" t="str">
        <f>IF(
   Sales_Performance[[#This Row],[Date]] = _xlfn.MINIFS(Sales_Performance[Date],Sales_Performance[Customer ID],Sales_Performance[[#This Row],[Customer ID]]),
   "New Customer",
   "Returning Customer"
)</f>
        <v>New Customer</v>
      </c>
    </row>
    <row r="580" spans="1:10" x14ac:dyDescent="0.35">
      <c r="A580" t="s">
        <v>611</v>
      </c>
      <c r="B580" s="1">
        <v>45212</v>
      </c>
      <c r="C580" t="s">
        <v>453</v>
      </c>
      <c r="D580" t="s">
        <v>10</v>
      </c>
      <c r="E580">
        <v>47</v>
      </c>
      <c r="F580" t="s">
        <v>11</v>
      </c>
      <c r="G580">
        <v>4</v>
      </c>
      <c r="H580" s="2">
        <v>25</v>
      </c>
      <c r="I580" s="2">
        <v>100</v>
      </c>
      <c r="J580" s="1" t="str">
        <f>IF(
   Sales_Performance[[#This Row],[Date]] = _xlfn.MINIFS(Sales_Performance[Date],Sales_Performance[Customer ID],Sales_Performance[[#This Row],[Customer ID]]),
   "New Customer",
   "Returning Customer"
)</f>
        <v>Returning Customer</v>
      </c>
    </row>
    <row r="581" spans="1:10" x14ac:dyDescent="0.35">
      <c r="A581" t="s">
        <v>233</v>
      </c>
      <c r="B581" s="1">
        <v>45287</v>
      </c>
      <c r="C581" t="s">
        <v>521</v>
      </c>
      <c r="D581" t="s">
        <v>10</v>
      </c>
      <c r="E581">
        <v>18</v>
      </c>
      <c r="F581" t="s">
        <v>18</v>
      </c>
      <c r="G581">
        <v>2</v>
      </c>
      <c r="H581" s="2">
        <v>50</v>
      </c>
      <c r="I581" s="2">
        <v>100</v>
      </c>
      <c r="J581" s="1" t="str">
        <f>IF(
   Sales_Performance[[#This Row],[Date]] = _xlfn.MINIFS(Sales_Performance[Date],Sales_Performance[Customer ID],Sales_Performance[[#This Row],[Customer ID]]),
   "New Customer",
   "Returning Customer"
)</f>
        <v>Returning Customer</v>
      </c>
    </row>
    <row r="582" spans="1:10" x14ac:dyDescent="0.35">
      <c r="A582" t="s">
        <v>555</v>
      </c>
      <c r="B582" s="1">
        <v>45054</v>
      </c>
      <c r="C582" t="s">
        <v>319</v>
      </c>
      <c r="D582" t="s">
        <v>10</v>
      </c>
      <c r="E582">
        <v>63</v>
      </c>
      <c r="F582" t="s">
        <v>11</v>
      </c>
      <c r="G582">
        <v>3</v>
      </c>
      <c r="H582" s="2">
        <v>25</v>
      </c>
      <c r="I582" s="2">
        <v>75</v>
      </c>
      <c r="J582" s="1" t="str">
        <f>IF(
   Sales_Performance[[#This Row],[Date]] = _xlfn.MINIFS(Sales_Performance[Date],Sales_Performance[Customer ID],Sales_Performance[[#This Row],[Customer ID]]),
   "New Customer",
   "Returning Customer"
)</f>
        <v>New Customer</v>
      </c>
    </row>
    <row r="583" spans="1:10" x14ac:dyDescent="0.35">
      <c r="A583" t="s">
        <v>266</v>
      </c>
      <c r="B583" s="1">
        <v>44989</v>
      </c>
      <c r="C583" t="s">
        <v>538</v>
      </c>
      <c r="D583" t="s">
        <v>15</v>
      </c>
      <c r="E583">
        <v>40</v>
      </c>
      <c r="F583" t="s">
        <v>18</v>
      </c>
      <c r="G583">
        <v>2</v>
      </c>
      <c r="H583" s="2">
        <v>500</v>
      </c>
      <c r="I583" s="2">
        <v>1000</v>
      </c>
      <c r="J583" s="1" t="str">
        <f>IF(
   Sales_Performance[[#This Row],[Date]] = _xlfn.MINIFS(Sales_Performance[Date],Sales_Performance[Customer ID],Sales_Performance[[#This Row],[Customer ID]]),
   "New Customer",
   "Returning Customer"
)</f>
        <v>Returning Customer</v>
      </c>
    </row>
    <row r="584" spans="1:10" x14ac:dyDescent="0.35">
      <c r="A584" t="s">
        <v>155</v>
      </c>
      <c r="B584" s="1">
        <v>45160</v>
      </c>
      <c r="C584" t="s">
        <v>789</v>
      </c>
      <c r="D584" t="s">
        <v>15</v>
      </c>
      <c r="E584">
        <v>49</v>
      </c>
      <c r="F584" t="s">
        <v>18</v>
      </c>
      <c r="G584">
        <v>3</v>
      </c>
      <c r="H584" s="2">
        <v>25</v>
      </c>
      <c r="I584" s="2">
        <v>75</v>
      </c>
      <c r="J584" s="1" t="str">
        <f>IF(
   Sales_Performance[[#This Row],[Date]] = _xlfn.MINIFS(Sales_Performance[Date],Sales_Performance[Customer ID],Sales_Performance[[#This Row],[Customer ID]]),
   "New Customer",
   "Returning Customer"
)</f>
        <v>Returning Customer</v>
      </c>
    </row>
    <row r="585" spans="1:10" x14ac:dyDescent="0.35">
      <c r="A585" t="s">
        <v>1343</v>
      </c>
      <c r="B585" s="1">
        <v>44995</v>
      </c>
      <c r="C585" t="s">
        <v>752</v>
      </c>
      <c r="D585" t="s">
        <v>10</v>
      </c>
      <c r="E585">
        <v>34</v>
      </c>
      <c r="F585" t="s">
        <v>16</v>
      </c>
      <c r="G585">
        <v>3</v>
      </c>
      <c r="H585" s="2">
        <v>50</v>
      </c>
      <c r="I585" s="2">
        <v>150</v>
      </c>
      <c r="J585" s="1" t="str">
        <f>IF(
   Sales_Performance[[#This Row],[Date]] = _xlfn.MINIFS(Sales_Performance[Date],Sales_Performance[Customer ID],Sales_Performance[[#This Row],[Customer ID]]),
   "New Customer",
   "Returning Customer"
)</f>
        <v>New Customer</v>
      </c>
    </row>
    <row r="586" spans="1:10" x14ac:dyDescent="0.35">
      <c r="A586" t="s">
        <v>799</v>
      </c>
      <c r="B586" s="1">
        <v>45164</v>
      </c>
      <c r="C586" t="s">
        <v>1486</v>
      </c>
      <c r="D586" t="s">
        <v>15</v>
      </c>
      <c r="E586">
        <v>34</v>
      </c>
      <c r="F586" t="s">
        <v>18</v>
      </c>
      <c r="G586">
        <v>3</v>
      </c>
      <c r="H586" s="2">
        <v>300</v>
      </c>
      <c r="I586" s="2">
        <v>900</v>
      </c>
      <c r="J586" s="1" t="str">
        <f>IF(
   Sales_Performance[[#This Row],[Date]] = _xlfn.MINIFS(Sales_Performance[Date],Sales_Performance[Customer ID],Sales_Performance[[#This Row],[Customer ID]]),
   "New Customer",
   "Returning Customer"
)</f>
        <v>New Customer</v>
      </c>
    </row>
    <row r="587" spans="1:10" x14ac:dyDescent="0.35">
      <c r="A587" t="s">
        <v>663</v>
      </c>
      <c r="B587" s="1">
        <v>45268</v>
      </c>
      <c r="C587" t="s">
        <v>1349</v>
      </c>
      <c r="D587" t="s">
        <v>10</v>
      </c>
      <c r="E587">
        <v>31</v>
      </c>
      <c r="F587" t="s">
        <v>16</v>
      </c>
      <c r="G587">
        <v>1</v>
      </c>
      <c r="H587" s="2">
        <v>300</v>
      </c>
      <c r="I587" s="2">
        <v>300</v>
      </c>
      <c r="J587" s="1" t="str">
        <f>IF(
   Sales_Performance[[#This Row],[Date]] = _xlfn.MINIFS(Sales_Performance[Date],Sales_Performance[Customer ID],Sales_Performance[[#This Row],[Customer ID]]),
   "New Customer",
   "Returning Customer"
)</f>
        <v>Returning Customer</v>
      </c>
    </row>
    <row r="588" spans="1:10" x14ac:dyDescent="0.35">
      <c r="A588" t="s">
        <v>322</v>
      </c>
      <c r="B588" s="1">
        <v>45198</v>
      </c>
      <c r="C588" t="s">
        <v>814</v>
      </c>
      <c r="D588" t="s">
        <v>15</v>
      </c>
      <c r="E588">
        <v>26</v>
      </c>
      <c r="F588" t="s">
        <v>16</v>
      </c>
      <c r="G588">
        <v>4</v>
      </c>
      <c r="H588" s="2">
        <v>500</v>
      </c>
      <c r="I588" s="2">
        <v>2000</v>
      </c>
      <c r="J588" s="1" t="str">
        <f>IF(
   Sales_Performance[[#This Row],[Date]] = _xlfn.MINIFS(Sales_Performance[Date],Sales_Performance[Customer ID],Sales_Performance[[#This Row],[Customer ID]]),
   "New Customer",
   "Returning Customer"
)</f>
        <v>New Customer</v>
      </c>
    </row>
    <row r="589" spans="1:10" x14ac:dyDescent="0.35">
      <c r="A589" t="s">
        <v>498</v>
      </c>
      <c r="B589" s="1">
        <v>45213</v>
      </c>
      <c r="C589" t="s">
        <v>1335</v>
      </c>
      <c r="D589" t="s">
        <v>10</v>
      </c>
      <c r="E589">
        <v>57</v>
      </c>
      <c r="F589" t="s">
        <v>16</v>
      </c>
      <c r="G589">
        <v>1</v>
      </c>
      <c r="H589" s="2">
        <v>50</v>
      </c>
      <c r="I589" s="2">
        <v>50</v>
      </c>
      <c r="J589" s="1" t="str">
        <f>IF(
   Sales_Performance[[#This Row],[Date]] = _xlfn.MINIFS(Sales_Performance[Date],Sales_Performance[Customer ID],Sales_Performance[[#This Row],[Customer ID]]),
   "New Customer",
   "Returning Customer"
)</f>
        <v>Returning Customer</v>
      </c>
    </row>
    <row r="590" spans="1:10" x14ac:dyDescent="0.35">
      <c r="A590" t="s">
        <v>347</v>
      </c>
      <c r="B590" s="1">
        <v>45231</v>
      </c>
      <c r="C590" t="s">
        <v>474</v>
      </c>
      <c r="D590" t="s">
        <v>15</v>
      </c>
      <c r="E590">
        <v>19</v>
      </c>
      <c r="F590" t="s">
        <v>18</v>
      </c>
      <c r="G590">
        <v>4</v>
      </c>
      <c r="H590" s="2">
        <v>50</v>
      </c>
      <c r="I590" s="2">
        <v>200</v>
      </c>
      <c r="J590" s="1" t="str">
        <f>IF(
   Sales_Performance[[#This Row],[Date]] = _xlfn.MINIFS(Sales_Performance[Date],Sales_Performance[Customer ID],Sales_Performance[[#This Row],[Customer ID]]),
   "New Customer",
   "Returning Customer"
)</f>
        <v>Returning Customer</v>
      </c>
    </row>
    <row r="591" spans="1:10" x14ac:dyDescent="0.35">
      <c r="A591" t="s">
        <v>1197</v>
      </c>
      <c r="B591" s="1">
        <v>45089</v>
      </c>
      <c r="C591" t="s">
        <v>554</v>
      </c>
      <c r="D591" t="s">
        <v>10</v>
      </c>
      <c r="E591">
        <v>62</v>
      </c>
      <c r="F591" t="s">
        <v>11</v>
      </c>
      <c r="G591">
        <v>2</v>
      </c>
      <c r="H591" s="2">
        <v>25</v>
      </c>
      <c r="I591" s="2">
        <v>50</v>
      </c>
      <c r="J591" s="1" t="str">
        <f>IF(
   Sales_Performance[[#This Row],[Date]] = _xlfn.MINIFS(Sales_Performance[Date],Sales_Performance[Customer ID],Sales_Performance[[#This Row],[Customer ID]]),
   "New Customer",
   "Returning Customer"
)</f>
        <v>New Customer</v>
      </c>
    </row>
    <row r="592" spans="1:10" x14ac:dyDescent="0.35">
      <c r="A592" t="s">
        <v>651</v>
      </c>
      <c r="B592" s="1">
        <v>44962</v>
      </c>
      <c r="C592" t="s">
        <v>801</v>
      </c>
      <c r="D592" t="s">
        <v>10</v>
      </c>
      <c r="E592">
        <v>57</v>
      </c>
      <c r="F592" t="s">
        <v>11</v>
      </c>
      <c r="G592">
        <v>2</v>
      </c>
      <c r="H592" s="2">
        <v>25</v>
      </c>
      <c r="I592" s="2">
        <v>50</v>
      </c>
      <c r="J592" s="1" t="str">
        <f>IF(
   Sales_Performance[[#This Row],[Date]] = _xlfn.MINIFS(Sales_Performance[Date],Sales_Performance[Customer ID],Sales_Performance[[#This Row],[Customer ID]]),
   "New Customer",
   "Returning Customer"
)</f>
        <v>Returning Customer</v>
      </c>
    </row>
    <row r="593" spans="1:10" x14ac:dyDescent="0.35">
      <c r="A593" t="s">
        <v>1203</v>
      </c>
      <c r="B593" s="1">
        <v>45153</v>
      </c>
      <c r="C593" t="s">
        <v>1312</v>
      </c>
      <c r="D593" t="s">
        <v>10</v>
      </c>
      <c r="E593">
        <v>42</v>
      </c>
      <c r="F593" t="s">
        <v>16</v>
      </c>
      <c r="G593">
        <v>2</v>
      </c>
      <c r="H593" s="2">
        <v>50</v>
      </c>
      <c r="I593" s="2">
        <v>100</v>
      </c>
      <c r="J593" s="1" t="str">
        <f>IF(
   Sales_Performance[[#This Row],[Date]] = _xlfn.MINIFS(Sales_Performance[Date],Sales_Performance[Customer ID],Sales_Performance[[#This Row],[Customer ID]]),
   "New Customer",
   "Returning Customer"
)</f>
        <v>New Customer</v>
      </c>
    </row>
    <row r="594" spans="1:10" x14ac:dyDescent="0.35">
      <c r="A594" t="s">
        <v>328</v>
      </c>
      <c r="B594" s="1">
        <v>45240</v>
      </c>
      <c r="C594" t="s">
        <v>593</v>
      </c>
      <c r="D594" t="s">
        <v>10</v>
      </c>
      <c r="E594">
        <v>56</v>
      </c>
      <c r="F594" t="s">
        <v>11</v>
      </c>
      <c r="G594">
        <v>3</v>
      </c>
      <c r="H594" s="2">
        <v>30</v>
      </c>
      <c r="I594" s="2">
        <v>90</v>
      </c>
      <c r="J594" s="1" t="str">
        <f>IF(
   Sales_Performance[[#This Row],[Date]] = _xlfn.MINIFS(Sales_Performance[Date],Sales_Performance[Customer ID],Sales_Performance[[#This Row],[Customer ID]]),
   "New Customer",
   "Returning Customer"
)</f>
        <v>Returning Customer</v>
      </c>
    </row>
    <row r="595" spans="1:10" x14ac:dyDescent="0.35">
      <c r="A595" t="s">
        <v>1358</v>
      </c>
      <c r="B595" s="1">
        <v>45185</v>
      </c>
      <c r="C595" t="s">
        <v>694</v>
      </c>
      <c r="D595" t="s">
        <v>15</v>
      </c>
      <c r="E595">
        <v>26</v>
      </c>
      <c r="F595" t="s">
        <v>11</v>
      </c>
      <c r="G595">
        <v>4</v>
      </c>
      <c r="H595" s="2">
        <v>25</v>
      </c>
      <c r="I595" s="2">
        <v>100</v>
      </c>
      <c r="J595" s="1" t="str">
        <f>IF(
   Sales_Performance[[#This Row],[Date]] = _xlfn.MINIFS(Sales_Performance[Date],Sales_Performance[Customer ID],Sales_Performance[[#This Row],[Customer ID]]),
   "New Customer",
   "Returning Customer"
)</f>
        <v>New Customer</v>
      </c>
    </row>
    <row r="596" spans="1:10" x14ac:dyDescent="0.35">
      <c r="A596" t="s">
        <v>425</v>
      </c>
      <c r="B596" s="1">
        <v>45145</v>
      </c>
      <c r="C596" t="s">
        <v>1235</v>
      </c>
      <c r="D596" t="s">
        <v>10</v>
      </c>
      <c r="E596">
        <v>39</v>
      </c>
      <c r="F596" t="s">
        <v>18</v>
      </c>
      <c r="G596">
        <v>4</v>
      </c>
      <c r="H596" s="2">
        <v>30</v>
      </c>
      <c r="I596" s="2">
        <v>120</v>
      </c>
      <c r="J596" s="1" t="str">
        <f>IF(
   Sales_Performance[[#This Row],[Date]] = _xlfn.MINIFS(Sales_Performance[Date],Sales_Performance[Customer ID],Sales_Performance[[#This Row],[Customer ID]]),
   "New Customer",
   "Returning Customer"
)</f>
        <v>New Customer</v>
      </c>
    </row>
    <row r="597" spans="1:10" x14ac:dyDescent="0.35">
      <c r="A597" t="s">
        <v>1221</v>
      </c>
      <c r="B597" s="1">
        <v>45207</v>
      </c>
      <c r="C597" t="s">
        <v>842</v>
      </c>
      <c r="D597" t="s">
        <v>10</v>
      </c>
      <c r="E597">
        <v>60</v>
      </c>
      <c r="F597" t="s">
        <v>11</v>
      </c>
      <c r="G597">
        <v>4</v>
      </c>
      <c r="H597" s="2">
        <v>500</v>
      </c>
      <c r="I597" s="2">
        <v>2000</v>
      </c>
      <c r="J597" s="1" t="str">
        <f>IF(
   Sales_Performance[[#This Row],[Date]] = _xlfn.MINIFS(Sales_Performance[Date],Sales_Performance[Customer ID],Sales_Performance[[#This Row],[Customer ID]]),
   "New Customer",
   "Returning Customer"
)</f>
        <v>Returning Customer</v>
      </c>
    </row>
    <row r="598" spans="1:10" x14ac:dyDescent="0.35">
      <c r="A598" t="s">
        <v>1076</v>
      </c>
      <c r="B598" s="1">
        <v>45155</v>
      </c>
      <c r="C598" t="s">
        <v>713</v>
      </c>
      <c r="D598" t="s">
        <v>15</v>
      </c>
      <c r="E598">
        <v>63</v>
      </c>
      <c r="F598" t="s">
        <v>11</v>
      </c>
      <c r="G598">
        <v>3</v>
      </c>
      <c r="H598" s="2">
        <v>300</v>
      </c>
      <c r="I598" s="2">
        <v>900</v>
      </c>
      <c r="J598" s="1" t="str">
        <f>IF(
   Sales_Performance[[#This Row],[Date]] = _xlfn.MINIFS(Sales_Performance[Date],Sales_Performance[Customer ID],Sales_Performance[[#This Row],[Customer ID]]),
   "New Customer",
   "Returning Customer"
)</f>
        <v>Returning Customer</v>
      </c>
    </row>
    <row r="599" spans="1:10" x14ac:dyDescent="0.35">
      <c r="A599" t="s">
        <v>610</v>
      </c>
      <c r="B599" s="1">
        <v>45008</v>
      </c>
      <c r="C599" t="s">
        <v>719</v>
      </c>
      <c r="D599" t="s">
        <v>15</v>
      </c>
      <c r="E599">
        <v>21</v>
      </c>
      <c r="F599" t="s">
        <v>18</v>
      </c>
      <c r="G599">
        <v>3</v>
      </c>
      <c r="H599" s="2">
        <v>500</v>
      </c>
      <c r="I599" s="2">
        <v>1500</v>
      </c>
      <c r="J599" s="1" t="str">
        <f>IF(
   Sales_Performance[[#This Row],[Date]] = _xlfn.MINIFS(Sales_Performance[Date],Sales_Performance[Customer ID],Sales_Performance[[#This Row],[Customer ID]]),
   "New Customer",
   "Returning Customer"
)</f>
        <v>New Customer</v>
      </c>
    </row>
    <row r="600" spans="1:10" x14ac:dyDescent="0.35">
      <c r="A600" t="s">
        <v>1341</v>
      </c>
      <c r="B600" s="1">
        <v>45170</v>
      </c>
      <c r="C600" t="s">
        <v>1389</v>
      </c>
      <c r="D600" t="s">
        <v>10</v>
      </c>
      <c r="E600">
        <v>43</v>
      </c>
      <c r="F600" t="s">
        <v>16</v>
      </c>
      <c r="G600">
        <v>2</v>
      </c>
      <c r="H600" s="2">
        <v>300</v>
      </c>
      <c r="I600" s="2">
        <v>600</v>
      </c>
      <c r="J600" s="1" t="str">
        <f>IF(
   Sales_Performance[[#This Row],[Date]] = _xlfn.MINIFS(Sales_Performance[Date],Sales_Performance[Customer ID],Sales_Performance[[#This Row],[Customer ID]]),
   "New Customer",
   "Returning Customer"
)</f>
        <v>Returning Customer</v>
      </c>
    </row>
    <row r="601" spans="1:10" x14ac:dyDescent="0.35">
      <c r="A601" t="s">
        <v>1084</v>
      </c>
      <c r="B601" s="1">
        <v>45157</v>
      </c>
      <c r="C601" t="s">
        <v>104</v>
      </c>
      <c r="D601" t="s">
        <v>10</v>
      </c>
      <c r="E601">
        <v>46</v>
      </c>
      <c r="F601" t="s">
        <v>11</v>
      </c>
      <c r="G601">
        <v>1</v>
      </c>
      <c r="H601" s="2">
        <v>500</v>
      </c>
      <c r="I601" s="2">
        <v>500</v>
      </c>
      <c r="J601" s="1" t="str">
        <f>IF(
   Sales_Performance[[#This Row],[Date]] = _xlfn.MINIFS(Sales_Performance[Date],Sales_Performance[Customer ID],Sales_Performance[[#This Row],[Customer ID]]),
   "New Customer",
   "Returning Customer"
)</f>
        <v>Returning Customer</v>
      </c>
    </row>
    <row r="602" spans="1:10" x14ac:dyDescent="0.35">
      <c r="A602" t="s">
        <v>1101</v>
      </c>
      <c r="B602" s="1">
        <v>45059</v>
      </c>
      <c r="C602" t="s">
        <v>1161</v>
      </c>
      <c r="D602" t="s">
        <v>15</v>
      </c>
      <c r="E602">
        <v>62</v>
      </c>
      <c r="F602" t="s">
        <v>18</v>
      </c>
      <c r="G602">
        <v>4</v>
      </c>
      <c r="H602" s="2">
        <v>50</v>
      </c>
      <c r="I602" s="2">
        <v>200</v>
      </c>
      <c r="J602" s="1" t="str">
        <f>IF(
   Sales_Performance[[#This Row],[Date]] = _xlfn.MINIFS(Sales_Performance[Date],Sales_Performance[Customer ID],Sales_Performance[[#This Row],[Customer ID]]),
   "New Customer",
   "Returning Customer"
)</f>
        <v>New Customer</v>
      </c>
    </row>
    <row r="603" spans="1:10" x14ac:dyDescent="0.35">
      <c r="A603" t="s">
        <v>203</v>
      </c>
      <c r="B603" s="1">
        <v>44950</v>
      </c>
      <c r="C603" t="s">
        <v>538</v>
      </c>
      <c r="D603" t="s">
        <v>10</v>
      </c>
      <c r="E603">
        <v>49</v>
      </c>
      <c r="F603" t="s">
        <v>16</v>
      </c>
      <c r="G603">
        <v>4</v>
      </c>
      <c r="H603" s="2">
        <v>25</v>
      </c>
      <c r="I603" s="2">
        <v>100</v>
      </c>
      <c r="J603" s="1" t="str">
        <f>IF(
   Sales_Performance[[#This Row],[Date]] = _xlfn.MINIFS(Sales_Performance[Date],Sales_Performance[Customer ID],Sales_Performance[[#This Row],[Customer ID]]),
   "New Customer",
   "Returning Customer"
)</f>
        <v>New Customer</v>
      </c>
    </row>
    <row r="604" spans="1:10" x14ac:dyDescent="0.35">
      <c r="A604" t="s">
        <v>1128</v>
      </c>
      <c r="B604" s="1">
        <v>45053</v>
      </c>
      <c r="C604" t="s">
        <v>1274</v>
      </c>
      <c r="D604" t="s">
        <v>15</v>
      </c>
      <c r="E604">
        <v>51</v>
      </c>
      <c r="F604" t="s">
        <v>11</v>
      </c>
      <c r="G604">
        <v>4</v>
      </c>
      <c r="H604" s="2">
        <v>30</v>
      </c>
      <c r="I604" s="2">
        <v>120</v>
      </c>
      <c r="J604" s="1" t="str">
        <f>IF(
   Sales_Performance[[#This Row],[Date]] = _xlfn.MINIFS(Sales_Performance[Date],Sales_Performance[Customer ID],Sales_Performance[[#This Row],[Customer ID]]),
   "New Customer",
   "Returning Customer"
)</f>
        <v>New Customer</v>
      </c>
    </row>
    <row r="605" spans="1:10" x14ac:dyDescent="0.35">
      <c r="A605" t="s">
        <v>1141</v>
      </c>
      <c r="B605" s="1">
        <v>45253</v>
      </c>
      <c r="C605" t="s">
        <v>427</v>
      </c>
      <c r="D605" t="s">
        <v>15</v>
      </c>
      <c r="E605">
        <v>40</v>
      </c>
      <c r="F605" t="s">
        <v>11</v>
      </c>
      <c r="G605">
        <v>1</v>
      </c>
      <c r="H605" s="2">
        <v>300</v>
      </c>
      <c r="I605" s="2">
        <v>300</v>
      </c>
      <c r="J605" s="1" t="str">
        <f>IF(
   Sales_Performance[[#This Row],[Date]] = _xlfn.MINIFS(Sales_Performance[Date],Sales_Performance[Customer ID],Sales_Performance[[#This Row],[Customer ID]]),
   "New Customer",
   "Returning Customer"
)</f>
        <v>Returning Customer</v>
      </c>
    </row>
    <row r="606" spans="1:10" x14ac:dyDescent="0.35">
      <c r="A606" t="s">
        <v>888</v>
      </c>
      <c r="B606" s="1">
        <v>45068</v>
      </c>
      <c r="C606" t="s">
        <v>246</v>
      </c>
      <c r="D606" t="s">
        <v>15</v>
      </c>
      <c r="E606">
        <v>54</v>
      </c>
      <c r="F606" t="s">
        <v>16</v>
      </c>
      <c r="G606">
        <v>4</v>
      </c>
      <c r="H606" s="2">
        <v>25</v>
      </c>
      <c r="I606" s="2">
        <v>100</v>
      </c>
      <c r="J606" s="1" t="str">
        <f>IF(
   Sales_Performance[[#This Row],[Date]] = _xlfn.MINIFS(Sales_Performance[Date],Sales_Performance[Customer ID],Sales_Performance[[#This Row],[Customer ID]]),
   "New Customer",
   "Returning Customer"
)</f>
        <v>Returning Customer</v>
      </c>
    </row>
    <row r="607" spans="1:10" x14ac:dyDescent="0.35">
      <c r="A607" t="s">
        <v>853</v>
      </c>
      <c r="B607" s="1">
        <v>45193</v>
      </c>
      <c r="C607" t="s">
        <v>538</v>
      </c>
      <c r="D607" t="s">
        <v>15</v>
      </c>
      <c r="E607">
        <v>28</v>
      </c>
      <c r="F607" t="s">
        <v>11</v>
      </c>
      <c r="G607">
        <v>3</v>
      </c>
      <c r="H607" s="2">
        <v>30</v>
      </c>
      <c r="I607" s="2">
        <v>90</v>
      </c>
      <c r="J607" s="1" t="str">
        <f>IF(
   Sales_Performance[[#This Row],[Date]] = _xlfn.MINIFS(Sales_Performance[Date],Sales_Performance[Customer ID],Sales_Performance[[#This Row],[Customer ID]]),
   "New Customer",
   "Returning Customer"
)</f>
        <v>Returning Customer</v>
      </c>
    </row>
    <row r="608" spans="1:10" x14ac:dyDescent="0.35">
      <c r="A608" t="s">
        <v>298</v>
      </c>
      <c r="B608" s="1">
        <v>45175</v>
      </c>
      <c r="C608" t="s">
        <v>62</v>
      </c>
      <c r="D608" t="s">
        <v>10</v>
      </c>
      <c r="E608">
        <v>23</v>
      </c>
      <c r="F608" t="s">
        <v>18</v>
      </c>
      <c r="G608">
        <v>3</v>
      </c>
      <c r="H608" s="2">
        <v>25</v>
      </c>
      <c r="I608" s="2">
        <v>75</v>
      </c>
      <c r="J608" s="1" t="str">
        <f>IF(
   Sales_Performance[[#This Row],[Date]] = _xlfn.MINIFS(Sales_Performance[Date],Sales_Performance[Customer ID],Sales_Performance[[#This Row],[Customer ID]]),
   "New Customer",
   "Returning Customer"
)</f>
        <v>Returning Customer</v>
      </c>
    </row>
    <row r="609" spans="1:10" x14ac:dyDescent="0.35">
      <c r="A609" t="s">
        <v>39</v>
      </c>
      <c r="B609" s="1">
        <v>45247</v>
      </c>
      <c r="C609" t="s">
        <v>1025</v>
      </c>
      <c r="D609" t="s">
        <v>15</v>
      </c>
      <c r="E609">
        <v>35</v>
      </c>
      <c r="F609" t="s">
        <v>11</v>
      </c>
      <c r="G609">
        <v>4</v>
      </c>
      <c r="H609" s="2">
        <v>30</v>
      </c>
      <c r="I609" s="2">
        <v>120</v>
      </c>
      <c r="J609" s="1" t="str">
        <f>IF(
   Sales_Performance[[#This Row],[Date]] = _xlfn.MINIFS(Sales_Performance[Date],Sales_Performance[Customer ID],Sales_Performance[[#This Row],[Customer ID]]),
   "New Customer",
   "Returning Customer"
)</f>
        <v>Returning Customer</v>
      </c>
    </row>
    <row r="610" spans="1:10" x14ac:dyDescent="0.35">
      <c r="A610" t="s">
        <v>1044</v>
      </c>
      <c r="B610" s="1">
        <v>45049</v>
      </c>
      <c r="C610" t="s">
        <v>158</v>
      </c>
      <c r="D610" t="s">
        <v>10</v>
      </c>
      <c r="E610">
        <v>38</v>
      </c>
      <c r="F610" t="s">
        <v>16</v>
      </c>
      <c r="G610">
        <v>3</v>
      </c>
      <c r="H610" s="2">
        <v>30</v>
      </c>
      <c r="I610" s="2">
        <v>90</v>
      </c>
      <c r="J610" s="1" t="str">
        <f>IF(
   Sales_Performance[[#This Row],[Date]] = _xlfn.MINIFS(Sales_Performance[Date],Sales_Performance[Customer ID],Sales_Performance[[#This Row],[Customer ID]]),
   "New Customer",
   "Returning Customer"
)</f>
        <v>Returning Customer</v>
      </c>
    </row>
    <row r="611" spans="1:10" x14ac:dyDescent="0.35">
      <c r="A611" t="s">
        <v>1277</v>
      </c>
      <c r="B611" s="1">
        <v>45067</v>
      </c>
      <c r="C611" t="s">
        <v>1322</v>
      </c>
      <c r="D611" t="s">
        <v>10</v>
      </c>
      <c r="E611">
        <v>59</v>
      </c>
      <c r="F611" t="s">
        <v>16</v>
      </c>
      <c r="G611">
        <v>3</v>
      </c>
      <c r="H611" s="2">
        <v>500</v>
      </c>
      <c r="I611" s="2">
        <v>1500</v>
      </c>
      <c r="J611" s="1" t="str">
        <f>IF(
   Sales_Performance[[#This Row],[Date]] = _xlfn.MINIFS(Sales_Performance[Date],Sales_Performance[Customer ID],Sales_Performance[[#This Row],[Customer ID]]),
   "New Customer",
   "Returning Customer"
)</f>
        <v>Returning Customer</v>
      </c>
    </row>
    <row r="612" spans="1:10" x14ac:dyDescent="0.35">
      <c r="A612" t="s">
        <v>1300</v>
      </c>
      <c r="B612" s="1">
        <v>45152</v>
      </c>
      <c r="C612" t="s">
        <v>1240</v>
      </c>
      <c r="D612" t="s">
        <v>10</v>
      </c>
      <c r="E612">
        <v>53</v>
      </c>
      <c r="F612" t="s">
        <v>18</v>
      </c>
      <c r="G612">
        <v>4</v>
      </c>
      <c r="H612" s="2">
        <v>300</v>
      </c>
      <c r="I612" s="2">
        <v>1200</v>
      </c>
      <c r="J612" s="1" t="str">
        <f>IF(
   Sales_Performance[[#This Row],[Date]] = _xlfn.MINIFS(Sales_Performance[Date],Sales_Performance[Customer ID],Sales_Performance[[#This Row],[Customer ID]]),
   "New Customer",
   "Returning Customer"
)</f>
        <v>New Customer</v>
      </c>
    </row>
    <row r="613" spans="1:10" x14ac:dyDescent="0.35">
      <c r="A613" t="s">
        <v>1308</v>
      </c>
      <c r="B613" s="1">
        <v>44966</v>
      </c>
      <c r="C613" t="s">
        <v>1261</v>
      </c>
      <c r="D613" t="s">
        <v>15</v>
      </c>
      <c r="E613">
        <v>58</v>
      </c>
      <c r="F613" t="s">
        <v>16</v>
      </c>
      <c r="G613">
        <v>2</v>
      </c>
      <c r="H613" s="2">
        <v>300</v>
      </c>
      <c r="I613" s="2">
        <v>600</v>
      </c>
      <c r="J613" s="1" t="str">
        <f>IF(
   Sales_Performance[[#This Row],[Date]] = _xlfn.MINIFS(Sales_Performance[Date],Sales_Performance[Customer ID],Sales_Performance[[#This Row],[Customer ID]]),
   "New Customer",
   "Returning Customer"
)</f>
        <v>Returning Customer</v>
      </c>
    </row>
    <row r="614" spans="1:10" x14ac:dyDescent="0.35">
      <c r="A614" t="s">
        <v>444</v>
      </c>
      <c r="B614" s="1">
        <v>45265</v>
      </c>
      <c r="C614" t="s">
        <v>248</v>
      </c>
      <c r="D614" t="s">
        <v>10</v>
      </c>
      <c r="E614">
        <v>51</v>
      </c>
      <c r="F614" t="s">
        <v>11</v>
      </c>
      <c r="G614">
        <v>4</v>
      </c>
      <c r="H614" s="2">
        <v>500</v>
      </c>
      <c r="I614" s="2">
        <v>2000</v>
      </c>
      <c r="J614" s="1" t="str">
        <f>IF(
   Sales_Performance[[#This Row],[Date]] = _xlfn.MINIFS(Sales_Performance[Date],Sales_Performance[Customer ID],Sales_Performance[[#This Row],[Customer ID]]),
   "New Customer",
   "Returning Customer"
)</f>
        <v>Returning Customer</v>
      </c>
    </row>
    <row r="615" spans="1:10" x14ac:dyDescent="0.35">
      <c r="A615" t="s">
        <v>730</v>
      </c>
      <c r="B615" s="1">
        <v>45292</v>
      </c>
      <c r="C615" t="s">
        <v>485</v>
      </c>
      <c r="D615" t="s">
        <v>10</v>
      </c>
      <c r="E615">
        <v>55</v>
      </c>
      <c r="F615" t="s">
        <v>11</v>
      </c>
      <c r="G615">
        <v>1</v>
      </c>
      <c r="H615" s="2">
        <v>30</v>
      </c>
      <c r="I615" s="2">
        <v>30</v>
      </c>
      <c r="J615" s="1" t="str">
        <f>IF(
   Sales_Performance[[#This Row],[Date]] = _xlfn.MINIFS(Sales_Performance[Date],Sales_Performance[Customer ID],Sales_Performance[[#This Row],[Customer ID]]),
   "New Customer",
   "Returning Customer"
)</f>
        <v>New Customer</v>
      </c>
    </row>
    <row r="616" spans="1:10" x14ac:dyDescent="0.35">
      <c r="A616" t="s">
        <v>229</v>
      </c>
      <c r="B616" s="1">
        <v>45073</v>
      </c>
      <c r="C616" t="s">
        <v>422</v>
      </c>
      <c r="D616" t="s">
        <v>10</v>
      </c>
      <c r="E616">
        <v>51</v>
      </c>
      <c r="F616" t="s">
        <v>16</v>
      </c>
      <c r="G616">
        <v>3</v>
      </c>
      <c r="H616" s="2">
        <v>50</v>
      </c>
      <c r="I616" s="2">
        <v>150</v>
      </c>
      <c r="J616" s="1" t="str">
        <f>IF(
   Sales_Performance[[#This Row],[Date]] = _xlfn.MINIFS(Sales_Performance[Date],Sales_Performance[Customer ID],Sales_Performance[[#This Row],[Customer ID]]),
   "New Customer",
   "Returning Customer"
)</f>
        <v>New Customer</v>
      </c>
    </row>
    <row r="617" spans="1:10" x14ac:dyDescent="0.35">
      <c r="A617" t="s">
        <v>143</v>
      </c>
      <c r="B617" s="1">
        <v>45047</v>
      </c>
      <c r="C617" t="s">
        <v>427</v>
      </c>
      <c r="D617" t="s">
        <v>15</v>
      </c>
      <c r="E617">
        <v>34</v>
      </c>
      <c r="F617" t="s">
        <v>18</v>
      </c>
      <c r="G617">
        <v>2</v>
      </c>
      <c r="H617" s="2">
        <v>50</v>
      </c>
      <c r="I617" s="2">
        <v>100</v>
      </c>
      <c r="J617" s="1" t="str">
        <f>IF(
   Sales_Performance[[#This Row],[Date]] = _xlfn.MINIFS(Sales_Performance[Date],Sales_Performance[Customer ID],Sales_Performance[[#This Row],[Customer ID]]),
   "New Customer",
   "Returning Customer"
)</f>
        <v>New Customer</v>
      </c>
    </row>
    <row r="618" spans="1:10" x14ac:dyDescent="0.35">
      <c r="A618" t="s">
        <v>740</v>
      </c>
      <c r="B618" s="1">
        <v>45066</v>
      </c>
      <c r="C618" t="s">
        <v>1496</v>
      </c>
      <c r="D618" t="s">
        <v>10</v>
      </c>
      <c r="E618">
        <v>54</v>
      </c>
      <c r="F618" t="s">
        <v>16</v>
      </c>
      <c r="G618">
        <v>3</v>
      </c>
      <c r="H618" s="2">
        <v>25</v>
      </c>
      <c r="I618" s="2">
        <v>75</v>
      </c>
      <c r="J618" s="1" t="str">
        <f>IF(
   Sales_Performance[[#This Row],[Date]] = _xlfn.MINIFS(Sales_Performance[Date],Sales_Performance[Customer ID],Sales_Performance[[#This Row],[Customer ID]]),
   "New Customer",
   "Returning Customer"
)</f>
        <v>New Customer</v>
      </c>
    </row>
    <row r="619" spans="1:10" x14ac:dyDescent="0.35">
      <c r="A619" t="s">
        <v>356</v>
      </c>
      <c r="B619" s="1">
        <v>45098</v>
      </c>
      <c r="C619" t="s">
        <v>1020</v>
      </c>
      <c r="D619" t="s">
        <v>10</v>
      </c>
      <c r="E619">
        <v>42</v>
      </c>
      <c r="F619" t="s">
        <v>16</v>
      </c>
      <c r="G619">
        <v>3</v>
      </c>
      <c r="H619" s="2">
        <v>25</v>
      </c>
      <c r="I619" s="2">
        <v>75</v>
      </c>
      <c r="J619" s="1" t="str">
        <f>IF(
   Sales_Performance[[#This Row],[Date]] = _xlfn.MINIFS(Sales_Performance[Date],Sales_Performance[Customer ID],Sales_Performance[[#This Row],[Customer ID]]),
   "New Customer",
   "Returning Customer"
)</f>
        <v>Returning Customer</v>
      </c>
    </row>
    <row r="620" spans="1:10" x14ac:dyDescent="0.35">
      <c r="A620" t="s">
        <v>1342</v>
      </c>
      <c r="B620" s="1">
        <v>45090</v>
      </c>
      <c r="C620" t="s">
        <v>1130</v>
      </c>
      <c r="D620" t="s">
        <v>15</v>
      </c>
      <c r="E620">
        <v>55</v>
      </c>
      <c r="F620" t="s">
        <v>16</v>
      </c>
      <c r="G620">
        <v>1</v>
      </c>
      <c r="H620" s="2">
        <v>500</v>
      </c>
      <c r="I620" s="2">
        <v>500</v>
      </c>
      <c r="J620" s="1" t="str">
        <f>IF(
   Sales_Performance[[#This Row],[Date]] = _xlfn.MINIFS(Sales_Performance[Date],Sales_Performance[Customer ID],Sales_Performance[[#This Row],[Customer ID]]),
   "New Customer",
   "Returning Customer"
)</f>
        <v>Returning Customer</v>
      </c>
    </row>
    <row r="621" spans="1:10" x14ac:dyDescent="0.35">
      <c r="A621" t="s">
        <v>500</v>
      </c>
      <c r="B621" s="1">
        <v>45203</v>
      </c>
      <c r="C621" t="s">
        <v>476</v>
      </c>
      <c r="D621" t="s">
        <v>10</v>
      </c>
      <c r="E621">
        <v>29</v>
      </c>
      <c r="F621" t="s">
        <v>18</v>
      </c>
      <c r="G621">
        <v>3</v>
      </c>
      <c r="H621" s="2">
        <v>30</v>
      </c>
      <c r="I621" s="2">
        <v>90</v>
      </c>
      <c r="J621" s="1" t="str">
        <f>IF(
   Sales_Performance[[#This Row],[Date]] = _xlfn.MINIFS(Sales_Performance[Date],Sales_Performance[Customer ID],Sales_Performance[[#This Row],[Customer ID]]),
   "New Customer",
   "Returning Customer"
)</f>
        <v>Returning Customer</v>
      </c>
    </row>
    <row r="622" spans="1:10" x14ac:dyDescent="0.35">
      <c r="A622" t="s">
        <v>48</v>
      </c>
      <c r="B622" s="1">
        <v>44968</v>
      </c>
      <c r="C622" t="s">
        <v>411</v>
      </c>
      <c r="D622" t="s">
        <v>10</v>
      </c>
      <c r="E622">
        <v>40</v>
      </c>
      <c r="F622" t="s">
        <v>16</v>
      </c>
      <c r="G622">
        <v>1</v>
      </c>
      <c r="H622" s="2">
        <v>25</v>
      </c>
      <c r="I622" s="2">
        <v>25</v>
      </c>
      <c r="J622" s="1" t="str">
        <f>IF(
   Sales_Performance[[#This Row],[Date]] = _xlfn.MINIFS(Sales_Performance[Date],Sales_Performance[Customer ID],Sales_Performance[[#This Row],[Customer ID]]),
   "New Customer",
   "Returning Customer"
)</f>
        <v>New Customer</v>
      </c>
    </row>
    <row r="623" spans="1:10" x14ac:dyDescent="0.35">
      <c r="A623" t="s">
        <v>138</v>
      </c>
      <c r="B623" s="1">
        <v>44997</v>
      </c>
      <c r="C623" t="s">
        <v>1082</v>
      </c>
      <c r="D623" t="s">
        <v>10</v>
      </c>
      <c r="E623">
        <v>59</v>
      </c>
      <c r="F623" t="s">
        <v>16</v>
      </c>
      <c r="G623">
        <v>1</v>
      </c>
      <c r="H623" s="2">
        <v>25</v>
      </c>
      <c r="I623" s="2">
        <v>25</v>
      </c>
      <c r="J623" s="1" t="str">
        <f>IF(
   Sales_Performance[[#This Row],[Date]] = _xlfn.MINIFS(Sales_Performance[Date],Sales_Performance[Customer ID],Sales_Performance[[#This Row],[Customer ID]]),
   "New Customer",
   "Returning Customer"
)</f>
        <v>New Customer</v>
      </c>
    </row>
    <row r="624" spans="1:10" x14ac:dyDescent="0.35">
      <c r="A624" t="s">
        <v>446</v>
      </c>
      <c r="B624" s="1">
        <v>45004</v>
      </c>
      <c r="C624" t="s">
        <v>311</v>
      </c>
      <c r="D624" t="s">
        <v>15</v>
      </c>
      <c r="E624">
        <v>39</v>
      </c>
      <c r="F624" t="s">
        <v>11</v>
      </c>
      <c r="G624">
        <v>1</v>
      </c>
      <c r="H624" s="2">
        <v>30</v>
      </c>
      <c r="I624" s="2">
        <v>30</v>
      </c>
      <c r="J624" s="1" t="str">
        <f>IF(
   Sales_Performance[[#This Row],[Date]] = _xlfn.MINIFS(Sales_Performance[Date],Sales_Performance[Customer ID],Sales_Performance[[#This Row],[Customer ID]]),
   "New Customer",
   "Returning Customer"
)</f>
        <v>New Customer</v>
      </c>
    </row>
    <row r="625" spans="1:10" x14ac:dyDescent="0.35">
      <c r="A625" t="s">
        <v>574</v>
      </c>
      <c r="B625" s="1">
        <v>45043</v>
      </c>
      <c r="C625" t="s">
        <v>983</v>
      </c>
      <c r="D625" t="s">
        <v>15</v>
      </c>
      <c r="E625">
        <v>45</v>
      </c>
      <c r="F625" t="s">
        <v>11</v>
      </c>
      <c r="G625">
        <v>1</v>
      </c>
      <c r="H625" s="2">
        <v>30</v>
      </c>
      <c r="I625" s="2">
        <v>30</v>
      </c>
      <c r="J625" s="1" t="str">
        <f>IF(
   Sales_Performance[[#This Row],[Date]] = _xlfn.MINIFS(Sales_Performance[Date],Sales_Performance[Customer ID],Sales_Performance[[#This Row],[Customer ID]]),
   "New Customer",
   "Returning Customer"
)</f>
        <v>Returning Customer</v>
      </c>
    </row>
    <row r="626" spans="1:10" x14ac:dyDescent="0.35">
      <c r="A626" t="s">
        <v>559</v>
      </c>
      <c r="B626" s="1">
        <v>45045</v>
      </c>
      <c r="C626" t="s">
        <v>840</v>
      </c>
      <c r="D626" t="s">
        <v>15</v>
      </c>
      <c r="E626">
        <v>38</v>
      </c>
      <c r="F626" t="s">
        <v>18</v>
      </c>
      <c r="G626">
        <v>2</v>
      </c>
      <c r="H626" s="2">
        <v>500</v>
      </c>
      <c r="I626" s="2">
        <v>1000</v>
      </c>
      <c r="J626" s="1" t="str">
        <f>IF(
   Sales_Performance[[#This Row],[Date]] = _xlfn.MINIFS(Sales_Performance[Date],Sales_Performance[Customer ID],Sales_Performance[[#This Row],[Customer ID]]),
   "New Customer",
   "Returning Customer"
)</f>
        <v>New Customer</v>
      </c>
    </row>
    <row r="627" spans="1:10" x14ac:dyDescent="0.35">
      <c r="A627" t="s">
        <v>893</v>
      </c>
      <c r="B627" s="1">
        <v>45123</v>
      </c>
      <c r="C627" t="s">
        <v>1286</v>
      </c>
      <c r="D627" t="s">
        <v>15</v>
      </c>
      <c r="E627">
        <v>44</v>
      </c>
      <c r="F627" t="s">
        <v>16</v>
      </c>
      <c r="G627">
        <v>4</v>
      </c>
      <c r="H627" s="2">
        <v>25</v>
      </c>
      <c r="I627" s="2">
        <v>100</v>
      </c>
      <c r="J627" s="1" t="str">
        <f>IF(
   Sales_Performance[[#This Row],[Date]] = _xlfn.MINIFS(Sales_Performance[Date],Sales_Performance[Customer ID],Sales_Performance[[#This Row],[Customer ID]]),
   "New Customer",
   "Returning Customer"
)</f>
        <v>Returning Customer</v>
      </c>
    </row>
    <row r="628" spans="1:10" x14ac:dyDescent="0.35">
      <c r="A628" t="s">
        <v>1393</v>
      </c>
      <c r="B628" s="1">
        <v>45282</v>
      </c>
      <c r="C628" t="s">
        <v>1235</v>
      </c>
      <c r="D628" t="s">
        <v>10</v>
      </c>
      <c r="E628">
        <v>48</v>
      </c>
      <c r="F628" t="s">
        <v>18</v>
      </c>
      <c r="G628">
        <v>2</v>
      </c>
      <c r="H628" s="2">
        <v>500</v>
      </c>
      <c r="I628" s="2">
        <v>1000</v>
      </c>
      <c r="J628" s="1" t="str">
        <f>IF(
   Sales_Performance[[#This Row],[Date]] = _xlfn.MINIFS(Sales_Performance[Date],Sales_Performance[Customer ID],Sales_Performance[[#This Row],[Customer ID]]),
   "New Customer",
   "Returning Customer"
)</f>
        <v>Returning Customer</v>
      </c>
    </row>
    <row r="629" spans="1:10" x14ac:dyDescent="0.35">
      <c r="A629" t="s">
        <v>974</v>
      </c>
      <c r="B629" s="1">
        <v>45005</v>
      </c>
      <c r="C629" t="s">
        <v>294</v>
      </c>
      <c r="D629" t="s">
        <v>10</v>
      </c>
      <c r="E629">
        <v>23</v>
      </c>
      <c r="F629" t="s">
        <v>16</v>
      </c>
      <c r="G629">
        <v>4</v>
      </c>
      <c r="H629" s="2">
        <v>300</v>
      </c>
      <c r="I629" s="2">
        <v>1200</v>
      </c>
      <c r="J629" s="1" t="str">
        <f>IF(
   Sales_Performance[[#This Row],[Date]] = _xlfn.MINIFS(Sales_Performance[Date],Sales_Performance[Customer ID],Sales_Performance[[#This Row],[Customer ID]]),
   "New Customer",
   "Returning Customer"
)</f>
        <v>New Customer</v>
      </c>
    </row>
    <row r="630" spans="1:10" x14ac:dyDescent="0.35">
      <c r="A630" t="s">
        <v>466</v>
      </c>
      <c r="B630" s="1">
        <v>45288</v>
      </c>
      <c r="C630" t="s">
        <v>508</v>
      </c>
      <c r="D630" t="s">
        <v>15</v>
      </c>
      <c r="E630">
        <v>44</v>
      </c>
      <c r="F630" t="s">
        <v>16</v>
      </c>
      <c r="G630">
        <v>4</v>
      </c>
      <c r="H630" s="2">
        <v>500</v>
      </c>
      <c r="I630" s="2">
        <v>2000</v>
      </c>
      <c r="J630" s="1" t="str">
        <f>IF(
   Sales_Performance[[#This Row],[Date]] = _xlfn.MINIFS(Sales_Performance[Date],Sales_Performance[Customer ID],Sales_Performance[[#This Row],[Customer ID]]),
   "New Customer",
   "Returning Customer"
)</f>
        <v>Returning Customer</v>
      </c>
    </row>
    <row r="631" spans="1:10" x14ac:dyDescent="0.35">
      <c r="A631" t="s">
        <v>566</v>
      </c>
      <c r="B631" s="1">
        <v>45036</v>
      </c>
      <c r="C631" t="s">
        <v>1205</v>
      </c>
      <c r="D631" t="s">
        <v>10</v>
      </c>
      <c r="E631">
        <v>57</v>
      </c>
      <c r="F631" t="s">
        <v>16</v>
      </c>
      <c r="G631">
        <v>1</v>
      </c>
      <c r="H631" s="2">
        <v>50</v>
      </c>
      <c r="I631" s="2">
        <v>50</v>
      </c>
      <c r="J631" s="1" t="str">
        <f>IF(
   Sales_Performance[[#This Row],[Date]] = _xlfn.MINIFS(Sales_Performance[Date],Sales_Performance[Customer ID],Sales_Performance[[#This Row],[Customer ID]]),
   "New Customer",
   "Returning Customer"
)</f>
        <v>New Customer</v>
      </c>
    </row>
    <row r="632" spans="1:10" x14ac:dyDescent="0.35">
      <c r="A632" t="s">
        <v>1173</v>
      </c>
      <c r="B632" s="1">
        <v>44959</v>
      </c>
      <c r="C632" t="s">
        <v>517</v>
      </c>
      <c r="D632" t="s">
        <v>10</v>
      </c>
      <c r="E632">
        <v>51</v>
      </c>
      <c r="F632" t="s">
        <v>11</v>
      </c>
      <c r="G632">
        <v>3</v>
      </c>
      <c r="H632" s="2">
        <v>50</v>
      </c>
      <c r="I632" s="2">
        <v>150</v>
      </c>
      <c r="J632" s="1" t="str">
        <f>IF(
   Sales_Performance[[#This Row],[Date]] = _xlfn.MINIFS(Sales_Performance[Date],Sales_Performance[Customer ID],Sales_Performance[[#This Row],[Customer ID]]),
   "New Customer",
   "Returning Customer"
)</f>
        <v>New Customer</v>
      </c>
    </row>
    <row r="633" spans="1:10" x14ac:dyDescent="0.35">
      <c r="A633" t="s">
        <v>295</v>
      </c>
      <c r="B633" s="1">
        <v>45139</v>
      </c>
      <c r="C633" t="s">
        <v>309</v>
      </c>
      <c r="D633" t="s">
        <v>15</v>
      </c>
      <c r="E633">
        <v>29</v>
      </c>
      <c r="F633" t="s">
        <v>11</v>
      </c>
      <c r="G633">
        <v>1</v>
      </c>
      <c r="H633" s="2">
        <v>500</v>
      </c>
      <c r="I633" s="2">
        <v>500</v>
      </c>
      <c r="J633" s="1" t="str">
        <f>IF(
   Sales_Performance[[#This Row],[Date]] = _xlfn.MINIFS(Sales_Performance[Date],Sales_Performance[Customer ID],Sales_Performance[[#This Row],[Customer ID]]),
   "New Customer",
   "Returning Customer"
)</f>
        <v>Returning Customer</v>
      </c>
    </row>
    <row r="634" spans="1:10" x14ac:dyDescent="0.35">
      <c r="A634" t="s">
        <v>434</v>
      </c>
      <c r="B634" s="1">
        <v>45135</v>
      </c>
      <c r="C634" t="s">
        <v>706</v>
      </c>
      <c r="D634" t="s">
        <v>15</v>
      </c>
      <c r="E634">
        <v>62</v>
      </c>
      <c r="F634" t="s">
        <v>11</v>
      </c>
      <c r="G634">
        <v>3</v>
      </c>
      <c r="H634" s="2">
        <v>50</v>
      </c>
      <c r="I634" s="2">
        <v>150</v>
      </c>
      <c r="J634" s="1" t="str">
        <f>IF(
   Sales_Performance[[#This Row],[Date]] = _xlfn.MINIFS(Sales_Performance[Date],Sales_Performance[Customer ID],Sales_Performance[[#This Row],[Customer ID]]),
   "New Customer",
   "Returning Customer"
)</f>
        <v>Returning Customer</v>
      </c>
    </row>
    <row r="635" spans="1:10" x14ac:dyDescent="0.35">
      <c r="A635" t="s">
        <v>369</v>
      </c>
      <c r="B635" s="1">
        <v>45096</v>
      </c>
      <c r="C635" t="s">
        <v>201</v>
      </c>
      <c r="D635" t="s">
        <v>10</v>
      </c>
      <c r="E635">
        <v>24</v>
      </c>
      <c r="F635" t="s">
        <v>18</v>
      </c>
      <c r="G635">
        <v>4</v>
      </c>
      <c r="H635" s="2">
        <v>300</v>
      </c>
      <c r="I635" s="2">
        <v>1200</v>
      </c>
      <c r="J635" s="1" t="str">
        <f>IF(
   Sales_Performance[[#This Row],[Date]] = _xlfn.MINIFS(Sales_Performance[Date],Sales_Performance[Customer ID],Sales_Performance[[#This Row],[Customer ID]]),
   "New Customer",
   "Returning Customer"
)</f>
        <v>Returning Customer</v>
      </c>
    </row>
    <row r="636" spans="1:10" x14ac:dyDescent="0.35">
      <c r="A636" t="s">
        <v>431</v>
      </c>
      <c r="B636" s="1">
        <v>45075</v>
      </c>
      <c r="C636" t="s">
        <v>213</v>
      </c>
      <c r="D636" t="s">
        <v>15</v>
      </c>
      <c r="E636">
        <v>48</v>
      </c>
      <c r="F636" t="s">
        <v>18</v>
      </c>
      <c r="G636">
        <v>4</v>
      </c>
      <c r="H636" s="2">
        <v>300</v>
      </c>
      <c r="I636" s="2">
        <v>1200</v>
      </c>
      <c r="J636" s="1" t="str">
        <f>IF(
   Sales_Performance[[#This Row],[Date]] = _xlfn.MINIFS(Sales_Performance[Date],Sales_Performance[Customer ID],Sales_Performance[[#This Row],[Customer ID]]),
   "New Customer",
   "Returning Customer"
)</f>
        <v>New Customer</v>
      </c>
    </row>
    <row r="637" spans="1:10" x14ac:dyDescent="0.35">
      <c r="A637" t="s">
        <v>727</v>
      </c>
      <c r="B637" s="1">
        <v>45204</v>
      </c>
      <c r="C637" t="s">
        <v>179</v>
      </c>
      <c r="D637" t="s">
        <v>10</v>
      </c>
      <c r="E637">
        <v>27</v>
      </c>
      <c r="F637" t="s">
        <v>18</v>
      </c>
      <c r="G637">
        <v>1</v>
      </c>
      <c r="H637" s="2">
        <v>30</v>
      </c>
      <c r="I637" s="2">
        <v>30</v>
      </c>
      <c r="J637" s="1" t="str">
        <f>IF(
   Sales_Performance[[#This Row],[Date]] = _xlfn.MINIFS(Sales_Performance[Date],Sales_Performance[Customer ID],Sales_Performance[[#This Row],[Customer ID]]),
   "New Customer",
   "Returning Customer"
)</f>
        <v>Returning Customer</v>
      </c>
    </row>
    <row r="638" spans="1:10" x14ac:dyDescent="0.35">
      <c r="A638" t="s">
        <v>1229</v>
      </c>
      <c r="B638" s="1">
        <v>45165</v>
      </c>
      <c r="C638" t="s">
        <v>551</v>
      </c>
      <c r="D638" t="s">
        <v>10</v>
      </c>
      <c r="E638">
        <v>62</v>
      </c>
      <c r="F638" t="s">
        <v>11</v>
      </c>
      <c r="G638">
        <v>3</v>
      </c>
      <c r="H638" s="2">
        <v>50</v>
      </c>
      <c r="I638" s="2">
        <v>150</v>
      </c>
      <c r="J638" s="1" t="str">
        <f>IF(
   Sales_Performance[[#This Row],[Date]] = _xlfn.MINIFS(Sales_Performance[Date],Sales_Performance[Customer ID],Sales_Performance[[#This Row],[Customer ID]]),
   "New Customer",
   "Returning Customer"
)</f>
        <v>New Customer</v>
      </c>
    </row>
    <row r="639" spans="1:10" x14ac:dyDescent="0.35">
      <c r="A639" t="s">
        <v>680</v>
      </c>
      <c r="B639" s="1">
        <v>45139</v>
      </c>
      <c r="C639" t="s">
        <v>722</v>
      </c>
      <c r="D639" t="s">
        <v>15</v>
      </c>
      <c r="E639">
        <v>34</v>
      </c>
      <c r="F639" t="s">
        <v>18</v>
      </c>
      <c r="G639">
        <v>2</v>
      </c>
      <c r="H639" s="2">
        <v>50</v>
      </c>
      <c r="I639" s="2">
        <v>100</v>
      </c>
      <c r="J639" s="1" t="str">
        <f>IF(
   Sales_Performance[[#This Row],[Date]] = _xlfn.MINIFS(Sales_Performance[Date],Sales_Performance[Customer ID],Sales_Performance[[#This Row],[Customer ID]]),
   "New Customer",
   "Returning Customer"
)</f>
        <v>Returning Customer</v>
      </c>
    </row>
    <row r="640" spans="1:10" x14ac:dyDescent="0.35">
      <c r="A640" t="s">
        <v>119</v>
      </c>
      <c r="B640" s="1">
        <v>44958</v>
      </c>
      <c r="C640" t="s">
        <v>1094</v>
      </c>
      <c r="D640" t="s">
        <v>15</v>
      </c>
      <c r="E640">
        <v>43</v>
      </c>
      <c r="F640" t="s">
        <v>16</v>
      </c>
      <c r="G640">
        <v>3</v>
      </c>
      <c r="H640" s="2">
        <v>500</v>
      </c>
      <c r="I640" s="2">
        <v>1500</v>
      </c>
      <c r="J640" s="1" t="str">
        <f>IF(
   Sales_Performance[[#This Row],[Date]] = _xlfn.MINIFS(Sales_Performance[Date],Sales_Performance[Customer ID],Sales_Performance[[#This Row],[Customer ID]]),
   "New Customer",
   "Returning Customer"
)</f>
        <v>New Customer</v>
      </c>
    </row>
    <row r="641" spans="1:10" x14ac:dyDescent="0.35">
      <c r="A641" t="s">
        <v>711</v>
      </c>
      <c r="B641" s="1">
        <v>45032</v>
      </c>
      <c r="C641" t="s">
        <v>1261</v>
      </c>
      <c r="D641" t="s">
        <v>15</v>
      </c>
      <c r="E641">
        <v>38</v>
      </c>
      <c r="F641" t="s">
        <v>16</v>
      </c>
      <c r="G641">
        <v>1</v>
      </c>
      <c r="H641" s="2">
        <v>300</v>
      </c>
      <c r="I641" s="2">
        <v>300</v>
      </c>
      <c r="J641" s="1" t="str">
        <f>IF(
   Sales_Performance[[#This Row],[Date]] = _xlfn.MINIFS(Sales_Performance[Date],Sales_Performance[Customer ID],Sales_Performance[[#This Row],[Customer ID]]),
   "New Customer",
   "Returning Customer"
)</f>
        <v>Returning Customer</v>
      </c>
    </row>
    <row r="642" spans="1:10" x14ac:dyDescent="0.35">
      <c r="A642" t="s">
        <v>542</v>
      </c>
      <c r="B642" s="1">
        <v>45142</v>
      </c>
      <c r="C642" t="s">
        <v>147</v>
      </c>
      <c r="D642" t="s">
        <v>15</v>
      </c>
      <c r="E642">
        <v>45</v>
      </c>
      <c r="F642" t="s">
        <v>16</v>
      </c>
      <c r="G642">
        <v>2</v>
      </c>
      <c r="H642" s="2">
        <v>30</v>
      </c>
      <c r="I642" s="2">
        <v>60</v>
      </c>
      <c r="J642" s="1" t="str">
        <f>IF(
   Sales_Performance[[#This Row],[Date]] = _xlfn.MINIFS(Sales_Performance[Date],Sales_Performance[Customer ID],Sales_Performance[[#This Row],[Customer ID]]),
   "New Customer",
   "Returning Customer"
)</f>
        <v>Returning Customer</v>
      </c>
    </row>
    <row r="643" spans="1:10" x14ac:dyDescent="0.35">
      <c r="A643" t="s">
        <v>621</v>
      </c>
      <c r="B643" s="1">
        <v>45126</v>
      </c>
      <c r="C643" t="s">
        <v>1507</v>
      </c>
      <c r="D643" t="s">
        <v>10</v>
      </c>
      <c r="E643">
        <v>63</v>
      </c>
      <c r="F643" t="s">
        <v>11</v>
      </c>
      <c r="G643">
        <v>3</v>
      </c>
      <c r="H643" s="2">
        <v>500</v>
      </c>
      <c r="I643" s="2">
        <v>1500</v>
      </c>
      <c r="J643" s="1" t="str">
        <f>IF(
   Sales_Performance[[#This Row],[Date]] = _xlfn.MINIFS(Sales_Performance[Date],Sales_Performance[Customer ID],Sales_Performance[[#This Row],[Customer ID]]),
   "New Customer",
   "Returning Customer"
)</f>
        <v>Returning Customer</v>
      </c>
    </row>
    <row r="644" spans="1:10" x14ac:dyDescent="0.35">
      <c r="A644" t="s">
        <v>359</v>
      </c>
      <c r="B644" s="1">
        <v>45226</v>
      </c>
      <c r="C644" t="s">
        <v>950</v>
      </c>
      <c r="D644" t="s">
        <v>15</v>
      </c>
      <c r="E644">
        <v>19</v>
      </c>
      <c r="F644" t="s">
        <v>18</v>
      </c>
      <c r="G644">
        <v>3</v>
      </c>
      <c r="H644" s="2">
        <v>500</v>
      </c>
      <c r="I644" s="2">
        <v>1500</v>
      </c>
      <c r="J644" s="1" t="str">
        <f>IF(
   Sales_Performance[[#This Row],[Date]] = _xlfn.MINIFS(Sales_Performance[Date],Sales_Performance[Customer ID],Sales_Performance[[#This Row],[Customer ID]]),
   "New Customer",
   "Returning Customer"
)</f>
        <v>New Customer</v>
      </c>
    </row>
    <row r="645" spans="1:10" x14ac:dyDescent="0.35">
      <c r="A645" t="s">
        <v>82</v>
      </c>
      <c r="B645" s="1">
        <v>45283</v>
      </c>
      <c r="C645" t="s">
        <v>1199</v>
      </c>
      <c r="D645" t="s">
        <v>15</v>
      </c>
      <c r="E645">
        <v>60</v>
      </c>
      <c r="F645" t="s">
        <v>11</v>
      </c>
      <c r="G645">
        <v>3</v>
      </c>
      <c r="H645" s="2">
        <v>300</v>
      </c>
      <c r="I645" s="2">
        <v>900</v>
      </c>
      <c r="J645" s="1" t="str">
        <f>IF(
   Sales_Performance[[#This Row],[Date]] = _xlfn.MINIFS(Sales_Performance[Date],Sales_Performance[Customer ID],Sales_Performance[[#This Row],[Customer ID]]),
   "New Customer",
   "Returning Customer"
)</f>
        <v>Returning Customer</v>
      </c>
    </row>
    <row r="646" spans="1:10" x14ac:dyDescent="0.35">
      <c r="A646" t="s">
        <v>1306</v>
      </c>
      <c r="B646" s="1">
        <v>44937</v>
      </c>
      <c r="C646" t="s">
        <v>1288</v>
      </c>
      <c r="D646" t="s">
        <v>15</v>
      </c>
      <c r="E646">
        <v>18</v>
      </c>
      <c r="F646" t="s">
        <v>18</v>
      </c>
      <c r="G646">
        <v>3</v>
      </c>
      <c r="H646" s="2">
        <v>30</v>
      </c>
      <c r="I646" s="2">
        <v>90</v>
      </c>
      <c r="J646" s="1" t="str">
        <f>IF(
   Sales_Performance[[#This Row],[Date]] = _xlfn.MINIFS(Sales_Performance[Date],Sales_Performance[Customer ID],Sales_Performance[[#This Row],[Customer ID]]),
   "New Customer",
   "Returning Customer"
)</f>
        <v>New Customer</v>
      </c>
    </row>
    <row r="647" spans="1:10" x14ac:dyDescent="0.35">
      <c r="A647" t="s">
        <v>1093</v>
      </c>
      <c r="B647" s="1">
        <v>44967</v>
      </c>
      <c r="C647" t="s">
        <v>924</v>
      </c>
      <c r="D647" t="s">
        <v>10</v>
      </c>
      <c r="E647">
        <v>25</v>
      </c>
      <c r="F647" t="s">
        <v>11</v>
      </c>
      <c r="G647">
        <v>1</v>
      </c>
      <c r="H647" s="2">
        <v>300</v>
      </c>
      <c r="I647" s="2">
        <v>300</v>
      </c>
      <c r="J647" s="1" t="str">
        <f>IF(
   Sales_Performance[[#This Row],[Date]] = _xlfn.MINIFS(Sales_Performance[Date],Sales_Performance[Customer ID],Sales_Performance[[#This Row],[Customer ID]]),
   "New Customer",
   "Returning Customer"
)</f>
        <v>Returning Customer</v>
      </c>
    </row>
    <row r="648" spans="1:10" x14ac:dyDescent="0.35">
      <c r="A648" t="s">
        <v>871</v>
      </c>
      <c r="B648" s="1">
        <v>45221</v>
      </c>
      <c r="C648" t="s">
        <v>427</v>
      </c>
      <c r="D648" t="s">
        <v>15</v>
      </c>
      <c r="E648">
        <v>53</v>
      </c>
      <c r="F648" t="s">
        <v>16</v>
      </c>
      <c r="G648">
        <v>3</v>
      </c>
      <c r="H648" s="2">
        <v>300</v>
      </c>
      <c r="I648" s="2">
        <v>900</v>
      </c>
      <c r="J648" s="1" t="str">
        <f>IF(
   Sales_Performance[[#This Row],[Date]] = _xlfn.MINIFS(Sales_Performance[Date],Sales_Performance[Customer ID],Sales_Performance[[#This Row],[Customer ID]]),
   "New Customer",
   "Returning Customer"
)</f>
        <v>Returning Customer</v>
      </c>
    </row>
    <row r="649" spans="1:10" x14ac:dyDescent="0.35">
      <c r="A649" t="s">
        <v>519</v>
      </c>
      <c r="B649" s="1">
        <v>45121</v>
      </c>
      <c r="C649" t="s">
        <v>101</v>
      </c>
      <c r="D649" t="s">
        <v>15</v>
      </c>
      <c r="E649">
        <v>43</v>
      </c>
      <c r="F649" t="s">
        <v>11</v>
      </c>
      <c r="G649">
        <v>2</v>
      </c>
      <c r="H649" s="2">
        <v>30</v>
      </c>
      <c r="I649" s="2">
        <v>60</v>
      </c>
      <c r="J649" s="1" t="str">
        <f>IF(
   Sales_Performance[[#This Row],[Date]] = _xlfn.MINIFS(Sales_Performance[Date],Sales_Performance[Customer ID],Sales_Performance[[#This Row],[Customer ID]]),
   "New Customer",
   "Returning Customer"
)</f>
        <v>Returning Customer</v>
      </c>
    </row>
    <row r="650" spans="1:10" x14ac:dyDescent="0.35">
      <c r="A650" t="s">
        <v>897</v>
      </c>
      <c r="B650" s="1">
        <v>45171</v>
      </c>
      <c r="C650" t="s">
        <v>418</v>
      </c>
      <c r="D650" t="s">
        <v>10</v>
      </c>
      <c r="E650">
        <v>46</v>
      </c>
      <c r="F650" t="s">
        <v>18</v>
      </c>
      <c r="G650">
        <v>4</v>
      </c>
      <c r="H650" s="2">
        <v>300</v>
      </c>
      <c r="I650" s="2">
        <v>1200</v>
      </c>
      <c r="J650" s="1" t="str">
        <f>IF(
   Sales_Performance[[#This Row],[Date]] = _xlfn.MINIFS(Sales_Performance[Date],Sales_Performance[Customer ID],Sales_Performance[[#This Row],[Customer ID]]),
   "New Customer",
   "Returning Customer"
)</f>
        <v>Returning Customer</v>
      </c>
    </row>
    <row r="651" spans="1:10" x14ac:dyDescent="0.35">
      <c r="A651" t="s">
        <v>526</v>
      </c>
      <c r="B651" s="1">
        <v>44930</v>
      </c>
      <c r="C651" t="s">
        <v>1454</v>
      </c>
      <c r="D651" t="s">
        <v>10</v>
      </c>
      <c r="E651">
        <v>38</v>
      </c>
      <c r="F651" t="s">
        <v>18</v>
      </c>
      <c r="G651">
        <v>2</v>
      </c>
      <c r="H651" s="2">
        <v>500</v>
      </c>
      <c r="I651" s="2">
        <v>1000</v>
      </c>
      <c r="J651" s="1" t="str">
        <f>IF(
   Sales_Performance[[#This Row],[Date]] = _xlfn.MINIFS(Sales_Performance[Date],Sales_Performance[Customer ID],Sales_Performance[[#This Row],[Customer ID]]),
   "New Customer",
   "Returning Customer"
)</f>
        <v>New Customer</v>
      </c>
    </row>
    <row r="652" spans="1:10" x14ac:dyDescent="0.35">
      <c r="A652" t="s">
        <v>703</v>
      </c>
      <c r="B652" s="1">
        <v>45107</v>
      </c>
      <c r="C652" t="s">
        <v>914</v>
      </c>
      <c r="D652" t="s">
        <v>15</v>
      </c>
      <c r="E652">
        <v>28</v>
      </c>
      <c r="F652" t="s">
        <v>16</v>
      </c>
      <c r="G652">
        <v>2</v>
      </c>
      <c r="H652" s="2">
        <v>500</v>
      </c>
      <c r="I652" s="2">
        <v>1000</v>
      </c>
      <c r="J652" s="1" t="str">
        <f>IF(
   Sales_Performance[[#This Row],[Date]] = _xlfn.MINIFS(Sales_Performance[Date],Sales_Performance[Customer ID],Sales_Performance[[#This Row],[Customer ID]]),
   "New Customer",
   "Returning Customer"
)</f>
        <v>New Customer</v>
      </c>
    </row>
    <row r="653" spans="1:10" x14ac:dyDescent="0.35">
      <c r="A653" t="s">
        <v>608</v>
      </c>
      <c r="B653" s="1">
        <v>45079</v>
      </c>
      <c r="C653" t="s">
        <v>679</v>
      </c>
      <c r="D653" t="s">
        <v>10</v>
      </c>
      <c r="E653">
        <v>57</v>
      </c>
      <c r="F653" t="s">
        <v>11</v>
      </c>
      <c r="G653">
        <v>2</v>
      </c>
      <c r="H653" s="2">
        <v>25</v>
      </c>
      <c r="I653" s="2">
        <v>50</v>
      </c>
      <c r="J653" s="1" t="str">
        <f>IF(
   Sales_Performance[[#This Row],[Date]] = _xlfn.MINIFS(Sales_Performance[Date],Sales_Performance[Customer ID],Sales_Performance[[#This Row],[Customer ID]]),
   "New Customer",
   "Returning Customer"
)</f>
        <v>New Customer</v>
      </c>
    </row>
    <row r="654" spans="1:10" x14ac:dyDescent="0.35">
      <c r="A654" t="s">
        <v>685</v>
      </c>
      <c r="B654" s="1">
        <v>45126</v>
      </c>
      <c r="C654" t="s">
        <v>399</v>
      </c>
      <c r="D654" t="s">
        <v>15</v>
      </c>
      <c r="E654">
        <v>28</v>
      </c>
      <c r="F654" t="s">
        <v>11</v>
      </c>
      <c r="G654">
        <v>4</v>
      </c>
      <c r="H654" s="2">
        <v>50</v>
      </c>
      <c r="I654" s="2">
        <v>200</v>
      </c>
      <c r="J654" s="1" t="str">
        <f>IF(
   Sales_Performance[[#This Row],[Date]] = _xlfn.MINIFS(Sales_Performance[Date],Sales_Performance[Customer ID],Sales_Performance[[#This Row],[Customer ID]]),
   "New Customer",
   "Returning Customer"
)</f>
        <v>Returning Customer</v>
      </c>
    </row>
    <row r="655" spans="1:10" x14ac:dyDescent="0.35">
      <c r="A655" t="s">
        <v>388</v>
      </c>
      <c r="B655" s="1">
        <v>45141</v>
      </c>
      <c r="C655" t="s">
        <v>1176</v>
      </c>
      <c r="D655" t="s">
        <v>15</v>
      </c>
      <c r="E655">
        <v>53</v>
      </c>
      <c r="F655" t="s">
        <v>11</v>
      </c>
      <c r="G655">
        <v>1</v>
      </c>
      <c r="H655" s="2">
        <v>300</v>
      </c>
      <c r="I655" s="2">
        <v>300</v>
      </c>
      <c r="J655" s="1" t="str">
        <f>IF(
   Sales_Performance[[#This Row],[Date]] = _xlfn.MINIFS(Sales_Performance[Date],Sales_Performance[Customer ID],Sales_Performance[[#This Row],[Customer ID]]),
   "New Customer",
   "Returning Customer"
)</f>
        <v>New Customer</v>
      </c>
    </row>
    <row r="656" spans="1:10" x14ac:dyDescent="0.35">
      <c r="A656" t="s">
        <v>1249</v>
      </c>
      <c r="B656" s="1">
        <v>45202</v>
      </c>
      <c r="C656" t="s">
        <v>998</v>
      </c>
      <c r="D656" t="s">
        <v>10</v>
      </c>
      <c r="E656">
        <v>56</v>
      </c>
      <c r="F656" t="s">
        <v>16</v>
      </c>
      <c r="G656">
        <v>4</v>
      </c>
      <c r="H656" s="2">
        <v>25</v>
      </c>
      <c r="I656" s="2">
        <v>100</v>
      </c>
      <c r="J656" s="1" t="str">
        <f>IF(
   Sales_Performance[[#This Row],[Date]] = _xlfn.MINIFS(Sales_Performance[Date],Sales_Performance[Customer ID],Sales_Performance[[#This Row],[Customer ID]]),
   "New Customer",
   "Returning Customer"
)</f>
        <v>New Customer</v>
      </c>
    </row>
    <row r="657" spans="1:10" x14ac:dyDescent="0.35">
      <c r="A657" t="s">
        <v>1136</v>
      </c>
      <c r="B657" s="1">
        <v>45206</v>
      </c>
      <c r="C657" t="s">
        <v>480</v>
      </c>
      <c r="D657" t="s">
        <v>10</v>
      </c>
      <c r="E657">
        <v>57</v>
      </c>
      <c r="F657" t="s">
        <v>11</v>
      </c>
      <c r="G657">
        <v>2</v>
      </c>
      <c r="H657" s="2">
        <v>50</v>
      </c>
      <c r="I657" s="2">
        <v>100</v>
      </c>
      <c r="J657" s="1" t="str">
        <f>IF(
   Sales_Performance[[#This Row],[Date]] = _xlfn.MINIFS(Sales_Performance[Date],Sales_Performance[Customer ID],Sales_Performance[[#This Row],[Customer ID]]),
   "New Customer",
   "Returning Customer"
)</f>
        <v>New Customer</v>
      </c>
    </row>
    <row r="658" spans="1:10" x14ac:dyDescent="0.35">
      <c r="A658" t="s">
        <v>1477</v>
      </c>
      <c r="B658" s="1">
        <v>45046</v>
      </c>
      <c r="C658" t="s">
        <v>474</v>
      </c>
      <c r="D658" t="s">
        <v>15</v>
      </c>
      <c r="E658">
        <v>56</v>
      </c>
      <c r="F658" t="s">
        <v>18</v>
      </c>
      <c r="G658">
        <v>3</v>
      </c>
      <c r="H658" s="2">
        <v>25</v>
      </c>
      <c r="I658" s="2">
        <v>75</v>
      </c>
      <c r="J658" s="1" t="str">
        <f>IF(
   Sales_Performance[[#This Row],[Date]] = _xlfn.MINIFS(Sales_Performance[Date],Sales_Performance[Customer ID],Sales_Performance[[#This Row],[Customer ID]]),
   "New Customer",
   "Returning Customer"
)</f>
        <v>New Customer</v>
      </c>
    </row>
    <row r="659" spans="1:10" x14ac:dyDescent="0.35">
      <c r="A659" t="s">
        <v>357</v>
      </c>
      <c r="B659" s="1">
        <v>45235</v>
      </c>
      <c r="C659" t="s">
        <v>399</v>
      </c>
      <c r="D659" t="s">
        <v>15</v>
      </c>
      <c r="E659">
        <v>52</v>
      </c>
      <c r="F659" t="s">
        <v>16</v>
      </c>
      <c r="G659">
        <v>3</v>
      </c>
      <c r="H659" s="2">
        <v>300</v>
      </c>
      <c r="I659" s="2">
        <v>900</v>
      </c>
      <c r="J659" s="1" t="str">
        <f>IF(
   Sales_Performance[[#This Row],[Date]] = _xlfn.MINIFS(Sales_Performance[Date],Sales_Performance[Customer ID],Sales_Performance[[#This Row],[Customer ID]]),
   "New Customer",
   "Returning Customer"
)</f>
        <v>Returning Customer</v>
      </c>
    </row>
    <row r="660" spans="1:10" x14ac:dyDescent="0.35">
      <c r="A660" t="s">
        <v>1104</v>
      </c>
      <c r="B660" s="1">
        <v>45039</v>
      </c>
      <c r="C660" t="s">
        <v>1009</v>
      </c>
      <c r="D660" t="s">
        <v>15</v>
      </c>
      <c r="E660">
        <v>51</v>
      </c>
      <c r="F660" t="s">
        <v>16</v>
      </c>
      <c r="G660">
        <v>3</v>
      </c>
      <c r="H660" s="2">
        <v>30</v>
      </c>
      <c r="I660" s="2">
        <v>90</v>
      </c>
      <c r="J660" s="1" t="str">
        <f>IF(
   Sales_Performance[[#This Row],[Date]] = _xlfn.MINIFS(Sales_Performance[Date],Sales_Performance[Customer ID],Sales_Performance[[#This Row],[Customer ID]]),
   "New Customer",
   "Returning Customer"
)</f>
        <v>New Customer</v>
      </c>
    </row>
    <row r="661" spans="1:10" x14ac:dyDescent="0.35">
      <c r="A661" t="s">
        <v>392</v>
      </c>
      <c r="B661" s="1">
        <v>45176</v>
      </c>
      <c r="C661" t="s">
        <v>416</v>
      </c>
      <c r="D661" t="s">
        <v>15</v>
      </c>
      <c r="E661">
        <v>64</v>
      </c>
      <c r="F661" t="s">
        <v>16</v>
      </c>
      <c r="G661">
        <v>2</v>
      </c>
      <c r="H661" s="2">
        <v>50</v>
      </c>
      <c r="I661" s="2">
        <v>100</v>
      </c>
      <c r="J661" s="1" t="str">
        <f>IF(
   Sales_Performance[[#This Row],[Date]] = _xlfn.MINIFS(Sales_Performance[Date],Sales_Performance[Customer ID],Sales_Performance[[#This Row],[Customer ID]]),
   "New Customer",
   "Returning Customer"
)</f>
        <v>New Customer</v>
      </c>
    </row>
    <row r="662" spans="1:10" x14ac:dyDescent="0.35">
      <c r="A662" t="s">
        <v>1070</v>
      </c>
      <c r="B662" s="1">
        <v>45039</v>
      </c>
      <c r="C662" t="s">
        <v>208</v>
      </c>
      <c r="D662" t="s">
        <v>10</v>
      </c>
      <c r="E662">
        <v>41</v>
      </c>
      <c r="F662" t="s">
        <v>18</v>
      </c>
      <c r="G662">
        <v>3</v>
      </c>
      <c r="H662" s="2">
        <v>500</v>
      </c>
      <c r="I662" s="2">
        <v>1500</v>
      </c>
      <c r="J662" s="1" t="str">
        <f>IF(
   Sales_Performance[[#This Row],[Date]] = _xlfn.MINIFS(Sales_Performance[Date],Sales_Performance[Customer ID],Sales_Performance[[#This Row],[Customer ID]]),
   "New Customer",
   "Returning Customer"
)</f>
        <v>New Customer</v>
      </c>
    </row>
    <row r="663" spans="1:10" x14ac:dyDescent="0.35">
      <c r="A663" t="s">
        <v>471</v>
      </c>
      <c r="B663" s="1">
        <v>45066</v>
      </c>
      <c r="C663" t="s">
        <v>837</v>
      </c>
      <c r="D663" t="s">
        <v>15</v>
      </c>
      <c r="E663">
        <v>39</v>
      </c>
      <c r="F663" t="s">
        <v>11</v>
      </c>
      <c r="G663">
        <v>2</v>
      </c>
      <c r="H663" s="2">
        <v>25</v>
      </c>
      <c r="I663" s="2">
        <v>50</v>
      </c>
      <c r="J663" s="1" t="str">
        <f>IF(
   Sales_Performance[[#This Row],[Date]] = _xlfn.MINIFS(Sales_Performance[Date],Sales_Performance[Customer ID],Sales_Performance[[#This Row],[Customer ID]]),
   "New Customer",
   "Returning Customer"
)</f>
        <v>New Customer</v>
      </c>
    </row>
    <row r="664" spans="1:10" x14ac:dyDescent="0.35">
      <c r="A664" t="s">
        <v>1021</v>
      </c>
      <c r="B664" s="1">
        <v>45150</v>
      </c>
      <c r="C664" t="s">
        <v>217</v>
      </c>
      <c r="D664" t="s">
        <v>15</v>
      </c>
      <c r="E664">
        <v>22</v>
      </c>
      <c r="F664" t="s">
        <v>11</v>
      </c>
      <c r="G664">
        <v>3</v>
      </c>
      <c r="H664" s="2">
        <v>50</v>
      </c>
      <c r="I664" s="2">
        <v>150</v>
      </c>
      <c r="J664" s="1" t="str">
        <f>IF(
   Sales_Performance[[#This Row],[Date]] = _xlfn.MINIFS(Sales_Performance[Date],Sales_Performance[Customer ID],Sales_Performance[[#This Row],[Customer ID]]),
   "New Customer",
   "Returning Customer"
)</f>
        <v>New Customer</v>
      </c>
    </row>
    <row r="665" spans="1:10" x14ac:dyDescent="0.35">
      <c r="A665" t="s">
        <v>494</v>
      </c>
      <c r="B665" s="1">
        <v>45175</v>
      </c>
      <c r="C665" t="s">
        <v>575</v>
      </c>
      <c r="D665" t="s">
        <v>15</v>
      </c>
      <c r="E665">
        <v>50</v>
      </c>
      <c r="F665" t="s">
        <v>16</v>
      </c>
      <c r="G665">
        <v>4</v>
      </c>
      <c r="H665" s="2">
        <v>50</v>
      </c>
      <c r="I665" s="2">
        <v>200</v>
      </c>
      <c r="J665" s="1" t="str">
        <f>IF(
   Sales_Performance[[#This Row],[Date]] = _xlfn.MINIFS(Sales_Performance[Date],Sales_Performance[Customer ID],Sales_Performance[[#This Row],[Customer ID]]),
   "New Customer",
   "Returning Customer"
)</f>
        <v>Returning Customer</v>
      </c>
    </row>
    <row r="666" spans="1:10" x14ac:dyDescent="0.35">
      <c r="A666" t="s">
        <v>24</v>
      </c>
      <c r="B666" s="1">
        <v>44941</v>
      </c>
      <c r="C666" t="s">
        <v>1467</v>
      </c>
      <c r="D666" t="s">
        <v>10</v>
      </c>
      <c r="E666">
        <v>53</v>
      </c>
      <c r="F666" t="s">
        <v>16</v>
      </c>
      <c r="G666">
        <v>1</v>
      </c>
      <c r="H666" s="2">
        <v>500</v>
      </c>
      <c r="I666" s="2">
        <v>500</v>
      </c>
      <c r="J666" s="1" t="str">
        <f>IF(
   Sales_Performance[[#This Row],[Date]] = _xlfn.MINIFS(Sales_Performance[Date],Sales_Performance[Customer ID],Sales_Performance[[#This Row],[Customer ID]]),
   "New Customer",
   "Returning Customer"
)</f>
        <v>New Customer</v>
      </c>
    </row>
    <row r="667" spans="1:10" x14ac:dyDescent="0.35">
      <c r="A667" t="s">
        <v>1372</v>
      </c>
      <c r="B667" s="1">
        <v>45126</v>
      </c>
      <c r="C667" t="s">
        <v>294</v>
      </c>
      <c r="D667" t="s">
        <v>15</v>
      </c>
      <c r="E667">
        <v>64</v>
      </c>
      <c r="F667" t="s">
        <v>11</v>
      </c>
      <c r="G667">
        <v>1</v>
      </c>
      <c r="H667" s="2">
        <v>300</v>
      </c>
      <c r="I667" s="2">
        <v>300</v>
      </c>
      <c r="J667" s="1" t="str">
        <f>IF(
   Sales_Performance[[#This Row],[Date]] = _xlfn.MINIFS(Sales_Performance[Date],Sales_Performance[Customer ID],Sales_Performance[[#This Row],[Customer ID]]),
   "New Customer",
   "Returning Customer"
)</f>
        <v>Returning Customer</v>
      </c>
    </row>
    <row r="668" spans="1:10" x14ac:dyDescent="0.35">
      <c r="A668" t="s">
        <v>1216</v>
      </c>
      <c r="B668" s="1">
        <v>45099</v>
      </c>
      <c r="C668" t="s">
        <v>1439</v>
      </c>
      <c r="D668" t="s">
        <v>15</v>
      </c>
      <c r="E668">
        <v>37</v>
      </c>
      <c r="F668" t="s">
        <v>16</v>
      </c>
      <c r="G668">
        <v>4</v>
      </c>
      <c r="H668" s="2">
        <v>30</v>
      </c>
      <c r="I668" s="2">
        <v>120</v>
      </c>
      <c r="J668" s="1" t="str">
        <f>IF(
   Sales_Performance[[#This Row],[Date]] = _xlfn.MINIFS(Sales_Performance[Date],Sales_Performance[Customer ID],Sales_Performance[[#This Row],[Customer ID]]),
   "New Customer",
   "Returning Customer"
)</f>
        <v>New Customer</v>
      </c>
    </row>
    <row r="669" spans="1:10" x14ac:dyDescent="0.35">
      <c r="A669" t="s">
        <v>1466</v>
      </c>
      <c r="B669" s="1">
        <v>44998</v>
      </c>
      <c r="C669" t="s">
        <v>789</v>
      </c>
      <c r="D669" t="s">
        <v>10</v>
      </c>
      <c r="E669">
        <v>46</v>
      </c>
      <c r="F669" t="s">
        <v>16</v>
      </c>
      <c r="G669">
        <v>2</v>
      </c>
      <c r="H669" s="2">
        <v>25</v>
      </c>
      <c r="I669" s="2">
        <v>50</v>
      </c>
      <c r="J669" s="1" t="str">
        <f>IF(
   Sales_Performance[[#This Row],[Date]] = _xlfn.MINIFS(Sales_Performance[Date],Sales_Performance[Customer ID],Sales_Performance[[#This Row],[Customer ID]]),
   "New Customer",
   "Returning Customer"
)</f>
        <v>Returning Customer</v>
      </c>
    </row>
    <row r="670" spans="1:10" x14ac:dyDescent="0.35">
      <c r="A670" t="s">
        <v>1116</v>
      </c>
      <c r="B670" s="1">
        <v>44978</v>
      </c>
      <c r="C670" t="s">
        <v>1027</v>
      </c>
      <c r="D670" t="s">
        <v>15</v>
      </c>
      <c r="E670">
        <v>43</v>
      </c>
      <c r="F670" t="s">
        <v>16</v>
      </c>
      <c r="G670">
        <v>1</v>
      </c>
      <c r="H670" s="2">
        <v>300</v>
      </c>
      <c r="I670" s="2">
        <v>300</v>
      </c>
      <c r="J670" s="1" t="str">
        <f>IF(
   Sales_Performance[[#This Row],[Date]] = _xlfn.MINIFS(Sales_Performance[Date],Sales_Performance[Customer ID],Sales_Performance[[#This Row],[Customer ID]]),
   "New Customer",
   "Returning Customer"
)</f>
        <v>New Customer</v>
      </c>
    </row>
    <row r="671" spans="1:10" x14ac:dyDescent="0.35">
      <c r="A671" t="s">
        <v>429</v>
      </c>
      <c r="B671" s="1">
        <v>45269</v>
      </c>
      <c r="C671" t="s">
        <v>1124</v>
      </c>
      <c r="D671" t="s">
        <v>10</v>
      </c>
      <c r="E671">
        <v>36</v>
      </c>
      <c r="F671" t="s">
        <v>11</v>
      </c>
      <c r="G671">
        <v>4</v>
      </c>
      <c r="H671" s="2">
        <v>500</v>
      </c>
      <c r="I671" s="2">
        <v>2000</v>
      </c>
      <c r="J671" s="1" t="str">
        <f>IF(
   Sales_Performance[[#This Row],[Date]] = _xlfn.MINIFS(Sales_Performance[Date],Sales_Performance[Customer ID],Sales_Performance[[#This Row],[Customer ID]]),
   "New Customer",
   "Returning Customer"
)</f>
        <v>Returning Customer</v>
      </c>
    </row>
    <row r="672" spans="1:10" x14ac:dyDescent="0.35">
      <c r="A672" t="s">
        <v>707</v>
      </c>
      <c r="B672" s="1">
        <v>45274</v>
      </c>
      <c r="C672" t="s">
        <v>1168</v>
      </c>
      <c r="D672" t="s">
        <v>15</v>
      </c>
      <c r="E672">
        <v>52</v>
      </c>
      <c r="F672" t="s">
        <v>18</v>
      </c>
      <c r="G672">
        <v>2</v>
      </c>
      <c r="H672" s="2">
        <v>30</v>
      </c>
      <c r="I672" s="2">
        <v>60</v>
      </c>
      <c r="J672" s="1" t="str">
        <f>IF(
   Sales_Performance[[#This Row],[Date]] = _xlfn.MINIFS(Sales_Performance[Date],Sales_Performance[Customer ID],Sales_Performance[[#This Row],[Customer ID]]),
   "New Customer",
   "Returning Customer"
)</f>
        <v>Returning Customer</v>
      </c>
    </row>
    <row r="673" spans="1:10" x14ac:dyDescent="0.35">
      <c r="A673" t="s">
        <v>365</v>
      </c>
      <c r="B673" s="1">
        <v>45134</v>
      </c>
      <c r="C673" t="s">
        <v>675</v>
      </c>
      <c r="D673" t="s">
        <v>15</v>
      </c>
      <c r="E673">
        <v>60</v>
      </c>
      <c r="F673" t="s">
        <v>16</v>
      </c>
      <c r="G673">
        <v>2</v>
      </c>
      <c r="H673" s="2">
        <v>300</v>
      </c>
      <c r="I673" s="2">
        <v>600</v>
      </c>
      <c r="J673" s="1" t="str">
        <f>IF(
   Sales_Performance[[#This Row],[Date]] = _xlfn.MINIFS(Sales_Performance[Date],Sales_Performance[Customer ID],Sales_Performance[[#This Row],[Customer ID]]),
   "New Customer",
   "Returning Customer"
)</f>
        <v>Returning Customer</v>
      </c>
    </row>
    <row r="674" spans="1:10" x14ac:dyDescent="0.35">
      <c r="A674" t="s">
        <v>753</v>
      </c>
      <c r="B674" s="1">
        <v>45011</v>
      </c>
      <c r="C674" t="s">
        <v>690</v>
      </c>
      <c r="D674" t="s">
        <v>10</v>
      </c>
      <c r="E674">
        <v>34</v>
      </c>
      <c r="F674" t="s">
        <v>11</v>
      </c>
      <c r="G674">
        <v>2</v>
      </c>
      <c r="H674" s="2">
        <v>50</v>
      </c>
      <c r="I674" s="2">
        <v>100</v>
      </c>
      <c r="J674" s="1" t="str">
        <f>IF(
   Sales_Performance[[#This Row],[Date]] = _xlfn.MINIFS(Sales_Performance[Date],Sales_Performance[Customer ID],Sales_Performance[[#This Row],[Customer ID]]),
   "New Customer",
   "Returning Customer"
)</f>
        <v>New Customer</v>
      </c>
    </row>
    <row r="675" spans="1:10" x14ac:dyDescent="0.35">
      <c r="A675" t="s">
        <v>1460</v>
      </c>
      <c r="B675" s="1">
        <v>45166</v>
      </c>
      <c r="C675" t="s">
        <v>1184</v>
      </c>
      <c r="D675" t="s">
        <v>15</v>
      </c>
      <c r="E675">
        <v>62</v>
      </c>
      <c r="F675" t="s">
        <v>16</v>
      </c>
      <c r="G675">
        <v>3</v>
      </c>
      <c r="H675" s="2">
        <v>30</v>
      </c>
      <c r="I675" s="2">
        <v>90</v>
      </c>
      <c r="J675" s="1" t="str">
        <f>IF(
   Sales_Performance[[#This Row],[Date]] = _xlfn.MINIFS(Sales_Performance[Date],Sales_Performance[Customer ID],Sales_Performance[[#This Row],[Customer ID]]),
   "New Customer",
   "Returning Customer"
)</f>
        <v>Returning Customer</v>
      </c>
    </row>
    <row r="676" spans="1:10" x14ac:dyDescent="0.35">
      <c r="A676" t="s">
        <v>1420</v>
      </c>
      <c r="B676" s="1">
        <v>44992</v>
      </c>
      <c r="C676" t="s">
        <v>768</v>
      </c>
      <c r="D676" t="s">
        <v>10</v>
      </c>
      <c r="E676">
        <v>60</v>
      </c>
      <c r="F676" t="s">
        <v>11</v>
      </c>
      <c r="G676">
        <v>2</v>
      </c>
      <c r="H676" s="2">
        <v>25</v>
      </c>
      <c r="I676" s="2">
        <v>50</v>
      </c>
      <c r="J676" s="1" t="str">
        <f>IF(
   Sales_Performance[[#This Row],[Date]] = _xlfn.MINIFS(Sales_Performance[Date],Sales_Performance[Customer ID],Sales_Performance[[#This Row],[Customer ID]]),
   "New Customer",
   "Returning Customer"
)</f>
        <v>New Customer</v>
      </c>
    </row>
    <row r="677" spans="1:10" x14ac:dyDescent="0.35">
      <c r="A677" t="s">
        <v>587</v>
      </c>
      <c r="B677" s="1">
        <v>45245</v>
      </c>
      <c r="C677" t="s">
        <v>595</v>
      </c>
      <c r="D677" t="s">
        <v>10</v>
      </c>
      <c r="E677">
        <v>51</v>
      </c>
      <c r="F677" t="s">
        <v>11</v>
      </c>
      <c r="G677">
        <v>4</v>
      </c>
      <c r="H677" s="2">
        <v>25</v>
      </c>
      <c r="I677" s="2">
        <v>100</v>
      </c>
      <c r="J677" s="1" t="str">
        <f>IF(
   Sales_Performance[[#This Row],[Date]] = _xlfn.MINIFS(Sales_Performance[Date],Sales_Performance[Customer ID],Sales_Performance[[#This Row],[Customer ID]]),
   "New Customer",
   "Returning Customer"
)</f>
        <v>Returning Customer</v>
      </c>
    </row>
    <row r="678" spans="1:10" x14ac:dyDescent="0.35">
      <c r="A678" t="s">
        <v>643</v>
      </c>
      <c r="B678" s="1">
        <v>45200</v>
      </c>
      <c r="C678" t="s">
        <v>226</v>
      </c>
      <c r="D678" t="s">
        <v>15</v>
      </c>
      <c r="E678">
        <v>26</v>
      </c>
      <c r="F678" t="s">
        <v>16</v>
      </c>
      <c r="G678">
        <v>1</v>
      </c>
      <c r="H678" s="2">
        <v>500</v>
      </c>
      <c r="I678" s="2">
        <v>500</v>
      </c>
      <c r="J678" s="1" t="str">
        <f>IF(
   Sales_Performance[[#This Row],[Date]] = _xlfn.MINIFS(Sales_Performance[Date],Sales_Performance[Customer ID],Sales_Performance[[#This Row],[Customer ID]]),
   "New Customer",
   "Returning Customer"
)</f>
        <v>New Customer</v>
      </c>
    </row>
    <row r="679" spans="1:10" x14ac:dyDescent="0.35">
      <c r="A679" t="s">
        <v>457</v>
      </c>
      <c r="B679" s="1">
        <v>44940</v>
      </c>
      <c r="C679" t="s">
        <v>351</v>
      </c>
      <c r="D679" t="s">
        <v>15</v>
      </c>
      <c r="E679">
        <v>43</v>
      </c>
      <c r="F679" t="s">
        <v>18</v>
      </c>
      <c r="G679">
        <v>3</v>
      </c>
      <c r="H679" s="2">
        <v>300</v>
      </c>
      <c r="I679" s="2">
        <v>900</v>
      </c>
      <c r="J679" s="1" t="str">
        <f>IF(
   Sales_Performance[[#This Row],[Date]] = _xlfn.MINIFS(Sales_Performance[Date],Sales_Performance[Customer ID],Sales_Performance[[#This Row],[Customer ID]]),
   "New Customer",
   "Returning Customer"
)</f>
        <v>Returning Customer</v>
      </c>
    </row>
    <row r="680" spans="1:10" x14ac:dyDescent="0.35">
      <c r="A680" t="s">
        <v>368</v>
      </c>
      <c r="B680" s="1">
        <v>45128</v>
      </c>
      <c r="C680" t="s">
        <v>1441</v>
      </c>
      <c r="D680" t="s">
        <v>15</v>
      </c>
      <c r="E680">
        <v>19</v>
      </c>
      <c r="F680" t="s">
        <v>11</v>
      </c>
      <c r="G680">
        <v>2</v>
      </c>
      <c r="H680" s="2">
        <v>500</v>
      </c>
      <c r="I680" s="2">
        <v>1000</v>
      </c>
      <c r="J680" s="1" t="str">
        <f>IF(
   Sales_Performance[[#This Row],[Date]] = _xlfn.MINIFS(Sales_Performance[Date],Sales_Performance[Customer ID],Sales_Performance[[#This Row],[Customer ID]]),
   "New Customer",
   "Returning Customer"
)</f>
        <v>New Customer</v>
      </c>
    </row>
    <row r="681" spans="1:10" x14ac:dyDescent="0.35">
      <c r="A681" t="s">
        <v>530</v>
      </c>
      <c r="B681" s="1">
        <v>45121</v>
      </c>
      <c r="C681" t="s">
        <v>20</v>
      </c>
      <c r="D681" t="s">
        <v>15</v>
      </c>
      <c r="E681">
        <v>51</v>
      </c>
      <c r="F681" t="s">
        <v>18</v>
      </c>
      <c r="G681">
        <v>4</v>
      </c>
      <c r="H681" s="2">
        <v>25</v>
      </c>
      <c r="I681" s="2">
        <v>100</v>
      </c>
      <c r="J681" s="1" t="str">
        <f>IF(
   Sales_Performance[[#This Row],[Date]] = _xlfn.MINIFS(Sales_Performance[Date],Sales_Performance[Customer ID],Sales_Performance[[#This Row],[Customer ID]]),
   "New Customer",
   "Returning Customer"
)</f>
        <v>New Customer</v>
      </c>
    </row>
    <row r="682" spans="1:10" x14ac:dyDescent="0.35">
      <c r="A682" t="s">
        <v>163</v>
      </c>
      <c r="B682" s="1">
        <v>45230</v>
      </c>
      <c r="C682" t="s">
        <v>1190</v>
      </c>
      <c r="D682" t="s">
        <v>15</v>
      </c>
      <c r="E682">
        <v>26</v>
      </c>
      <c r="F682" t="s">
        <v>11</v>
      </c>
      <c r="G682">
        <v>3</v>
      </c>
      <c r="H682" s="2">
        <v>500</v>
      </c>
      <c r="I682" s="2">
        <v>1500</v>
      </c>
      <c r="J682" s="1" t="str">
        <f>IF(
   Sales_Performance[[#This Row],[Date]] = _xlfn.MINIFS(Sales_Performance[Date],Sales_Performance[Customer ID],Sales_Performance[[#This Row],[Customer ID]]),
   "New Customer",
   "Returning Customer"
)</f>
        <v>Returning Customer</v>
      </c>
    </row>
    <row r="683" spans="1:10" x14ac:dyDescent="0.35">
      <c r="A683" t="s">
        <v>1303</v>
      </c>
      <c r="B683" s="1">
        <v>45215</v>
      </c>
      <c r="C683" t="s">
        <v>571</v>
      </c>
      <c r="D683" t="s">
        <v>10</v>
      </c>
      <c r="E683">
        <v>26</v>
      </c>
      <c r="F683" t="s">
        <v>11</v>
      </c>
      <c r="G683">
        <v>3</v>
      </c>
      <c r="H683" s="2">
        <v>500</v>
      </c>
      <c r="I683" s="2">
        <v>1500</v>
      </c>
      <c r="J683" s="1" t="str">
        <f>IF(
   Sales_Performance[[#This Row],[Date]] = _xlfn.MINIFS(Sales_Performance[Date],Sales_Performance[Customer ID],Sales_Performance[[#This Row],[Customer ID]]),
   "New Customer",
   "Returning Customer"
)</f>
        <v>New Customer</v>
      </c>
    </row>
    <row r="684" spans="1:10" x14ac:dyDescent="0.35">
      <c r="A684" t="s">
        <v>1218</v>
      </c>
      <c r="B684" s="1">
        <v>45266</v>
      </c>
      <c r="C684" t="s">
        <v>1094</v>
      </c>
      <c r="D684" t="s">
        <v>15</v>
      </c>
      <c r="E684">
        <v>57</v>
      </c>
      <c r="F684" t="s">
        <v>18</v>
      </c>
      <c r="G684">
        <v>2</v>
      </c>
      <c r="H684" s="2">
        <v>25</v>
      </c>
      <c r="I684" s="2">
        <v>50</v>
      </c>
      <c r="J684" s="1" t="str">
        <f>IF(
   Sales_Performance[[#This Row],[Date]] = _xlfn.MINIFS(Sales_Performance[Date],Sales_Performance[Customer ID],Sales_Performance[[#This Row],[Customer ID]]),
   "New Customer",
   "Returning Customer"
)</f>
        <v>Returning Customer</v>
      </c>
    </row>
    <row r="685" spans="1:10" x14ac:dyDescent="0.35">
      <c r="A685" t="s">
        <v>649</v>
      </c>
      <c r="B685" s="1">
        <v>44940</v>
      </c>
      <c r="C685" t="s">
        <v>211</v>
      </c>
      <c r="D685" t="s">
        <v>10</v>
      </c>
      <c r="E685">
        <v>34</v>
      </c>
      <c r="F685" t="s">
        <v>18</v>
      </c>
      <c r="G685">
        <v>3</v>
      </c>
      <c r="H685" s="2">
        <v>25</v>
      </c>
      <c r="I685" s="2">
        <v>75</v>
      </c>
      <c r="J685" s="1" t="str">
        <f>IF(
   Sales_Performance[[#This Row],[Date]] = _xlfn.MINIFS(Sales_Performance[Date],Sales_Performance[Customer ID],Sales_Performance[[#This Row],[Customer ID]]),
   "New Customer",
   "Returning Customer"
)</f>
        <v>Returning Customer</v>
      </c>
    </row>
    <row r="686" spans="1:10" x14ac:dyDescent="0.35">
      <c r="A686" t="s">
        <v>197</v>
      </c>
      <c r="B686" s="1">
        <v>44969</v>
      </c>
      <c r="C686" t="s">
        <v>179</v>
      </c>
      <c r="D686" t="s">
        <v>15</v>
      </c>
      <c r="E686">
        <v>18</v>
      </c>
      <c r="F686" t="s">
        <v>16</v>
      </c>
      <c r="G686">
        <v>1</v>
      </c>
      <c r="H686" s="2">
        <v>500</v>
      </c>
      <c r="I686" s="2">
        <v>500</v>
      </c>
      <c r="J686" s="1" t="str">
        <f>IF(
   Sales_Performance[[#This Row],[Date]] = _xlfn.MINIFS(Sales_Performance[Date],Sales_Performance[Customer ID],Sales_Performance[[#This Row],[Customer ID]]),
   "New Customer",
   "Returning Customer"
)</f>
        <v>New Customer</v>
      </c>
    </row>
    <row r="687" spans="1:10" x14ac:dyDescent="0.35">
      <c r="A687" t="s">
        <v>400</v>
      </c>
      <c r="B687" s="1">
        <v>45256</v>
      </c>
      <c r="C687" t="s">
        <v>842</v>
      </c>
      <c r="D687" t="s">
        <v>15</v>
      </c>
      <c r="E687">
        <v>42</v>
      </c>
      <c r="F687" t="s">
        <v>18</v>
      </c>
      <c r="G687">
        <v>4</v>
      </c>
      <c r="H687" s="2">
        <v>25</v>
      </c>
      <c r="I687" s="2">
        <v>100</v>
      </c>
      <c r="J687" s="1" t="str">
        <f>IF(
   Sales_Performance[[#This Row],[Date]] = _xlfn.MINIFS(Sales_Performance[Date],Sales_Performance[Customer ID],Sales_Performance[[#This Row],[Customer ID]]),
   "New Customer",
   "Returning Customer"
)</f>
        <v>Returning Customer</v>
      </c>
    </row>
    <row r="688" spans="1:10" x14ac:dyDescent="0.35">
      <c r="A688" t="s">
        <v>1022</v>
      </c>
      <c r="B688" s="1">
        <v>45146</v>
      </c>
      <c r="C688" t="s">
        <v>74</v>
      </c>
      <c r="D688" t="s">
        <v>15</v>
      </c>
      <c r="E688">
        <v>60</v>
      </c>
      <c r="F688" t="s">
        <v>16</v>
      </c>
      <c r="G688">
        <v>4</v>
      </c>
      <c r="H688" s="2">
        <v>300</v>
      </c>
      <c r="I688" s="2">
        <v>1200</v>
      </c>
      <c r="J688" s="1" t="str">
        <f>IF(
   Sales_Performance[[#This Row],[Date]] = _xlfn.MINIFS(Sales_Performance[Date],Sales_Performance[Customer ID],Sales_Performance[[#This Row],[Customer ID]]),
   "New Customer",
   "Returning Customer"
)</f>
        <v>Returning Customer</v>
      </c>
    </row>
    <row r="689" spans="1:10" x14ac:dyDescent="0.35">
      <c r="A689" t="s">
        <v>159</v>
      </c>
      <c r="B689" s="1">
        <v>44996</v>
      </c>
      <c r="C689" t="s">
        <v>1398</v>
      </c>
      <c r="D689" t="s">
        <v>10</v>
      </c>
      <c r="E689">
        <v>57</v>
      </c>
      <c r="F689" t="s">
        <v>16</v>
      </c>
      <c r="G689">
        <v>1</v>
      </c>
      <c r="H689" s="2">
        <v>500</v>
      </c>
      <c r="I689" s="2">
        <v>500</v>
      </c>
      <c r="J689" s="1" t="str">
        <f>IF(
   Sales_Performance[[#This Row],[Date]] = _xlfn.MINIFS(Sales_Performance[Date],Sales_Performance[Customer ID],Sales_Performance[[#This Row],[Customer ID]]),
   "New Customer",
   "Returning Customer"
)</f>
        <v>New Customer</v>
      </c>
    </row>
    <row r="690" spans="1:10" x14ac:dyDescent="0.35">
      <c r="A690" t="s">
        <v>903</v>
      </c>
      <c r="B690" s="1">
        <v>45163</v>
      </c>
      <c r="C690" t="s">
        <v>1064</v>
      </c>
      <c r="D690" t="s">
        <v>15</v>
      </c>
      <c r="E690">
        <v>59</v>
      </c>
      <c r="F690" t="s">
        <v>18</v>
      </c>
      <c r="G690">
        <v>3</v>
      </c>
      <c r="H690" s="2">
        <v>25</v>
      </c>
      <c r="I690" s="2">
        <v>75</v>
      </c>
      <c r="J690" s="1" t="str">
        <f>IF(
   Sales_Performance[[#This Row],[Date]] = _xlfn.MINIFS(Sales_Performance[Date],Sales_Performance[Customer ID],Sales_Performance[[#This Row],[Customer ID]]),
   "New Customer",
   "Returning Customer"
)</f>
        <v>Returning Customer</v>
      </c>
    </row>
    <row r="691" spans="1:10" x14ac:dyDescent="0.35">
      <c r="A691" t="s">
        <v>543</v>
      </c>
      <c r="B691" s="1">
        <v>45020</v>
      </c>
      <c r="C691" t="s">
        <v>557</v>
      </c>
      <c r="D691" t="s">
        <v>15</v>
      </c>
      <c r="E691">
        <v>42</v>
      </c>
      <c r="F691" t="s">
        <v>16</v>
      </c>
      <c r="G691">
        <v>2</v>
      </c>
      <c r="H691" s="2">
        <v>30</v>
      </c>
      <c r="I691" s="2">
        <v>60</v>
      </c>
      <c r="J691" s="1" t="str">
        <f>IF(
   Sales_Performance[[#This Row],[Date]] = _xlfn.MINIFS(Sales_Performance[Date],Sales_Performance[Customer ID],Sales_Performance[[#This Row],[Customer ID]]),
   "New Customer",
   "Returning Customer"
)</f>
        <v>New Customer</v>
      </c>
    </row>
    <row r="692" spans="1:10" x14ac:dyDescent="0.35">
      <c r="A692" t="s">
        <v>477</v>
      </c>
      <c r="B692" s="1">
        <v>45069</v>
      </c>
      <c r="C692" t="s">
        <v>1224</v>
      </c>
      <c r="D692" t="s">
        <v>15</v>
      </c>
      <c r="E692">
        <v>20</v>
      </c>
      <c r="F692" t="s">
        <v>11</v>
      </c>
      <c r="G692">
        <v>4</v>
      </c>
      <c r="H692" s="2">
        <v>500</v>
      </c>
      <c r="I692" s="2">
        <v>2000</v>
      </c>
      <c r="J692" s="1" t="str">
        <f>IF(
   Sales_Performance[[#This Row],[Date]] = _xlfn.MINIFS(Sales_Performance[Date],Sales_Performance[Customer ID],Sales_Performance[[#This Row],[Customer ID]]),
   "New Customer",
   "Returning Customer"
)</f>
        <v>Returning Customer</v>
      </c>
    </row>
    <row r="693" spans="1:10" x14ac:dyDescent="0.35">
      <c r="A693" t="s">
        <v>1039</v>
      </c>
      <c r="B693" s="1">
        <v>44952</v>
      </c>
      <c r="C693" t="s">
        <v>142</v>
      </c>
      <c r="D693" t="s">
        <v>15</v>
      </c>
      <c r="E693">
        <v>56</v>
      </c>
      <c r="F693" t="s">
        <v>18</v>
      </c>
      <c r="G693">
        <v>3</v>
      </c>
      <c r="H693" s="2">
        <v>500</v>
      </c>
      <c r="I693" s="2">
        <v>1500</v>
      </c>
      <c r="J693" s="1" t="str">
        <f>IF(
   Sales_Performance[[#This Row],[Date]] = _xlfn.MINIFS(Sales_Performance[Date],Sales_Performance[Customer ID],Sales_Performance[[#This Row],[Customer ID]]),
   "New Customer",
   "Returning Customer"
)</f>
        <v>New Customer</v>
      </c>
    </row>
    <row r="694" spans="1:10" x14ac:dyDescent="0.35">
      <c r="A694" t="s">
        <v>766</v>
      </c>
      <c r="B694" s="1">
        <v>45060</v>
      </c>
      <c r="C694" t="s">
        <v>525</v>
      </c>
      <c r="D694" t="s">
        <v>15</v>
      </c>
      <c r="E694">
        <v>52</v>
      </c>
      <c r="F694" t="s">
        <v>16</v>
      </c>
      <c r="G694">
        <v>1</v>
      </c>
      <c r="H694" s="2">
        <v>500</v>
      </c>
      <c r="I694" s="2">
        <v>500</v>
      </c>
      <c r="J694" s="1" t="str">
        <f>IF(
   Sales_Performance[[#This Row],[Date]] = _xlfn.MINIFS(Sales_Performance[Date],Sales_Performance[Customer ID],Sales_Performance[[#This Row],[Customer ID]]),
   "New Customer",
   "Returning Customer"
)</f>
        <v>New Customer</v>
      </c>
    </row>
    <row r="695" spans="1:10" x14ac:dyDescent="0.35">
      <c r="A695" t="s">
        <v>1299</v>
      </c>
      <c r="B695" s="1">
        <v>45121</v>
      </c>
      <c r="C695" t="s">
        <v>344</v>
      </c>
      <c r="D695" t="s">
        <v>10</v>
      </c>
      <c r="E695">
        <v>20</v>
      </c>
      <c r="F695" t="s">
        <v>18</v>
      </c>
      <c r="G695">
        <v>3</v>
      </c>
      <c r="H695" s="2">
        <v>300</v>
      </c>
      <c r="I695" s="2">
        <v>900</v>
      </c>
      <c r="J695" s="1" t="str">
        <f>IF(
   Sales_Performance[[#This Row],[Date]] = _xlfn.MINIFS(Sales_Performance[Date],Sales_Performance[Customer ID],Sales_Performance[[#This Row],[Customer ID]]),
   "New Customer",
   "Returning Customer"
)</f>
        <v>Returning Customer</v>
      </c>
    </row>
    <row r="696" spans="1:10" x14ac:dyDescent="0.35">
      <c r="A696" t="s">
        <v>156</v>
      </c>
      <c r="B696" s="1">
        <v>45094</v>
      </c>
      <c r="C696" t="s">
        <v>823</v>
      </c>
      <c r="D696" t="s">
        <v>15</v>
      </c>
      <c r="E696">
        <v>54</v>
      </c>
      <c r="F696" t="s">
        <v>18</v>
      </c>
      <c r="G696">
        <v>4</v>
      </c>
      <c r="H696" s="2">
        <v>50</v>
      </c>
      <c r="I696" s="2">
        <v>200</v>
      </c>
      <c r="J696" s="1" t="str">
        <f>IF(
   Sales_Performance[[#This Row],[Date]] = _xlfn.MINIFS(Sales_Performance[Date],Sales_Performance[Customer ID],Sales_Performance[[#This Row],[Customer ID]]),
   "New Customer",
   "Returning Customer"
)</f>
        <v>Returning Customer</v>
      </c>
    </row>
    <row r="697" spans="1:10" x14ac:dyDescent="0.35">
      <c r="A697" t="s">
        <v>492</v>
      </c>
      <c r="B697" s="1">
        <v>45035</v>
      </c>
      <c r="C697" t="s">
        <v>1170</v>
      </c>
      <c r="D697" t="s">
        <v>10</v>
      </c>
      <c r="E697">
        <v>61</v>
      </c>
      <c r="F697" t="s">
        <v>16</v>
      </c>
      <c r="G697">
        <v>3</v>
      </c>
      <c r="H697" s="2">
        <v>50</v>
      </c>
      <c r="I697" s="2">
        <v>150</v>
      </c>
      <c r="J697" s="1" t="str">
        <f>IF(
   Sales_Performance[[#This Row],[Date]] = _xlfn.MINIFS(Sales_Performance[Date],Sales_Performance[Customer ID],Sales_Performance[[#This Row],[Customer ID]]),
   "New Customer",
   "Returning Customer"
)</f>
        <v>New Customer</v>
      </c>
    </row>
    <row r="698" spans="1:10" x14ac:dyDescent="0.35">
      <c r="A698" t="s">
        <v>364</v>
      </c>
      <c r="B698" s="1">
        <v>45159</v>
      </c>
      <c r="C698" t="s">
        <v>1000</v>
      </c>
      <c r="D698" t="s">
        <v>10</v>
      </c>
      <c r="E698">
        <v>61</v>
      </c>
      <c r="F698" t="s">
        <v>11</v>
      </c>
      <c r="G698">
        <v>1</v>
      </c>
      <c r="H698" s="2">
        <v>300</v>
      </c>
      <c r="I698" s="2">
        <v>300</v>
      </c>
      <c r="J698" s="1" t="str">
        <f>IF(
   Sales_Performance[[#This Row],[Date]] = _xlfn.MINIFS(Sales_Performance[Date],Sales_Performance[Customer ID],Sales_Performance[[#This Row],[Customer ID]]),
   "New Customer",
   "Returning Customer"
)</f>
        <v>Returning Customer</v>
      </c>
    </row>
    <row r="699" spans="1:10" x14ac:dyDescent="0.35">
      <c r="A699" t="s">
        <v>36</v>
      </c>
      <c r="B699" s="1">
        <v>45094</v>
      </c>
      <c r="C699" t="s">
        <v>89</v>
      </c>
      <c r="D699" t="s">
        <v>10</v>
      </c>
      <c r="E699">
        <v>47</v>
      </c>
      <c r="F699" t="s">
        <v>16</v>
      </c>
      <c r="G699">
        <v>4</v>
      </c>
      <c r="H699" s="2">
        <v>300</v>
      </c>
      <c r="I699" s="2">
        <v>1200</v>
      </c>
      <c r="J699" s="1" t="str">
        <f>IF(
   Sales_Performance[[#This Row],[Date]] = _xlfn.MINIFS(Sales_Performance[Date],Sales_Performance[Customer ID],Sales_Performance[[#This Row],[Customer ID]]),
   "New Customer",
   "Returning Customer"
)</f>
        <v>New Customer</v>
      </c>
    </row>
    <row r="700" spans="1:10" x14ac:dyDescent="0.35">
      <c r="A700" t="s">
        <v>1281</v>
      </c>
      <c r="B700" s="1">
        <v>45099</v>
      </c>
      <c r="C700" t="s">
        <v>496</v>
      </c>
      <c r="D700" t="s">
        <v>10</v>
      </c>
      <c r="E700">
        <v>55</v>
      </c>
      <c r="F700" t="s">
        <v>18</v>
      </c>
      <c r="G700">
        <v>3</v>
      </c>
      <c r="H700" s="2">
        <v>300</v>
      </c>
      <c r="I700" s="2">
        <v>900</v>
      </c>
      <c r="J700" s="1" t="str">
        <f>IF(
   Sales_Performance[[#This Row],[Date]] = _xlfn.MINIFS(Sales_Performance[Date],Sales_Performance[Customer ID],Sales_Performance[[#This Row],[Customer ID]]),
   "New Customer",
   "Returning Customer"
)</f>
        <v>Returning Customer</v>
      </c>
    </row>
    <row r="701" spans="1:10" x14ac:dyDescent="0.35">
      <c r="A701" t="s">
        <v>1202</v>
      </c>
      <c r="B701" s="1">
        <v>45121</v>
      </c>
      <c r="C701" t="s">
        <v>114</v>
      </c>
      <c r="D701" t="s">
        <v>10</v>
      </c>
      <c r="E701">
        <v>51</v>
      </c>
      <c r="F701" t="s">
        <v>11</v>
      </c>
      <c r="G701">
        <v>3</v>
      </c>
      <c r="H701" s="2">
        <v>50</v>
      </c>
      <c r="I701" s="2">
        <v>150</v>
      </c>
      <c r="J701" s="1" t="str">
        <f>IF(
   Sales_Performance[[#This Row],[Date]] = _xlfn.MINIFS(Sales_Performance[Date],Sales_Performance[Customer ID],Sales_Performance[[#This Row],[Customer ID]]),
   "New Customer",
   "Returning Customer"
)</f>
        <v>Returning Customer</v>
      </c>
    </row>
    <row r="702" spans="1:10" x14ac:dyDescent="0.35">
      <c r="A702" t="s">
        <v>666</v>
      </c>
      <c r="B702" s="1">
        <v>45069</v>
      </c>
      <c r="C702" t="s">
        <v>137</v>
      </c>
      <c r="D702" t="s">
        <v>10</v>
      </c>
      <c r="E702">
        <v>29</v>
      </c>
      <c r="F702" t="s">
        <v>16</v>
      </c>
      <c r="G702">
        <v>4</v>
      </c>
      <c r="H702" s="2">
        <v>300</v>
      </c>
      <c r="I702" s="2">
        <v>1200</v>
      </c>
      <c r="J702" s="1" t="str">
        <f>IF(
   Sales_Performance[[#This Row],[Date]] = _xlfn.MINIFS(Sales_Performance[Date],Sales_Performance[Customer ID],Sales_Performance[[#This Row],[Customer ID]]),
   "New Customer",
   "Returning Customer"
)</f>
        <v>New Customer</v>
      </c>
    </row>
    <row r="703" spans="1:10" x14ac:dyDescent="0.35">
      <c r="A703" t="s">
        <v>1425</v>
      </c>
      <c r="B703" s="1">
        <v>45159</v>
      </c>
      <c r="C703" t="s">
        <v>32</v>
      </c>
      <c r="D703" t="s">
        <v>10</v>
      </c>
      <c r="E703">
        <v>29</v>
      </c>
      <c r="F703" t="s">
        <v>11</v>
      </c>
      <c r="G703">
        <v>3</v>
      </c>
      <c r="H703" s="2">
        <v>30</v>
      </c>
      <c r="I703" s="2">
        <v>90</v>
      </c>
      <c r="J703" s="1" t="str">
        <f>IF(
   Sales_Performance[[#This Row],[Date]] = _xlfn.MINIFS(Sales_Performance[Date],Sales_Performance[Customer ID],Sales_Performance[[#This Row],[Customer ID]]),
   "New Customer",
   "Returning Customer"
)</f>
        <v>New Customer</v>
      </c>
    </row>
    <row r="704" spans="1:10" x14ac:dyDescent="0.35">
      <c r="A704" t="s">
        <v>151</v>
      </c>
      <c r="B704" s="1">
        <v>45142</v>
      </c>
      <c r="C704" t="s">
        <v>907</v>
      </c>
      <c r="D704" t="s">
        <v>15</v>
      </c>
      <c r="E704">
        <v>36</v>
      </c>
      <c r="F704" t="s">
        <v>16</v>
      </c>
      <c r="G704">
        <v>2</v>
      </c>
      <c r="H704" s="2">
        <v>25</v>
      </c>
      <c r="I704" s="2">
        <v>50</v>
      </c>
      <c r="J704" s="1" t="str">
        <f>IF(
   Sales_Performance[[#This Row],[Date]] = _xlfn.MINIFS(Sales_Performance[Date],Sales_Performance[Customer ID],Sales_Performance[[#This Row],[Customer ID]]),
   "New Customer",
   "Returning Customer"
)</f>
        <v>Returning Customer</v>
      </c>
    </row>
    <row r="705" spans="1:10" x14ac:dyDescent="0.35">
      <c r="A705" t="s">
        <v>1483</v>
      </c>
      <c r="B705" s="1">
        <v>45056</v>
      </c>
      <c r="C705" t="s">
        <v>1182</v>
      </c>
      <c r="D705" t="s">
        <v>10</v>
      </c>
      <c r="E705">
        <v>54</v>
      </c>
      <c r="F705" t="s">
        <v>16</v>
      </c>
      <c r="G705">
        <v>4</v>
      </c>
      <c r="H705" s="2">
        <v>500</v>
      </c>
      <c r="I705" s="2">
        <v>2000</v>
      </c>
      <c r="J705" s="1" t="str">
        <f>IF(
   Sales_Performance[[#This Row],[Date]] = _xlfn.MINIFS(Sales_Performance[Date],Sales_Performance[Customer ID],Sales_Performance[[#This Row],[Customer ID]]),
   "New Customer",
   "Returning Customer"
)</f>
        <v>Returning Customer</v>
      </c>
    </row>
    <row r="706" spans="1:10" x14ac:dyDescent="0.35">
      <c r="A706" t="s">
        <v>581</v>
      </c>
      <c r="B706" s="1">
        <v>44968</v>
      </c>
      <c r="C706" t="s">
        <v>1014</v>
      </c>
      <c r="D706" t="s">
        <v>10</v>
      </c>
      <c r="E706">
        <v>61</v>
      </c>
      <c r="F706" t="s">
        <v>11</v>
      </c>
      <c r="G706">
        <v>2</v>
      </c>
      <c r="H706" s="2">
        <v>500</v>
      </c>
      <c r="I706" s="2">
        <v>1000</v>
      </c>
      <c r="J706" s="1" t="str">
        <f>IF(
   Sales_Performance[[#This Row],[Date]] = _xlfn.MINIFS(Sales_Performance[Date],Sales_Performance[Customer ID],Sales_Performance[[#This Row],[Customer ID]]),
   "New Customer",
   "Returning Customer"
)</f>
        <v>New Customer</v>
      </c>
    </row>
    <row r="707" spans="1:10" x14ac:dyDescent="0.35">
      <c r="A707" t="s">
        <v>872</v>
      </c>
      <c r="B707" s="1">
        <v>45167</v>
      </c>
      <c r="C707" t="s">
        <v>717</v>
      </c>
      <c r="D707" t="s">
        <v>10</v>
      </c>
      <c r="E707">
        <v>34</v>
      </c>
      <c r="F707" t="s">
        <v>18</v>
      </c>
      <c r="G707">
        <v>1</v>
      </c>
      <c r="H707" s="2">
        <v>30</v>
      </c>
      <c r="I707" s="2">
        <v>30</v>
      </c>
      <c r="J707" s="1" t="str">
        <f>IF(
   Sales_Performance[[#This Row],[Date]] = _xlfn.MINIFS(Sales_Performance[Date],Sales_Performance[Customer ID],Sales_Performance[[#This Row],[Customer ID]]),
   "New Customer",
   "Returning Customer"
)</f>
        <v>New Customer</v>
      </c>
    </row>
    <row r="708" spans="1:10" x14ac:dyDescent="0.35">
      <c r="A708" t="s">
        <v>812</v>
      </c>
      <c r="B708" s="1">
        <v>44936</v>
      </c>
      <c r="C708" t="s">
        <v>801</v>
      </c>
      <c r="D708" t="s">
        <v>15</v>
      </c>
      <c r="E708">
        <v>27</v>
      </c>
      <c r="F708" t="s">
        <v>16</v>
      </c>
      <c r="G708">
        <v>1</v>
      </c>
      <c r="H708" s="2">
        <v>30</v>
      </c>
      <c r="I708" s="2">
        <v>30</v>
      </c>
      <c r="J708" s="1" t="str">
        <f>IF(
   Sales_Performance[[#This Row],[Date]] = _xlfn.MINIFS(Sales_Performance[Date],Sales_Performance[Customer ID],Sales_Performance[[#This Row],[Customer ID]]),
   "New Customer",
   "Returning Customer"
)</f>
        <v>New Customer</v>
      </c>
    </row>
    <row r="709" spans="1:10" x14ac:dyDescent="0.35">
      <c r="A709" t="s">
        <v>150</v>
      </c>
      <c r="B709" s="1">
        <v>45203</v>
      </c>
      <c r="C709" t="s">
        <v>1231</v>
      </c>
      <c r="D709" t="s">
        <v>15</v>
      </c>
      <c r="E709">
        <v>64</v>
      </c>
      <c r="F709" t="s">
        <v>16</v>
      </c>
      <c r="G709">
        <v>4</v>
      </c>
      <c r="H709" s="2">
        <v>500</v>
      </c>
      <c r="I709" s="2">
        <v>2000</v>
      </c>
      <c r="J709" s="1" t="str">
        <f>IF(
   Sales_Performance[[#This Row],[Date]] = _xlfn.MINIFS(Sales_Performance[Date],Sales_Performance[Customer ID],Sales_Performance[[#This Row],[Customer ID]]),
   "New Customer",
   "Returning Customer"
)</f>
        <v>Returning Customer</v>
      </c>
    </row>
    <row r="710" spans="1:10" x14ac:dyDescent="0.35">
      <c r="A710" t="s">
        <v>1108</v>
      </c>
      <c r="B710" s="1">
        <v>44953</v>
      </c>
      <c r="C710" t="s">
        <v>28</v>
      </c>
      <c r="D710" t="s">
        <v>10</v>
      </c>
      <c r="E710">
        <v>29</v>
      </c>
      <c r="F710" t="s">
        <v>16</v>
      </c>
      <c r="G710">
        <v>4</v>
      </c>
      <c r="H710" s="2">
        <v>25</v>
      </c>
      <c r="I710" s="2">
        <v>100</v>
      </c>
      <c r="J710" s="1" t="str">
        <f>IF(
   Sales_Performance[[#This Row],[Date]] = _xlfn.MINIFS(Sales_Performance[Date],Sales_Performance[Customer ID],Sales_Performance[[#This Row],[Customer ID]]),
   "New Customer",
   "Returning Customer"
)</f>
        <v>New Customer</v>
      </c>
    </row>
    <row r="711" spans="1:10" x14ac:dyDescent="0.35">
      <c r="A711" t="s">
        <v>148</v>
      </c>
      <c r="B711" s="1">
        <v>45106</v>
      </c>
      <c r="C711" t="s">
        <v>1364</v>
      </c>
      <c r="D711" t="s">
        <v>15</v>
      </c>
      <c r="E711">
        <v>33</v>
      </c>
      <c r="F711" t="s">
        <v>16</v>
      </c>
      <c r="G711">
        <v>1</v>
      </c>
      <c r="H711" s="2">
        <v>50</v>
      </c>
      <c r="I711" s="2">
        <v>50</v>
      </c>
      <c r="J711" s="1" t="str">
        <f>IF(
   Sales_Performance[[#This Row],[Date]] = _xlfn.MINIFS(Sales_Performance[Date],Sales_Performance[Customer ID],Sales_Performance[[#This Row],[Customer ID]]),
   "New Customer",
   "Returning Customer"
)</f>
        <v>New Customer</v>
      </c>
    </row>
    <row r="712" spans="1:10" x14ac:dyDescent="0.35">
      <c r="A712" t="s">
        <v>224</v>
      </c>
      <c r="B712" s="1">
        <v>45041</v>
      </c>
      <c r="C712" t="s">
        <v>340</v>
      </c>
      <c r="D712" t="s">
        <v>10</v>
      </c>
      <c r="E712">
        <v>41</v>
      </c>
      <c r="F712" t="s">
        <v>16</v>
      </c>
      <c r="G712">
        <v>2</v>
      </c>
      <c r="H712" s="2">
        <v>50</v>
      </c>
      <c r="I712" s="2">
        <v>100</v>
      </c>
      <c r="J712" s="1" t="str">
        <f>IF(
   Sales_Performance[[#This Row],[Date]] = _xlfn.MINIFS(Sales_Performance[Date],Sales_Performance[Customer ID],Sales_Performance[[#This Row],[Customer ID]]),
   "New Customer",
   "Returning Customer"
)</f>
        <v>New Customer</v>
      </c>
    </row>
    <row r="713" spans="1:10" x14ac:dyDescent="0.35">
      <c r="A713" t="s">
        <v>1280</v>
      </c>
      <c r="B713" s="1">
        <v>45259</v>
      </c>
      <c r="C713" t="s">
        <v>1017</v>
      </c>
      <c r="D713" t="s">
        <v>10</v>
      </c>
      <c r="E713">
        <v>36</v>
      </c>
      <c r="F713" t="s">
        <v>18</v>
      </c>
      <c r="G713">
        <v>1</v>
      </c>
      <c r="H713" s="2">
        <v>25</v>
      </c>
      <c r="I713" s="2">
        <v>25</v>
      </c>
      <c r="J713" s="1" t="str">
        <f>IF(
   Sales_Performance[[#This Row],[Date]] = _xlfn.MINIFS(Sales_Performance[Date],Sales_Performance[Customer ID],Sales_Performance[[#This Row],[Customer ID]]),
   "New Customer",
   "Returning Customer"
)</f>
        <v>Returning Customer</v>
      </c>
    </row>
    <row r="714" spans="1:10" x14ac:dyDescent="0.35">
      <c r="A714" t="s">
        <v>1016</v>
      </c>
      <c r="B714" s="1">
        <v>45252</v>
      </c>
      <c r="C714" t="s">
        <v>213</v>
      </c>
      <c r="D714" t="s">
        <v>15</v>
      </c>
      <c r="E714">
        <v>18</v>
      </c>
      <c r="F714" t="s">
        <v>18</v>
      </c>
      <c r="G714">
        <v>4</v>
      </c>
      <c r="H714" s="2">
        <v>500</v>
      </c>
      <c r="I714" s="2">
        <v>2000</v>
      </c>
      <c r="J714" s="1" t="str">
        <f>IF(
   Sales_Performance[[#This Row],[Date]] = _xlfn.MINIFS(Sales_Performance[Date],Sales_Performance[Customer ID],Sales_Performance[[#This Row],[Customer ID]]),
   "New Customer",
   "Returning Customer"
)</f>
        <v>Returning Customer</v>
      </c>
    </row>
    <row r="715" spans="1:10" x14ac:dyDescent="0.35">
      <c r="A715" t="s">
        <v>588</v>
      </c>
      <c r="B715" s="1">
        <v>44962</v>
      </c>
      <c r="C715" t="s">
        <v>147</v>
      </c>
      <c r="D715" t="s">
        <v>15</v>
      </c>
      <c r="E715">
        <v>25</v>
      </c>
      <c r="F715" t="s">
        <v>18</v>
      </c>
      <c r="G715">
        <v>4</v>
      </c>
      <c r="H715" s="2">
        <v>50</v>
      </c>
      <c r="I715" s="2">
        <v>200</v>
      </c>
      <c r="J715" s="1" t="str">
        <f>IF(
   Sales_Performance[[#This Row],[Date]] = _xlfn.MINIFS(Sales_Performance[Date],Sales_Performance[Customer ID],Sales_Performance[[#This Row],[Customer ID]]),
   "New Customer",
   "Returning Customer"
)</f>
        <v>New Customer</v>
      </c>
    </row>
    <row r="716" spans="1:10" x14ac:dyDescent="0.35">
      <c r="A716" t="s">
        <v>205</v>
      </c>
      <c r="B716" s="1">
        <v>45260</v>
      </c>
      <c r="C716" t="s">
        <v>709</v>
      </c>
      <c r="D716" t="s">
        <v>10</v>
      </c>
      <c r="E716">
        <v>48</v>
      </c>
      <c r="F716" t="s">
        <v>16</v>
      </c>
      <c r="G716">
        <v>1</v>
      </c>
      <c r="H716" s="2">
        <v>300</v>
      </c>
      <c r="I716" s="2">
        <v>300</v>
      </c>
      <c r="J716" s="1" t="str">
        <f>IF(
   Sales_Performance[[#This Row],[Date]] = _xlfn.MINIFS(Sales_Performance[Date],Sales_Performance[Customer ID],Sales_Performance[[#This Row],[Customer ID]]),
   "New Customer",
   "Returning Customer"
)</f>
        <v>Returning Customer</v>
      </c>
    </row>
    <row r="717" spans="1:10" x14ac:dyDescent="0.35">
      <c r="A717" t="s">
        <v>1371</v>
      </c>
      <c r="B717" s="1">
        <v>44947</v>
      </c>
      <c r="C717" t="s">
        <v>64</v>
      </c>
      <c r="D717" t="s">
        <v>15</v>
      </c>
      <c r="E717">
        <v>38</v>
      </c>
      <c r="F717" t="s">
        <v>11</v>
      </c>
      <c r="G717">
        <v>4</v>
      </c>
      <c r="H717" s="2">
        <v>500</v>
      </c>
      <c r="I717" s="2">
        <v>2000</v>
      </c>
      <c r="J717" s="1" t="str">
        <f>IF(
   Sales_Performance[[#This Row],[Date]] = _xlfn.MINIFS(Sales_Performance[Date],Sales_Performance[Customer ID],Sales_Performance[[#This Row],[Customer ID]]),
   "New Customer",
   "Returning Customer"
)</f>
        <v>New Customer</v>
      </c>
    </row>
    <row r="718" spans="1:10" x14ac:dyDescent="0.35">
      <c r="A718" t="s">
        <v>206</v>
      </c>
      <c r="B718" s="1">
        <v>44942</v>
      </c>
      <c r="C718" t="s">
        <v>1462</v>
      </c>
      <c r="D718" t="s">
        <v>15</v>
      </c>
      <c r="E718">
        <v>34</v>
      </c>
      <c r="F718" t="s">
        <v>18</v>
      </c>
      <c r="G718">
        <v>4</v>
      </c>
      <c r="H718" s="2">
        <v>500</v>
      </c>
      <c r="I718" s="2">
        <v>2000</v>
      </c>
      <c r="J718" s="1" t="str">
        <f>IF(
   Sales_Performance[[#This Row],[Date]] = _xlfn.MINIFS(Sales_Performance[Date],Sales_Performance[Customer ID],Sales_Performance[[#This Row],[Customer ID]]),
   "New Customer",
   "Returning Customer"
)</f>
        <v>New Customer</v>
      </c>
    </row>
    <row r="719" spans="1:10" x14ac:dyDescent="0.35">
      <c r="A719" t="s">
        <v>513</v>
      </c>
      <c r="B719" s="1">
        <v>45053</v>
      </c>
      <c r="C719" t="s">
        <v>1186</v>
      </c>
      <c r="D719" t="s">
        <v>10</v>
      </c>
      <c r="E719">
        <v>40</v>
      </c>
      <c r="F719" t="s">
        <v>11</v>
      </c>
      <c r="G719">
        <v>1</v>
      </c>
      <c r="H719" s="2">
        <v>25</v>
      </c>
      <c r="I719" s="2">
        <v>25</v>
      </c>
      <c r="J719" s="1" t="str">
        <f>IF(
   Sales_Performance[[#This Row],[Date]] = _xlfn.MINIFS(Sales_Performance[Date],Sales_Performance[Customer ID],Sales_Performance[[#This Row],[Customer ID]]),
   "New Customer",
   "Returning Customer"
)</f>
        <v>New Customer</v>
      </c>
    </row>
    <row r="720" spans="1:10" x14ac:dyDescent="0.35">
      <c r="A720" t="s">
        <v>17</v>
      </c>
      <c r="B720" s="1">
        <v>45029</v>
      </c>
      <c r="C720" t="s">
        <v>658</v>
      </c>
      <c r="D720" t="s">
        <v>10</v>
      </c>
      <c r="E720">
        <v>54</v>
      </c>
      <c r="F720" t="s">
        <v>18</v>
      </c>
      <c r="G720">
        <v>2</v>
      </c>
      <c r="H720" s="2">
        <v>50</v>
      </c>
      <c r="I720" s="2">
        <v>100</v>
      </c>
      <c r="J720" s="1" t="str">
        <f>IF(
   Sales_Performance[[#This Row],[Date]] = _xlfn.MINIFS(Sales_Performance[Date],Sales_Performance[Customer ID],Sales_Performance[[#This Row],[Customer ID]]),
   "New Customer",
   "Returning Customer"
)</f>
        <v>Returning Customer</v>
      </c>
    </row>
    <row r="721" spans="1:10" x14ac:dyDescent="0.35">
      <c r="A721" t="s">
        <v>1405</v>
      </c>
      <c r="B721" s="1">
        <v>44937</v>
      </c>
      <c r="C721" t="s">
        <v>918</v>
      </c>
      <c r="D721" t="s">
        <v>15</v>
      </c>
      <c r="E721">
        <v>33</v>
      </c>
      <c r="F721" t="s">
        <v>16</v>
      </c>
      <c r="G721">
        <v>3</v>
      </c>
      <c r="H721" s="2">
        <v>30</v>
      </c>
      <c r="I721" s="2">
        <v>90</v>
      </c>
      <c r="J721" s="1" t="str">
        <f>IF(
   Sales_Performance[[#This Row],[Date]] = _xlfn.MINIFS(Sales_Performance[Date],Sales_Performance[Customer ID],Sales_Performance[[#This Row],[Customer ID]]),
   "New Customer",
   "Returning Customer"
)</f>
        <v>New Customer</v>
      </c>
    </row>
    <row r="722" spans="1:10" x14ac:dyDescent="0.35">
      <c r="A722" t="s">
        <v>276</v>
      </c>
      <c r="B722" s="1">
        <v>45245</v>
      </c>
      <c r="C722" t="s">
        <v>869</v>
      </c>
      <c r="D722" t="s">
        <v>10</v>
      </c>
      <c r="E722">
        <v>23</v>
      </c>
      <c r="F722" t="s">
        <v>18</v>
      </c>
      <c r="G722">
        <v>1</v>
      </c>
      <c r="H722" s="2">
        <v>30</v>
      </c>
      <c r="I722" s="2">
        <v>30</v>
      </c>
      <c r="J722" s="1" t="str">
        <f>IF(
   Sales_Performance[[#This Row],[Date]] = _xlfn.MINIFS(Sales_Performance[Date],Sales_Performance[Customer ID],Sales_Performance[[#This Row],[Customer ID]]),
   "New Customer",
   "Returning Customer"
)</f>
        <v>New Customer</v>
      </c>
    </row>
    <row r="723" spans="1:10" x14ac:dyDescent="0.35">
      <c r="A723" t="s">
        <v>442</v>
      </c>
      <c r="B723" s="1">
        <v>45005</v>
      </c>
      <c r="C723" t="s">
        <v>165</v>
      </c>
      <c r="D723" t="s">
        <v>10</v>
      </c>
      <c r="E723">
        <v>25</v>
      </c>
      <c r="F723" t="s">
        <v>16</v>
      </c>
      <c r="G723">
        <v>3</v>
      </c>
      <c r="H723" s="2">
        <v>50</v>
      </c>
      <c r="I723" s="2">
        <v>150</v>
      </c>
      <c r="J723" s="1" t="str">
        <f>IF(
   Sales_Performance[[#This Row],[Date]] = _xlfn.MINIFS(Sales_Performance[Date],Sales_Performance[Customer ID],Sales_Performance[[#This Row],[Customer ID]]),
   "New Customer",
   "Returning Customer"
)</f>
        <v>New Customer</v>
      </c>
    </row>
    <row r="724" spans="1:10" x14ac:dyDescent="0.35">
      <c r="A724" t="s">
        <v>1091</v>
      </c>
      <c r="B724" s="1">
        <v>45049</v>
      </c>
      <c r="C724" t="s">
        <v>1488</v>
      </c>
      <c r="D724" t="s">
        <v>10</v>
      </c>
      <c r="E724">
        <v>42</v>
      </c>
      <c r="F724" t="s">
        <v>18</v>
      </c>
      <c r="G724">
        <v>1</v>
      </c>
      <c r="H724" s="2">
        <v>30</v>
      </c>
      <c r="I724" s="2">
        <v>30</v>
      </c>
      <c r="J724" s="1" t="str">
        <f>IF(
   Sales_Performance[[#This Row],[Date]] = _xlfn.MINIFS(Sales_Performance[Date],Sales_Performance[Customer ID],Sales_Performance[[#This Row],[Customer ID]]),
   "New Customer",
   "Returning Customer"
)</f>
        <v>New Customer</v>
      </c>
    </row>
    <row r="725" spans="1:10" x14ac:dyDescent="0.35">
      <c r="A725" t="s">
        <v>308</v>
      </c>
      <c r="B725" s="1">
        <v>45113</v>
      </c>
      <c r="C725" t="s">
        <v>1290</v>
      </c>
      <c r="D725" t="s">
        <v>10</v>
      </c>
      <c r="E725">
        <v>61</v>
      </c>
      <c r="F725" t="s">
        <v>18</v>
      </c>
      <c r="G725">
        <v>4</v>
      </c>
      <c r="H725" s="2">
        <v>50</v>
      </c>
      <c r="I725" s="2">
        <v>200</v>
      </c>
      <c r="J725" s="1" t="str">
        <f>IF(
   Sales_Performance[[#This Row],[Date]] = _xlfn.MINIFS(Sales_Performance[Date],Sales_Performance[Customer ID],Sales_Performance[[#This Row],[Customer ID]]),
   "New Customer",
   "Returning Customer"
)</f>
        <v>New Customer</v>
      </c>
    </row>
    <row r="726" spans="1:10" x14ac:dyDescent="0.35">
      <c r="A726" t="s">
        <v>116</v>
      </c>
      <c r="B726" s="1">
        <v>44991</v>
      </c>
      <c r="C726" t="s">
        <v>905</v>
      </c>
      <c r="D726" t="s">
        <v>15</v>
      </c>
      <c r="E726">
        <v>35</v>
      </c>
      <c r="F726" t="s">
        <v>16</v>
      </c>
      <c r="G726">
        <v>3</v>
      </c>
      <c r="H726" s="2">
        <v>25</v>
      </c>
      <c r="I726" s="2">
        <v>75</v>
      </c>
      <c r="J726" s="1" t="str">
        <f>IF(
   Sales_Performance[[#This Row],[Date]] = _xlfn.MINIFS(Sales_Performance[Date],Sales_Performance[Customer ID],Sales_Performance[[#This Row],[Customer ID]]),
   "New Customer",
   "Returning Customer"
)</f>
        <v>New Customer</v>
      </c>
    </row>
    <row r="727" spans="1:10" x14ac:dyDescent="0.35">
      <c r="A727" t="s">
        <v>189</v>
      </c>
      <c r="B727" s="1">
        <v>45169</v>
      </c>
      <c r="C727" t="s">
        <v>1099</v>
      </c>
      <c r="D727" t="s">
        <v>15</v>
      </c>
      <c r="E727">
        <v>42</v>
      </c>
      <c r="F727" t="s">
        <v>16</v>
      </c>
      <c r="G727">
        <v>2</v>
      </c>
      <c r="H727" s="2">
        <v>25</v>
      </c>
      <c r="I727" s="2">
        <v>50</v>
      </c>
      <c r="J727" s="1" t="str">
        <f>IF(
   Sales_Performance[[#This Row],[Date]] = _xlfn.MINIFS(Sales_Performance[Date],Sales_Performance[Customer ID],Sales_Performance[[#This Row],[Customer ID]]),
   "New Customer",
   "Returning Customer"
)</f>
        <v>Returning Customer</v>
      </c>
    </row>
    <row r="728" spans="1:10" x14ac:dyDescent="0.35">
      <c r="A728" t="s">
        <v>1018</v>
      </c>
      <c r="B728" s="1">
        <v>45269</v>
      </c>
      <c r="C728" t="s">
        <v>1090</v>
      </c>
      <c r="D728" t="s">
        <v>10</v>
      </c>
      <c r="E728">
        <v>29</v>
      </c>
      <c r="F728" t="s">
        <v>16</v>
      </c>
      <c r="G728">
        <v>2</v>
      </c>
      <c r="H728" s="2">
        <v>50</v>
      </c>
      <c r="I728" s="2">
        <v>100</v>
      </c>
      <c r="J728" s="1" t="str">
        <f>IF(
   Sales_Performance[[#This Row],[Date]] = _xlfn.MINIFS(Sales_Performance[Date],Sales_Performance[Customer ID],Sales_Performance[[#This Row],[Customer ID]]),
   "New Customer",
   "Returning Customer"
)</f>
        <v>New Customer</v>
      </c>
    </row>
    <row r="729" spans="1:10" x14ac:dyDescent="0.35">
      <c r="A729" t="s">
        <v>676</v>
      </c>
      <c r="B729" s="1">
        <v>44985</v>
      </c>
      <c r="C729" t="s">
        <v>926</v>
      </c>
      <c r="D729" t="s">
        <v>15</v>
      </c>
      <c r="E729">
        <v>32</v>
      </c>
      <c r="F729" t="s">
        <v>16</v>
      </c>
      <c r="G729">
        <v>1</v>
      </c>
      <c r="H729" s="2">
        <v>30</v>
      </c>
      <c r="I729" s="2">
        <v>30</v>
      </c>
      <c r="J729" s="1" t="str">
        <f>IF(
   Sales_Performance[[#This Row],[Date]] = _xlfn.MINIFS(Sales_Performance[Date],Sales_Performance[Customer ID],Sales_Performance[[#This Row],[Customer ID]]),
   "New Customer",
   "Returning Customer"
)</f>
        <v>New Customer</v>
      </c>
    </row>
    <row r="730" spans="1:10" x14ac:dyDescent="0.35">
      <c r="A730" t="s">
        <v>1144</v>
      </c>
      <c r="B730" s="1">
        <v>45215</v>
      </c>
      <c r="C730" t="s">
        <v>416</v>
      </c>
      <c r="D730" t="s">
        <v>15</v>
      </c>
      <c r="E730">
        <v>43</v>
      </c>
      <c r="F730" t="s">
        <v>11</v>
      </c>
      <c r="G730">
        <v>4</v>
      </c>
      <c r="H730" s="2">
        <v>25</v>
      </c>
      <c r="I730" s="2">
        <v>100</v>
      </c>
      <c r="J730" s="1" t="str">
        <f>IF(
   Sales_Performance[[#This Row],[Date]] = _xlfn.MINIFS(Sales_Performance[Date],Sales_Performance[Customer ID],Sales_Performance[[#This Row],[Customer ID]]),
   "New Customer",
   "Returning Customer"
)</f>
        <v>Returning Customer</v>
      </c>
    </row>
    <row r="731" spans="1:10" x14ac:dyDescent="0.35">
      <c r="A731" t="s">
        <v>355</v>
      </c>
      <c r="B731" s="1">
        <v>45038</v>
      </c>
      <c r="C731" t="s">
        <v>658</v>
      </c>
      <c r="D731" t="s">
        <v>15</v>
      </c>
      <c r="E731">
        <v>58</v>
      </c>
      <c r="F731" t="s">
        <v>16</v>
      </c>
      <c r="G731">
        <v>3</v>
      </c>
      <c r="H731" s="2">
        <v>25</v>
      </c>
      <c r="I731" s="2">
        <v>75</v>
      </c>
      <c r="J731" s="1" t="str">
        <f>IF(
   Sales_Performance[[#This Row],[Date]] = _xlfn.MINIFS(Sales_Performance[Date],Sales_Performance[Customer ID],Sales_Performance[[#This Row],[Customer ID]]),
   "New Customer",
   "Returning Customer"
)</f>
        <v>Returning Customer</v>
      </c>
    </row>
    <row r="732" spans="1:10" x14ac:dyDescent="0.35">
      <c r="A732" t="s">
        <v>935</v>
      </c>
      <c r="B732" s="1">
        <v>45165</v>
      </c>
      <c r="C732" t="s">
        <v>1240</v>
      </c>
      <c r="D732" t="s">
        <v>15</v>
      </c>
      <c r="E732">
        <v>62</v>
      </c>
      <c r="F732" t="s">
        <v>11</v>
      </c>
      <c r="G732">
        <v>4</v>
      </c>
      <c r="H732" s="2">
        <v>300</v>
      </c>
      <c r="I732" s="2">
        <v>1200</v>
      </c>
      <c r="J732" s="1" t="str">
        <f>IF(
   Sales_Performance[[#This Row],[Date]] = _xlfn.MINIFS(Sales_Performance[Date],Sales_Performance[Customer ID],Sales_Performance[[#This Row],[Customer ID]]),
   "New Customer",
   "Returning Customer"
)</f>
        <v>Returning Customer</v>
      </c>
    </row>
    <row r="733" spans="1:10" x14ac:dyDescent="0.35">
      <c r="A733" t="s">
        <v>833</v>
      </c>
      <c r="B733" s="1">
        <v>45285</v>
      </c>
      <c r="C733" t="s">
        <v>375</v>
      </c>
      <c r="D733" t="s">
        <v>15</v>
      </c>
      <c r="E733">
        <v>43</v>
      </c>
      <c r="F733" t="s">
        <v>11</v>
      </c>
      <c r="G733">
        <v>4</v>
      </c>
      <c r="H733" s="2">
        <v>300</v>
      </c>
      <c r="I733" s="2">
        <v>1200</v>
      </c>
      <c r="J733" s="1" t="str">
        <f>IF(
   Sales_Performance[[#This Row],[Date]] = _xlfn.MINIFS(Sales_Performance[Date],Sales_Performance[Customer ID],Sales_Performance[[#This Row],[Customer ID]]),
   "New Customer",
   "Returning Customer"
)</f>
        <v>Returning Customer</v>
      </c>
    </row>
    <row r="734" spans="1:10" x14ac:dyDescent="0.35">
      <c r="A734" t="s">
        <v>819</v>
      </c>
      <c r="B734" s="1">
        <v>45058</v>
      </c>
      <c r="C734" t="s">
        <v>375</v>
      </c>
      <c r="D734" t="s">
        <v>10</v>
      </c>
      <c r="E734">
        <v>64</v>
      </c>
      <c r="F734" t="s">
        <v>16</v>
      </c>
      <c r="G734">
        <v>4</v>
      </c>
      <c r="H734" s="2">
        <v>25</v>
      </c>
      <c r="I734" s="2">
        <v>100</v>
      </c>
      <c r="J734" s="1" t="str">
        <f>IF(
   Sales_Performance[[#This Row],[Date]] = _xlfn.MINIFS(Sales_Performance[Date],Sales_Performance[Customer ID],Sales_Performance[[#This Row],[Customer ID]]),
   "New Customer",
   "Returning Customer"
)</f>
        <v>New Customer</v>
      </c>
    </row>
    <row r="735" spans="1:10" x14ac:dyDescent="0.35">
      <c r="A735" t="s">
        <v>316</v>
      </c>
      <c r="B735" s="1">
        <v>45115</v>
      </c>
      <c r="C735" t="s">
        <v>453</v>
      </c>
      <c r="D735" t="s">
        <v>10</v>
      </c>
      <c r="E735">
        <v>49</v>
      </c>
      <c r="F735" t="s">
        <v>11</v>
      </c>
      <c r="G735">
        <v>2</v>
      </c>
      <c r="H735" s="2">
        <v>50</v>
      </c>
      <c r="I735" s="2">
        <v>100</v>
      </c>
      <c r="J735" s="1" t="str">
        <f>IF(
   Sales_Performance[[#This Row],[Date]] = _xlfn.MINIFS(Sales_Performance[Date],Sales_Performance[Customer ID],Sales_Performance[[#This Row],[Customer ID]]),
   "New Customer",
   "Returning Customer"
)</f>
        <v>Returning Customer</v>
      </c>
    </row>
    <row r="736" spans="1:10" x14ac:dyDescent="0.35">
      <c r="A736" t="s">
        <v>1471</v>
      </c>
      <c r="B736" s="1">
        <v>45010</v>
      </c>
      <c r="C736" t="s">
        <v>1220</v>
      </c>
      <c r="D736" t="s">
        <v>15</v>
      </c>
      <c r="E736">
        <v>22</v>
      </c>
      <c r="F736" t="s">
        <v>11</v>
      </c>
      <c r="G736">
        <v>2</v>
      </c>
      <c r="H736" s="2">
        <v>50</v>
      </c>
      <c r="I736" s="2">
        <v>100</v>
      </c>
      <c r="J736" s="1" t="str">
        <f>IF(
   Sales_Performance[[#This Row],[Date]] = _xlfn.MINIFS(Sales_Performance[Date],Sales_Performance[Customer ID],Sales_Performance[[#This Row],[Customer ID]]),
   "New Customer",
   "Returning Customer"
)</f>
        <v>Returning Customer</v>
      </c>
    </row>
    <row r="737" spans="1:10" x14ac:dyDescent="0.35">
      <c r="A737" t="s">
        <v>1396</v>
      </c>
      <c r="B737" s="1">
        <v>45012</v>
      </c>
      <c r="C737" t="s">
        <v>1408</v>
      </c>
      <c r="D737" t="s">
        <v>10</v>
      </c>
      <c r="E737">
        <v>27</v>
      </c>
      <c r="F737" t="s">
        <v>18</v>
      </c>
      <c r="G737">
        <v>1</v>
      </c>
      <c r="H737" s="2">
        <v>500</v>
      </c>
      <c r="I737" s="2">
        <v>500</v>
      </c>
      <c r="J737" s="1" t="str">
        <f>IF(
   Sales_Performance[[#This Row],[Date]] = _xlfn.MINIFS(Sales_Performance[Date],Sales_Performance[Customer ID],Sales_Performance[[#This Row],[Customer ID]]),
   "New Customer",
   "Returning Customer"
)</f>
        <v>New Customer</v>
      </c>
    </row>
    <row r="738" spans="1:10" x14ac:dyDescent="0.35">
      <c r="A738" t="s">
        <v>762</v>
      </c>
      <c r="B738" s="1">
        <v>45237</v>
      </c>
      <c r="C738" t="s">
        <v>132</v>
      </c>
      <c r="D738" t="s">
        <v>15</v>
      </c>
      <c r="E738">
        <v>33</v>
      </c>
      <c r="F738" t="s">
        <v>16</v>
      </c>
      <c r="G738">
        <v>1</v>
      </c>
      <c r="H738" s="2">
        <v>500</v>
      </c>
      <c r="I738" s="2">
        <v>500</v>
      </c>
      <c r="J738" s="1" t="str">
        <f>IF(
   Sales_Performance[[#This Row],[Date]] = _xlfn.MINIFS(Sales_Performance[Date],Sales_Performance[Customer ID],Sales_Performance[[#This Row],[Customer ID]]),
   "New Customer",
   "Returning Customer"
)</f>
        <v>Returning Customer</v>
      </c>
    </row>
    <row r="739" spans="1:10" x14ac:dyDescent="0.35">
      <c r="A739" t="s">
        <v>383</v>
      </c>
      <c r="B739" s="1">
        <v>45237</v>
      </c>
      <c r="C739" t="s">
        <v>13</v>
      </c>
      <c r="D739" t="s">
        <v>15</v>
      </c>
      <c r="E739">
        <v>24</v>
      </c>
      <c r="F739" t="s">
        <v>11</v>
      </c>
      <c r="G739">
        <v>2</v>
      </c>
      <c r="H739" s="2">
        <v>25</v>
      </c>
      <c r="I739" s="2">
        <v>50</v>
      </c>
      <c r="J739" s="1" t="str">
        <f>IF(
   Sales_Performance[[#This Row],[Date]] = _xlfn.MINIFS(Sales_Performance[Date],Sales_Performance[Customer ID],Sales_Performance[[#This Row],[Customer ID]]),
   "New Customer",
   "Returning Customer"
)</f>
        <v>Returning Customer</v>
      </c>
    </row>
    <row r="740" spans="1:10" x14ac:dyDescent="0.35">
      <c r="A740" t="s">
        <v>1325</v>
      </c>
      <c r="B740" s="1">
        <v>44985</v>
      </c>
      <c r="C740" t="s">
        <v>877</v>
      </c>
      <c r="D740" t="s">
        <v>10</v>
      </c>
      <c r="E740">
        <v>34</v>
      </c>
      <c r="F740" t="s">
        <v>16</v>
      </c>
      <c r="G740">
        <v>2</v>
      </c>
      <c r="H740" s="2">
        <v>25</v>
      </c>
      <c r="I740" s="2">
        <v>50</v>
      </c>
      <c r="J740" s="1" t="str">
        <f>IF(
   Sales_Performance[[#This Row],[Date]] = _xlfn.MINIFS(Sales_Performance[Date],Sales_Performance[Customer ID],Sales_Performance[[#This Row],[Customer ID]]),
   "New Customer",
   "Returning Customer"
)</f>
        <v>New Customer</v>
      </c>
    </row>
    <row r="741" spans="1:10" x14ac:dyDescent="0.35">
      <c r="A741" t="s">
        <v>1449</v>
      </c>
      <c r="B741" s="1">
        <v>45010</v>
      </c>
      <c r="C741" t="s">
        <v>132</v>
      </c>
      <c r="D741" t="s">
        <v>15</v>
      </c>
      <c r="E741">
        <v>40</v>
      </c>
      <c r="F741" t="s">
        <v>16</v>
      </c>
      <c r="G741">
        <v>1</v>
      </c>
      <c r="H741" s="2">
        <v>25</v>
      </c>
      <c r="I741" s="2">
        <v>25</v>
      </c>
      <c r="J741" s="1" t="str">
        <f>IF(
   Sales_Performance[[#This Row],[Date]] = _xlfn.MINIFS(Sales_Performance[Date],Sales_Performance[Customer ID],Sales_Performance[[#This Row],[Customer ID]]),
   "New Customer",
   "Returning Customer"
)</f>
        <v>New Customer</v>
      </c>
    </row>
    <row r="742" spans="1:10" x14ac:dyDescent="0.35">
      <c r="A742" t="s">
        <v>1410</v>
      </c>
      <c r="B742" s="1">
        <v>45086</v>
      </c>
      <c r="C742" t="s">
        <v>455</v>
      </c>
      <c r="D742" t="s">
        <v>10</v>
      </c>
      <c r="E742">
        <v>43</v>
      </c>
      <c r="F742" t="s">
        <v>16</v>
      </c>
      <c r="G742">
        <v>4</v>
      </c>
      <c r="H742" s="2">
        <v>50</v>
      </c>
      <c r="I742" s="2">
        <v>200</v>
      </c>
      <c r="J742" s="1" t="str">
        <f>IF(
   Sales_Performance[[#This Row],[Date]] = _xlfn.MINIFS(Sales_Performance[Date],Sales_Performance[Customer ID],Sales_Performance[[#This Row],[Customer ID]]),
   "New Customer",
   "Returning Customer"
)</f>
        <v>New Customer</v>
      </c>
    </row>
    <row r="743" spans="1:10" x14ac:dyDescent="0.35">
      <c r="A743" t="s">
        <v>737</v>
      </c>
      <c r="B743" s="1">
        <v>44982</v>
      </c>
      <c r="C743" t="s">
        <v>709</v>
      </c>
      <c r="D743" t="s">
        <v>10</v>
      </c>
      <c r="E743">
        <v>38</v>
      </c>
      <c r="F743" t="s">
        <v>11</v>
      </c>
      <c r="G743">
        <v>3</v>
      </c>
      <c r="H743" s="2">
        <v>300</v>
      </c>
      <c r="I743" s="2">
        <v>900</v>
      </c>
      <c r="J743" s="1" t="str">
        <f>IF(
   Sales_Performance[[#This Row],[Date]] = _xlfn.MINIFS(Sales_Performance[Date],Sales_Performance[Customer ID],Sales_Performance[[#This Row],[Customer ID]]),
   "New Customer",
   "Returning Customer"
)</f>
        <v>New Customer</v>
      </c>
    </row>
    <row r="744" spans="1:10" x14ac:dyDescent="0.35">
      <c r="A744" t="s">
        <v>1148</v>
      </c>
      <c r="B744" s="1">
        <v>45223</v>
      </c>
      <c r="C744" t="s">
        <v>305</v>
      </c>
      <c r="D744" t="s">
        <v>10</v>
      </c>
      <c r="E744">
        <v>39</v>
      </c>
      <c r="F744" t="s">
        <v>18</v>
      </c>
      <c r="G744">
        <v>3</v>
      </c>
      <c r="H744" s="2">
        <v>25</v>
      </c>
      <c r="I744" s="2">
        <v>75</v>
      </c>
      <c r="J744" s="1" t="str">
        <f>IF(
   Sales_Performance[[#This Row],[Date]] = _xlfn.MINIFS(Sales_Performance[Date],Sales_Performance[Customer ID],Sales_Performance[[#This Row],[Customer ID]]),
   "New Customer",
   "Returning Customer"
)</f>
        <v>Returning Customer</v>
      </c>
    </row>
    <row r="745" spans="1:10" x14ac:dyDescent="0.35">
      <c r="A745" t="s">
        <v>653</v>
      </c>
      <c r="B745" s="1">
        <v>44940</v>
      </c>
      <c r="C745" t="s">
        <v>569</v>
      </c>
      <c r="D745" t="s">
        <v>15</v>
      </c>
      <c r="E745">
        <v>24</v>
      </c>
      <c r="F745" t="s">
        <v>18</v>
      </c>
      <c r="G745">
        <v>3</v>
      </c>
      <c r="H745" s="2">
        <v>25</v>
      </c>
      <c r="I745" s="2">
        <v>75</v>
      </c>
      <c r="J745" s="1" t="str">
        <f>IF(
   Sales_Performance[[#This Row],[Date]] = _xlfn.MINIFS(Sales_Performance[Date],Sales_Performance[Customer ID],Sales_Performance[[#This Row],[Customer ID]]),
   "New Customer",
   "Returning Customer"
)</f>
        <v>New Customer</v>
      </c>
    </row>
    <row r="746" spans="1:10" x14ac:dyDescent="0.35">
      <c r="A746" t="s">
        <v>591</v>
      </c>
      <c r="B746" s="1">
        <v>45086</v>
      </c>
      <c r="C746" t="s">
        <v>614</v>
      </c>
      <c r="D746" t="s">
        <v>15</v>
      </c>
      <c r="E746">
        <v>31</v>
      </c>
      <c r="F746" t="s">
        <v>11</v>
      </c>
      <c r="G746">
        <v>4</v>
      </c>
      <c r="H746" s="2">
        <v>30</v>
      </c>
      <c r="I746" s="2">
        <v>120</v>
      </c>
      <c r="J746" s="1" t="str">
        <f>IF(
   Sales_Performance[[#This Row],[Date]] = _xlfn.MINIFS(Sales_Performance[Date],Sales_Performance[Customer ID],Sales_Performance[[#This Row],[Customer ID]]),
   "New Customer",
   "Returning Customer"
)</f>
        <v>New Customer</v>
      </c>
    </row>
    <row r="747" spans="1:10" x14ac:dyDescent="0.35">
      <c r="A747" t="s">
        <v>1219</v>
      </c>
      <c r="B747" s="1">
        <v>45116</v>
      </c>
      <c r="C747" t="s">
        <v>816</v>
      </c>
      <c r="D747" t="s">
        <v>15</v>
      </c>
      <c r="E747">
        <v>47</v>
      </c>
      <c r="F747" t="s">
        <v>16</v>
      </c>
      <c r="G747">
        <v>2</v>
      </c>
      <c r="H747" s="2">
        <v>50</v>
      </c>
      <c r="I747" s="2">
        <v>100</v>
      </c>
      <c r="J747" s="1" t="str">
        <f>IF(
   Sales_Performance[[#This Row],[Date]] = _xlfn.MINIFS(Sales_Performance[Date],Sales_Performance[Customer ID],Sales_Performance[[#This Row],[Customer ID]]),
   "New Customer",
   "Returning Customer"
)</f>
        <v>Returning Customer</v>
      </c>
    </row>
    <row r="748" spans="1:10" x14ac:dyDescent="0.35">
      <c r="A748" t="s">
        <v>413</v>
      </c>
      <c r="B748" s="1">
        <v>45221</v>
      </c>
      <c r="C748" t="s">
        <v>1386</v>
      </c>
      <c r="D748" t="s">
        <v>10</v>
      </c>
      <c r="E748">
        <v>32</v>
      </c>
      <c r="F748" t="s">
        <v>16</v>
      </c>
      <c r="G748">
        <v>1</v>
      </c>
      <c r="H748" s="2">
        <v>50</v>
      </c>
      <c r="I748" s="2">
        <v>50</v>
      </c>
      <c r="J748" s="1" t="str">
        <f>IF(
   Sales_Performance[[#This Row],[Date]] = _xlfn.MINIFS(Sales_Performance[Date],Sales_Performance[Customer ID],Sales_Performance[[#This Row],[Customer ID]]),
   "New Customer",
   "Returning Customer"
)</f>
        <v>New Customer</v>
      </c>
    </row>
    <row r="749" spans="1:10" x14ac:dyDescent="0.35">
      <c r="A749" t="s">
        <v>87</v>
      </c>
      <c r="B749" s="1">
        <v>45273</v>
      </c>
      <c r="C749" t="s">
        <v>305</v>
      </c>
      <c r="D749" t="s">
        <v>10</v>
      </c>
      <c r="E749">
        <v>24</v>
      </c>
      <c r="F749" t="s">
        <v>11</v>
      </c>
      <c r="G749">
        <v>2</v>
      </c>
      <c r="H749" s="2">
        <v>25</v>
      </c>
      <c r="I749" s="2">
        <v>50</v>
      </c>
      <c r="J749" s="1" t="str">
        <f>IF(
   Sales_Performance[[#This Row],[Date]] = _xlfn.MINIFS(Sales_Performance[Date],Sales_Performance[Customer ID],Sales_Performance[[#This Row],[Customer ID]]),
   "New Customer",
   "Returning Customer"
)</f>
        <v>Returning Customer</v>
      </c>
    </row>
    <row r="750" spans="1:10" x14ac:dyDescent="0.35">
      <c r="A750" t="s">
        <v>580</v>
      </c>
      <c r="B750" s="1">
        <v>45119</v>
      </c>
      <c r="C750" t="s">
        <v>418</v>
      </c>
      <c r="D750" t="s">
        <v>10</v>
      </c>
      <c r="E750">
        <v>26</v>
      </c>
      <c r="F750" t="s">
        <v>11</v>
      </c>
      <c r="G750">
        <v>1</v>
      </c>
      <c r="H750" s="2">
        <v>30</v>
      </c>
      <c r="I750" s="2">
        <v>30</v>
      </c>
      <c r="J750" s="1" t="str">
        <f>IF(
   Sales_Performance[[#This Row],[Date]] = _xlfn.MINIFS(Sales_Performance[Date],Sales_Performance[Customer ID],Sales_Performance[[#This Row],[Customer ID]]),
   "New Customer",
   "Returning Customer"
)</f>
        <v>New Customer</v>
      </c>
    </row>
    <row r="751" spans="1:10" x14ac:dyDescent="0.35">
      <c r="A751" t="s">
        <v>1436</v>
      </c>
      <c r="B751" s="1">
        <v>45130</v>
      </c>
      <c r="C751" t="s">
        <v>847</v>
      </c>
      <c r="D751" t="s">
        <v>10</v>
      </c>
      <c r="E751">
        <v>25</v>
      </c>
      <c r="F751" t="s">
        <v>11</v>
      </c>
      <c r="G751">
        <v>4</v>
      </c>
      <c r="H751" s="2">
        <v>500</v>
      </c>
      <c r="I751" s="2">
        <v>2000</v>
      </c>
      <c r="J751" s="1" t="str">
        <f>IF(
   Sales_Performance[[#This Row],[Date]] = _xlfn.MINIFS(Sales_Performance[Date],Sales_Performance[Customer ID],Sales_Performance[[#This Row],[Customer ID]]),
   "New Customer",
   "Returning Customer"
)</f>
        <v>Returning Customer</v>
      </c>
    </row>
    <row r="752" spans="1:10" x14ac:dyDescent="0.35">
      <c r="A752" t="s">
        <v>745</v>
      </c>
      <c r="B752" s="1">
        <v>45028</v>
      </c>
      <c r="C752" t="s">
        <v>483</v>
      </c>
      <c r="D752" t="s">
        <v>15</v>
      </c>
      <c r="E752">
        <v>40</v>
      </c>
      <c r="F752" t="s">
        <v>16</v>
      </c>
      <c r="G752">
        <v>2</v>
      </c>
      <c r="H752" s="2">
        <v>25</v>
      </c>
      <c r="I752" s="2">
        <v>50</v>
      </c>
      <c r="J752" s="1" t="str">
        <f>IF(
   Sales_Performance[[#This Row],[Date]] = _xlfn.MINIFS(Sales_Performance[Date],Sales_Performance[Customer ID],Sales_Performance[[#This Row],[Customer ID]]),
   "New Customer",
   "Returning Customer"
)</f>
        <v>New Customer</v>
      </c>
    </row>
    <row r="753" spans="1:10" x14ac:dyDescent="0.35">
      <c r="A753" t="s">
        <v>1236</v>
      </c>
      <c r="B753" s="1">
        <v>44965</v>
      </c>
      <c r="C753" t="s">
        <v>696</v>
      </c>
      <c r="D753" t="s">
        <v>15</v>
      </c>
      <c r="E753">
        <v>46</v>
      </c>
      <c r="F753" t="s">
        <v>11</v>
      </c>
      <c r="G753">
        <v>4</v>
      </c>
      <c r="H753" s="2">
        <v>25</v>
      </c>
      <c r="I753" s="2">
        <v>100</v>
      </c>
      <c r="J753" s="1" t="str">
        <f>IF(
   Sales_Performance[[#This Row],[Date]] = _xlfn.MINIFS(Sales_Performance[Date],Sales_Performance[Customer ID],Sales_Performance[[#This Row],[Customer ID]]),
   "New Customer",
   "Returning Customer"
)</f>
        <v>New Customer</v>
      </c>
    </row>
    <row r="754" spans="1:10" x14ac:dyDescent="0.35">
      <c r="A754" t="s">
        <v>1103</v>
      </c>
      <c r="B754" s="1">
        <v>45230</v>
      </c>
      <c r="C754" t="s">
        <v>404</v>
      </c>
      <c r="D754" t="s">
        <v>10</v>
      </c>
      <c r="E754">
        <v>35</v>
      </c>
      <c r="F754" t="s">
        <v>16</v>
      </c>
      <c r="G754">
        <v>3</v>
      </c>
      <c r="H754" s="2">
        <v>30</v>
      </c>
      <c r="I754" s="2">
        <v>90</v>
      </c>
      <c r="J754" s="1" t="str">
        <f>IF(
   Sales_Performance[[#This Row],[Date]] = _xlfn.MINIFS(Sales_Performance[Date],Sales_Performance[Customer ID],Sales_Performance[[#This Row],[Customer ID]]),
   "New Customer",
   "Returning Customer"
)</f>
        <v>Returning Customer</v>
      </c>
    </row>
    <row r="755" spans="1:10" x14ac:dyDescent="0.35">
      <c r="A755" t="s">
        <v>1015</v>
      </c>
      <c r="B755" s="1">
        <v>45280</v>
      </c>
      <c r="C755" t="s">
        <v>1368</v>
      </c>
      <c r="D755" t="s">
        <v>10</v>
      </c>
      <c r="E755">
        <v>48</v>
      </c>
      <c r="F755" t="s">
        <v>11</v>
      </c>
      <c r="G755">
        <v>3</v>
      </c>
      <c r="H755" s="2">
        <v>50</v>
      </c>
      <c r="I755" s="2">
        <v>150</v>
      </c>
      <c r="J755" s="1" t="str">
        <f>IF(
   Sales_Performance[[#This Row],[Date]] = _xlfn.MINIFS(Sales_Performance[Date],Sales_Performance[Customer ID],Sales_Performance[[#This Row],[Customer ID]]),
   "New Customer",
   "Returning Customer"
)</f>
        <v>New Customer</v>
      </c>
    </row>
    <row r="756" spans="1:10" x14ac:dyDescent="0.35">
      <c r="A756" t="s">
        <v>80</v>
      </c>
      <c r="B756" s="1">
        <v>45248</v>
      </c>
      <c r="C756" t="s">
        <v>201</v>
      </c>
      <c r="D756" t="s">
        <v>15</v>
      </c>
      <c r="E756">
        <v>47</v>
      </c>
      <c r="F756" t="s">
        <v>18</v>
      </c>
      <c r="G756">
        <v>4</v>
      </c>
      <c r="H756" s="2">
        <v>25</v>
      </c>
      <c r="I756" s="2">
        <v>100</v>
      </c>
      <c r="J756" s="1" t="str">
        <f>IF(
   Sales_Performance[[#This Row],[Date]] = _xlfn.MINIFS(Sales_Performance[Date],Sales_Performance[Customer ID],Sales_Performance[[#This Row],[Customer ID]]),
   "New Customer",
   "Returning Customer"
)</f>
        <v>Returning Customer</v>
      </c>
    </row>
    <row r="757" spans="1:10" x14ac:dyDescent="0.35">
      <c r="A757" t="s">
        <v>481</v>
      </c>
      <c r="B757" s="1">
        <v>45051</v>
      </c>
      <c r="C757" t="s">
        <v>1366</v>
      </c>
      <c r="D757" t="s">
        <v>15</v>
      </c>
      <c r="E757">
        <v>56</v>
      </c>
      <c r="F757" t="s">
        <v>11</v>
      </c>
      <c r="G757">
        <v>2</v>
      </c>
      <c r="H757" s="2">
        <v>500</v>
      </c>
      <c r="I757" s="2">
        <v>1000</v>
      </c>
      <c r="J757" s="1" t="str">
        <f>IF(
   Sales_Performance[[#This Row],[Date]] = _xlfn.MINIFS(Sales_Performance[Date],Sales_Performance[Customer ID],Sales_Performance[[#This Row],[Customer ID]]),
   "New Customer",
   "Returning Customer"
)</f>
        <v>Returning Customer</v>
      </c>
    </row>
    <row r="758" spans="1:10" x14ac:dyDescent="0.35">
      <c r="A758" t="s">
        <v>1096</v>
      </c>
      <c r="B758" s="1">
        <v>45108</v>
      </c>
      <c r="C758" t="s">
        <v>35</v>
      </c>
      <c r="D758" t="s">
        <v>15</v>
      </c>
      <c r="E758">
        <v>47</v>
      </c>
      <c r="F758" t="s">
        <v>16</v>
      </c>
      <c r="G758">
        <v>3</v>
      </c>
      <c r="H758" s="2">
        <v>500</v>
      </c>
      <c r="I758" s="2">
        <v>1500</v>
      </c>
      <c r="J758" s="1" t="str">
        <f>IF(
   Sales_Performance[[#This Row],[Date]] = _xlfn.MINIFS(Sales_Performance[Date],Sales_Performance[Customer ID],Sales_Performance[[#This Row],[Customer ID]]),
   "New Customer",
   "Returning Customer"
)</f>
        <v>Returning Customer</v>
      </c>
    </row>
    <row r="759" spans="1:10" x14ac:dyDescent="0.35">
      <c r="A759" t="s">
        <v>1080</v>
      </c>
      <c r="B759" s="1">
        <v>44979</v>
      </c>
      <c r="C759" t="s">
        <v>575</v>
      </c>
      <c r="D759" t="s">
        <v>10</v>
      </c>
      <c r="E759">
        <v>52</v>
      </c>
      <c r="F759" t="s">
        <v>11</v>
      </c>
      <c r="G759">
        <v>2</v>
      </c>
      <c r="H759" s="2">
        <v>25</v>
      </c>
      <c r="I759" s="2">
        <v>50</v>
      </c>
      <c r="J759" s="1" t="str">
        <f>IF(
   Sales_Performance[[#This Row],[Date]] = _xlfn.MINIFS(Sales_Performance[Date],Sales_Performance[Customer ID],Sales_Performance[[#This Row],[Customer ID]]),
   "New Customer",
   "Returning Customer"
)</f>
        <v>New Customer</v>
      </c>
    </row>
    <row r="760" spans="1:10" x14ac:dyDescent="0.35">
      <c r="A760" t="s">
        <v>456</v>
      </c>
      <c r="B760" s="1">
        <v>45283</v>
      </c>
      <c r="C760" t="s">
        <v>605</v>
      </c>
      <c r="D760" t="s">
        <v>10</v>
      </c>
      <c r="E760">
        <v>35</v>
      </c>
      <c r="F760" t="s">
        <v>18</v>
      </c>
      <c r="G760">
        <v>1</v>
      </c>
      <c r="H760" s="2">
        <v>500</v>
      </c>
      <c r="I760" s="2">
        <v>500</v>
      </c>
      <c r="J760" s="1" t="str">
        <f>IF(
   Sales_Performance[[#This Row],[Date]] = _xlfn.MINIFS(Sales_Performance[Date],Sales_Performance[Customer ID],Sales_Performance[[#This Row],[Customer ID]]),
   "New Customer",
   "Returning Customer"
)</f>
        <v>Returning Customer</v>
      </c>
    </row>
    <row r="761" spans="1:10" x14ac:dyDescent="0.35">
      <c r="A761" t="s">
        <v>848</v>
      </c>
      <c r="B761" s="1">
        <v>45081</v>
      </c>
      <c r="C761" t="s">
        <v>835</v>
      </c>
      <c r="D761" t="s">
        <v>10</v>
      </c>
      <c r="E761">
        <v>59</v>
      </c>
      <c r="F761" t="s">
        <v>16</v>
      </c>
      <c r="G761">
        <v>3</v>
      </c>
      <c r="H761" s="2">
        <v>300</v>
      </c>
      <c r="I761" s="2">
        <v>900</v>
      </c>
      <c r="J761" s="1" t="str">
        <f>IF(
   Sales_Performance[[#This Row],[Date]] = _xlfn.MINIFS(Sales_Performance[Date],Sales_Performance[Customer ID],Sales_Performance[[#This Row],[Customer ID]]),
   "New Customer",
   "Returning Customer"
)</f>
        <v>New Customer</v>
      </c>
    </row>
    <row r="762" spans="1:10" x14ac:dyDescent="0.35">
      <c r="A762" t="s">
        <v>251</v>
      </c>
      <c r="B762" s="1">
        <v>45277</v>
      </c>
      <c r="C762" t="s">
        <v>1099</v>
      </c>
      <c r="D762" t="s">
        <v>15</v>
      </c>
      <c r="E762">
        <v>56</v>
      </c>
      <c r="F762" t="s">
        <v>16</v>
      </c>
      <c r="G762">
        <v>1</v>
      </c>
      <c r="H762" s="2">
        <v>300</v>
      </c>
      <c r="I762" s="2">
        <v>300</v>
      </c>
      <c r="J762" s="1" t="str">
        <f>IF(
   Sales_Performance[[#This Row],[Date]] = _xlfn.MINIFS(Sales_Performance[Date],Sales_Performance[Customer ID],Sales_Performance[[#This Row],[Customer ID]]),
   "New Customer",
   "Returning Customer"
)</f>
        <v>Returning Customer</v>
      </c>
    </row>
    <row r="763" spans="1:10" x14ac:dyDescent="0.35">
      <c r="A763" t="s">
        <v>209</v>
      </c>
      <c r="B763" s="1">
        <v>45234</v>
      </c>
      <c r="C763" t="s">
        <v>850</v>
      </c>
      <c r="D763" t="s">
        <v>15</v>
      </c>
      <c r="E763">
        <v>34</v>
      </c>
      <c r="F763" t="s">
        <v>11</v>
      </c>
      <c r="G763">
        <v>1</v>
      </c>
      <c r="H763" s="2">
        <v>500</v>
      </c>
      <c r="I763" s="2">
        <v>500</v>
      </c>
      <c r="J763" s="1" t="str">
        <f>IF(
   Sales_Performance[[#This Row],[Date]] = _xlfn.MINIFS(Sales_Performance[Date],Sales_Performance[Customer ID],Sales_Performance[[#This Row],[Customer ID]]),
   "New Customer",
   "Returning Customer"
)</f>
        <v>Returning Customer</v>
      </c>
    </row>
    <row r="764" spans="1:10" x14ac:dyDescent="0.35">
      <c r="A764" t="s">
        <v>1352</v>
      </c>
      <c r="B764" s="1">
        <v>44988</v>
      </c>
      <c r="C764" t="s">
        <v>338</v>
      </c>
      <c r="D764" t="s">
        <v>15</v>
      </c>
      <c r="E764">
        <v>31</v>
      </c>
      <c r="F764" t="s">
        <v>18</v>
      </c>
      <c r="G764">
        <v>4</v>
      </c>
      <c r="H764" s="2">
        <v>50</v>
      </c>
      <c r="I764" s="2">
        <v>200</v>
      </c>
      <c r="J764" s="1" t="str">
        <f>IF(
   Sales_Performance[[#This Row],[Date]] = _xlfn.MINIFS(Sales_Performance[Date],Sales_Performance[Customer ID],Sales_Performance[[#This Row],[Customer ID]]),
   "New Customer",
   "Returning Customer"
)</f>
        <v>New Customer</v>
      </c>
    </row>
    <row r="765" spans="1:10" x14ac:dyDescent="0.35">
      <c r="A765" t="s">
        <v>547</v>
      </c>
      <c r="B765" s="1">
        <v>45216</v>
      </c>
      <c r="C765" t="s">
        <v>735</v>
      </c>
      <c r="D765" t="s">
        <v>10</v>
      </c>
      <c r="E765">
        <v>48</v>
      </c>
      <c r="F765" t="s">
        <v>16</v>
      </c>
      <c r="G765">
        <v>4</v>
      </c>
      <c r="H765" s="2">
        <v>25</v>
      </c>
      <c r="I765" s="2">
        <v>100</v>
      </c>
      <c r="J765" s="1" t="str">
        <f>IF(
   Sales_Performance[[#This Row],[Date]] = _xlfn.MINIFS(Sales_Performance[Date],Sales_Performance[Customer ID],Sales_Performance[[#This Row],[Customer ID]]),
   "New Customer",
   "Returning Customer"
)</f>
        <v>New Customer</v>
      </c>
    </row>
    <row r="766" spans="1:10" x14ac:dyDescent="0.35">
      <c r="A766" t="s">
        <v>1100</v>
      </c>
      <c r="B766" s="1">
        <v>44948</v>
      </c>
      <c r="C766" t="s">
        <v>804</v>
      </c>
      <c r="D766" t="s">
        <v>10</v>
      </c>
      <c r="E766">
        <v>41</v>
      </c>
      <c r="F766" t="s">
        <v>11</v>
      </c>
      <c r="G766">
        <v>1</v>
      </c>
      <c r="H766" s="2">
        <v>25</v>
      </c>
      <c r="I766" s="2">
        <v>25</v>
      </c>
      <c r="J766" s="1" t="str">
        <f>IF(
   Sales_Performance[[#This Row],[Date]] = _xlfn.MINIFS(Sales_Performance[Date],Sales_Performance[Customer ID],Sales_Performance[[#This Row],[Customer ID]]),
   "New Customer",
   "Returning Customer"
)</f>
        <v>New Customer</v>
      </c>
    </row>
    <row r="767" spans="1:10" x14ac:dyDescent="0.35">
      <c r="A767" t="s">
        <v>1465</v>
      </c>
      <c r="B767" s="1">
        <v>45104</v>
      </c>
      <c r="C767" t="s">
        <v>55</v>
      </c>
      <c r="D767" t="s">
        <v>15</v>
      </c>
      <c r="E767">
        <v>52</v>
      </c>
      <c r="F767" t="s">
        <v>18</v>
      </c>
      <c r="G767">
        <v>3</v>
      </c>
      <c r="H767" s="2">
        <v>300</v>
      </c>
      <c r="I767" s="2">
        <v>900</v>
      </c>
      <c r="J767" s="1" t="str">
        <f>IF(
   Sales_Performance[[#This Row],[Date]] = _xlfn.MINIFS(Sales_Performance[Date],Sales_Performance[Customer ID],Sales_Performance[[#This Row],[Customer ID]]),
   "New Customer",
   "Returning Customer"
)</f>
        <v>New Customer</v>
      </c>
    </row>
    <row r="768" spans="1:10" x14ac:dyDescent="0.35">
      <c r="A768" t="s">
        <v>433</v>
      </c>
      <c r="B768" s="1">
        <v>45199</v>
      </c>
      <c r="C768" t="s">
        <v>563</v>
      </c>
      <c r="D768" t="s">
        <v>15</v>
      </c>
      <c r="E768">
        <v>61</v>
      </c>
      <c r="F768" t="s">
        <v>16</v>
      </c>
      <c r="G768">
        <v>4</v>
      </c>
      <c r="H768" s="2">
        <v>500</v>
      </c>
      <c r="I768" s="2">
        <v>2000</v>
      </c>
      <c r="J768" s="1" t="str">
        <f>IF(
   Sales_Performance[[#This Row],[Date]] = _xlfn.MINIFS(Sales_Performance[Date],Sales_Performance[Customer ID],Sales_Performance[[#This Row],[Customer ID]]),
   "New Customer",
   "Returning Customer"
)</f>
        <v>Returning Customer</v>
      </c>
    </row>
    <row r="769" spans="1:10" x14ac:dyDescent="0.35">
      <c r="A769" t="s">
        <v>1081</v>
      </c>
      <c r="B769" s="1">
        <v>45034</v>
      </c>
      <c r="C769" t="s">
        <v>145</v>
      </c>
      <c r="D769" t="s">
        <v>10</v>
      </c>
      <c r="E769">
        <v>34</v>
      </c>
      <c r="F769" t="s">
        <v>18</v>
      </c>
      <c r="G769">
        <v>1</v>
      </c>
      <c r="H769" s="2">
        <v>300</v>
      </c>
      <c r="I769" s="2">
        <v>300</v>
      </c>
      <c r="J769" s="1" t="str">
        <f>IF(
   Sales_Performance[[#This Row],[Date]] = _xlfn.MINIFS(Sales_Performance[Date],Sales_Performance[Customer ID],Sales_Performance[[#This Row],[Customer ID]]),
   "New Customer",
   "Returning Customer"
)</f>
        <v>New Customer</v>
      </c>
    </row>
    <row r="770" spans="1:10" x14ac:dyDescent="0.35">
      <c r="A770" t="s">
        <v>802</v>
      </c>
      <c r="B770" s="1">
        <v>45146</v>
      </c>
      <c r="C770" t="s">
        <v>508</v>
      </c>
      <c r="D770" t="s">
        <v>10</v>
      </c>
      <c r="E770">
        <v>62</v>
      </c>
      <c r="F770" t="s">
        <v>16</v>
      </c>
      <c r="G770">
        <v>1</v>
      </c>
      <c r="H770" s="2">
        <v>25</v>
      </c>
      <c r="I770" s="2">
        <v>25</v>
      </c>
      <c r="J770" s="1" t="str">
        <f>IF(
   Sales_Performance[[#This Row],[Date]] = _xlfn.MINIFS(Sales_Performance[Date],Sales_Performance[Customer ID],Sales_Performance[[#This Row],[Customer ID]]),
   "New Customer",
   "Returning Customer"
)</f>
        <v>New Customer</v>
      </c>
    </row>
    <row r="771" spans="1:10" x14ac:dyDescent="0.35">
      <c r="A771" t="s">
        <v>45</v>
      </c>
      <c r="B771" s="1">
        <v>45265</v>
      </c>
      <c r="C771" t="s">
        <v>453</v>
      </c>
      <c r="D771" t="s">
        <v>15</v>
      </c>
      <c r="E771">
        <v>51</v>
      </c>
      <c r="F771" t="s">
        <v>18</v>
      </c>
      <c r="G771">
        <v>1</v>
      </c>
      <c r="H771" s="2">
        <v>25</v>
      </c>
      <c r="I771" s="2">
        <v>25</v>
      </c>
      <c r="J771" s="1" t="str">
        <f>IF(
   Sales_Performance[[#This Row],[Date]] = _xlfn.MINIFS(Sales_Performance[Date],Sales_Performance[Customer ID],Sales_Performance[[#This Row],[Customer ID]]),
   "New Customer",
   "Returning Customer"
)</f>
        <v>Returning Customer</v>
      </c>
    </row>
    <row r="772" spans="1:10" x14ac:dyDescent="0.35">
      <c r="A772" t="s">
        <v>634</v>
      </c>
      <c r="B772" s="1">
        <v>45116</v>
      </c>
      <c r="C772" t="s">
        <v>1038</v>
      </c>
      <c r="D772" t="s">
        <v>15</v>
      </c>
      <c r="E772">
        <v>20</v>
      </c>
      <c r="F772" t="s">
        <v>18</v>
      </c>
      <c r="G772">
        <v>1</v>
      </c>
      <c r="H772" s="2">
        <v>50</v>
      </c>
      <c r="I772" s="2">
        <v>50</v>
      </c>
      <c r="J772" s="1" t="str">
        <f>IF(
   Sales_Performance[[#This Row],[Date]] = _xlfn.MINIFS(Sales_Performance[Date],Sales_Performance[Customer ID],Sales_Performance[[#This Row],[Customer ID]]),
   "New Customer",
   "Returning Customer"
)</f>
        <v>Returning Customer</v>
      </c>
    </row>
    <row r="773" spans="1:10" x14ac:dyDescent="0.35">
      <c r="A773" t="s">
        <v>287</v>
      </c>
      <c r="B773" s="1">
        <v>44962</v>
      </c>
      <c r="C773" t="s">
        <v>1041</v>
      </c>
      <c r="D773" t="s">
        <v>10</v>
      </c>
      <c r="E773">
        <v>54</v>
      </c>
      <c r="F773" t="s">
        <v>18</v>
      </c>
      <c r="G773">
        <v>1</v>
      </c>
      <c r="H773" s="2">
        <v>30</v>
      </c>
      <c r="I773" s="2">
        <v>30</v>
      </c>
      <c r="J773" s="1" t="str">
        <f>IF(
   Sales_Performance[[#This Row],[Date]] = _xlfn.MINIFS(Sales_Performance[Date],Sales_Performance[Customer ID],Sales_Performance[[#This Row],[Customer ID]]),
   "New Customer",
   "Returning Customer"
)</f>
        <v>New Customer</v>
      </c>
    </row>
    <row r="774" spans="1:10" x14ac:dyDescent="0.35">
      <c r="A774" t="s">
        <v>783</v>
      </c>
      <c r="B774" s="1">
        <v>45186</v>
      </c>
      <c r="C774" t="s">
        <v>74</v>
      </c>
      <c r="D774" t="s">
        <v>15</v>
      </c>
      <c r="E774">
        <v>60</v>
      </c>
      <c r="F774" t="s">
        <v>18</v>
      </c>
      <c r="G774">
        <v>1</v>
      </c>
      <c r="H774" s="2">
        <v>300</v>
      </c>
      <c r="I774" s="2">
        <v>300</v>
      </c>
      <c r="J774" s="1" t="str">
        <f>IF(
   Sales_Performance[[#This Row],[Date]] = _xlfn.MINIFS(Sales_Performance[Date],Sales_Performance[Customer ID],Sales_Performance[[#This Row],[Customer ID]]),
   "New Customer",
   "Returning Customer"
)</f>
        <v>Returning Customer</v>
      </c>
    </row>
    <row r="775" spans="1:10" x14ac:dyDescent="0.35">
      <c r="A775" t="s">
        <v>112</v>
      </c>
      <c r="B775" s="1">
        <v>45258</v>
      </c>
      <c r="C775" t="s">
        <v>652</v>
      </c>
      <c r="D775" t="s">
        <v>10</v>
      </c>
      <c r="E775">
        <v>57</v>
      </c>
      <c r="F775" t="s">
        <v>11</v>
      </c>
      <c r="G775">
        <v>1</v>
      </c>
      <c r="H775" s="2">
        <v>300</v>
      </c>
      <c r="I775" s="2">
        <v>300</v>
      </c>
      <c r="J775" s="1" t="str">
        <f>IF(
   Sales_Performance[[#This Row],[Date]] = _xlfn.MINIFS(Sales_Performance[Date],Sales_Performance[Customer ID],Sales_Performance[[#This Row],[Customer ID]]),
   "New Customer",
   "Returning Customer"
)</f>
        <v>Returning Customer</v>
      </c>
    </row>
    <row r="776" spans="1:10" x14ac:dyDescent="0.35">
      <c r="A776" t="s">
        <v>759</v>
      </c>
      <c r="B776" s="1">
        <v>45101</v>
      </c>
      <c r="C776" t="s">
        <v>593</v>
      </c>
      <c r="D776" t="s">
        <v>10</v>
      </c>
      <c r="E776">
        <v>43</v>
      </c>
      <c r="F776" t="s">
        <v>18</v>
      </c>
      <c r="G776">
        <v>4</v>
      </c>
      <c r="H776" s="2">
        <v>30</v>
      </c>
      <c r="I776" s="2">
        <v>120</v>
      </c>
      <c r="J776" s="1" t="str">
        <f>IF(
   Sales_Performance[[#This Row],[Date]] = _xlfn.MINIFS(Sales_Performance[Date],Sales_Performance[Customer ID],Sales_Performance[[#This Row],[Customer ID]]),
   "New Customer",
   "Returning Customer"
)</f>
        <v>New Customer</v>
      </c>
    </row>
    <row r="777" spans="1:10" x14ac:dyDescent="0.35">
      <c r="A777" t="s">
        <v>199</v>
      </c>
      <c r="B777" s="1">
        <v>44933</v>
      </c>
      <c r="C777" t="s">
        <v>1451</v>
      </c>
      <c r="D777" t="s">
        <v>10</v>
      </c>
      <c r="E777">
        <v>40</v>
      </c>
      <c r="F777" t="s">
        <v>16</v>
      </c>
      <c r="G777">
        <v>3</v>
      </c>
      <c r="H777" s="2">
        <v>25</v>
      </c>
      <c r="I777" s="2">
        <v>75</v>
      </c>
      <c r="J777" s="1" t="str">
        <f>IF(
   Sales_Performance[[#This Row],[Date]] = _xlfn.MINIFS(Sales_Performance[Date],Sales_Performance[Customer ID],Sales_Performance[[#This Row],[Customer ID]]),
   "New Customer",
   "Returning Customer"
)</f>
        <v>New Customer</v>
      </c>
    </row>
    <row r="778" spans="1:10" x14ac:dyDescent="0.35">
      <c r="A778" t="s">
        <v>1309</v>
      </c>
      <c r="B778" s="1">
        <v>45142</v>
      </c>
      <c r="C778" t="s">
        <v>244</v>
      </c>
      <c r="D778" t="s">
        <v>10</v>
      </c>
      <c r="E778">
        <v>61</v>
      </c>
      <c r="F778" t="s">
        <v>16</v>
      </c>
      <c r="G778">
        <v>1</v>
      </c>
      <c r="H778" s="2">
        <v>50</v>
      </c>
      <c r="I778" s="2">
        <v>50</v>
      </c>
      <c r="J778" s="1" t="str">
        <f>IF(
   Sales_Performance[[#This Row],[Date]] = _xlfn.MINIFS(Sales_Performance[Date],Sales_Performance[Customer ID],Sales_Performance[[#This Row],[Customer ID]]),
   "New Customer",
   "Returning Customer"
)</f>
        <v>New Customer</v>
      </c>
    </row>
    <row r="779" spans="1:10" x14ac:dyDescent="0.35">
      <c r="A779" t="s">
        <v>317</v>
      </c>
      <c r="B779" s="1">
        <v>45177</v>
      </c>
      <c r="C779" t="s">
        <v>311</v>
      </c>
      <c r="D779" t="s">
        <v>10</v>
      </c>
      <c r="E779">
        <v>56</v>
      </c>
      <c r="F779" t="s">
        <v>11</v>
      </c>
      <c r="G779">
        <v>2</v>
      </c>
      <c r="H779" s="2">
        <v>50</v>
      </c>
      <c r="I779" s="2">
        <v>100</v>
      </c>
      <c r="J779" s="1" t="str">
        <f>IF(
   Sales_Performance[[#This Row],[Date]] = _xlfn.MINIFS(Sales_Performance[Date],Sales_Performance[Customer ID],Sales_Performance[[#This Row],[Customer ID]]),
   "New Customer",
   "Returning Customer"
)</f>
        <v>Returning Customer</v>
      </c>
    </row>
    <row r="780" spans="1:10" x14ac:dyDescent="0.35">
      <c r="A780" t="s">
        <v>797</v>
      </c>
      <c r="B780" s="1">
        <v>44979</v>
      </c>
      <c r="C780" t="s">
        <v>1366</v>
      </c>
      <c r="D780" t="s">
        <v>10</v>
      </c>
      <c r="E780">
        <v>30</v>
      </c>
      <c r="F780" t="s">
        <v>11</v>
      </c>
      <c r="G780">
        <v>4</v>
      </c>
      <c r="H780" s="2">
        <v>25</v>
      </c>
      <c r="I780" s="2">
        <v>100</v>
      </c>
      <c r="J780" s="1" t="str">
        <f>IF(
   Sales_Performance[[#This Row],[Date]] = _xlfn.MINIFS(Sales_Performance[Date],Sales_Performance[Customer ID],Sales_Performance[[#This Row],[Customer ID]]),
   "New Customer",
   "Returning Customer"
)</f>
        <v>New Customer</v>
      </c>
    </row>
    <row r="781" spans="1:10" x14ac:dyDescent="0.35">
      <c r="A781" t="s">
        <v>929</v>
      </c>
      <c r="B781" s="1">
        <v>45270</v>
      </c>
      <c r="C781" t="s">
        <v>1492</v>
      </c>
      <c r="D781" t="s">
        <v>15</v>
      </c>
      <c r="E781">
        <v>64</v>
      </c>
      <c r="F781" t="s">
        <v>16</v>
      </c>
      <c r="G781">
        <v>2</v>
      </c>
      <c r="H781" s="2">
        <v>30</v>
      </c>
      <c r="I781" s="2">
        <v>60</v>
      </c>
      <c r="J781" s="1" t="str">
        <f>IF(
   Sales_Performance[[#This Row],[Date]] = _xlfn.MINIFS(Sales_Performance[Date],Sales_Performance[Customer ID],Sales_Performance[[#This Row],[Customer ID]]),
   "New Customer",
   "Returning Customer"
)</f>
        <v>New Customer</v>
      </c>
    </row>
    <row r="782" spans="1:10" x14ac:dyDescent="0.35">
      <c r="A782" t="s">
        <v>1002</v>
      </c>
      <c r="B782" s="1">
        <v>44981</v>
      </c>
      <c r="C782" t="s">
        <v>750</v>
      </c>
      <c r="D782" t="s">
        <v>10</v>
      </c>
      <c r="E782">
        <v>32</v>
      </c>
      <c r="F782" t="s">
        <v>16</v>
      </c>
      <c r="G782">
        <v>4</v>
      </c>
      <c r="H782" s="2">
        <v>300</v>
      </c>
      <c r="I782" s="2">
        <v>1200</v>
      </c>
      <c r="J782" s="1" t="str">
        <f>IF(
   Sales_Performance[[#This Row],[Date]] = _xlfn.MINIFS(Sales_Performance[Date],Sales_Performance[Customer ID],Sales_Performance[[#This Row],[Customer ID]]),
   "New Customer",
   "Returning Customer"
)</f>
        <v>New Customer</v>
      </c>
    </row>
    <row r="783" spans="1:10" x14ac:dyDescent="0.35">
      <c r="A783" t="s">
        <v>1086</v>
      </c>
      <c r="B783" s="1">
        <v>45148</v>
      </c>
      <c r="C783" t="s">
        <v>28</v>
      </c>
      <c r="D783" t="s">
        <v>10</v>
      </c>
      <c r="E783">
        <v>21</v>
      </c>
      <c r="F783" t="s">
        <v>16</v>
      </c>
      <c r="G783">
        <v>4</v>
      </c>
      <c r="H783" s="2">
        <v>50</v>
      </c>
      <c r="I783" s="2">
        <v>200</v>
      </c>
      <c r="J783" s="1" t="str">
        <f>IF(
   Sales_Performance[[#This Row],[Date]] = _xlfn.MINIFS(Sales_Performance[Date],Sales_Performance[Customer ID],Sales_Performance[[#This Row],[Customer ID]]),
   "New Customer",
   "Returning Customer"
)</f>
        <v>Returning Customer</v>
      </c>
    </row>
    <row r="784" spans="1:10" x14ac:dyDescent="0.35">
      <c r="A784" t="s">
        <v>748</v>
      </c>
      <c r="B784" s="1">
        <v>45112</v>
      </c>
      <c r="C784" t="s">
        <v>257</v>
      </c>
      <c r="D784" t="s">
        <v>15</v>
      </c>
      <c r="E784">
        <v>46</v>
      </c>
      <c r="F784" t="s">
        <v>18</v>
      </c>
      <c r="G784">
        <v>1</v>
      </c>
      <c r="H784" s="2">
        <v>30</v>
      </c>
      <c r="I784" s="2">
        <v>30</v>
      </c>
      <c r="J784" s="1" t="str">
        <f>IF(
   Sales_Performance[[#This Row],[Date]] = _xlfn.MINIFS(Sales_Performance[Date],Sales_Performance[Customer ID],Sales_Performance[[#This Row],[Customer ID]]),
   "New Customer",
   "Returning Customer"
)</f>
        <v>Returning Customer</v>
      </c>
    </row>
    <row r="785" spans="1:10" x14ac:dyDescent="0.35">
      <c r="A785" t="s">
        <v>49</v>
      </c>
      <c r="B785" s="1">
        <v>45252</v>
      </c>
      <c r="C785" t="s">
        <v>750</v>
      </c>
      <c r="D785" t="s">
        <v>10</v>
      </c>
      <c r="E785">
        <v>39</v>
      </c>
      <c r="F785" t="s">
        <v>16</v>
      </c>
      <c r="G785">
        <v>4</v>
      </c>
      <c r="H785" s="2">
        <v>25</v>
      </c>
      <c r="I785" s="2">
        <v>100</v>
      </c>
      <c r="J785" s="1" t="str">
        <f>IF(
   Sales_Performance[[#This Row],[Date]] = _xlfn.MINIFS(Sales_Performance[Date],Sales_Performance[Customer ID],Sales_Performance[[#This Row],[Customer ID]]),
   "New Customer",
   "Returning Customer"
)</f>
        <v>Returning Customer</v>
      </c>
    </row>
    <row r="786" spans="1:10" x14ac:dyDescent="0.35">
      <c r="A786" t="s">
        <v>1404</v>
      </c>
      <c r="B786" s="1">
        <v>45162</v>
      </c>
      <c r="C786" t="s">
        <v>554</v>
      </c>
      <c r="D786" t="s">
        <v>10</v>
      </c>
      <c r="E786">
        <v>42</v>
      </c>
      <c r="F786" t="s">
        <v>11</v>
      </c>
      <c r="G786">
        <v>1</v>
      </c>
      <c r="H786" s="2">
        <v>30</v>
      </c>
      <c r="I786" s="2">
        <v>30</v>
      </c>
      <c r="J786" s="1" t="str">
        <f>IF(
   Sales_Performance[[#This Row],[Date]] = _xlfn.MINIFS(Sales_Performance[Date],Sales_Performance[Customer ID],Sales_Performance[[#This Row],[Customer ID]]),
   "New Customer",
   "Returning Customer"
)</f>
        <v>Returning Customer</v>
      </c>
    </row>
    <row r="787" spans="1:10" x14ac:dyDescent="0.35">
      <c r="A787" t="s">
        <v>729</v>
      </c>
      <c r="B787" s="1">
        <v>45289</v>
      </c>
      <c r="C787" t="s">
        <v>896</v>
      </c>
      <c r="D787" t="s">
        <v>15</v>
      </c>
      <c r="E787">
        <v>30</v>
      </c>
      <c r="F787" t="s">
        <v>18</v>
      </c>
      <c r="G787">
        <v>3</v>
      </c>
      <c r="H787" s="2">
        <v>500</v>
      </c>
      <c r="I787" s="2">
        <v>1500</v>
      </c>
      <c r="J787" s="1" t="str">
        <f>IF(
   Sales_Performance[[#This Row],[Date]] = _xlfn.MINIFS(Sales_Performance[Date],Sales_Performance[Customer ID],Sales_Performance[[#This Row],[Customer ID]]),
   "New Customer",
   "Returning Customer"
)</f>
        <v>Returning Customer</v>
      </c>
    </row>
    <row r="788" spans="1:10" x14ac:dyDescent="0.35">
      <c r="A788" t="s">
        <v>393</v>
      </c>
      <c r="B788" s="1">
        <v>45005</v>
      </c>
      <c r="C788" t="s">
        <v>1283</v>
      </c>
      <c r="D788" t="s">
        <v>15</v>
      </c>
      <c r="E788">
        <v>35</v>
      </c>
      <c r="F788" t="s">
        <v>18</v>
      </c>
      <c r="G788">
        <v>3</v>
      </c>
      <c r="H788" s="2">
        <v>300</v>
      </c>
      <c r="I788" s="2">
        <v>900</v>
      </c>
      <c r="J788" s="1" t="str">
        <f>IF(
   Sales_Performance[[#This Row],[Date]] = _xlfn.MINIFS(Sales_Performance[Date],Sales_Performance[Customer ID],Sales_Performance[[#This Row],[Customer ID]]),
   "New Customer",
   "Returning Customer"
)</f>
        <v>New Customer</v>
      </c>
    </row>
    <row r="789" spans="1:10" x14ac:dyDescent="0.35">
      <c r="A789" t="s">
        <v>397</v>
      </c>
      <c r="B789" s="1">
        <v>45149</v>
      </c>
      <c r="C789" t="s">
        <v>996</v>
      </c>
      <c r="D789" t="s">
        <v>15</v>
      </c>
      <c r="E789">
        <v>50</v>
      </c>
      <c r="F789" t="s">
        <v>11</v>
      </c>
      <c r="G789">
        <v>4</v>
      </c>
      <c r="H789" s="2">
        <v>50</v>
      </c>
      <c r="I789" s="2">
        <v>200</v>
      </c>
      <c r="J789" s="1" t="str">
        <f>IF(
   Sales_Performance[[#This Row],[Date]] = _xlfn.MINIFS(Sales_Performance[Date],Sales_Performance[Customer ID],Sales_Performance[[#This Row],[Customer ID]]),
   "New Customer",
   "Returning Customer"
)</f>
        <v>New Customer</v>
      </c>
    </row>
    <row r="790" spans="1:10" x14ac:dyDescent="0.35">
      <c r="A790" t="s">
        <v>669</v>
      </c>
      <c r="B790" s="1">
        <v>45017</v>
      </c>
      <c r="C790" t="s">
        <v>1459</v>
      </c>
      <c r="D790" t="s">
        <v>10</v>
      </c>
      <c r="E790">
        <v>33</v>
      </c>
      <c r="F790" t="s">
        <v>18</v>
      </c>
      <c r="G790">
        <v>4</v>
      </c>
      <c r="H790" s="2">
        <v>500</v>
      </c>
      <c r="I790" s="2">
        <v>2000</v>
      </c>
      <c r="J790" s="1" t="str">
        <f>IF(
   Sales_Performance[[#This Row],[Date]] = _xlfn.MINIFS(Sales_Performance[Date],Sales_Performance[Customer ID],Sales_Performance[[#This Row],[Customer ID]]),
   "New Customer",
   "Returning Customer"
)</f>
        <v>Returning Customer</v>
      </c>
    </row>
    <row r="791" spans="1:10" x14ac:dyDescent="0.35">
      <c r="A791" t="s">
        <v>898</v>
      </c>
      <c r="B791" s="1">
        <v>45194</v>
      </c>
      <c r="C791" t="s">
        <v>620</v>
      </c>
      <c r="D791" t="s">
        <v>15</v>
      </c>
      <c r="E791">
        <v>62</v>
      </c>
      <c r="F791" t="s">
        <v>18</v>
      </c>
      <c r="G791">
        <v>2</v>
      </c>
      <c r="H791" s="2">
        <v>50</v>
      </c>
      <c r="I791" s="2">
        <v>100</v>
      </c>
      <c r="J791" s="1" t="str">
        <f>IF(
   Sales_Performance[[#This Row],[Date]] = _xlfn.MINIFS(Sales_Performance[Date],Sales_Performance[Customer ID],Sales_Performance[[#This Row],[Customer ID]]),
   "New Customer",
   "Returning Customer"
)</f>
        <v>Returning Customer</v>
      </c>
    </row>
    <row r="792" spans="1:10" x14ac:dyDescent="0.35">
      <c r="A792" t="s">
        <v>350</v>
      </c>
      <c r="B792" s="1">
        <v>45063</v>
      </c>
      <c r="C792" t="s">
        <v>1283</v>
      </c>
      <c r="D792" t="s">
        <v>10</v>
      </c>
      <c r="E792">
        <v>40</v>
      </c>
      <c r="F792" t="s">
        <v>11</v>
      </c>
      <c r="G792">
        <v>1</v>
      </c>
      <c r="H792" s="2">
        <v>50</v>
      </c>
      <c r="I792" s="2">
        <v>50</v>
      </c>
      <c r="J792" s="1" t="str">
        <f>IF(
   Sales_Performance[[#This Row],[Date]] = _xlfn.MINIFS(Sales_Performance[Date],Sales_Performance[Customer ID],Sales_Performance[[#This Row],[Customer ID]]),
   "New Customer",
   "Returning Customer"
)</f>
        <v>Returning Customer</v>
      </c>
    </row>
    <row r="793" spans="1:10" x14ac:dyDescent="0.35">
      <c r="A793" t="s">
        <v>1215</v>
      </c>
      <c r="B793" s="1">
        <v>45260</v>
      </c>
      <c r="C793" t="s">
        <v>1467</v>
      </c>
      <c r="D793" t="s">
        <v>10</v>
      </c>
      <c r="E793">
        <v>59</v>
      </c>
      <c r="F793" t="s">
        <v>11</v>
      </c>
      <c r="G793">
        <v>4</v>
      </c>
      <c r="H793" s="2">
        <v>25</v>
      </c>
      <c r="I793" s="2">
        <v>100</v>
      </c>
      <c r="J793" s="1" t="str">
        <f>IF(
   Sales_Performance[[#This Row],[Date]] = _xlfn.MINIFS(Sales_Performance[Date],Sales_Performance[Customer ID],Sales_Performance[[#This Row],[Customer ID]]),
   "New Customer",
   "Returning Customer"
)</f>
        <v>Returning Customer</v>
      </c>
    </row>
    <row r="794" spans="1:10" x14ac:dyDescent="0.35">
      <c r="A794" t="s">
        <v>1171</v>
      </c>
      <c r="B794" s="1">
        <v>45065</v>
      </c>
      <c r="C794" t="s">
        <v>96</v>
      </c>
      <c r="D794" t="s">
        <v>10</v>
      </c>
      <c r="E794">
        <v>61</v>
      </c>
      <c r="F794" t="s">
        <v>18</v>
      </c>
      <c r="G794">
        <v>2</v>
      </c>
      <c r="H794" s="2">
        <v>25</v>
      </c>
      <c r="I794" s="2">
        <v>50</v>
      </c>
      <c r="J794" s="1" t="str">
        <f>IF(
   Sales_Performance[[#This Row],[Date]] = _xlfn.MINIFS(Sales_Performance[Date],Sales_Performance[Customer ID],Sales_Performance[[#This Row],[Customer ID]]),
   "New Customer",
   "Returning Customer"
)</f>
        <v>New Customer</v>
      </c>
    </row>
    <row r="795" spans="1:10" x14ac:dyDescent="0.35">
      <c r="A795" t="s">
        <v>1330</v>
      </c>
      <c r="B795" s="1">
        <v>45242</v>
      </c>
      <c r="C795" t="s">
        <v>1043</v>
      </c>
      <c r="D795" t="s">
        <v>10</v>
      </c>
      <c r="E795">
        <v>19</v>
      </c>
      <c r="F795" t="s">
        <v>11</v>
      </c>
      <c r="G795">
        <v>3</v>
      </c>
      <c r="H795" s="2">
        <v>25</v>
      </c>
      <c r="I795" s="2">
        <v>75</v>
      </c>
      <c r="J795" s="1" t="str">
        <f>IF(
   Sales_Performance[[#This Row],[Date]] = _xlfn.MINIFS(Sales_Performance[Date],Sales_Performance[Customer ID],Sales_Performance[[#This Row],[Customer ID]]),
   "New Customer",
   "Returning Customer"
)</f>
        <v>New Customer</v>
      </c>
    </row>
    <row r="796" spans="1:10" x14ac:dyDescent="0.35">
      <c r="A796" t="s">
        <v>863</v>
      </c>
      <c r="B796" s="1">
        <v>45202</v>
      </c>
      <c r="C796" t="s">
        <v>648</v>
      </c>
      <c r="D796" t="s">
        <v>10</v>
      </c>
      <c r="E796">
        <v>52</v>
      </c>
      <c r="F796" t="s">
        <v>11</v>
      </c>
      <c r="G796">
        <v>3</v>
      </c>
      <c r="H796" s="2">
        <v>50</v>
      </c>
      <c r="I796" s="2">
        <v>150</v>
      </c>
      <c r="J796" s="1" t="str">
        <f>IF(
   Sales_Performance[[#This Row],[Date]] = _xlfn.MINIFS(Sales_Performance[Date],Sales_Performance[Customer ID],Sales_Performance[[#This Row],[Customer ID]]),
   "New Customer",
   "Returning Customer"
)</f>
        <v>Returning Customer</v>
      </c>
    </row>
    <row r="797" spans="1:10" x14ac:dyDescent="0.35">
      <c r="A797" t="s">
        <v>90</v>
      </c>
      <c r="B797" s="1">
        <v>45174</v>
      </c>
      <c r="C797" t="s">
        <v>422</v>
      </c>
      <c r="D797" t="s">
        <v>15</v>
      </c>
      <c r="E797">
        <v>59</v>
      </c>
      <c r="F797" t="s">
        <v>16</v>
      </c>
      <c r="G797">
        <v>1</v>
      </c>
      <c r="H797" s="2">
        <v>500</v>
      </c>
      <c r="I797" s="2">
        <v>500</v>
      </c>
      <c r="J797" s="1" t="str">
        <f>IF(
   Sales_Performance[[#This Row],[Date]] = _xlfn.MINIFS(Sales_Performance[Date],Sales_Performance[Customer ID],Sales_Performance[[#This Row],[Customer ID]]),
   "New Customer",
   "Returning Customer"
)</f>
        <v>Returning Customer</v>
      </c>
    </row>
    <row r="798" spans="1:10" x14ac:dyDescent="0.35">
      <c r="A798" t="s">
        <v>451</v>
      </c>
      <c r="B798" s="1">
        <v>45165</v>
      </c>
      <c r="C798" t="s">
        <v>818</v>
      </c>
      <c r="D798" t="s">
        <v>15</v>
      </c>
      <c r="E798">
        <v>51</v>
      </c>
      <c r="F798" t="s">
        <v>16</v>
      </c>
      <c r="G798">
        <v>3</v>
      </c>
      <c r="H798" s="2">
        <v>25</v>
      </c>
      <c r="I798" s="2">
        <v>75</v>
      </c>
      <c r="J798" s="1" t="str">
        <f>IF(
   Sales_Performance[[#This Row],[Date]] = _xlfn.MINIFS(Sales_Performance[Date],Sales_Performance[Customer ID],Sales_Performance[[#This Row],[Customer ID]]),
   "New Customer",
   "Returning Customer"
)</f>
        <v>Returning Customer</v>
      </c>
    </row>
    <row r="799" spans="1:10" x14ac:dyDescent="0.35">
      <c r="A799" t="s">
        <v>230</v>
      </c>
      <c r="B799" s="1">
        <v>45150</v>
      </c>
      <c r="C799" t="s">
        <v>1366</v>
      </c>
      <c r="D799" t="s">
        <v>10</v>
      </c>
      <c r="E799">
        <v>47</v>
      </c>
      <c r="F799" t="s">
        <v>18</v>
      </c>
      <c r="G799">
        <v>2</v>
      </c>
      <c r="H799" s="2">
        <v>500</v>
      </c>
      <c r="I799" s="2">
        <v>1000</v>
      </c>
      <c r="J799" s="1" t="str">
        <f>IF(
   Sales_Performance[[#This Row],[Date]] = _xlfn.MINIFS(Sales_Performance[Date],Sales_Performance[Customer ID],Sales_Performance[[#This Row],[Customer ID]]),
   "New Customer",
   "Returning Customer"
)</f>
        <v>Returning Customer</v>
      </c>
    </row>
    <row r="800" spans="1:10" x14ac:dyDescent="0.35">
      <c r="A800" t="s">
        <v>1333</v>
      </c>
      <c r="B800" s="1">
        <v>45230</v>
      </c>
      <c r="C800" t="s">
        <v>1439</v>
      </c>
      <c r="D800" t="s">
        <v>10</v>
      </c>
      <c r="E800">
        <v>30</v>
      </c>
      <c r="F800" t="s">
        <v>18</v>
      </c>
      <c r="G800">
        <v>4</v>
      </c>
      <c r="H800" s="2">
        <v>50</v>
      </c>
      <c r="I800" s="2">
        <v>200</v>
      </c>
      <c r="J800" s="1" t="str">
        <f>IF(
   Sales_Performance[[#This Row],[Date]] = _xlfn.MINIFS(Sales_Performance[Date],Sales_Performance[Customer ID],Sales_Performance[[#This Row],[Customer ID]]),
   "New Customer",
   "Returning Customer"
)</f>
        <v>Returning Customer</v>
      </c>
    </row>
    <row r="801" spans="1:10" x14ac:dyDescent="0.35">
      <c r="A801" t="s">
        <v>284</v>
      </c>
      <c r="B801" s="1">
        <v>45064</v>
      </c>
      <c r="C801" t="s">
        <v>1157</v>
      </c>
      <c r="D801" t="s">
        <v>10</v>
      </c>
      <c r="E801">
        <v>30</v>
      </c>
      <c r="F801" t="s">
        <v>11</v>
      </c>
      <c r="G801">
        <v>1</v>
      </c>
      <c r="H801" s="2">
        <v>500</v>
      </c>
      <c r="I801" s="2">
        <v>500</v>
      </c>
      <c r="J801" s="1" t="str">
        <f>IF(
   Sales_Performance[[#This Row],[Date]] = _xlfn.MINIFS(Sales_Performance[Date],Sales_Performance[Customer ID],Sales_Performance[[#This Row],[Customer ID]]),
   "New Customer",
   "Returning Customer"
)</f>
        <v>New Customer</v>
      </c>
    </row>
    <row r="802" spans="1:10" x14ac:dyDescent="0.35">
      <c r="A802" t="s">
        <v>301</v>
      </c>
      <c r="B802" s="1">
        <v>45092</v>
      </c>
      <c r="C802" t="s">
        <v>911</v>
      </c>
      <c r="D802" t="s">
        <v>15</v>
      </c>
      <c r="E802">
        <v>35</v>
      </c>
      <c r="F802" t="s">
        <v>18</v>
      </c>
      <c r="G802">
        <v>2</v>
      </c>
      <c r="H802" s="2">
        <v>50</v>
      </c>
      <c r="I802" s="2">
        <v>100</v>
      </c>
      <c r="J802" s="1" t="str">
        <f>IF(
   Sales_Performance[[#This Row],[Date]] = _xlfn.MINIFS(Sales_Performance[Date],Sales_Performance[Customer ID],Sales_Performance[[#This Row],[Customer ID]]),
   "New Customer",
   "Returning Customer"
)</f>
        <v>Returning Customer</v>
      </c>
    </row>
    <row r="803" spans="1:10" x14ac:dyDescent="0.35">
      <c r="A803" t="s">
        <v>426</v>
      </c>
      <c r="B803" s="1">
        <v>45286</v>
      </c>
      <c r="C803" t="s">
        <v>1097</v>
      </c>
      <c r="D803" t="s">
        <v>15</v>
      </c>
      <c r="E803">
        <v>32</v>
      </c>
      <c r="F803" t="s">
        <v>18</v>
      </c>
      <c r="G803">
        <v>4</v>
      </c>
      <c r="H803" s="2">
        <v>50</v>
      </c>
      <c r="I803" s="2">
        <v>200</v>
      </c>
      <c r="J803" s="1" t="str">
        <f>IF(
   Sales_Performance[[#This Row],[Date]] = _xlfn.MINIFS(Sales_Performance[Date],Sales_Performance[Customer ID],Sales_Performance[[#This Row],[Customer ID]]),
   "New Customer",
   "Returning Customer"
)</f>
        <v>Returning Customer</v>
      </c>
    </row>
    <row r="804" spans="1:10" x14ac:dyDescent="0.35">
      <c r="A804" t="s">
        <v>1225</v>
      </c>
      <c r="B804" s="1">
        <v>45052</v>
      </c>
      <c r="C804" t="s">
        <v>334</v>
      </c>
      <c r="D804" t="s">
        <v>10</v>
      </c>
      <c r="E804">
        <v>49</v>
      </c>
      <c r="F804" t="s">
        <v>11</v>
      </c>
      <c r="G804">
        <v>4</v>
      </c>
      <c r="H804" s="2">
        <v>50</v>
      </c>
      <c r="I804" s="2">
        <v>200</v>
      </c>
      <c r="J804" s="1" t="str">
        <f>IF(
   Sales_Performance[[#This Row],[Date]] = _xlfn.MINIFS(Sales_Performance[Date],Sales_Performance[Customer ID],Sales_Performance[[#This Row],[Customer ID]]),
   "New Customer",
   "Returning Customer"
)</f>
        <v>Returning Customer</v>
      </c>
    </row>
    <row r="805" spans="1:10" x14ac:dyDescent="0.35">
      <c r="A805" t="s">
        <v>1187</v>
      </c>
      <c r="B805" s="1">
        <v>44971</v>
      </c>
      <c r="C805" t="s">
        <v>1469</v>
      </c>
      <c r="D805" t="s">
        <v>10</v>
      </c>
      <c r="E805">
        <v>49</v>
      </c>
      <c r="F805" t="s">
        <v>11</v>
      </c>
      <c r="G805">
        <v>1</v>
      </c>
      <c r="H805" s="2">
        <v>300</v>
      </c>
      <c r="I805" s="2">
        <v>300</v>
      </c>
      <c r="J805" s="1" t="str">
        <f>IF(
   Sales_Performance[[#This Row],[Date]] = _xlfn.MINIFS(Sales_Performance[Date],Sales_Performance[Customer ID],Sales_Performance[[#This Row],[Customer ID]]),
   "New Customer",
   "Returning Customer"
)</f>
        <v>New Customer</v>
      </c>
    </row>
    <row r="806" spans="1:10" x14ac:dyDescent="0.35">
      <c r="A806" t="s">
        <v>1194</v>
      </c>
      <c r="B806" s="1">
        <v>45069</v>
      </c>
      <c r="C806" t="s">
        <v>1294</v>
      </c>
      <c r="D806" t="s">
        <v>15</v>
      </c>
      <c r="E806">
        <v>52</v>
      </c>
      <c r="F806" t="s">
        <v>18</v>
      </c>
      <c r="G806">
        <v>3</v>
      </c>
      <c r="H806" s="2">
        <v>50</v>
      </c>
      <c r="I806" s="2">
        <v>150</v>
      </c>
      <c r="J806" s="1" t="str">
        <f>IF(
   Sales_Performance[[#This Row],[Date]] = _xlfn.MINIFS(Sales_Performance[Date],Sales_Performance[Customer ID],Sales_Performance[[#This Row],[Customer ID]]),
   "New Customer",
   "Returning Customer"
)</f>
        <v>Returning Customer</v>
      </c>
    </row>
    <row r="807" spans="1:10" x14ac:dyDescent="0.35">
      <c r="A807" t="s">
        <v>832</v>
      </c>
      <c r="B807" s="1">
        <v>45157</v>
      </c>
      <c r="C807" t="s">
        <v>827</v>
      </c>
      <c r="D807" t="s">
        <v>15</v>
      </c>
      <c r="E807">
        <v>56</v>
      </c>
      <c r="F807" t="s">
        <v>11</v>
      </c>
      <c r="G807">
        <v>2</v>
      </c>
      <c r="H807" s="2">
        <v>50</v>
      </c>
      <c r="I807" s="2">
        <v>100</v>
      </c>
      <c r="J807" s="1" t="str">
        <f>IF(
   Sales_Performance[[#This Row],[Date]] = _xlfn.MINIFS(Sales_Performance[Date],Sales_Performance[Customer ID],Sales_Performance[[#This Row],[Customer ID]]),
   "New Customer",
   "Returning Customer"
)</f>
        <v>Returning Customer</v>
      </c>
    </row>
    <row r="808" spans="1:10" x14ac:dyDescent="0.35">
      <c r="A808" t="s">
        <v>1470</v>
      </c>
      <c r="B808" s="1">
        <v>45051</v>
      </c>
      <c r="C808" t="s">
        <v>57</v>
      </c>
      <c r="D808" t="s">
        <v>10</v>
      </c>
      <c r="E808">
        <v>63</v>
      </c>
      <c r="F808" t="s">
        <v>16</v>
      </c>
      <c r="G808">
        <v>4</v>
      </c>
      <c r="H808" s="2">
        <v>30</v>
      </c>
      <c r="I808" s="2">
        <v>120</v>
      </c>
      <c r="J808" s="1" t="str">
        <f>IF(
   Sales_Performance[[#This Row],[Date]] = _xlfn.MINIFS(Sales_Performance[Date],Sales_Performance[Customer ID],Sales_Performance[[#This Row],[Customer ID]]),
   "New Customer",
   "Returning Customer"
)</f>
        <v>New Customer</v>
      </c>
    </row>
    <row r="809" spans="1:10" x14ac:dyDescent="0.35">
      <c r="A809" t="s">
        <v>1457</v>
      </c>
      <c r="B809" s="1">
        <v>45164</v>
      </c>
      <c r="C809" t="s">
        <v>1456</v>
      </c>
      <c r="D809" t="s">
        <v>15</v>
      </c>
      <c r="E809">
        <v>46</v>
      </c>
      <c r="F809" t="s">
        <v>18</v>
      </c>
      <c r="G809">
        <v>1</v>
      </c>
      <c r="H809" s="2">
        <v>25</v>
      </c>
      <c r="I809" s="2">
        <v>25</v>
      </c>
      <c r="J809" s="1" t="str">
        <f>IF(
   Sales_Performance[[#This Row],[Date]] = _xlfn.MINIFS(Sales_Performance[Date],Sales_Performance[Customer ID],Sales_Performance[[#This Row],[Customer ID]]),
   "New Customer",
   "Returning Customer"
)</f>
        <v>New Customer</v>
      </c>
    </row>
    <row r="810" spans="1:10" x14ac:dyDescent="0.35">
      <c r="A810" t="s">
        <v>697</v>
      </c>
      <c r="B810" s="1">
        <v>45218</v>
      </c>
      <c r="C810" t="s">
        <v>662</v>
      </c>
      <c r="D810" t="s">
        <v>15</v>
      </c>
      <c r="E810">
        <v>46</v>
      </c>
      <c r="F810" t="s">
        <v>16</v>
      </c>
      <c r="G810">
        <v>1</v>
      </c>
      <c r="H810" s="2">
        <v>300</v>
      </c>
      <c r="I810" s="2">
        <v>300</v>
      </c>
      <c r="J810" s="1" t="str">
        <f>IF(
   Sales_Performance[[#This Row],[Date]] = _xlfn.MINIFS(Sales_Performance[Date],Sales_Performance[Customer ID],Sales_Performance[[#This Row],[Customer ID]]),
   "New Customer",
   "Returning Customer"
)</f>
        <v>Returning Customer</v>
      </c>
    </row>
    <row r="811" spans="1:10" x14ac:dyDescent="0.35">
      <c r="A811" t="s">
        <v>488</v>
      </c>
      <c r="B811" s="1">
        <v>45239</v>
      </c>
      <c r="C811" t="s">
        <v>525</v>
      </c>
      <c r="D811" t="s">
        <v>10</v>
      </c>
      <c r="E811">
        <v>61</v>
      </c>
      <c r="F811" t="s">
        <v>18</v>
      </c>
      <c r="G811">
        <v>3</v>
      </c>
      <c r="H811" s="2">
        <v>300</v>
      </c>
      <c r="I811" s="2">
        <v>900</v>
      </c>
      <c r="J811" s="1" t="str">
        <f>IF(
   Sales_Performance[[#This Row],[Date]] = _xlfn.MINIFS(Sales_Performance[Date],Sales_Performance[Customer ID],Sales_Performance[[#This Row],[Customer ID]]),
   "New Customer",
   "Returning Customer"
)</f>
        <v>Returning Customer</v>
      </c>
    </row>
    <row r="812" spans="1:10" x14ac:dyDescent="0.35">
      <c r="A812" t="s">
        <v>1336</v>
      </c>
      <c r="B812" s="1">
        <v>45269</v>
      </c>
      <c r="C812" t="s">
        <v>441</v>
      </c>
      <c r="D812" t="s">
        <v>15</v>
      </c>
      <c r="E812">
        <v>33</v>
      </c>
      <c r="F812" t="s">
        <v>11</v>
      </c>
      <c r="G812">
        <v>4</v>
      </c>
      <c r="H812" s="2">
        <v>300</v>
      </c>
      <c r="I812" s="2">
        <v>1200</v>
      </c>
      <c r="J812" s="1" t="str">
        <f>IF(
   Sales_Performance[[#This Row],[Date]] = _xlfn.MINIFS(Sales_Performance[Date],Sales_Performance[Customer ID],Sales_Performance[[#This Row],[Customer ID]]),
   "New Customer",
   "Returning Customer"
)</f>
        <v>Returning Customer</v>
      </c>
    </row>
    <row r="813" spans="1:10" x14ac:dyDescent="0.35">
      <c r="A813" t="s">
        <v>1046</v>
      </c>
      <c r="B813" s="1">
        <v>45121</v>
      </c>
      <c r="C813" t="s">
        <v>633</v>
      </c>
      <c r="D813" t="s">
        <v>10</v>
      </c>
      <c r="E813">
        <v>61</v>
      </c>
      <c r="F813" t="s">
        <v>18</v>
      </c>
      <c r="G813">
        <v>3</v>
      </c>
      <c r="H813" s="2">
        <v>30</v>
      </c>
      <c r="I813" s="2">
        <v>90</v>
      </c>
      <c r="J813" s="1" t="str">
        <f>IF(
   Sales_Performance[[#This Row],[Date]] = _xlfn.MINIFS(Sales_Performance[Date],Sales_Performance[Customer ID],Sales_Performance[[#This Row],[Customer ID]]),
   "New Customer",
   "Returning Customer"
)</f>
        <v>Returning Customer</v>
      </c>
    </row>
    <row r="814" spans="1:10" x14ac:dyDescent="0.35">
      <c r="A814" t="s">
        <v>764</v>
      </c>
      <c r="B814" s="1">
        <v>45276</v>
      </c>
      <c r="C814" t="s">
        <v>121</v>
      </c>
      <c r="D814" t="s">
        <v>10</v>
      </c>
      <c r="E814">
        <v>54</v>
      </c>
      <c r="F814" t="s">
        <v>11</v>
      </c>
      <c r="G814">
        <v>2</v>
      </c>
      <c r="H814" s="2">
        <v>50</v>
      </c>
      <c r="I814" s="2">
        <v>100</v>
      </c>
      <c r="J814" s="1" t="str">
        <f>IF(
   Sales_Performance[[#This Row],[Date]] = _xlfn.MINIFS(Sales_Performance[Date],Sales_Performance[Customer ID],Sales_Performance[[#This Row],[Customer ID]]),
   "New Customer",
   "Returning Customer"
)</f>
        <v>Returning Customer</v>
      </c>
    </row>
    <row r="815" spans="1:10" x14ac:dyDescent="0.35">
      <c r="A815" t="s">
        <v>1036</v>
      </c>
      <c r="B815" s="1">
        <v>45099</v>
      </c>
      <c r="C815" t="s">
        <v>1472</v>
      </c>
      <c r="D815" t="s">
        <v>15</v>
      </c>
      <c r="E815">
        <v>64</v>
      </c>
      <c r="F815" t="s">
        <v>16</v>
      </c>
      <c r="G815">
        <v>3</v>
      </c>
      <c r="H815" s="2">
        <v>50</v>
      </c>
      <c r="I815" s="2">
        <v>150</v>
      </c>
      <c r="J815" s="1" t="str">
        <f>IF(
   Sales_Performance[[#This Row],[Date]] = _xlfn.MINIFS(Sales_Performance[Date],Sales_Performance[Customer ID],Sales_Performance[[#This Row],[Customer ID]]),
   "New Customer",
   "Returning Customer"
)</f>
        <v>Returning Customer</v>
      </c>
    </row>
    <row r="816" spans="1:10" x14ac:dyDescent="0.35">
      <c r="A816" t="s">
        <v>1049</v>
      </c>
      <c r="B816" s="1">
        <v>44941</v>
      </c>
      <c r="C816" t="s">
        <v>842</v>
      </c>
      <c r="D816" t="s">
        <v>10</v>
      </c>
      <c r="E816">
        <v>27</v>
      </c>
      <c r="F816" t="s">
        <v>11</v>
      </c>
      <c r="G816">
        <v>4</v>
      </c>
      <c r="H816" s="2">
        <v>25</v>
      </c>
      <c r="I816" s="2">
        <v>100</v>
      </c>
      <c r="J816" s="1" t="str">
        <f>IF(
   Sales_Performance[[#This Row],[Date]] = _xlfn.MINIFS(Sales_Performance[Date],Sales_Performance[Customer ID],Sales_Performance[[#This Row],[Customer ID]]),
   "New Customer",
   "Returning Customer"
)</f>
        <v>New Customer</v>
      </c>
    </row>
    <row r="817" spans="1:10" x14ac:dyDescent="0.35">
      <c r="A817" t="s">
        <v>838</v>
      </c>
      <c r="B817" s="1">
        <v>45180</v>
      </c>
      <c r="C817" t="s">
        <v>1170</v>
      </c>
      <c r="D817" t="s">
        <v>10</v>
      </c>
      <c r="E817">
        <v>47</v>
      </c>
      <c r="F817" t="s">
        <v>18</v>
      </c>
      <c r="G817">
        <v>4</v>
      </c>
      <c r="H817" s="2">
        <v>500</v>
      </c>
      <c r="I817" s="2">
        <v>2000</v>
      </c>
      <c r="J817" s="1" t="str">
        <f>IF(
   Sales_Performance[[#This Row],[Date]] = _xlfn.MINIFS(Sales_Performance[Date],Sales_Performance[Customer ID],Sales_Performance[[#This Row],[Customer ID]]),
   "New Customer",
   "Returning Customer"
)</f>
        <v>Returning Customer</v>
      </c>
    </row>
    <row r="818" spans="1:10" x14ac:dyDescent="0.35">
      <c r="A818" t="s">
        <v>23</v>
      </c>
      <c r="B818" s="1">
        <v>45093</v>
      </c>
      <c r="C818" t="s">
        <v>1261</v>
      </c>
      <c r="D818" t="s">
        <v>10</v>
      </c>
      <c r="E818">
        <v>42</v>
      </c>
      <c r="F818" t="s">
        <v>18</v>
      </c>
      <c r="G818">
        <v>4</v>
      </c>
      <c r="H818" s="2">
        <v>50</v>
      </c>
      <c r="I818" s="2">
        <v>200</v>
      </c>
      <c r="J818" s="1" t="str">
        <f>IF(
   Sales_Performance[[#This Row],[Date]] = _xlfn.MINIFS(Sales_Performance[Date],Sales_Performance[Customer ID],Sales_Performance[[#This Row],[Customer ID]]),
   "New Customer",
   "Returning Customer"
)</f>
        <v>Returning Customer</v>
      </c>
    </row>
    <row r="819" spans="1:10" x14ac:dyDescent="0.35">
      <c r="A819" t="s">
        <v>1217</v>
      </c>
      <c r="B819" s="1">
        <v>45020</v>
      </c>
      <c r="C819" t="s">
        <v>453</v>
      </c>
      <c r="D819" t="s">
        <v>15</v>
      </c>
      <c r="E819">
        <v>56</v>
      </c>
      <c r="F819" t="s">
        <v>18</v>
      </c>
      <c r="G819">
        <v>2</v>
      </c>
      <c r="H819" s="2">
        <v>30</v>
      </c>
      <c r="I819" s="2">
        <v>60</v>
      </c>
      <c r="J819" s="1" t="str">
        <f>IF(
   Sales_Performance[[#This Row],[Date]] = _xlfn.MINIFS(Sales_Performance[Date],Sales_Performance[Customer ID],Sales_Performance[[#This Row],[Customer ID]]),
   "New Customer",
   "Returning Customer"
)</f>
        <v>Returning Customer</v>
      </c>
    </row>
    <row r="820" spans="1:10" x14ac:dyDescent="0.35">
      <c r="A820" t="s">
        <v>218</v>
      </c>
      <c r="B820" s="1">
        <v>45176</v>
      </c>
      <c r="C820" t="s">
        <v>1376</v>
      </c>
      <c r="D820" t="s">
        <v>10</v>
      </c>
      <c r="E820">
        <v>37</v>
      </c>
      <c r="F820" t="s">
        <v>16</v>
      </c>
      <c r="G820">
        <v>4</v>
      </c>
      <c r="H820" s="2">
        <v>50</v>
      </c>
      <c r="I820" s="2">
        <v>200</v>
      </c>
      <c r="J820" s="1" t="str">
        <f>IF(
   Sales_Performance[[#This Row],[Date]] = _xlfn.MINIFS(Sales_Performance[Date],Sales_Performance[Customer ID],Sales_Performance[[#This Row],[Customer ID]]),
   "New Customer",
   "Returning Customer"
)</f>
        <v>New Customer</v>
      </c>
    </row>
    <row r="821" spans="1:10" x14ac:dyDescent="0.35">
      <c r="A821" t="s">
        <v>1344</v>
      </c>
      <c r="B821" s="1">
        <v>45035</v>
      </c>
      <c r="C821" t="s">
        <v>411</v>
      </c>
      <c r="D821" t="s">
        <v>15</v>
      </c>
      <c r="E821">
        <v>22</v>
      </c>
      <c r="F821" t="s">
        <v>16</v>
      </c>
      <c r="G821">
        <v>1</v>
      </c>
      <c r="H821" s="2">
        <v>50</v>
      </c>
      <c r="I821" s="2">
        <v>50</v>
      </c>
      <c r="J821" s="1" t="str">
        <f>IF(
   Sales_Performance[[#This Row],[Date]] = _xlfn.MINIFS(Sales_Performance[Date],Sales_Performance[Customer ID],Sales_Performance[[#This Row],[Customer ID]]),
   "New Customer",
   "Returning Customer"
)</f>
        <v>Returning Customer</v>
      </c>
    </row>
    <row r="822" spans="1:10" x14ac:dyDescent="0.35">
      <c r="A822" t="s">
        <v>277</v>
      </c>
      <c r="B822" s="1">
        <v>45108</v>
      </c>
      <c r="C822" t="s">
        <v>1400</v>
      </c>
      <c r="D822" t="s">
        <v>10</v>
      </c>
      <c r="E822">
        <v>18</v>
      </c>
      <c r="F822" t="s">
        <v>18</v>
      </c>
      <c r="G822">
        <v>3</v>
      </c>
      <c r="H822" s="2">
        <v>30</v>
      </c>
      <c r="I822" s="2">
        <v>90</v>
      </c>
      <c r="J822" s="1" t="str">
        <f>IF(
   Sales_Performance[[#This Row],[Date]] = _xlfn.MINIFS(Sales_Performance[Date],Sales_Performance[Customer ID],Sales_Performance[[#This Row],[Customer ID]]),
   "New Customer",
   "Returning Customer"
)</f>
        <v>New Customer</v>
      </c>
    </row>
    <row r="823" spans="1:10" x14ac:dyDescent="0.35">
      <c r="A823" t="s">
        <v>1087</v>
      </c>
      <c r="B823" s="1">
        <v>45059</v>
      </c>
      <c r="C823" t="s">
        <v>1320</v>
      </c>
      <c r="D823" t="s">
        <v>10</v>
      </c>
      <c r="E823">
        <v>47</v>
      </c>
      <c r="F823" t="s">
        <v>11</v>
      </c>
      <c r="G823">
        <v>2</v>
      </c>
      <c r="H823" s="2">
        <v>300</v>
      </c>
      <c r="I823" s="2">
        <v>600</v>
      </c>
      <c r="J823" s="1" t="str">
        <f>IF(
   Sales_Performance[[#This Row],[Date]] = _xlfn.MINIFS(Sales_Performance[Date],Sales_Performance[Customer ID],Sales_Performance[[#This Row],[Customer ID]]),
   "New Customer",
   "Returning Customer"
)</f>
        <v>New Customer</v>
      </c>
    </row>
    <row r="824" spans="1:10" x14ac:dyDescent="0.35">
      <c r="A824" t="s">
        <v>472</v>
      </c>
      <c r="B824" s="1">
        <v>45101</v>
      </c>
      <c r="C824" t="s">
        <v>313</v>
      </c>
      <c r="D824" t="s">
        <v>15</v>
      </c>
      <c r="E824">
        <v>20</v>
      </c>
      <c r="F824" t="s">
        <v>11</v>
      </c>
      <c r="G824">
        <v>4</v>
      </c>
      <c r="H824" s="2">
        <v>300</v>
      </c>
      <c r="I824" s="2">
        <v>1200</v>
      </c>
      <c r="J824" s="1" t="str">
        <f>IF(
   Sales_Performance[[#This Row],[Date]] = _xlfn.MINIFS(Sales_Performance[Date],Sales_Performance[Customer ID],Sales_Performance[[#This Row],[Customer ID]]),
   "New Customer",
   "Returning Customer"
)</f>
        <v>Returning Customer</v>
      </c>
    </row>
    <row r="825" spans="1:10" x14ac:dyDescent="0.35">
      <c r="A825" t="s">
        <v>1363</v>
      </c>
      <c r="B825" s="1">
        <v>45258</v>
      </c>
      <c r="C825" t="s">
        <v>696</v>
      </c>
      <c r="D825" t="s">
        <v>15</v>
      </c>
      <c r="E825">
        <v>38</v>
      </c>
      <c r="F825" t="s">
        <v>11</v>
      </c>
      <c r="G825">
        <v>3</v>
      </c>
      <c r="H825" s="2">
        <v>30</v>
      </c>
      <c r="I825" s="2">
        <v>90</v>
      </c>
      <c r="J825" s="1" t="str">
        <f>IF(
   Sales_Performance[[#This Row],[Date]] = _xlfn.MINIFS(Sales_Performance[Date],Sales_Performance[Customer ID],Sales_Performance[[#This Row],[Customer ID]]),
   "New Customer",
   "Returning Customer"
)</f>
        <v>Returning Customer</v>
      </c>
    </row>
    <row r="826" spans="1:10" x14ac:dyDescent="0.35">
      <c r="A826" t="s">
        <v>969</v>
      </c>
      <c r="B826" s="1">
        <v>45070</v>
      </c>
      <c r="C826" t="s">
        <v>861</v>
      </c>
      <c r="D826" t="s">
        <v>10</v>
      </c>
      <c r="E826">
        <v>62</v>
      </c>
      <c r="F826" t="s">
        <v>16</v>
      </c>
      <c r="G826">
        <v>2</v>
      </c>
      <c r="H826" s="2">
        <v>25</v>
      </c>
      <c r="I826" s="2">
        <v>50</v>
      </c>
      <c r="J826" s="1" t="str">
        <f>IF(
   Sales_Performance[[#This Row],[Date]] = _xlfn.MINIFS(Sales_Performance[Date],Sales_Performance[Customer ID],Sales_Performance[[#This Row],[Customer ID]]),
   "New Customer",
   "Returning Customer"
)</f>
        <v>Returning Customer</v>
      </c>
    </row>
    <row r="827" spans="1:10" x14ac:dyDescent="0.35">
      <c r="A827" t="s">
        <v>1196</v>
      </c>
      <c r="B827" s="1">
        <v>45232</v>
      </c>
      <c r="C827" t="s">
        <v>1251</v>
      </c>
      <c r="D827" t="s">
        <v>10</v>
      </c>
      <c r="E827">
        <v>31</v>
      </c>
      <c r="F827" t="s">
        <v>11</v>
      </c>
      <c r="G827">
        <v>4</v>
      </c>
      <c r="H827" s="2">
        <v>25</v>
      </c>
      <c r="I827" s="2">
        <v>100</v>
      </c>
      <c r="J827" s="1" t="str">
        <f>IF(
   Sales_Performance[[#This Row],[Date]] = _xlfn.MINIFS(Sales_Performance[Date],Sales_Performance[Customer ID],Sales_Performance[[#This Row],[Customer ID]]),
   "New Customer",
   "Returning Customer"
)</f>
        <v>Returning Customer</v>
      </c>
    </row>
    <row r="828" spans="1:10" x14ac:dyDescent="0.35">
      <c r="A828" t="s">
        <v>1370</v>
      </c>
      <c r="B828" s="1">
        <v>45286</v>
      </c>
      <c r="C828" t="s">
        <v>327</v>
      </c>
      <c r="D828" t="s">
        <v>15</v>
      </c>
      <c r="E828">
        <v>47</v>
      </c>
      <c r="F828" t="s">
        <v>16</v>
      </c>
      <c r="G828">
        <v>2</v>
      </c>
      <c r="H828" s="2">
        <v>300</v>
      </c>
      <c r="I828" s="2">
        <v>600</v>
      </c>
      <c r="J828" s="1" t="str">
        <f>IF(
   Sales_Performance[[#This Row],[Date]] = _xlfn.MINIFS(Sales_Performance[Date],Sales_Performance[Customer ID],Sales_Performance[[#This Row],[Customer ID]]),
   "New Customer",
   "Returning Customer"
)</f>
        <v>Returning Customer</v>
      </c>
    </row>
    <row r="829" spans="1:10" x14ac:dyDescent="0.35">
      <c r="A829" t="s">
        <v>1052</v>
      </c>
      <c r="B829" s="1">
        <v>45068</v>
      </c>
      <c r="C829" t="s">
        <v>920</v>
      </c>
      <c r="D829" t="s">
        <v>10</v>
      </c>
      <c r="E829">
        <v>21</v>
      </c>
      <c r="F829" t="s">
        <v>18</v>
      </c>
      <c r="G829">
        <v>3</v>
      </c>
      <c r="H829" s="2">
        <v>500</v>
      </c>
      <c r="I829" s="2">
        <v>1500</v>
      </c>
      <c r="J829" s="1" t="str">
        <f>IF(
   Sales_Performance[[#This Row],[Date]] = _xlfn.MINIFS(Sales_Performance[Date],Sales_Performance[Customer ID],Sales_Performance[[#This Row],[Customer ID]]),
   "New Customer",
   "Returning Customer"
)</f>
        <v>New Customer</v>
      </c>
    </row>
    <row r="830" spans="1:10" x14ac:dyDescent="0.35">
      <c r="A830" t="s">
        <v>269</v>
      </c>
      <c r="B830" s="1">
        <v>45211</v>
      </c>
      <c r="C830" t="s">
        <v>916</v>
      </c>
      <c r="D830" t="s">
        <v>10</v>
      </c>
      <c r="E830">
        <v>35</v>
      </c>
      <c r="F830" t="s">
        <v>16</v>
      </c>
      <c r="G830">
        <v>3</v>
      </c>
      <c r="H830" s="2">
        <v>50</v>
      </c>
      <c r="I830" s="2">
        <v>150</v>
      </c>
      <c r="J830" s="1" t="str">
        <f>IF(
   Sales_Performance[[#This Row],[Date]] = _xlfn.MINIFS(Sales_Performance[Date],Sales_Performance[Customer ID],Sales_Performance[[#This Row],[Customer ID]]),
   "New Customer",
   "Returning Customer"
)</f>
        <v>Returning Customer</v>
      </c>
    </row>
    <row r="831" spans="1:10" x14ac:dyDescent="0.35">
      <c r="A831" t="s">
        <v>1195</v>
      </c>
      <c r="B831" s="1">
        <v>44932</v>
      </c>
      <c r="C831" t="s">
        <v>330</v>
      </c>
      <c r="D831" t="s">
        <v>10</v>
      </c>
      <c r="E831">
        <v>54</v>
      </c>
      <c r="F831" t="s">
        <v>16</v>
      </c>
      <c r="G831">
        <v>1</v>
      </c>
      <c r="H831" s="2">
        <v>500</v>
      </c>
      <c r="I831" s="2">
        <v>500</v>
      </c>
      <c r="J831" s="1" t="str">
        <f>IF(
   Sales_Performance[[#This Row],[Date]] = _xlfn.MINIFS(Sales_Performance[Date],Sales_Performance[Customer ID],Sales_Performance[[#This Row],[Customer ID]]),
   "New Customer",
   "Returning Customer"
)</f>
        <v>New Customer</v>
      </c>
    </row>
    <row r="832" spans="1:10" x14ac:dyDescent="0.35">
      <c r="A832" t="s">
        <v>126</v>
      </c>
      <c r="B832" s="1">
        <v>45191</v>
      </c>
      <c r="C832" t="s">
        <v>1117</v>
      </c>
      <c r="D832" t="s">
        <v>10</v>
      </c>
      <c r="E832">
        <v>42</v>
      </c>
      <c r="F832" t="s">
        <v>18</v>
      </c>
      <c r="G832">
        <v>1</v>
      </c>
      <c r="H832" s="2">
        <v>50</v>
      </c>
      <c r="I832" s="2">
        <v>50</v>
      </c>
      <c r="J832" s="1" t="str">
        <f>IF(
   Sales_Performance[[#This Row],[Date]] = _xlfn.MINIFS(Sales_Performance[Date],Sales_Performance[Customer ID],Sales_Performance[[#This Row],[Customer ID]]),
   "New Customer",
   "Returning Customer"
)</f>
        <v>Returning Customer</v>
      </c>
    </row>
    <row r="833" spans="1:10" x14ac:dyDescent="0.35">
      <c r="A833" t="s">
        <v>635</v>
      </c>
      <c r="B833" s="1">
        <v>45024</v>
      </c>
      <c r="C833" t="s">
        <v>1184</v>
      </c>
      <c r="D833" t="s">
        <v>15</v>
      </c>
      <c r="E833">
        <v>18</v>
      </c>
      <c r="F833" t="s">
        <v>11</v>
      </c>
      <c r="G833">
        <v>4</v>
      </c>
      <c r="H833" s="2">
        <v>300</v>
      </c>
      <c r="I833" s="2">
        <v>1200</v>
      </c>
      <c r="J833" s="1" t="str">
        <f>IF(
   Sales_Performance[[#This Row],[Date]] = _xlfn.MINIFS(Sales_Performance[Date],Sales_Performance[Customer ID],Sales_Performance[[#This Row],[Customer ID]]),
   "New Customer",
   "Returning Customer"
)</f>
        <v>New Customer</v>
      </c>
    </row>
    <row r="834" spans="1:10" x14ac:dyDescent="0.35">
      <c r="A834" t="s">
        <v>1310</v>
      </c>
      <c r="B834" s="1">
        <v>44970</v>
      </c>
      <c r="C834" t="s">
        <v>1327</v>
      </c>
      <c r="D834" t="s">
        <v>15</v>
      </c>
      <c r="E834">
        <v>63</v>
      </c>
      <c r="F834" t="s">
        <v>16</v>
      </c>
      <c r="G834">
        <v>3</v>
      </c>
      <c r="H834" s="2">
        <v>25</v>
      </c>
      <c r="I834" s="2">
        <v>75</v>
      </c>
      <c r="J834" s="1" t="str">
        <f>IF(
   Sales_Performance[[#This Row],[Date]] = _xlfn.MINIFS(Sales_Performance[Date],Sales_Performance[Customer ID],Sales_Performance[[#This Row],[Customer ID]]),
   "New Customer",
   "Returning Customer"
)</f>
        <v>New Customer</v>
      </c>
    </row>
    <row r="835" spans="1:10" x14ac:dyDescent="0.35">
      <c r="A835" t="s">
        <v>792</v>
      </c>
      <c r="B835" s="1">
        <v>45050</v>
      </c>
      <c r="C835" t="s">
        <v>902</v>
      </c>
      <c r="D835" t="s">
        <v>10</v>
      </c>
      <c r="E835">
        <v>32</v>
      </c>
      <c r="F835" t="s">
        <v>16</v>
      </c>
      <c r="G835">
        <v>2</v>
      </c>
      <c r="H835" s="2">
        <v>25</v>
      </c>
      <c r="I835" s="2">
        <v>50</v>
      </c>
      <c r="J835" s="1" t="str">
        <f>IF(
   Sales_Performance[[#This Row],[Date]] = _xlfn.MINIFS(Sales_Performance[Date],Sales_Performance[Customer ID],Sales_Performance[[#This Row],[Customer ID]]),
   "New Customer",
   "Returning Customer"
)</f>
        <v>New Customer</v>
      </c>
    </row>
    <row r="836" spans="1:10" x14ac:dyDescent="0.35">
      <c r="A836" t="s">
        <v>942</v>
      </c>
      <c r="B836" s="1">
        <v>44963</v>
      </c>
      <c r="C836" t="s">
        <v>1419</v>
      </c>
      <c r="D836" t="s">
        <v>10</v>
      </c>
      <c r="E836">
        <v>31</v>
      </c>
      <c r="F836" t="s">
        <v>16</v>
      </c>
      <c r="G836">
        <v>3</v>
      </c>
      <c r="H836" s="2">
        <v>50</v>
      </c>
      <c r="I836" s="2">
        <v>150</v>
      </c>
      <c r="J836" s="1" t="str">
        <f>IF(
   Sales_Performance[[#This Row],[Date]] = _xlfn.MINIFS(Sales_Performance[Date],Sales_Performance[Customer ID],Sales_Performance[[#This Row],[Customer ID]]),
   "New Customer",
   "Returning Customer"
)</f>
        <v>New Customer</v>
      </c>
    </row>
    <row r="837" spans="1:10" x14ac:dyDescent="0.35">
      <c r="A837" t="s">
        <v>564</v>
      </c>
      <c r="B837" s="1">
        <v>45135</v>
      </c>
      <c r="C837" t="s">
        <v>1383</v>
      </c>
      <c r="D837" t="s">
        <v>15</v>
      </c>
      <c r="E837">
        <v>26</v>
      </c>
      <c r="F837" t="s">
        <v>18</v>
      </c>
      <c r="G837">
        <v>2</v>
      </c>
      <c r="H837" s="2">
        <v>500</v>
      </c>
      <c r="I837" s="2">
        <v>1000</v>
      </c>
      <c r="J837" s="1" t="str">
        <f>IF(
   Sales_Performance[[#This Row],[Date]] = _xlfn.MINIFS(Sales_Performance[Date],Sales_Performance[Customer ID],Sales_Performance[[#This Row],[Customer ID]]),
   "New Customer",
   "Returning Customer"
)</f>
        <v>Returning Customer</v>
      </c>
    </row>
    <row r="838" spans="1:10" x14ac:dyDescent="0.35">
      <c r="A838" t="s">
        <v>1112</v>
      </c>
      <c r="B838" s="1">
        <v>45177</v>
      </c>
      <c r="C838" t="s">
        <v>1256</v>
      </c>
      <c r="D838" t="s">
        <v>10</v>
      </c>
      <c r="E838">
        <v>32</v>
      </c>
      <c r="F838" t="s">
        <v>11</v>
      </c>
      <c r="G838">
        <v>2</v>
      </c>
      <c r="H838" s="2">
        <v>25</v>
      </c>
      <c r="I838" s="2">
        <v>50</v>
      </c>
      <c r="J838" s="1" t="str">
        <f>IF(
   Sales_Performance[[#This Row],[Date]] = _xlfn.MINIFS(Sales_Performance[Date],Sales_Performance[Customer ID],Sales_Performance[[#This Row],[Customer ID]]),
   "New Customer",
   "Returning Customer"
)</f>
        <v>New Customer</v>
      </c>
    </row>
    <row r="839" spans="1:10" x14ac:dyDescent="0.35">
      <c r="A839" t="s">
        <v>1424</v>
      </c>
      <c r="B839" s="1">
        <v>45211</v>
      </c>
      <c r="C839" t="s">
        <v>438</v>
      </c>
      <c r="D839" t="s">
        <v>15</v>
      </c>
      <c r="E839">
        <v>41</v>
      </c>
      <c r="F839" t="s">
        <v>16</v>
      </c>
      <c r="G839">
        <v>1</v>
      </c>
      <c r="H839" s="2">
        <v>300</v>
      </c>
      <c r="I839" s="2">
        <v>300</v>
      </c>
      <c r="J839" s="1" t="str">
        <f>IF(
   Sales_Performance[[#This Row],[Date]] = _xlfn.MINIFS(Sales_Performance[Date],Sales_Performance[Customer ID],Sales_Performance[[#This Row],[Customer ID]]),
   "New Customer",
   "Returning Customer"
)</f>
        <v>New Customer</v>
      </c>
    </row>
    <row r="840" spans="1:10" x14ac:dyDescent="0.35">
      <c r="A840" t="s">
        <v>1045</v>
      </c>
      <c r="B840" s="1">
        <v>45050</v>
      </c>
      <c r="C840" t="s">
        <v>41</v>
      </c>
      <c r="D840" t="s">
        <v>10</v>
      </c>
      <c r="E840">
        <v>21</v>
      </c>
      <c r="F840" t="s">
        <v>18</v>
      </c>
      <c r="G840">
        <v>2</v>
      </c>
      <c r="H840" s="2">
        <v>500</v>
      </c>
      <c r="I840" s="2">
        <v>1000</v>
      </c>
      <c r="J840" s="1" t="str">
        <f>IF(
   Sales_Performance[[#This Row],[Date]] = _xlfn.MINIFS(Sales_Performance[Date],Sales_Performance[Customer ID],Sales_Performance[[#This Row],[Customer ID]]),
   "New Customer",
   "Returning Customer"
)</f>
        <v>New Customer</v>
      </c>
    </row>
    <row r="841" spans="1:10" x14ac:dyDescent="0.35">
      <c r="A841" t="s">
        <v>518</v>
      </c>
      <c r="B841" s="1">
        <v>45280</v>
      </c>
      <c r="C841" t="s">
        <v>1025</v>
      </c>
      <c r="D841" t="s">
        <v>10</v>
      </c>
      <c r="E841">
        <v>29</v>
      </c>
      <c r="F841" t="s">
        <v>16</v>
      </c>
      <c r="G841">
        <v>1</v>
      </c>
      <c r="H841" s="2">
        <v>50</v>
      </c>
      <c r="I841" s="2">
        <v>50</v>
      </c>
      <c r="J841" s="1" t="str">
        <f>IF(
   Sales_Performance[[#This Row],[Date]] = _xlfn.MINIFS(Sales_Performance[Date],Sales_Performance[Customer ID],Sales_Performance[[#This Row],[Customer ID]]),
   "New Customer",
   "Returning Customer"
)</f>
        <v>Returning Customer</v>
      </c>
    </row>
    <row r="842" spans="1:10" x14ac:dyDescent="0.35">
      <c r="A842" t="s">
        <v>884</v>
      </c>
      <c r="B842" s="1">
        <v>45170</v>
      </c>
      <c r="C842" t="s">
        <v>386</v>
      </c>
      <c r="D842" t="s">
        <v>10</v>
      </c>
      <c r="E842">
        <v>54</v>
      </c>
      <c r="F842" t="s">
        <v>18</v>
      </c>
      <c r="G842">
        <v>1</v>
      </c>
      <c r="H842" s="2">
        <v>25</v>
      </c>
      <c r="I842" s="2">
        <v>25</v>
      </c>
      <c r="J842" s="1" t="str">
        <f>IF(
   Sales_Performance[[#This Row],[Date]] = _xlfn.MINIFS(Sales_Performance[Date],Sales_Performance[Customer ID],Sales_Performance[[#This Row],[Customer ID]]),
   "New Customer",
   "Returning Customer"
)</f>
        <v>Returning Customer</v>
      </c>
    </row>
    <row r="843" spans="1:10" x14ac:dyDescent="0.35">
      <c r="A843" t="s">
        <v>1431</v>
      </c>
      <c r="B843" s="1">
        <v>45257</v>
      </c>
      <c r="C843" t="s">
        <v>684</v>
      </c>
      <c r="D843" t="s">
        <v>10</v>
      </c>
      <c r="E843">
        <v>54</v>
      </c>
      <c r="F843" t="s">
        <v>11</v>
      </c>
      <c r="G843">
        <v>4</v>
      </c>
      <c r="H843" s="2">
        <v>30</v>
      </c>
      <c r="I843" s="2">
        <v>120</v>
      </c>
      <c r="J843" s="1" t="str">
        <f>IF(
   Sales_Performance[[#This Row],[Date]] = _xlfn.MINIFS(Sales_Performance[Date],Sales_Performance[Customer ID],Sales_Performance[[#This Row],[Customer ID]]),
   "New Customer",
   "Returning Customer"
)</f>
        <v>Returning Customer</v>
      </c>
    </row>
    <row r="844" spans="1:10" x14ac:dyDescent="0.35">
      <c r="A844" t="s">
        <v>501</v>
      </c>
      <c r="B844" s="1">
        <v>45291</v>
      </c>
      <c r="C844" t="s">
        <v>883</v>
      </c>
      <c r="D844" t="s">
        <v>10</v>
      </c>
      <c r="E844">
        <v>60</v>
      </c>
      <c r="F844" t="s">
        <v>11</v>
      </c>
      <c r="G844">
        <v>2</v>
      </c>
      <c r="H844" s="2">
        <v>25</v>
      </c>
      <c r="I844" s="2">
        <v>50</v>
      </c>
      <c r="J844" s="1" t="str">
        <f>IF(
   Sales_Performance[[#This Row],[Date]] = _xlfn.MINIFS(Sales_Performance[Date],Sales_Performance[Customer ID],Sales_Performance[[#This Row],[Customer ID]]),
   "New Customer",
   "Returning Customer"
)</f>
        <v>Returning Customer</v>
      </c>
    </row>
    <row r="845" spans="1:10" x14ac:dyDescent="0.35">
      <c r="A845" t="s">
        <v>1172</v>
      </c>
      <c r="B845" s="1">
        <v>45178</v>
      </c>
      <c r="C845" t="s">
        <v>909</v>
      </c>
      <c r="D845" t="s">
        <v>10</v>
      </c>
      <c r="E845">
        <v>23</v>
      </c>
      <c r="F845" t="s">
        <v>11</v>
      </c>
      <c r="G845">
        <v>2</v>
      </c>
      <c r="H845" s="2">
        <v>50</v>
      </c>
      <c r="I845" s="2">
        <v>100</v>
      </c>
      <c r="J845" s="1" t="str">
        <f>IF(
   Sales_Performance[[#This Row],[Date]] = _xlfn.MINIFS(Sales_Performance[Date],Sales_Performance[Customer ID],Sales_Performance[[#This Row],[Customer ID]]),
   "New Customer",
   "Returning Customer"
)</f>
        <v>Returning Customer</v>
      </c>
    </row>
    <row r="846" spans="1:10" x14ac:dyDescent="0.35">
      <c r="A846" t="s">
        <v>862</v>
      </c>
      <c r="B846" s="1">
        <v>45156</v>
      </c>
      <c r="C846" t="s">
        <v>1073</v>
      </c>
      <c r="D846" t="s">
        <v>15</v>
      </c>
      <c r="E846">
        <v>56</v>
      </c>
      <c r="F846" t="s">
        <v>11</v>
      </c>
      <c r="G846">
        <v>3</v>
      </c>
      <c r="H846" s="2">
        <v>500</v>
      </c>
      <c r="I846" s="2">
        <v>1500</v>
      </c>
      <c r="J846" s="1" t="str">
        <f>IF(
   Sales_Performance[[#This Row],[Date]] = _xlfn.MINIFS(Sales_Performance[Date],Sales_Performance[Customer ID],Sales_Performance[[#This Row],[Customer ID]]),
   "New Customer",
   "Returning Customer"
)</f>
        <v>New Customer</v>
      </c>
    </row>
    <row r="847" spans="1:10" x14ac:dyDescent="0.35">
      <c r="A847" t="s">
        <v>1230</v>
      </c>
      <c r="B847" s="1">
        <v>45238</v>
      </c>
      <c r="C847" t="s">
        <v>41</v>
      </c>
      <c r="D847" t="s">
        <v>10</v>
      </c>
      <c r="E847">
        <v>19</v>
      </c>
      <c r="F847" t="s">
        <v>18</v>
      </c>
      <c r="G847">
        <v>3</v>
      </c>
      <c r="H847" s="2">
        <v>30</v>
      </c>
      <c r="I847" s="2">
        <v>90</v>
      </c>
      <c r="J847" s="1" t="str">
        <f>IF(
   Sales_Performance[[#This Row],[Date]] = _xlfn.MINIFS(Sales_Performance[Date],Sales_Performance[Customer ID],Sales_Performance[[#This Row],[Customer ID]]),
   "New Customer",
   "Returning Customer"
)</f>
        <v>Returning Customer</v>
      </c>
    </row>
    <row r="848" spans="1:10" x14ac:dyDescent="0.35">
      <c r="A848" t="s">
        <v>698</v>
      </c>
      <c r="B848" s="1">
        <v>44935</v>
      </c>
      <c r="C848" t="s">
        <v>211</v>
      </c>
      <c r="D848" t="s">
        <v>10</v>
      </c>
      <c r="E848">
        <v>63</v>
      </c>
      <c r="F848" t="s">
        <v>16</v>
      </c>
      <c r="G848">
        <v>4</v>
      </c>
      <c r="H848" s="2">
        <v>50</v>
      </c>
      <c r="I848" s="2">
        <v>200</v>
      </c>
      <c r="J848" s="1" t="str">
        <f>IF(
   Sales_Performance[[#This Row],[Date]] = _xlfn.MINIFS(Sales_Performance[Date],Sales_Performance[Customer ID],Sales_Performance[[#This Row],[Customer ID]]),
   "New Customer",
   "Returning Customer"
)</f>
        <v>New Customer</v>
      </c>
    </row>
    <row r="849" spans="1:10" x14ac:dyDescent="0.35">
      <c r="A849" t="s">
        <v>973</v>
      </c>
      <c r="B849" s="1">
        <v>44974</v>
      </c>
      <c r="C849" t="s">
        <v>191</v>
      </c>
      <c r="D849" t="s">
        <v>15</v>
      </c>
      <c r="E849">
        <v>41</v>
      </c>
      <c r="F849" t="s">
        <v>16</v>
      </c>
      <c r="G849">
        <v>3</v>
      </c>
      <c r="H849" s="2">
        <v>30</v>
      </c>
      <c r="I849" s="2">
        <v>90</v>
      </c>
      <c r="J849" s="1" t="str">
        <f>IF(
   Sales_Performance[[#This Row],[Date]] = _xlfn.MINIFS(Sales_Performance[Date],Sales_Performance[Customer ID],Sales_Performance[[#This Row],[Customer ID]]),
   "New Customer",
   "Returning Customer"
)</f>
        <v>New Customer</v>
      </c>
    </row>
    <row r="850" spans="1:10" x14ac:dyDescent="0.35">
      <c r="A850" t="s">
        <v>33</v>
      </c>
      <c r="B850" s="1">
        <v>45077</v>
      </c>
      <c r="C850" t="s">
        <v>1122</v>
      </c>
      <c r="D850" t="s">
        <v>10</v>
      </c>
      <c r="E850">
        <v>28</v>
      </c>
      <c r="F850" t="s">
        <v>11</v>
      </c>
      <c r="G850">
        <v>4</v>
      </c>
      <c r="H850" s="2">
        <v>300</v>
      </c>
      <c r="I850" s="2">
        <v>1200</v>
      </c>
      <c r="J850" s="1" t="str">
        <f>IF(
   Sales_Performance[[#This Row],[Date]] = _xlfn.MINIFS(Sales_Performance[Date],Sales_Performance[Customer ID],Sales_Performance[[#This Row],[Customer ID]]),
   "New Customer",
   "Returning Customer"
)</f>
        <v>New Customer</v>
      </c>
    </row>
    <row r="851" spans="1:10" x14ac:dyDescent="0.35">
      <c r="A851" t="s">
        <v>754</v>
      </c>
      <c r="B851" s="1">
        <v>45040</v>
      </c>
      <c r="C851" t="s">
        <v>918</v>
      </c>
      <c r="D851" t="s">
        <v>15</v>
      </c>
      <c r="E851">
        <v>30</v>
      </c>
      <c r="F851" t="s">
        <v>11</v>
      </c>
      <c r="G851">
        <v>2</v>
      </c>
      <c r="H851" s="2">
        <v>25</v>
      </c>
      <c r="I851" s="2">
        <v>50</v>
      </c>
      <c r="J851" s="1" t="str">
        <f>IF(
   Sales_Performance[[#This Row],[Date]] = _xlfn.MINIFS(Sales_Performance[Date],Sales_Performance[Customer ID],Sales_Performance[[#This Row],[Customer ID]]),
   "New Customer",
   "Returning Customer"
)</f>
        <v>Returning Customer</v>
      </c>
    </row>
    <row r="852" spans="1:10" x14ac:dyDescent="0.35">
      <c r="A852" t="s">
        <v>394</v>
      </c>
      <c r="B852" s="1">
        <v>45134</v>
      </c>
      <c r="C852" t="s">
        <v>1140</v>
      </c>
      <c r="D852" t="s">
        <v>15</v>
      </c>
      <c r="E852">
        <v>51</v>
      </c>
      <c r="F852" t="s">
        <v>11</v>
      </c>
      <c r="G852">
        <v>1</v>
      </c>
      <c r="H852" s="2">
        <v>500</v>
      </c>
      <c r="I852" s="2">
        <v>500</v>
      </c>
      <c r="J852" s="1" t="str">
        <f>IF(
   Sales_Performance[[#This Row],[Date]] = _xlfn.MINIFS(Sales_Performance[Date],Sales_Performance[Customer ID],Sales_Performance[[#This Row],[Customer ID]]),
   "New Customer",
   "Returning Customer"
)</f>
        <v>New Customer</v>
      </c>
    </row>
    <row r="853" spans="1:10" x14ac:dyDescent="0.35">
      <c r="A853" t="s">
        <v>102</v>
      </c>
      <c r="B853" s="1">
        <v>45281</v>
      </c>
      <c r="C853" t="s">
        <v>1261</v>
      </c>
      <c r="D853" t="s">
        <v>15</v>
      </c>
      <c r="E853">
        <v>42</v>
      </c>
      <c r="F853" t="s">
        <v>16</v>
      </c>
      <c r="G853">
        <v>1</v>
      </c>
      <c r="H853" s="2">
        <v>300</v>
      </c>
      <c r="I853" s="2">
        <v>300</v>
      </c>
      <c r="J853" s="1" t="str">
        <f>IF(
   Sales_Performance[[#This Row],[Date]] = _xlfn.MINIFS(Sales_Performance[Date],Sales_Performance[Customer ID],Sales_Performance[[#This Row],[Customer ID]]),
   "New Customer",
   "Returning Customer"
)</f>
        <v>Returning Customer</v>
      </c>
    </row>
    <row r="854" spans="1:10" x14ac:dyDescent="0.35">
      <c r="A854" t="s">
        <v>265</v>
      </c>
      <c r="B854" s="1">
        <v>45051</v>
      </c>
      <c r="C854" t="s">
        <v>821</v>
      </c>
      <c r="D854" t="s">
        <v>10</v>
      </c>
      <c r="E854">
        <v>24</v>
      </c>
      <c r="F854" t="s">
        <v>11</v>
      </c>
      <c r="G854">
        <v>1</v>
      </c>
      <c r="H854" s="2">
        <v>50</v>
      </c>
      <c r="I854" s="2">
        <v>50</v>
      </c>
      <c r="J854" s="1" t="str">
        <f>IF(
   Sales_Performance[[#This Row],[Date]] = _xlfn.MINIFS(Sales_Performance[Date],Sales_Performance[Customer ID],Sales_Performance[[#This Row],[Customer ID]]),
   "New Customer",
   "Returning Customer"
)</f>
        <v>New Customer</v>
      </c>
    </row>
    <row r="855" spans="1:10" x14ac:dyDescent="0.35">
      <c r="A855" t="s">
        <v>1010</v>
      </c>
      <c r="B855" s="1">
        <v>45083</v>
      </c>
      <c r="C855" t="s">
        <v>563</v>
      </c>
      <c r="D855" t="s">
        <v>10</v>
      </c>
      <c r="E855">
        <v>21</v>
      </c>
      <c r="F855" t="s">
        <v>11</v>
      </c>
      <c r="G855">
        <v>1</v>
      </c>
      <c r="H855" s="2">
        <v>500</v>
      </c>
      <c r="I855" s="2">
        <v>500</v>
      </c>
      <c r="J855" s="1" t="str">
        <f>IF(
   Sales_Performance[[#This Row],[Date]] = _xlfn.MINIFS(Sales_Performance[Date],Sales_Performance[Customer ID],Sales_Performance[[#This Row],[Customer ID]]),
   "New Customer",
   "Returning Customer"
)</f>
        <v>New Customer</v>
      </c>
    </row>
    <row r="856" spans="1:10" x14ac:dyDescent="0.35">
      <c r="A856" t="s">
        <v>1060</v>
      </c>
      <c r="B856" s="1">
        <v>45266</v>
      </c>
      <c r="C856" t="s">
        <v>1220</v>
      </c>
      <c r="D856" t="s">
        <v>15</v>
      </c>
      <c r="E856">
        <v>25</v>
      </c>
      <c r="F856" t="s">
        <v>11</v>
      </c>
      <c r="G856">
        <v>1</v>
      </c>
      <c r="H856" s="2">
        <v>300</v>
      </c>
      <c r="I856" s="2">
        <v>300</v>
      </c>
      <c r="J856" s="1" t="str">
        <f>IF(
   Sales_Performance[[#This Row],[Date]] = _xlfn.MINIFS(Sales_Performance[Date],Sales_Performance[Customer ID],Sales_Performance[[#This Row],[Customer ID]]),
   "New Customer",
   "Returning Customer"
)</f>
        <v>Returning Customer</v>
      </c>
    </row>
    <row r="857" spans="1:10" x14ac:dyDescent="0.35">
      <c r="A857" t="s">
        <v>645</v>
      </c>
      <c r="B857" s="1">
        <v>45224</v>
      </c>
      <c r="C857" t="s">
        <v>983</v>
      </c>
      <c r="D857" t="s">
        <v>10</v>
      </c>
      <c r="E857">
        <v>37</v>
      </c>
      <c r="F857" t="s">
        <v>18</v>
      </c>
      <c r="G857">
        <v>3</v>
      </c>
      <c r="H857" s="2">
        <v>500</v>
      </c>
      <c r="I857" s="2">
        <v>1500</v>
      </c>
      <c r="J857" s="1" t="str">
        <f>IF(
   Sales_Performance[[#This Row],[Date]] = _xlfn.MINIFS(Sales_Performance[Date],Sales_Performance[Customer ID],Sales_Performance[[#This Row],[Customer ID]]),
   "New Customer",
   "Returning Customer"
)</f>
        <v>Returning Customer</v>
      </c>
    </row>
    <row r="858" spans="1:10" x14ac:dyDescent="0.35">
      <c r="A858" t="s">
        <v>906</v>
      </c>
      <c r="B858" s="1">
        <v>45252</v>
      </c>
      <c r="C858" t="s">
        <v>1475</v>
      </c>
      <c r="D858" t="s">
        <v>15</v>
      </c>
      <c r="E858">
        <v>28</v>
      </c>
      <c r="F858" t="s">
        <v>18</v>
      </c>
      <c r="G858">
        <v>2</v>
      </c>
      <c r="H858" s="2">
        <v>50</v>
      </c>
      <c r="I858" s="2">
        <v>100</v>
      </c>
      <c r="J858" s="1" t="str">
        <f>IF(
   Sales_Performance[[#This Row],[Date]] = _xlfn.MINIFS(Sales_Performance[Date],Sales_Performance[Customer ID],Sales_Performance[[#This Row],[Customer ID]]),
   "New Customer",
   "Returning Customer"
)</f>
        <v>New Customer</v>
      </c>
    </row>
    <row r="859" spans="1:10" x14ac:dyDescent="0.35">
      <c r="A859" t="s">
        <v>615</v>
      </c>
      <c r="B859" s="1">
        <v>45115</v>
      </c>
      <c r="C859" t="s">
        <v>55</v>
      </c>
      <c r="D859" t="s">
        <v>15</v>
      </c>
      <c r="E859">
        <v>46</v>
      </c>
      <c r="F859" t="s">
        <v>11</v>
      </c>
      <c r="G859">
        <v>4</v>
      </c>
      <c r="H859" s="2">
        <v>30</v>
      </c>
      <c r="I859" s="2">
        <v>120</v>
      </c>
      <c r="J859" s="1" t="str">
        <f>IF(
   Sales_Performance[[#This Row],[Date]] = _xlfn.MINIFS(Sales_Performance[Date],Sales_Performance[Customer ID],Sales_Performance[[#This Row],[Customer ID]]),
   "New Customer",
   "Returning Customer"
)</f>
        <v>Returning Customer</v>
      </c>
    </row>
    <row r="860" spans="1:10" x14ac:dyDescent="0.35">
      <c r="A860" t="s">
        <v>567</v>
      </c>
      <c r="B860" s="1">
        <v>45169</v>
      </c>
      <c r="C860" t="s">
        <v>436</v>
      </c>
      <c r="D860" t="s">
        <v>10</v>
      </c>
      <c r="E860">
        <v>62</v>
      </c>
      <c r="F860" t="s">
        <v>18</v>
      </c>
      <c r="G860">
        <v>2</v>
      </c>
      <c r="H860" s="2">
        <v>30</v>
      </c>
      <c r="I860" s="2">
        <v>60</v>
      </c>
      <c r="J860" s="1" t="str">
        <f>IF(
   Sales_Performance[[#This Row],[Date]] = _xlfn.MINIFS(Sales_Performance[Date],Sales_Performance[Customer ID],Sales_Performance[[#This Row],[Customer ID]]),
   "New Customer",
   "Returning Customer"
)</f>
        <v>New Customer</v>
      </c>
    </row>
    <row r="861" spans="1:10" x14ac:dyDescent="0.35">
      <c r="A861" t="s">
        <v>757</v>
      </c>
      <c r="B861" s="1">
        <v>45210</v>
      </c>
      <c r="C861" t="s">
        <v>222</v>
      </c>
      <c r="D861" t="s">
        <v>15</v>
      </c>
      <c r="E861">
        <v>63</v>
      </c>
      <c r="F861" t="s">
        <v>18</v>
      </c>
      <c r="G861">
        <v>3</v>
      </c>
      <c r="H861" s="2">
        <v>25</v>
      </c>
      <c r="I861" s="2">
        <v>75</v>
      </c>
      <c r="J861" s="1" t="str">
        <f>IF(
   Sales_Performance[[#This Row],[Date]] = _xlfn.MINIFS(Sales_Performance[Date],Sales_Performance[Customer ID],Sales_Performance[[#This Row],[Customer ID]]),
   "New Customer",
   "Returning Customer"
)</f>
        <v>Returning Customer</v>
      </c>
    </row>
    <row r="862" spans="1:10" x14ac:dyDescent="0.35">
      <c r="A862" t="s">
        <v>572</v>
      </c>
      <c r="B862" s="1">
        <v>45198</v>
      </c>
      <c r="C862" t="s">
        <v>922</v>
      </c>
      <c r="D862" t="s">
        <v>15</v>
      </c>
      <c r="E862">
        <v>27</v>
      </c>
      <c r="F862" t="s">
        <v>11</v>
      </c>
      <c r="G862">
        <v>4</v>
      </c>
      <c r="H862" s="2">
        <v>25</v>
      </c>
      <c r="I862" s="2">
        <v>100</v>
      </c>
      <c r="J862" s="1" t="str">
        <f>IF(
   Sales_Performance[[#This Row],[Date]] = _xlfn.MINIFS(Sales_Performance[Date],Sales_Performance[Customer ID],Sales_Performance[[#This Row],[Customer ID]]),
   "New Customer",
   "Returning Customer"
)</f>
        <v>Returning Customer</v>
      </c>
    </row>
    <row r="863" spans="1:10" x14ac:dyDescent="0.35">
      <c r="A863" t="s">
        <v>644</v>
      </c>
      <c r="B863" s="1">
        <v>45103</v>
      </c>
      <c r="C863" t="s">
        <v>773</v>
      </c>
      <c r="D863" t="s">
        <v>10</v>
      </c>
      <c r="E863">
        <v>60</v>
      </c>
      <c r="F863" t="s">
        <v>18</v>
      </c>
      <c r="G863">
        <v>1</v>
      </c>
      <c r="H863" s="2">
        <v>30</v>
      </c>
      <c r="I863" s="2">
        <v>30</v>
      </c>
      <c r="J863" s="1" t="str">
        <f>IF(
   Sales_Performance[[#This Row],[Date]] = _xlfn.MINIFS(Sales_Performance[Date],Sales_Performance[Customer ID],Sales_Performance[[#This Row],[Customer ID]]),
   "New Customer",
   "Returning Customer"
)</f>
        <v>New Customer</v>
      </c>
    </row>
    <row r="864" spans="1:10" x14ac:dyDescent="0.35">
      <c r="A864" t="s">
        <v>280</v>
      </c>
      <c r="B864" s="1">
        <v>45144</v>
      </c>
      <c r="C864" t="s">
        <v>168</v>
      </c>
      <c r="D864" t="s">
        <v>15</v>
      </c>
      <c r="E864">
        <v>51</v>
      </c>
      <c r="F864" t="s">
        <v>11</v>
      </c>
      <c r="G864">
        <v>4</v>
      </c>
      <c r="H864" s="2">
        <v>500</v>
      </c>
      <c r="I864" s="2">
        <v>2000</v>
      </c>
      <c r="J864" s="1" t="str">
        <f>IF(
   Sales_Performance[[#This Row],[Date]] = _xlfn.MINIFS(Sales_Performance[Date],Sales_Performance[Customer ID],Sales_Performance[[#This Row],[Customer ID]]),
   "New Customer",
   "Returning Customer"
)</f>
        <v>New Customer</v>
      </c>
    </row>
    <row r="865" spans="1:10" x14ac:dyDescent="0.35">
      <c r="A865" t="s">
        <v>1105</v>
      </c>
      <c r="B865" s="1">
        <v>45208</v>
      </c>
      <c r="C865" t="s">
        <v>1376</v>
      </c>
      <c r="D865" t="s">
        <v>10</v>
      </c>
      <c r="E865">
        <v>43</v>
      </c>
      <c r="F865" t="s">
        <v>16</v>
      </c>
      <c r="G865">
        <v>4</v>
      </c>
      <c r="H865" s="2">
        <v>30</v>
      </c>
      <c r="I865" s="2">
        <v>120</v>
      </c>
      <c r="J865" s="1" t="str">
        <f>IF(
   Sales_Performance[[#This Row],[Date]] = _xlfn.MINIFS(Sales_Performance[Date],Sales_Performance[Customer ID],Sales_Performance[[#This Row],[Customer ID]]),
   "New Customer",
   "Returning Customer"
)</f>
        <v>Returning Customer</v>
      </c>
    </row>
    <row r="866" spans="1:10" x14ac:dyDescent="0.35">
      <c r="A866" t="s">
        <v>726</v>
      </c>
      <c r="B866" s="1">
        <v>45096</v>
      </c>
      <c r="C866" t="s">
        <v>648</v>
      </c>
      <c r="D866" t="s">
        <v>15</v>
      </c>
      <c r="E866">
        <v>58</v>
      </c>
      <c r="F866" t="s">
        <v>16</v>
      </c>
      <c r="G866">
        <v>1</v>
      </c>
      <c r="H866" s="2">
        <v>25</v>
      </c>
      <c r="I866" s="2">
        <v>25</v>
      </c>
      <c r="J866" s="1" t="str">
        <f>IF(
   Sales_Performance[[#This Row],[Date]] = _xlfn.MINIFS(Sales_Performance[Date],Sales_Performance[Customer ID],Sales_Performance[[#This Row],[Customer ID]]),
   "New Customer",
   "Returning Customer"
)</f>
        <v>Returning Customer</v>
      </c>
    </row>
    <row r="867" spans="1:10" x14ac:dyDescent="0.35">
      <c r="A867" t="s">
        <v>1107</v>
      </c>
      <c r="B867" s="1">
        <v>45107</v>
      </c>
      <c r="C867" t="s">
        <v>469</v>
      </c>
      <c r="D867" t="s">
        <v>15</v>
      </c>
      <c r="E867">
        <v>20</v>
      </c>
      <c r="F867" t="s">
        <v>16</v>
      </c>
      <c r="G867">
        <v>1</v>
      </c>
      <c r="H867" s="2">
        <v>30</v>
      </c>
      <c r="I867" s="2">
        <v>30</v>
      </c>
      <c r="J867" s="1" t="str">
        <f>IF(
   Sales_Performance[[#This Row],[Date]] = _xlfn.MINIFS(Sales_Performance[Date],Sales_Performance[Customer ID],Sales_Performance[[#This Row],[Customer ID]]),
   "New Customer",
   "Returning Customer"
)</f>
        <v>New Customer</v>
      </c>
    </row>
    <row r="868" spans="1:10" x14ac:dyDescent="0.35">
      <c r="A868" t="s">
        <v>1134</v>
      </c>
      <c r="B868" s="1">
        <v>45286</v>
      </c>
      <c r="C868" t="s">
        <v>271</v>
      </c>
      <c r="D868" t="s">
        <v>10</v>
      </c>
      <c r="E868">
        <v>23</v>
      </c>
      <c r="F868" t="s">
        <v>16</v>
      </c>
      <c r="G868">
        <v>1</v>
      </c>
      <c r="H868" s="2">
        <v>30</v>
      </c>
      <c r="I868" s="2">
        <v>30</v>
      </c>
      <c r="J868" s="1" t="str">
        <f>IF(
   Sales_Performance[[#This Row],[Date]] = _xlfn.MINIFS(Sales_Performance[Date],Sales_Performance[Customer ID],Sales_Performance[[#This Row],[Customer ID]]),
   "New Customer",
   "Returning Customer"
)</f>
        <v>New Customer</v>
      </c>
    </row>
    <row r="869" spans="1:10" x14ac:dyDescent="0.35">
      <c r="A869" t="s">
        <v>839</v>
      </c>
      <c r="B869" s="1">
        <v>45014</v>
      </c>
      <c r="C869" t="s">
        <v>1055</v>
      </c>
      <c r="D869" t="s">
        <v>10</v>
      </c>
      <c r="E869">
        <v>56</v>
      </c>
      <c r="F869" t="s">
        <v>16</v>
      </c>
      <c r="G869">
        <v>1</v>
      </c>
      <c r="H869" s="2">
        <v>500</v>
      </c>
      <c r="I869" s="2">
        <v>500</v>
      </c>
      <c r="J869" s="1" t="str">
        <f>IF(
   Sales_Performance[[#This Row],[Date]] = _xlfn.MINIFS(Sales_Performance[Date],Sales_Performance[Customer ID],Sales_Performance[[#This Row],[Customer ID]]),
   "New Customer",
   "Returning Customer"
)</f>
        <v>New Customer</v>
      </c>
    </row>
    <row r="870" spans="1:10" x14ac:dyDescent="0.35">
      <c r="A870" t="s">
        <v>1245</v>
      </c>
      <c r="B870" s="1">
        <v>45159</v>
      </c>
      <c r="C870" t="s">
        <v>220</v>
      </c>
      <c r="D870" t="s">
        <v>10</v>
      </c>
      <c r="E870">
        <v>22</v>
      </c>
      <c r="F870" t="s">
        <v>18</v>
      </c>
      <c r="G870">
        <v>2</v>
      </c>
      <c r="H870" s="2">
        <v>500</v>
      </c>
      <c r="I870" s="2">
        <v>1000</v>
      </c>
      <c r="J870" s="1" t="str">
        <f>IF(
   Sales_Performance[[#This Row],[Date]] = _xlfn.MINIFS(Sales_Performance[Date],Sales_Performance[Customer ID],Sales_Performance[[#This Row],[Customer ID]]),
   "New Customer",
   "Returning Customer"
)</f>
        <v>Returning Customer</v>
      </c>
    </row>
    <row r="871" spans="1:10" x14ac:dyDescent="0.35">
      <c r="A871" t="s">
        <v>1053</v>
      </c>
      <c r="B871" s="1">
        <v>45065</v>
      </c>
      <c r="C871" t="s">
        <v>847</v>
      </c>
      <c r="D871" t="s">
        <v>10</v>
      </c>
      <c r="E871">
        <v>22</v>
      </c>
      <c r="F871" t="s">
        <v>11</v>
      </c>
      <c r="G871">
        <v>1</v>
      </c>
      <c r="H871" s="2">
        <v>300</v>
      </c>
      <c r="I871" s="2">
        <v>300</v>
      </c>
      <c r="J871" s="1" t="str">
        <f>IF(
   Sales_Performance[[#This Row],[Date]] = _xlfn.MINIFS(Sales_Performance[Date],Sales_Performance[Customer ID],Sales_Performance[[#This Row],[Customer ID]]),
   "New Customer",
   "Returning Customer"
)</f>
        <v>New Customer</v>
      </c>
    </row>
    <row r="872" spans="1:10" x14ac:dyDescent="0.35">
      <c r="A872" t="s">
        <v>115</v>
      </c>
      <c r="B872" s="1">
        <v>45083</v>
      </c>
      <c r="C872" t="s">
        <v>445</v>
      </c>
      <c r="D872" t="s">
        <v>15</v>
      </c>
      <c r="E872">
        <v>64</v>
      </c>
      <c r="F872" t="s">
        <v>11</v>
      </c>
      <c r="G872">
        <v>2</v>
      </c>
      <c r="H872" s="2">
        <v>25</v>
      </c>
      <c r="I872" s="2">
        <v>50</v>
      </c>
      <c r="J872" s="1" t="str">
        <f>IF(
   Sales_Performance[[#This Row],[Date]] = _xlfn.MINIFS(Sales_Performance[Date],Sales_Performance[Customer ID],Sales_Performance[[#This Row],[Customer ID]]),
   "New Customer",
   "Returning Customer"
)</f>
        <v>New Customer</v>
      </c>
    </row>
    <row r="873" spans="1:10" x14ac:dyDescent="0.35">
      <c r="A873" t="s">
        <v>617</v>
      </c>
      <c r="B873" s="1">
        <v>45055</v>
      </c>
      <c r="C873" t="s">
        <v>1338</v>
      </c>
      <c r="D873" t="s">
        <v>10</v>
      </c>
      <c r="E873">
        <v>40</v>
      </c>
      <c r="F873" t="s">
        <v>11</v>
      </c>
      <c r="G873">
        <v>1</v>
      </c>
      <c r="H873" s="2">
        <v>500</v>
      </c>
      <c r="I873" s="2">
        <v>500</v>
      </c>
      <c r="J873" s="1" t="str">
        <f>IF(
   Sales_Performance[[#This Row],[Date]] = _xlfn.MINIFS(Sales_Performance[Date],Sales_Performance[Customer ID],Sales_Performance[[#This Row],[Customer ID]]),
   "New Customer",
   "Returning Customer"
)</f>
        <v>Returning Customer</v>
      </c>
    </row>
    <row r="874" spans="1:10" x14ac:dyDescent="0.35">
      <c r="A874" t="s">
        <v>493</v>
      </c>
      <c r="B874" s="1">
        <v>45045</v>
      </c>
      <c r="C874" t="s">
        <v>521</v>
      </c>
      <c r="D874" t="s">
        <v>15</v>
      </c>
      <c r="E874">
        <v>26</v>
      </c>
      <c r="F874" t="s">
        <v>16</v>
      </c>
      <c r="G874">
        <v>2</v>
      </c>
      <c r="H874" s="2">
        <v>30</v>
      </c>
      <c r="I874" s="2">
        <v>60</v>
      </c>
      <c r="J874" s="1" t="str">
        <f>IF(
   Sales_Performance[[#This Row],[Date]] = _xlfn.MINIFS(Sales_Performance[Date],Sales_Performance[Customer ID],Sales_Performance[[#This Row],[Customer ID]]),
   "New Customer",
   "Returning Customer"
)</f>
        <v>Returning Customer</v>
      </c>
    </row>
    <row r="875" spans="1:10" x14ac:dyDescent="0.35">
      <c r="A875" t="s">
        <v>686</v>
      </c>
      <c r="B875" s="1">
        <v>44988</v>
      </c>
      <c r="C875" t="s">
        <v>1505</v>
      </c>
      <c r="D875" t="s">
        <v>15</v>
      </c>
      <c r="E875">
        <v>52</v>
      </c>
      <c r="F875" t="s">
        <v>16</v>
      </c>
      <c r="G875">
        <v>4</v>
      </c>
      <c r="H875" s="2">
        <v>30</v>
      </c>
      <c r="I875" s="2">
        <v>120</v>
      </c>
      <c r="J875" s="1" t="str">
        <f>IF(
   Sales_Performance[[#This Row],[Date]] = _xlfn.MINIFS(Sales_Performance[Date],Sales_Performance[Customer ID],Sales_Performance[[#This Row],[Customer ID]]),
   "New Customer",
   "Returning Customer"
)</f>
        <v>Returning Customer</v>
      </c>
    </row>
    <row r="876" spans="1:10" x14ac:dyDescent="0.35">
      <c r="A876" t="s">
        <v>558</v>
      </c>
      <c r="B876" s="1">
        <v>45025</v>
      </c>
      <c r="C876" t="s">
        <v>924</v>
      </c>
      <c r="D876" t="s">
        <v>10</v>
      </c>
      <c r="E876">
        <v>37</v>
      </c>
      <c r="F876" t="s">
        <v>11</v>
      </c>
      <c r="G876">
        <v>3</v>
      </c>
      <c r="H876" s="2">
        <v>300</v>
      </c>
      <c r="I876" s="2">
        <v>900</v>
      </c>
      <c r="J876" s="1" t="str">
        <f>IF(
   Sales_Performance[[#This Row],[Date]] = _xlfn.MINIFS(Sales_Performance[Date],Sales_Performance[Customer ID],Sales_Performance[[#This Row],[Customer ID]]),
   "New Customer",
   "Returning Customer"
)</f>
        <v>Returning Customer</v>
      </c>
    </row>
    <row r="877" spans="1:10" x14ac:dyDescent="0.35">
      <c r="A877" t="s">
        <v>1259</v>
      </c>
      <c r="B877" s="1">
        <v>45088</v>
      </c>
      <c r="C877" t="s">
        <v>257</v>
      </c>
      <c r="D877" t="s">
        <v>10</v>
      </c>
      <c r="E877">
        <v>59</v>
      </c>
      <c r="F877" t="s">
        <v>16</v>
      </c>
      <c r="G877">
        <v>4</v>
      </c>
      <c r="H877" s="2">
        <v>25</v>
      </c>
      <c r="I877" s="2">
        <v>100</v>
      </c>
      <c r="J877" s="1" t="str">
        <f>IF(
   Sales_Performance[[#This Row],[Date]] = _xlfn.MINIFS(Sales_Performance[Date],Sales_Performance[Customer ID],Sales_Performance[[#This Row],[Customer ID]]),
   "New Customer",
   "Returning Customer"
)</f>
        <v>Returning Customer</v>
      </c>
    </row>
    <row r="878" spans="1:10" x14ac:dyDescent="0.35">
      <c r="A878" t="s">
        <v>387</v>
      </c>
      <c r="B878" s="1">
        <v>44988</v>
      </c>
      <c r="C878" t="s">
        <v>742</v>
      </c>
      <c r="D878" t="s">
        <v>15</v>
      </c>
      <c r="E878">
        <v>52</v>
      </c>
      <c r="F878" t="s">
        <v>11</v>
      </c>
      <c r="G878">
        <v>4</v>
      </c>
      <c r="H878" s="2">
        <v>25</v>
      </c>
      <c r="I878" s="2">
        <v>100</v>
      </c>
      <c r="J878" s="1" t="str">
        <f>IF(
   Sales_Performance[[#This Row],[Date]] = _xlfn.MINIFS(Sales_Performance[Date],Sales_Performance[Customer ID],Sales_Performance[[#This Row],[Customer ID]]),
   "New Customer",
   "Returning Customer"
)</f>
        <v>Returning Customer</v>
      </c>
    </row>
    <row r="879" spans="1:10" x14ac:dyDescent="0.35">
      <c r="A879" t="s">
        <v>779</v>
      </c>
      <c r="B879" s="1">
        <v>45201</v>
      </c>
      <c r="C879" t="s">
        <v>789</v>
      </c>
      <c r="D879" t="s">
        <v>15</v>
      </c>
      <c r="E879">
        <v>35</v>
      </c>
      <c r="F879" t="s">
        <v>11</v>
      </c>
      <c r="G879">
        <v>1</v>
      </c>
      <c r="H879" s="2">
        <v>50</v>
      </c>
      <c r="I879" s="2">
        <v>50</v>
      </c>
      <c r="J879" s="1" t="str">
        <f>IF(
   Sales_Performance[[#This Row],[Date]] = _xlfn.MINIFS(Sales_Performance[Date],Sales_Performance[Customer ID],Sales_Performance[[#This Row],[Customer ID]]),
   "New Customer",
   "Returning Customer"
)</f>
        <v>Returning Customer</v>
      </c>
    </row>
    <row r="880" spans="1:10" x14ac:dyDescent="0.35">
      <c r="A880" t="s">
        <v>1030</v>
      </c>
      <c r="B880" s="1">
        <v>45200</v>
      </c>
      <c r="C880" t="s">
        <v>22</v>
      </c>
      <c r="D880" t="s">
        <v>15</v>
      </c>
      <c r="E880">
        <v>55</v>
      </c>
      <c r="F880" t="s">
        <v>11</v>
      </c>
      <c r="G880">
        <v>4</v>
      </c>
      <c r="H880" s="2">
        <v>500</v>
      </c>
      <c r="I880" s="2">
        <v>2000</v>
      </c>
      <c r="J880" s="1" t="str">
        <f>IF(
   Sales_Performance[[#This Row],[Date]] = _xlfn.MINIFS(Sales_Performance[Date],Sales_Performance[Customer ID],Sales_Performance[[#This Row],[Customer ID]]),
   "New Customer",
   "Returning Customer"
)</f>
        <v>Returning Customer</v>
      </c>
    </row>
    <row r="881" spans="1:10" x14ac:dyDescent="0.35">
      <c r="A881" t="s">
        <v>912</v>
      </c>
      <c r="B881" s="1">
        <v>45280</v>
      </c>
      <c r="C881" t="s">
        <v>1031</v>
      </c>
      <c r="D881" t="s">
        <v>10</v>
      </c>
      <c r="E881">
        <v>34</v>
      </c>
      <c r="F881" t="s">
        <v>11</v>
      </c>
      <c r="G881">
        <v>2</v>
      </c>
      <c r="H881" s="2">
        <v>25</v>
      </c>
      <c r="I881" s="2">
        <v>50</v>
      </c>
      <c r="J881" s="1" t="str">
        <f>IF(
   Sales_Performance[[#This Row],[Date]] = _xlfn.MINIFS(Sales_Performance[Date],Sales_Performance[Customer ID],Sales_Performance[[#This Row],[Customer ID]]),
   "New Customer",
   "Returning Customer"
)</f>
        <v>Returning Customer</v>
      </c>
    </row>
    <row r="882" spans="1:10" x14ac:dyDescent="0.35">
      <c r="A882" t="s">
        <v>384</v>
      </c>
      <c r="B882" s="1">
        <v>45021</v>
      </c>
      <c r="C882" t="s">
        <v>222</v>
      </c>
      <c r="D882" t="s">
        <v>10</v>
      </c>
      <c r="E882">
        <v>41</v>
      </c>
      <c r="F882" t="s">
        <v>11</v>
      </c>
      <c r="G882">
        <v>3</v>
      </c>
      <c r="H882" s="2">
        <v>300</v>
      </c>
      <c r="I882" s="2">
        <v>900</v>
      </c>
      <c r="J882" s="1" t="str">
        <f>IF(
   Sales_Performance[[#This Row],[Date]] = _xlfn.MINIFS(Sales_Performance[Date],Sales_Performance[Customer ID],Sales_Performance[[#This Row],[Customer ID]]),
   "New Customer",
   "Returning Customer"
)</f>
        <v>New Customer</v>
      </c>
    </row>
    <row r="883" spans="1:10" x14ac:dyDescent="0.35">
      <c r="A883" t="s">
        <v>1387</v>
      </c>
      <c r="B883" s="1">
        <v>45025</v>
      </c>
      <c r="C883" t="s">
        <v>246</v>
      </c>
      <c r="D883" t="s">
        <v>10</v>
      </c>
      <c r="E883">
        <v>20</v>
      </c>
      <c r="F883" t="s">
        <v>11</v>
      </c>
      <c r="G883">
        <v>1</v>
      </c>
      <c r="H883" s="2">
        <v>50</v>
      </c>
      <c r="I883" s="2">
        <v>50</v>
      </c>
      <c r="J883" s="1" t="str">
        <f>IF(
   Sales_Performance[[#This Row],[Date]] = _xlfn.MINIFS(Sales_Performance[Date],Sales_Performance[Customer ID],Sales_Performance[[#This Row],[Customer ID]]),
   "New Customer",
   "Returning Customer"
)</f>
        <v>New Customer</v>
      </c>
    </row>
    <row r="884" spans="1:10" x14ac:dyDescent="0.35">
      <c r="A884" t="s">
        <v>358</v>
      </c>
      <c r="B884" s="1">
        <v>45037</v>
      </c>
      <c r="C884" t="s">
        <v>631</v>
      </c>
      <c r="D884" t="s">
        <v>10</v>
      </c>
      <c r="E884">
        <v>49</v>
      </c>
      <c r="F884" t="s">
        <v>11</v>
      </c>
      <c r="G884">
        <v>1</v>
      </c>
      <c r="H884" s="2">
        <v>50</v>
      </c>
      <c r="I884" s="2">
        <v>50</v>
      </c>
      <c r="J884" s="1" t="str">
        <f>IF(
   Sales_Performance[[#This Row],[Date]] = _xlfn.MINIFS(Sales_Performance[Date],Sales_Performance[Customer ID],Sales_Performance[[#This Row],[Customer ID]]),
   "New Customer",
   "Returning Customer"
)</f>
        <v>New Customer</v>
      </c>
    </row>
    <row r="885" spans="1:10" x14ac:dyDescent="0.35">
      <c r="A885" t="s">
        <v>953</v>
      </c>
      <c r="B885" s="1">
        <v>45174</v>
      </c>
      <c r="C885" t="s">
        <v>390</v>
      </c>
      <c r="D885" t="s">
        <v>10</v>
      </c>
      <c r="E885">
        <v>52</v>
      </c>
      <c r="F885" t="s">
        <v>11</v>
      </c>
      <c r="G885">
        <v>1</v>
      </c>
      <c r="H885" s="2">
        <v>30</v>
      </c>
      <c r="I885" s="2">
        <v>30</v>
      </c>
      <c r="J885" s="1" t="str">
        <f>IF(
   Sales_Performance[[#This Row],[Date]] = _xlfn.MINIFS(Sales_Performance[Date],Sales_Performance[Customer ID],Sales_Performance[[#This Row],[Customer ID]]),
   "New Customer",
   "Returning Customer"
)</f>
        <v>New Customer</v>
      </c>
    </row>
    <row r="886" spans="1:10" x14ac:dyDescent="0.35">
      <c r="A886" t="s">
        <v>1307</v>
      </c>
      <c r="B886" s="1">
        <v>45068</v>
      </c>
      <c r="C886" t="s">
        <v>309</v>
      </c>
      <c r="D886" t="s">
        <v>15</v>
      </c>
      <c r="E886">
        <v>55</v>
      </c>
      <c r="F886" t="s">
        <v>16</v>
      </c>
      <c r="G886">
        <v>4</v>
      </c>
      <c r="H886" s="2">
        <v>30</v>
      </c>
      <c r="I886" s="2">
        <v>120</v>
      </c>
      <c r="J886" s="1" t="str">
        <f>IF(
   Sales_Performance[[#This Row],[Date]] = _xlfn.MINIFS(Sales_Performance[Date],Sales_Performance[Customer ID],Sales_Performance[[#This Row],[Customer ID]]),
   "New Customer",
   "Returning Customer"
)</f>
        <v>Returning Customer</v>
      </c>
    </row>
    <row r="887" spans="1:10" x14ac:dyDescent="0.35">
      <c r="A887" t="s">
        <v>1476</v>
      </c>
      <c r="B887" s="1">
        <v>45228</v>
      </c>
      <c r="C887" t="s">
        <v>1298</v>
      </c>
      <c r="D887" t="s">
        <v>15</v>
      </c>
      <c r="E887">
        <v>30</v>
      </c>
      <c r="F887" t="s">
        <v>11</v>
      </c>
      <c r="G887">
        <v>2</v>
      </c>
      <c r="H887" s="2">
        <v>25</v>
      </c>
      <c r="I887" s="2">
        <v>50</v>
      </c>
      <c r="J887" s="1" t="str">
        <f>IF(
   Sales_Performance[[#This Row],[Date]] = _xlfn.MINIFS(Sales_Performance[Date],Sales_Performance[Customer ID],Sales_Performance[[#This Row],[Customer ID]]),
   "New Customer",
   "Returning Customer"
)</f>
        <v>New Customer</v>
      </c>
    </row>
    <row r="888" spans="1:10" x14ac:dyDescent="0.35">
      <c r="A888" t="s">
        <v>38</v>
      </c>
      <c r="B888" s="1">
        <v>45195</v>
      </c>
      <c r="C888" t="s">
        <v>297</v>
      </c>
      <c r="D888" t="s">
        <v>15</v>
      </c>
      <c r="E888">
        <v>64</v>
      </c>
      <c r="F888" t="s">
        <v>11</v>
      </c>
      <c r="G888">
        <v>2</v>
      </c>
      <c r="H888" s="2">
        <v>50</v>
      </c>
      <c r="I888" s="2">
        <v>100</v>
      </c>
      <c r="J888" s="1" t="str">
        <f>IF(
   Sales_Performance[[#This Row],[Date]] = _xlfn.MINIFS(Sales_Performance[Date],Sales_Performance[Customer ID],Sales_Performance[[#This Row],[Customer ID]]),
   "New Customer",
   "Returning Customer"
)</f>
        <v>New Customer</v>
      </c>
    </row>
    <row r="889" spans="1:10" x14ac:dyDescent="0.35">
      <c r="A889" t="s">
        <v>986</v>
      </c>
      <c r="B889" s="1">
        <v>45232</v>
      </c>
      <c r="C889" t="s">
        <v>196</v>
      </c>
      <c r="D889" t="s">
        <v>15</v>
      </c>
      <c r="E889">
        <v>42</v>
      </c>
      <c r="F889" t="s">
        <v>16</v>
      </c>
      <c r="G889">
        <v>3</v>
      </c>
      <c r="H889" s="2">
        <v>30</v>
      </c>
      <c r="I889" s="2">
        <v>90</v>
      </c>
      <c r="J889" s="1" t="str">
        <f>IF(
   Sales_Performance[[#This Row],[Date]] = _xlfn.MINIFS(Sales_Performance[Date],Sales_Performance[Customer ID],Sales_Performance[[#This Row],[Customer ID]]),
   "New Customer",
   "Returning Customer"
)</f>
        <v>Returning Customer</v>
      </c>
    </row>
    <row r="890" spans="1:10" x14ac:dyDescent="0.35">
      <c r="A890" t="s">
        <v>1212</v>
      </c>
      <c r="B890" s="1">
        <v>45071</v>
      </c>
      <c r="C890" t="s">
        <v>1017</v>
      </c>
      <c r="D890" t="s">
        <v>10</v>
      </c>
      <c r="E890">
        <v>26</v>
      </c>
      <c r="F890" t="s">
        <v>16</v>
      </c>
      <c r="G890">
        <v>2</v>
      </c>
      <c r="H890" s="2">
        <v>300</v>
      </c>
      <c r="I890" s="2">
        <v>600</v>
      </c>
      <c r="J890" s="1" t="str">
        <f>IF(
   Sales_Performance[[#This Row],[Date]] = _xlfn.MINIFS(Sales_Performance[Date],Sales_Performance[Customer ID],Sales_Performance[[#This Row],[Customer ID]]),
   "New Customer",
   "Returning Customer"
)</f>
        <v>New Customer</v>
      </c>
    </row>
    <row r="891" spans="1:10" x14ac:dyDescent="0.35">
      <c r="A891" t="s">
        <v>1154</v>
      </c>
      <c r="B891" s="1">
        <v>45273</v>
      </c>
      <c r="C891" t="s">
        <v>107</v>
      </c>
      <c r="D891" t="s">
        <v>10</v>
      </c>
      <c r="E891">
        <v>63</v>
      </c>
      <c r="F891" t="s">
        <v>11</v>
      </c>
      <c r="G891">
        <v>2</v>
      </c>
      <c r="H891" s="2">
        <v>300</v>
      </c>
      <c r="I891" s="2">
        <v>600</v>
      </c>
      <c r="J891" s="1" t="str">
        <f>IF(
   Sales_Performance[[#This Row],[Date]] = _xlfn.MINIFS(Sales_Performance[Date],Sales_Performance[Customer ID],Sales_Performance[[#This Row],[Customer ID]]),
   "New Customer",
   "Returning Customer"
)</f>
        <v>New Customer</v>
      </c>
    </row>
    <row r="892" spans="1:10" x14ac:dyDescent="0.35">
      <c r="A892" t="s">
        <v>788</v>
      </c>
      <c r="B892" s="1">
        <v>45052</v>
      </c>
      <c r="C892" t="s">
        <v>1115</v>
      </c>
      <c r="D892" t="s">
        <v>15</v>
      </c>
      <c r="E892">
        <v>51</v>
      </c>
      <c r="F892" t="s">
        <v>11</v>
      </c>
      <c r="G892">
        <v>1</v>
      </c>
      <c r="H892" s="2">
        <v>30</v>
      </c>
      <c r="I892" s="2">
        <v>30</v>
      </c>
      <c r="J892" s="1" t="str">
        <f>IF(
   Sales_Performance[[#This Row],[Date]] = _xlfn.MINIFS(Sales_Performance[Date],Sales_Performance[Customer ID],Sales_Performance[[#This Row],[Customer ID]]),
   "New Customer",
   "Returning Customer"
)</f>
        <v>New Customer</v>
      </c>
    </row>
    <row r="893" spans="1:10" x14ac:dyDescent="0.35">
      <c r="A893" t="s">
        <v>1244</v>
      </c>
      <c r="B893" s="1">
        <v>44978</v>
      </c>
      <c r="C893" t="s">
        <v>109</v>
      </c>
      <c r="D893" t="s">
        <v>10</v>
      </c>
      <c r="E893">
        <v>21</v>
      </c>
      <c r="F893" t="s">
        <v>16</v>
      </c>
      <c r="G893">
        <v>2</v>
      </c>
      <c r="H893" s="2">
        <v>30</v>
      </c>
      <c r="I893" s="2">
        <v>60</v>
      </c>
      <c r="J893" s="1" t="str">
        <f>IF(
   Sales_Performance[[#This Row],[Date]] = _xlfn.MINIFS(Sales_Performance[Date],Sales_Performance[Customer ID],Sales_Performance[[#This Row],[Customer ID]]),
   "New Customer",
   "Returning Customer"
)</f>
        <v>New Customer</v>
      </c>
    </row>
    <row r="894" spans="1:10" x14ac:dyDescent="0.35">
      <c r="A894" t="s">
        <v>1079</v>
      </c>
      <c r="B894" s="1">
        <v>45026</v>
      </c>
      <c r="C894" t="s">
        <v>850</v>
      </c>
      <c r="D894" t="s">
        <v>10</v>
      </c>
      <c r="E894">
        <v>31</v>
      </c>
      <c r="F894" t="s">
        <v>11</v>
      </c>
      <c r="G894">
        <v>1</v>
      </c>
      <c r="H894" s="2">
        <v>30</v>
      </c>
      <c r="I894" s="2">
        <v>30</v>
      </c>
      <c r="J894" s="1" t="str">
        <f>IF(
   Sales_Performance[[#This Row],[Date]] = _xlfn.MINIFS(Sales_Performance[Date],Sales_Performance[Customer ID],Sales_Performance[[#This Row],[Customer ID]]),
   "New Customer",
   "Returning Customer"
)</f>
        <v>New Customer</v>
      </c>
    </row>
    <row r="895" spans="1:10" x14ac:dyDescent="0.35">
      <c r="A895" t="s">
        <v>1207</v>
      </c>
      <c r="B895" s="1">
        <v>45078</v>
      </c>
      <c r="C895" t="s">
        <v>427</v>
      </c>
      <c r="D895" t="s">
        <v>15</v>
      </c>
      <c r="E895">
        <v>54</v>
      </c>
      <c r="F895" t="s">
        <v>18</v>
      </c>
      <c r="G895">
        <v>1</v>
      </c>
      <c r="H895" s="2">
        <v>50</v>
      </c>
      <c r="I895" s="2">
        <v>50</v>
      </c>
      <c r="J895" s="1" t="str">
        <f>IF(
   Sales_Performance[[#This Row],[Date]] = _xlfn.MINIFS(Sales_Performance[Date],Sales_Performance[Customer ID],Sales_Performance[[#This Row],[Customer ID]]),
   "New Customer",
   "Returning Customer"
)</f>
        <v>Returning Customer</v>
      </c>
    </row>
    <row r="896" spans="1:10" x14ac:dyDescent="0.35">
      <c r="A896" t="s">
        <v>1188</v>
      </c>
      <c r="B896" s="1">
        <v>45043</v>
      </c>
      <c r="C896" t="s">
        <v>1127</v>
      </c>
      <c r="D896" t="s">
        <v>15</v>
      </c>
      <c r="E896">
        <v>51</v>
      </c>
      <c r="F896" t="s">
        <v>18</v>
      </c>
      <c r="G896">
        <v>4</v>
      </c>
      <c r="H896" s="2">
        <v>50</v>
      </c>
      <c r="I896" s="2">
        <v>200</v>
      </c>
      <c r="J896" s="1" t="str">
        <f>IF(
   Sales_Performance[[#This Row],[Date]] = _xlfn.MINIFS(Sales_Performance[Date],Sales_Performance[Customer ID],Sales_Performance[[#This Row],[Customer ID]]),
   "New Customer",
   "Returning Customer"
)</f>
        <v>New Customer</v>
      </c>
    </row>
    <row r="897" spans="1:10" x14ac:dyDescent="0.35">
      <c r="A897" t="s">
        <v>414</v>
      </c>
      <c r="B897" s="1">
        <v>45111</v>
      </c>
      <c r="C897" t="s">
        <v>255</v>
      </c>
      <c r="D897" t="s">
        <v>10</v>
      </c>
      <c r="E897">
        <v>28</v>
      </c>
      <c r="F897" t="s">
        <v>16</v>
      </c>
      <c r="G897">
        <v>1</v>
      </c>
      <c r="H897" s="2">
        <v>500</v>
      </c>
      <c r="I897" s="2">
        <v>500</v>
      </c>
      <c r="J897" s="1" t="str">
        <f>IF(
   Sales_Performance[[#This Row],[Date]] = _xlfn.MINIFS(Sales_Performance[Date],Sales_Performance[Customer ID],Sales_Performance[[#This Row],[Customer ID]]),
   "New Customer",
   "Returning Customer"
)</f>
        <v>New Customer</v>
      </c>
    </row>
    <row r="898" spans="1:10" x14ac:dyDescent="0.35">
      <c r="A898" t="s">
        <v>1482</v>
      </c>
      <c r="B898" s="1">
        <v>45018</v>
      </c>
      <c r="C898" t="s">
        <v>955</v>
      </c>
      <c r="D898" t="s">
        <v>10</v>
      </c>
      <c r="E898">
        <v>58</v>
      </c>
      <c r="F898" t="s">
        <v>18</v>
      </c>
      <c r="G898">
        <v>1</v>
      </c>
      <c r="H898" s="2">
        <v>300</v>
      </c>
      <c r="I898" s="2">
        <v>300</v>
      </c>
      <c r="J898" s="1" t="str">
        <f>IF(
   Sales_Performance[[#This Row],[Date]] = _xlfn.MINIFS(Sales_Performance[Date],Sales_Performance[Customer ID],Sales_Performance[[#This Row],[Customer ID]]),
   "New Customer",
   "Returning Customer"
)</f>
        <v>New Customer</v>
      </c>
    </row>
    <row r="899" spans="1:10" x14ac:dyDescent="0.35">
      <c r="A899" t="s">
        <v>161</v>
      </c>
      <c r="B899" s="1">
        <v>45081</v>
      </c>
      <c r="C899" t="s">
        <v>104</v>
      </c>
      <c r="D899" t="s">
        <v>15</v>
      </c>
      <c r="E899">
        <v>20</v>
      </c>
      <c r="F899" t="s">
        <v>16</v>
      </c>
      <c r="G899">
        <v>1</v>
      </c>
      <c r="H899" s="2">
        <v>50</v>
      </c>
      <c r="I899" s="2">
        <v>50</v>
      </c>
      <c r="J899" s="1" t="str">
        <f>IF(
   Sales_Performance[[#This Row],[Date]] = _xlfn.MINIFS(Sales_Performance[Date],Sales_Performance[Customer ID],Sales_Performance[[#This Row],[Customer ID]]),
   "New Customer",
   "Returning Customer"
)</f>
        <v>Returning Customer</v>
      </c>
    </row>
    <row r="900" spans="1:10" x14ac:dyDescent="0.35">
      <c r="A900" t="s">
        <v>177</v>
      </c>
      <c r="B900" s="1">
        <v>44934</v>
      </c>
      <c r="C900" t="s">
        <v>1294</v>
      </c>
      <c r="D900" t="s">
        <v>15</v>
      </c>
      <c r="E900">
        <v>45</v>
      </c>
      <c r="F900" t="s">
        <v>11</v>
      </c>
      <c r="G900">
        <v>1</v>
      </c>
      <c r="H900" s="2">
        <v>25</v>
      </c>
      <c r="I900" s="2">
        <v>25</v>
      </c>
      <c r="J900" s="1" t="str">
        <f>IF(
   Sales_Performance[[#This Row],[Date]] = _xlfn.MINIFS(Sales_Performance[Date],Sales_Performance[Customer ID],Sales_Performance[[#This Row],[Customer ID]]),
   "New Customer",
   "Returning Customer"
)</f>
        <v>New Customer</v>
      </c>
    </row>
    <row r="901" spans="1:10" x14ac:dyDescent="0.35">
      <c r="A901" t="s">
        <v>1270</v>
      </c>
      <c r="B901" s="1">
        <v>45289</v>
      </c>
      <c r="C901" t="s">
        <v>775</v>
      </c>
      <c r="D901" t="s">
        <v>10</v>
      </c>
      <c r="E901">
        <v>46</v>
      </c>
      <c r="F901" t="s">
        <v>18</v>
      </c>
      <c r="G901">
        <v>4</v>
      </c>
      <c r="H901" s="2">
        <v>300</v>
      </c>
      <c r="I901" s="2">
        <v>1200</v>
      </c>
      <c r="J901" s="1" t="str">
        <f>IF(
   Sales_Performance[[#This Row],[Date]] = _xlfn.MINIFS(Sales_Performance[Date],Sales_Performance[Customer ID],Sales_Performance[[#This Row],[Customer ID]]),
   "New Customer",
   "Returning Customer"
)</f>
        <v>Returning Customer</v>
      </c>
    </row>
    <row r="902" spans="1:10" x14ac:dyDescent="0.35">
      <c r="A902" t="s">
        <v>407</v>
      </c>
      <c r="B902" s="1">
        <v>45200</v>
      </c>
      <c r="C902" t="s">
        <v>72</v>
      </c>
      <c r="D902" t="s">
        <v>10</v>
      </c>
      <c r="E902">
        <v>26</v>
      </c>
      <c r="F902" t="s">
        <v>11</v>
      </c>
      <c r="G902">
        <v>1</v>
      </c>
      <c r="H902" s="2">
        <v>300</v>
      </c>
      <c r="I902" s="2">
        <v>300</v>
      </c>
      <c r="J902" s="1" t="str">
        <f>IF(
   Sales_Performance[[#This Row],[Date]] = _xlfn.MINIFS(Sales_Performance[Date],Sales_Performance[Customer ID],Sales_Performance[[#This Row],[Customer ID]]),
   "New Customer",
   "Returning Customer"
)</f>
        <v>Returning Customer</v>
      </c>
    </row>
    <row r="903" spans="1:10" x14ac:dyDescent="0.35">
      <c r="A903" t="s">
        <v>822</v>
      </c>
      <c r="B903" s="1">
        <v>45010</v>
      </c>
      <c r="C903" t="s">
        <v>971</v>
      </c>
      <c r="D903" t="s">
        <v>15</v>
      </c>
      <c r="E903">
        <v>55</v>
      </c>
      <c r="F903" t="s">
        <v>11</v>
      </c>
      <c r="G903">
        <v>1</v>
      </c>
      <c r="H903" s="2">
        <v>500</v>
      </c>
      <c r="I903" s="2">
        <v>500</v>
      </c>
      <c r="J903" s="1" t="str">
        <f>IF(
   Sales_Performance[[#This Row],[Date]] = _xlfn.MINIFS(Sales_Performance[Date],Sales_Performance[Customer ID],Sales_Performance[[#This Row],[Customer ID]]),
   "New Customer",
   "Returning Customer"
)</f>
        <v>Returning Customer</v>
      </c>
    </row>
    <row r="904" spans="1:10" x14ac:dyDescent="0.35">
      <c r="A904" t="s">
        <v>135</v>
      </c>
      <c r="B904" s="1">
        <v>44991</v>
      </c>
      <c r="C904" t="s">
        <v>1220</v>
      </c>
      <c r="D904" t="s">
        <v>15</v>
      </c>
      <c r="E904">
        <v>20</v>
      </c>
      <c r="F904" t="s">
        <v>18</v>
      </c>
      <c r="G904">
        <v>3</v>
      </c>
      <c r="H904" s="2">
        <v>50</v>
      </c>
      <c r="I904" s="2">
        <v>150</v>
      </c>
      <c r="J904" s="1" t="str">
        <f>IF(
   Sales_Performance[[#This Row],[Date]] = _xlfn.MINIFS(Sales_Performance[Date],Sales_Performance[Customer ID],Sales_Performance[[#This Row],[Customer ID]]),
   "New Customer",
   "Returning Customer"
)</f>
        <v>New Customer</v>
      </c>
    </row>
    <row r="905" spans="1:10" x14ac:dyDescent="0.35">
      <c r="A905" t="s">
        <v>160</v>
      </c>
      <c r="B905" s="1">
        <v>45067</v>
      </c>
      <c r="C905" t="s">
        <v>831</v>
      </c>
      <c r="D905" t="s">
        <v>10</v>
      </c>
      <c r="E905">
        <v>42</v>
      </c>
      <c r="F905" t="s">
        <v>11</v>
      </c>
      <c r="G905">
        <v>3</v>
      </c>
      <c r="H905" s="2">
        <v>300</v>
      </c>
      <c r="I905" s="2">
        <v>900</v>
      </c>
      <c r="J905" s="1" t="str">
        <f>IF(
   Sales_Performance[[#This Row],[Date]] = _xlfn.MINIFS(Sales_Performance[Date],Sales_Performance[Customer ID],Sales_Performance[[#This Row],[Customer ID]]),
   "New Customer",
   "Returning Customer"
)</f>
        <v>New Customer</v>
      </c>
    </row>
    <row r="906" spans="1:10" x14ac:dyDescent="0.35">
      <c r="A906" t="s">
        <v>235</v>
      </c>
      <c r="B906" s="1">
        <v>44950</v>
      </c>
      <c r="C906" t="s">
        <v>1261</v>
      </c>
      <c r="D906" t="s">
        <v>10</v>
      </c>
      <c r="E906">
        <v>51</v>
      </c>
      <c r="F906" t="s">
        <v>18</v>
      </c>
      <c r="G906">
        <v>3</v>
      </c>
      <c r="H906" s="2">
        <v>50</v>
      </c>
      <c r="I906" s="2">
        <v>150</v>
      </c>
      <c r="J906" s="1" t="str">
        <f>IF(
   Sales_Performance[[#This Row],[Date]] = _xlfn.MINIFS(Sales_Performance[Date],Sales_Performance[Customer ID],Sales_Performance[[#This Row],[Customer ID]]),
   "New Customer",
   "Returning Customer"
)</f>
        <v>New Customer</v>
      </c>
    </row>
    <row r="907" spans="1:10" x14ac:dyDescent="0.35">
      <c r="A907" t="s">
        <v>784</v>
      </c>
      <c r="B907" s="1">
        <v>44954</v>
      </c>
      <c r="C907" t="s">
        <v>965</v>
      </c>
      <c r="D907" t="s">
        <v>10</v>
      </c>
      <c r="E907">
        <v>29</v>
      </c>
      <c r="F907" t="s">
        <v>11</v>
      </c>
      <c r="G907">
        <v>3</v>
      </c>
      <c r="H907" s="2">
        <v>30</v>
      </c>
      <c r="I907" s="2">
        <v>90</v>
      </c>
      <c r="J907" s="1" t="str">
        <f>IF(
   Sales_Performance[[#This Row],[Date]] = _xlfn.MINIFS(Sales_Performance[Date],Sales_Performance[Customer ID],Sales_Performance[[#This Row],[Customer ID]]),
   "New Customer",
   "Returning Customer"
)</f>
        <v>New Customer</v>
      </c>
    </row>
    <row r="908" spans="1:10" x14ac:dyDescent="0.35">
      <c r="A908" t="s">
        <v>1267</v>
      </c>
      <c r="B908" s="1">
        <v>45210</v>
      </c>
      <c r="C908" t="s">
        <v>831</v>
      </c>
      <c r="D908" t="s">
        <v>15</v>
      </c>
      <c r="E908">
        <v>59</v>
      </c>
      <c r="F908" t="s">
        <v>11</v>
      </c>
      <c r="G908">
        <v>1</v>
      </c>
      <c r="H908" s="2">
        <v>500</v>
      </c>
      <c r="I908" s="2">
        <v>500</v>
      </c>
      <c r="J908" s="1" t="str">
        <f>IF(
   Sales_Performance[[#This Row],[Date]] = _xlfn.MINIFS(Sales_Performance[Date],Sales_Performance[Customer ID],Sales_Performance[[#This Row],[Customer ID]]),
   "New Customer",
   "Returning Customer"
)</f>
        <v>Returning Customer</v>
      </c>
    </row>
    <row r="909" spans="1:10" x14ac:dyDescent="0.35">
      <c r="A909" t="s">
        <v>573</v>
      </c>
      <c r="B909" s="1">
        <v>45076</v>
      </c>
      <c r="C909" t="s">
        <v>900</v>
      </c>
      <c r="D909" t="s">
        <v>15</v>
      </c>
      <c r="E909">
        <v>26</v>
      </c>
      <c r="F909" t="s">
        <v>18</v>
      </c>
      <c r="G909">
        <v>3</v>
      </c>
      <c r="H909" s="2">
        <v>30</v>
      </c>
      <c r="I909" s="2">
        <v>90</v>
      </c>
      <c r="J909" s="1" t="str">
        <f>IF(
   Sales_Performance[[#This Row],[Date]] = _xlfn.MINIFS(Sales_Performance[Date],Sales_Performance[Customer ID],Sales_Performance[[#This Row],[Customer ID]]),
   "New Customer",
   "Returning Customer"
)</f>
        <v>New Customer</v>
      </c>
    </row>
    <row r="910" spans="1:10" x14ac:dyDescent="0.35">
      <c r="A910" t="s">
        <v>1109</v>
      </c>
      <c r="B910" s="1">
        <v>45284</v>
      </c>
      <c r="C910" t="s">
        <v>533</v>
      </c>
      <c r="D910" t="s">
        <v>15</v>
      </c>
      <c r="E910">
        <v>32</v>
      </c>
      <c r="F910" t="s">
        <v>11</v>
      </c>
      <c r="G910">
        <v>1</v>
      </c>
      <c r="H910" s="2">
        <v>50</v>
      </c>
      <c r="I910" s="2">
        <v>50</v>
      </c>
      <c r="J910" s="1" t="str">
        <f>IF(
   Sales_Performance[[#This Row],[Date]] = _xlfn.MINIFS(Sales_Performance[Date],Sales_Performance[Customer ID],Sales_Performance[[#This Row],[Customer ID]]),
   "New Customer",
   "Returning Customer"
)</f>
        <v>Returning Customer</v>
      </c>
    </row>
    <row r="911" spans="1:10" x14ac:dyDescent="0.35">
      <c r="A911" t="s">
        <v>728</v>
      </c>
      <c r="B911" s="1">
        <v>44991</v>
      </c>
      <c r="C911" t="s">
        <v>1494</v>
      </c>
      <c r="D911" t="s">
        <v>15</v>
      </c>
      <c r="E911">
        <v>57</v>
      </c>
      <c r="F911" t="s">
        <v>11</v>
      </c>
      <c r="G911">
        <v>4</v>
      </c>
      <c r="H911" s="2">
        <v>50</v>
      </c>
      <c r="I911" s="2">
        <v>200</v>
      </c>
      <c r="J911" s="1" t="str">
        <f>IF(
   Sales_Performance[[#This Row],[Date]] = _xlfn.MINIFS(Sales_Performance[Date],Sales_Performance[Customer ID],Sales_Performance[[#This Row],[Customer ID]]),
   "New Customer",
   "Returning Customer"
)</f>
        <v>New Customer</v>
      </c>
    </row>
    <row r="912" spans="1:10" x14ac:dyDescent="0.35">
      <c r="A912" t="s">
        <v>430</v>
      </c>
      <c r="B912" s="1">
        <v>45253</v>
      </c>
      <c r="C912" t="s">
        <v>976</v>
      </c>
      <c r="D912" t="s">
        <v>15</v>
      </c>
      <c r="E912">
        <v>42</v>
      </c>
      <c r="F912" t="s">
        <v>11</v>
      </c>
      <c r="G912">
        <v>3</v>
      </c>
      <c r="H912" s="2">
        <v>30</v>
      </c>
      <c r="I912" s="2">
        <v>90</v>
      </c>
      <c r="J912" s="1" t="str">
        <f>IF(
   Sales_Performance[[#This Row],[Date]] = _xlfn.MINIFS(Sales_Performance[Date],Sales_Performance[Customer ID],Sales_Performance[[#This Row],[Customer ID]]),
   "New Customer",
   "Returning Customer"
)</f>
        <v>New Customer</v>
      </c>
    </row>
    <row r="913" spans="1:10" x14ac:dyDescent="0.35">
      <c r="A913" t="s">
        <v>470</v>
      </c>
      <c r="B913" s="1">
        <v>45178</v>
      </c>
      <c r="C913" t="s">
        <v>217</v>
      </c>
      <c r="D913" t="s">
        <v>15</v>
      </c>
      <c r="E913">
        <v>22</v>
      </c>
      <c r="F913" t="s">
        <v>18</v>
      </c>
      <c r="G913">
        <v>2</v>
      </c>
      <c r="H913" s="2">
        <v>25</v>
      </c>
      <c r="I913" s="2">
        <v>50</v>
      </c>
      <c r="J913" s="1" t="str">
        <f>IF(
   Sales_Performance[[#This Row],[Date]] = _xlfn.MINIFS(Sales_Performance[Date],Sales_Performance[Customer ID],Sales_Performance[[#This Row],[Customer ID]]),
   "New Customer",
   "Returning Customer"
)</f>
        <v>Returning Customer</v>
      </c>
    </row>
    <row r="914" spans="1:10" x14ac:dyDescent="0.35">
      <c r="A914" t="s">
        <v>1028</v>
      </c>
      <c r="B914" s="1">
        <v>45163</v>
      </c>
      <c r="C914" t="s">
        <v>948</v>
      </c>
      <c r="D914" t="s">
        <v>15</v>
      </c>
      <c r="E914">
        <v>51</v>
      </c>
      <c r="F914" t="s">
        <v>11</v>
      </c>
      <c r="G914">
        <v>4</v>
      </c>
      <c r="H914" s="2">
        <v>30</v>
      </c>
      <c r="I914" s="2">
        <v>120</v>
      </c>
      <c r="J914" s="1" t="str">
        <f>IF(
   Sales_Performance[[#This Row],[Date]] = _xlfn.MINIFS(Sales_Performance[Date],Sales_Performance[Customer ID],Sales_Performance[[#This Row],[Customer ID]]),
   "New Customer",
   "Returning Customer"
)</f>
        <v>New Customer</v>
      </c>
    </row>
    <row r="915" spans="1:10" x14ac:dyDescent="0.35">
      <c r="A915" t="s">
        <v>1498</v>
      </c>
      <c r="B915" s="1">
        <v>44979</v>
      </c>
      <c r="C915" t="s">
        <v>290</v>
      </c>
      <c r="D915" t="s">
        <v>15</v>
      </c>
      <c r="E915">
        <v>28</v>
      </c>
      <c r="F915" t="s">
        <v>18</v>
      </c>
      <c r="G915">
        <v>3</v>
      </c>
      <c r="H915" s="2">
        <v>25</v>
      </c>
      <c r="I915" s="2">
        <v>75</v>
      </c>
      <c r="J915" s="1" t="str">
        <f>IF(
   Sales_Performance[[#This Row],[Date]] = _xlfn.MINIFS(Sales_Performance[Date],Sales_Performance[Customer ID],Sales_Performance[[#This Row],[Customer ID]]),
   "New Customer",
   "Returning Customer"
)</f>
        <v>Returning Customer</v>
      </c>
    </row>
    <row r="916" spans="1:10" x14ac:dyDescent="0.35">
      <c r="A916" t="s">
        <v>785</v>
      </c>
      <c r="B916" s="1">
        <v>44933</v>
      </c>
      <c r="C916" t="s">
        <v>1296</v>
      </c>
      <c r="D916" t="s">
        <v>10</v>
      </c>
      <c r="E916">
        <v>51</v>
      </c>
      <c r="F916" t="s">
        <v>11</v>
      </c>
      <c r="G916">
        <v>3</v>
      </c>
      <c r="H916" s="2">
        <v>25</v>
      </c>
      <c r="I916" s="2">
        <v>75</v>
      </c>
      <c r="J916" s="1" t="str">
        <f>IF(
   Sales_Performance[[#This Row],[Date]] = _xlfn.MINIFS(Sales_Performance[Date],Sales_Performance[Customer ID],Sales_Performance[[#This Row],[Customer ID]]),
   "New Customer",
   "Returning Customer"
)</f>
        <v>New Customer</v>
      </c>
    </row>
    <row r="917" spans="1:10" x14ac:dyDescent="0.35">
      <c r="A917" t="s">
        <v>677</v>
      </c>
      <c r="B917" s="1">
        <v>45220</v>
      </c>
      <c r="C917" t="s">
        <v>132</v>
      </c>
      <c r="D917" t="s">
        <v>10</v>
      </c>
      <c r="E917">
        <v>41</v>
      </c>
      <c r="F917" t="s">
        <v>11</v>
      </c>
      <c r="G917">
        <v>1</v>
      </c>
      <c r="H917" s="2">
        <v>50</v>
      </c>
      <c r="I917" s="2">
        <v>50</v>
      </c>
      <c r="J917" s="1" t="str">
        <f>IF(
   Sales_Performance[[#This Row],[Date]] = _xlfn.MINIFS(Sales_Performance[Date],Sales_Performance[Customer ID],Sales_Performance[[#This Row],[Customer ID]]),
   "New Customer",
   "Returning Customer"
)</f>
        <v>Returning Customer</v>
      </c>
    </row>
    <row r="918" spans="1:10" x14ac:dyDescent="0.35">
      <c r="A918" t="s">
        <v>52</v>
      </c>
      <c r="B918" s="1">
        <v>45072</v>
      </c>
      <c r="C918" t="s">
        <v>70</v>
      </c>
      <c r="D918" t="s">
        <v>10</v>
      </c>
      <c r="E918">
        <v>32</v>
      </c>
      <c r="F918" t="s">
        <v>18</v>
      </c>
      <c r="G918">
        <v>3</v>
      </c>
      <c r="H918" s="2">
        <v>300</v>
      </c>
      <c r="I918" s="2">
        <v>900</v>
      </c>
      <c r="J918" s="1" t="str">
        <f>IF(
   Sales_Performance[[#This Row],[Date]] = _xlfn.MINIFS(Sales_Performance[Date],Sales_Performance[Customer ID],Sales_Performance[[#This Row],[Customer ID]]),
   "New Customer",
   "Returning Customer"
)</f>
        <v>New Customer</v>
      </c>
    </row>
    <row r="919" spans="1:10" x14ac:dyDescent="0.35">
      <c r="A919" t="s">
        <v>1381</v>
      </c>
      <c r="B919" s="1">
        <v>45167</v>
      </c>
      <c r="C919" t="s">
        <v>201</v>
      </c>
      <c r="D919" t="s">
        <v>10</v>
      </c>
      <c r="E919">
        <v>55</v>
      </c>
      <c r="F919" t="s">
        <v>18</v>
      </c>
      <c r="G919">
        <v>2</v>
      </c>
      <c r="H919" s="2">
        <v>50</v>
      </c>
      <c r="I919" s="2">
        <v>100</v>
      </c>
      <c r="J919" s="1" t="str">
        <f>IF(
   Sales_Performance[[#This Row],[Date]] = _xlfn.MINIFS(Sales_Performance[Date],Sales_Performance[Customer ID],Sales_Performance[[#This Row],[Customer ID]]),
   "New Customer",
   "Returning Customer"
)</f>
        <v>Returning Customer</v>
      </c>
    </row>
    <row r="920" spans="1:10" x14ac:dyDescent="0.35">
      <c r="A920" t="s">
        <v>303</v>
      </c>
      <c r="B920" s="1">
        <v>45172</v>
      </c>
      <c r="C920" t="s">
        <v>1456</v>
      </c>
      <c r="D920" t="s">
        <v>10</v>
      </c>
      <c r="E920">
        <v>25</v>
      </c>
      <c r="F920" t="s">
        <v>11</v>
      </c>
      <c r="G920">
        <v>1</v>
      </c>
      <c r="H920" s="2">
        <v>300</v>
      </c>
      <c r="I920" s="2">
        <v>300</v>
      </c>
      <c r="J920" s="1" t="str">
        <f>IF(
   Sales_Performance[[#This Row],[Date]] = _xlfn.MINIFS(Sales_Performance[Date],Sales_Performance[Customer ID],Sales_Performance[[#This Row],[Customer ID]]),
   "New Customer",
   "Returning Customer"
)</f>
        <v>Returning Customer</v>
      </c>
    </row>
    <row r="921" spans="1:10" x14ac:dyDescent="0.35">
      <c r="A921" t="s">
        <v>627</v>
      </c>
      <c r="B921" s="1">
        <v>45152</v>
      </c>
      <c r="C921" t="s">
        <v>1443</v>
      </c>
      <c r="D921" t="s">
        <v>10</v>
      </c>
      <c r="E921">
        <v>22</v>
      </c>
      <c r="F921" t="s">
        <v>11</v>
      </c>
      <c r="G921">
        <v>1</v>
      </c>
      <c r="H921" s="2">
        <v>30</v>
      </c>
      <c r="I921" s="2">
        <v>30</v>
      </c>
      <c r="J921" s="1" t="str">
        <f>IF(
   Sales_Performance[[#This Row],[Date]] = _xlfn.MINIFS(Sales_Performance[Date],Sales_Performance[Customer ID],Sales_Performance[[#This Row],[Customer ID]]),
   "New Customer",
   "Returning Customer"
)</f>
        <v>New Customer</v>
      </c>
    </row>
    <row r="922" spans="1:10" x14ac:dyDescent="0.35">
      <c r="A922" t="s">
        <v>1061</v>
      </c>
      <c r="B922" s="1">
        <v>45101</v>
      </c>
      <c r="C922" t="s">
        <v>1075</v>
      </c>
      <c r="D922" t="s">
        <v>10</v>
      </c>
      <c r="E922">
        <v>43</v>
      </c>
      <c r="F922" t="s">
        <v>11</v>
      </c>
      <c r="G922">
        <v>4</v>
      </c>
      <c r="H922" s="2">
        <v>500</v>
      </c>
      <c r="I922" s="2">
        <v>2000</v>
      </c>
      <c r="J922" s="1" t="str">
        <f>IF(
   Sales_Performance[[#This Row],[Date]] = _xlfn.MINIFS(Sales_Performance[Date],Sales_Performance[Customer ID],Sales_Performance[[#This Row],[Customer ID]]),
   "New Customer",
   "Returning Customer"
)</f>
        <v>Returning Customer</v>
      </c>
    </row>
    <row r="923" spans="1:10" x14ac:dyDescent="0.35">
      <c r="A923" t="s">
        <v>1415</v>
      </c>
      <c r="B923" s="1">
        <v>45021</v>
      </c>
      <c r="C923" t="s">
        <v>907</v>
      </c>
      <c r="D923" t="s">
        <v>15</v>
      </c>
      <c r="E923">
        <v>35</v>
      </c>
      <c r="F923" t="s">
        <v>16</v>
      </c>
      <c r="G923">
        <v>4</v>
      </c>
      <c r="H923" s="2">
        <v>300</v>
      </c>
      <c r="I923" s="2">
        <v>1200</v>
      </c>
      <c r="J923" s="1" t="str">
        <f>IF(
   Sales_Performance[[#This Row],[Date]] = _xlfn.MINIFS(Sales_Performance[Date],Sales_Performance[Customer ID],Sales_Performance[[#This Row],[Customer ID]]),
   "New Customer",
   "Returning Customer"
)</f>
        <v>New Customer</v>
      </c>
    </row>
    <row r="924" spans="1:10" x14ac:dyDescent="0.35">
      <c r="A924" t="s">
        <v>105</v>
      </c>
      <c r="B924" s="1">
        <v>44953</v>
      </c>
      <c r="C924" t="s">
        <v>660</v>
      </c>
      <c r="D924" t="s">
        <v>15</v>
      </c>
      <c r="E924">
        <v>23</v>
      </c>
      <c r="F924" t="s">
        <v>18</v>
      </c>
      <c r="G924">
        <v>3</v>
      </c>
      <c r="H924" s="2">
        <v>25</v>
      </c>
      <c r="I924" s="2">
        <v>75</v>
      </c>
      <c r="J924" s="1" t="str">
        <f>IF(
   Sales_Performance[[#This Row],[Date]] = _xlfn.MINIFS(Sales_Performance[Date],Sales_Performance[Customer ID],Sales_Performance[[#This Row],[Customer ID]]),
   "New Customer",
   "Returning Customer"
)</f>
        <v>New Customer</v>
      </c>
    </row>
    <row r="925" spans="1:10" x14ac:dyDescent="0.35">
      <c r="A925" t="s">
        <v>1397</v>
      </c>
      <c r="B925" s="1">
        <v>45121</v>
      </c>
      <c r="C925" t="s">
        <v>448</v>
      </c>
      <c r="D925" t="s">
        <v>15</v>
      </c>
      <c r="E925">
        <v>35</v>
      </c>
      <c r="F925" t="s">
        <v>18</v>
      </c>
      <c r="G925">
        <v>4</v>
      </c>
      <c r="H925" s="2">
        <v>500</v>
      </c>
      <c r="I925" s="2">
        <v>2000</v>
      </c>
      <c r="J925" s="1" t="str">
        <f>IF(
   Sales_Performance[[#This Row],[Date]] = _xlfn.MINIFS(Sales_Performance[Date],Sales_Performance[Customer ID],Sales_Performance[[#This Row],[Customer ID]]),
   "New Customer",
   "Returning Customer"
)</f>
        <v>Returning Customer</v>
      </c>
    </row>
    <row r="926" spans="1:10" x14ac:dyDescent="0.35">
      <c r="A926" t="s">
        <v>616</v>
      </c>
      <c r="B926" s="1">
        <v>45056</v>
      </c>
      <c r="C926" t="s">
        <v>313</v>
      </c>
      <c r="D926" t="s">
        <v>10</v>
      </c>
      <c r="E926">
        <v>54</v>
      </c>
      <c r="F926" t="s">
        <v>16</v>
      </c>
      <c r="G926">
        <v>4</v>
      </c>
      <c r="H926" s="2">
        <v>50</v>
      </c>
      <c r="I926" s="2">
        <v>200</v>
      </c>
      <c r="J926" s="1" t="str">
        <f>IF(
   Sales_Performance[[#This Row],[Date]] = _xlfn.MINIFS(Sales_Performance[Date],Sales_Performance[Customer ID],Sales_Performance[[#This Row],[Customer ID]]),
   "New Customer",
   "Returning Customer"
)</f>
        <v>New Customer</v>
      </c>
    </row>
    <row r="927" spans="1:10" x14ac:dyDescent="0.35">
      <c r="A927" t="s">
        <v>118</v>
      </c>
      <c r="B927" s="1">
        <v>45171</v>
      </c>
      <c r="C927" t="s">
        <v>432</v>
      </c>
      <c r="D927" t="s">
        <v>10</v>
      </c>
      <c r="E927">
        <v>30</v>
      </c>
      <c r="F927" t="s">
        <v>18</v>
      </c>
      <c r="G927">
        <v>4</v>
      </c>
      <c r="H927" s="2">
        <v>30</v>
      </c>
      <c r="I927" s="2">
        <v>120</v>
      </c>
      <c r="J927" s="1" t="str">
        <f>IF(
   Sales_Performance[[#This Row],[Date]] = _xlfn.MINIFS(Sales_Performance[Date],Sales_Performance[Customer ID],Sales_Performance[[#This Row],[Customer ID]]),
   "New Customer",
   "Returning Customer"
)</f>
        <v>New Customer</v>
      </c>
    </row>
    <row r="928" spans="1:10" x14ac:dyDescent="0.35">
      <c r="A928" t="s">
        <v>1390</v>
      </c>
      <c r="B928" s="1">
        <v>44985</v>
      </c>
      <c r="C928" t="s">
        <v>406</v>
      </c>
      <c r="D928" t="s">
        <v>15</v>
      </c>
      <c r="E928">
        <v>45</v>
      </c>
      <c r="F928" t="s">
        <v>18</v>
      </c>
      <c r="G928">
        <v>4</v>
      </c>
      <c r="H928" s="2">
        <v>25</v>
      </c>
      <c r="I928" s="2">
        <v>100</v>
      </c>
      <c r="J928" s="1" t="str">
        <f>IF(
   Sales_Performance[[#This Row],[Date]] = _xlfn.MINIFS(Sales_Performance[Date],Sales_Performance[Customer ID],Sales_Performance[[#This Row],[Customer ID]]),
   "New Customer",
   "Returning Customer"
)</f>
        <v>New Customer</v>
      </c>
    </row>
    <row r="929" spans="1:10" x14ac:dyDescent="0.35">
      <c r="A929" t="s">
        <v>646</v>
      </c>
      <c r="B929" s="1">
        <v>44960</v>
      </c>
      <c r="C929" t="s">
        <v>1454</v>
      </c>
      <c r="D929" t="s">
        <v>10</v>
      </c>
      <c r="E929">
        <v>22</v>
      </c>
      <c r="F929" t="s">
        <v>18</v>
      </c>
      <c r="G929">
        <v>1</v>
      </c>
      <c r="H929" s="2">
        <v>30</v>
      </c>
      <c r="I929" s="2">
        <v>30</v>
      </c>
      <c r="J929" s="1" t="str">
        <f>IF(
   Sales_Performance[[#This Row],[Date]] = _xlfn.MINIFS(Sales_Performance[Date],Sales_Performance[Customer ID],Sales_Performance[[#This Row],[Customer ID]]),
   "New Customer",
   "Returning Customer"
)</f>
        <v>Returning Customer</v>
      </c>
    </row>
    <row r="930" spans="1:10" x14ac:dyDescent="0.35">
      <c r="A930" t="s">
        <v>887</v>
      </c>
      <c r="B930" s="1">
        <v>45132</v>
      </c>
      <c r="C930" t="s">
        <v>725</v>
      </c>
      <c r="D930" t="s">
        <v>10</v>
      </c>
      <c r="E930">
        <v>30</v>
      </c>
      <c r="F930" t="s">
        <v>18</v>
      </c>
      <c r="G930">
        <v>1</v>
      </c>
      <c r="H930" s="2">
        <v>500</v>
      </c>
      <c r="I930" s="2">
        <v>500</v>
      </c>
      <c r="J930" s="1" t="str">
        <f>IF(
   Sales_Performance[[#This Row],[Date]] = _xlfn.MINIFS(Sales_Performance[Date],Sales_Performance[Customer ID],Sales_Performance[[#This Row],[Customer ID]]),
   "New Customer",
   "Returning Customer"
)</f>
        <v>Returning Customer</v>
      </c>
    </row>
    <row r="931" spans="1:10" x14ac:dyDescent="0.35">
      <c r="A931" t="s">
        <v>174</v>
      </c>
      <c r="B931" s="1">
        <v>45178</v>
      </c>
      <c r="C931" t="s">
        <v>121</v>
      </c>
      <c r="D931" t="s">
        <v>15</v>
      </c>
      <c r="E931">
        <v>34</v>
      </c>
      <c r="F931" t="s">
        <v>18</v>
      </c>
      <c r="G931">
        <v>1</v>
      </c>
      <c r="H931" s="2">
        <v>50</v>
      </c>
      <c r="I931" s="2">
        <v>50</v>
      </c>
      <c r="J931" s="1" t="str">
        <f>IF(
   Sales_Performance[[#This Row],[Date]] = _xlfn.MINIFS(Sales_Performance[Date],Sales_Performance[Customer ID],Sales_Performance[[#This Row],[Customer ID]]),
   "New Customer",
   "Returning Customer"
)</f>
        <v>New Customer</v>
      </c>
    </row>
    <row r="932" spans="1:10" x14ac:dyDescent="0.35">
      <c r="A932" t="s">
        <v>214</v>
      </c>
      <c r="B932" s="1">
        <v>44964</v>
      </c>
      <c r="C932" t="s">
        <v>648</v>
      </c>
      <c r="D932" t="s">
        <v>10</v>
      </c>
      <c r="E932">
        <v>57</v>
      </c>
      <c r="F932" t="s">
        <v>18</v>
      </c>
      <c r="G932">
        <v>4</v>
      </c>
      <c r="H932" s="2">
        <v>50</v>
      </c>
      <c r="I932" s="2">
        <v>200</v>
      </c>
      <c r="J932" s="1" t="str">
        <f>IF(
   Sales_Performance[[#This Row],[Date]] = _xlfn.MINIFS(Sales_Performance[Date],Sales_Performance[Customer ID],Sales_Performance[[#This Row],[Customer ID]]),
   "New Customer",
   "Returning Customer"
)</f>
        <v>New Customer</v>
      </c>
    </row>
    <row r="933" spans="1:10" x14ac:dyDescent="0.35">
      <c r="A933" t="s">
        <v>1152</v>
      </c>
      <c r="B933" s="1">
        <v>45222</v>
      </c>
      <c r="C933" t="s">
        <v>504</v>
      </c>
      <c r="D933" t="s">
        <v>15</v>
      </c>
      <c r="E933">
        <v>62</v>
      </c>
      <c r="F933" t="s">
        <v>18</v>
      </c>
      <c r="G933">
        <v>1</v>
      </c>
      <c r="H933" s="2">
        <v>500</v>
      </c>
      <c r="I933" s="2">
        <v>500</v>
      </c>
      <c r="J933" s="1" t="str">
        <f>IF(
   Sales_Performance[[#This Row],[Date]] = _xlfn.MINIFS(Sales_Performance[Date],Sales_Performance[Customer ID],Sales_Performance[[#This Row],[Customer ID]]),
   "New Customer",
   "Returning Customer"
)</f>
        <v>Returning Customer</v>
      </c>
    </row>
    <row r="934" spans="1:10" x14ac:dyDescent="0.35">
      <c r="A934" t="s">
        <v>618</v>
      </c>
      <c r="B934" s="1">
        <v>45249</v>
      </c>
      <c r="C934" t="s">
        <v>268</v>
      </c>
      <c r="D934" t="s">
        <v>10</v>
      </c>
      <c r="E934">
        <v>49</v>
      </c>
      <c r="F934" t="s">
        <v>16</v>
      </c>
      <c r="G934">
        <v>4</v>
      </c>
      <c r="H934" s="2">
        <v>50</v>
      </c>
      <c r="I934" s="2">
        <v>200</v>
      </c>
      <c r="J934" s="1" t="str">
        <f>IF(
   Sales_Performance[[#This Row],[Date]] = _xlfn.MINIFS(Sales_Performance[Date],Sales_Performance[Customer ID],Sales_Performance[[#This Row],[Customer ID]]),
   "New Customer",
   "Returning Customer"
)</f>
        <v>Returning Customer</v>
      </c>
    </row>
    <row r="935" spans="1:10" x14ac:dyDescent="0.35">
      <c r="A935" t="s">
        <v>977</v>
      </c>
      <c r="B935" s="1">
        <v>45278</v>
      </c>
      <c r="C935" t="s">
        <v>86</v>
      </c>
      <c r="D935" t="s">
        <v>15</v>
      </c>
      <c r="E935">
        <v>46</v>
      </c>
      <c r="F935" t="s">
        <v>11</v>
      </c>
      <c r="G935">
        <v>1</v>
      </c>
      <c r="H935" s="2">
        <v>300</v>
      </c>
      <c r="I935" s="2">
        <v>300</v>
      </c>
      <c r="J935" s="1" t="str">
        <f>IF(
   Sales_Performance[[#This Row],[Date]] = _xlfn.MINIFS(Sales_Performance[Date],Sales_Performance[Customer ID],Sales_Performance[[#This Row],[Customer ID]]),
   "New Customer",
   "Returning Customer"
)</f>
        <v>Returning Customer</v>
      </c>
    </row>
    <row r="936" spans="1:10" x14ac:dyDescent="0.35">
      <c r="A936" t="s">
        <v>830</v>
      </c>
      <c r="B936" s="1">
        <v>45065</v>
      </c>
      <c r="C936" t="s">
        <v>1078</v>
      </c>
      <c r="D936" t="s">
        <v>15</v>
      </c>
      <c r="E936">
        <v>47</v>
      </c>
      <c r="F936" t="s">
        <v>18</v>
      </c>
      <c r="G936">
        <v>2</v>
      </c>
      <c r="H936" s="2">
        <v>500</v>
      </c>
      <c r="I936" s="2">
        <v>1000</v>
      </c>
      <c r="J936" s="1" t="str">
        <f>IF(
   Sales_Performance[[#This Row],[Date]] = _xlfn.MINIFS(Sales_Performance[Date],Sales_Performance[Customer ID],Sales_Performance[[#This Row],[Customer ID]]),
   "New Customer",
   "Returning Customer"
)</f>
        <v>New Customer</v>
      </c>
    </row>
    <row r="937" spans="1:10" x14ac:dyDescent="0.35">
      <c r="A937" t="s">
        <v>1357</v>
      </c>
      <c r="B937" s="1">
        <v>44954</v>
      </c>
      <c r="C937" t="s">
        <v>1430</v>
      </c>
      <c r="D937" t="s">
        <v>15</v>
      </c>
      <c r="E937">
        <v>20</v>
      </c>
      <c r="F937" t="s">
        <v>11</v>
      </c>
      <c r="G937">
        <v>1</v>
      </c>
      <c r="H937" s="2">
        <v>30</v>
      </c>
      <c r="I937" s="2">
        <v>30</v>
      </c>
      <c r="J937" s="1" t="str">
        <f>IF(
   Sales_Performance[[#This Row],[Date]] = _xlfn.MINIFS(Sales_Performance[Date],Sales_Performance[Customer ID],Sales_Performance[[#This Row],[Customer ID]]),
   "New Customer",
   "Returning Customer"
)</f>
        <v>New Customer</v>
      </c>
    </row>
    <row r="938" spans="1:10" x14ac:dyDescent="0.35">
      <c r="A938" t="s">
        <v>428</v>
      </c>
      <c r="B938" s="1">
        <v>45004</v>
      </c>
      <c r="C938" t="s">
        <v>965</v>
      </c>
      <c r="D938" t="s">
        <v>15</v>
      </c>
      <c r="E938">
        <v>57</v>
      </c>
      <c r="F938" t="s">
        <v>16</v>
      </c>
      <c r="G938">
        <v>2</v>
      </c>
      <c r="H938" s="2">
        <v>25</v>
      </c>
      <c r="I938" s="2">
        <v>50</v>
      </c>
      <c r="J938" s="1" t="str">
        <f>IF(
   Sales_Performance[[#This Row],[Date]] = _xlfn.MINIFS(Sales_Performance[Date],Sales_Performance[Customer ID],Sales_Performance[[#This Row],[Customer ID]]),
   "New Customer",
   "Returning Customer"
)</f>
        <v>Returning Customer</v>
      </c>
    </row>
    <row r="939" spans="1:10" x14ac:dyDescent="0.35">
      <c r="A939" t="s">
        <v>1088</v>
      </c>
      <c r="B939" s="1">
        <v>45003</v>
      </c>
      <c r="C939" t="s">
        <v>460</v>
      </c>
      <c r="D939" t="s">
        <v>10</v>
      </c>
      <c r="E939">
        <v>51</v>
      </c>
      <c r="F939" t="s">
        <v>16</v>
      </c>
      <c r="G939">
        <v>3</v>
      </c>
      <c r="H939" s="2">
        <v>500</v>
      </c>
      <c r="I939" s="2">
        <v>1500</v>
      </c>
      <c r="J939" s="1" t="str">
        <f>IF(
   Sales_Performance[[#This Row],[Date]] = _xlfn.MINIFS(Sales_Performance[Date],Sales_Performance[Customer ID],Sales_Performance[[#This Row],[Customer ID]]),
   "New Customer",
   "Returning Customer"
)</f>
        <v>New Customer</v>
      </c>
    </row>
    <row r="940" spans="1:10" x14ac:dyDescent="0.35">
      <c r="A940" t="s">
        <v>565</v>
      </c>
      <c r="B940" s="1">
        <v>45215</v>
      </c>
      <c r="C940" t="s">
        <v>750</v>
      </c>
      <c r="D940" t="s">
        <v>15</v>
      </c>
      <c r="E940">
        <v>57</v>
      </c>
      <c r="F940" t="s">
        <v>16</v>
      </c>
      <c r="G940">
        <v>4</v>
      </c>
      <c r="H940" s="2">
        <v>300</v>
      </c>
      <c r="I940" s="2">
        <v>1200</v>
      </c>
      <c r="J940" s="1" t="str">
        <f>IF(
   Sales_Performance[[#This Row],[Date]] = _xlfn.MINIFS(Sales_Performance[Date],Sales_Performance[Customer ID],Sales_Performance[[#This Row],[Customer ID]]),
   "New Customer",
   "Returning Customer"
)</f>
        <v>Returning Customer</v>
      </c>
    </row>
    <row r="941" spans="1:10" x14ac:dyDescent="0.35">
      <c r="A941" t="s">
        <v>1302</v>
      </c>
      <c r="B941" s="1">
        <v>45082</v>
      </c>
      <c r="C941" t="s">
        <v>1392</v>
      </c>
      <c r="D941" t="s">
        <v>10</v>
      </c>
      <c r="E941">
        <v>44</v>
      </c>
      <c r="F941" t="s">
        <v>16</v>
      </c>
      <c r="G941">
        <v>2</v>
      </c>
      <c r="H941" s="2">
        <v>25</v>
      </c>
      <c r="I941" s="2">
        <v>50</v>
      </c>
      <c r="J941" s="1" t="str">
        <f>IF(
   Sales_Performance[[#This Row],[Date]] = _xlfn.MINIFS(Sales_Performance[Date],Sales_Performance[Customer ID],Sales_Performance[[#This Row],[Customer ID]]),
   "New Customer",
   "Returning Customer"
)</f>
        <v>Returning Customer</v>
      </c>
    </row>
    <row r="942" spans="1:10" x14ac:dyDescent="0.35">
      <c r="A942" t="s">
        <v>1423</v>
      </c>
      <c r="B942" s="1">
        <v>44970</v>
      </c>
      <c r="C942" t="s">
        <v>286</v>
      </c>
      <c r="D942" t="s">
        <v>10</v>
      </c>
      <c r="E942">
        <v>30</v>
      </c>
      <c r="F942" t="s">
        <v>18</v>
      </c>
      <c r="G942">
        <v>1</v>
      </c>
      <c r="H942" s="2">
        <v>25</v>
      </c>
      <c r="I942" s="2">
        <v>25</v>
      </c>
      <c r="J942" s="1" t="str">
        <f>IF(
   Sales_Performance[[#This Row],[Date]] = _xlfn.MINIFS(Sales_Performance[Date],Sales_Performance[Customer ID],Sales_Performance[[#This Row],[Customer ID]]),
   "New Customer",
   "Returning Customer"
)</f>
        <v>New Customer</v>
      </c>
    </row>
    <row r="943" spans="1:10" x14ac:dyDescent="0.35">
      <c r="A943" t="s">
        <v>1153</v>
      </c>
      <c r="B943" s="1">
        <v>45054</v>
      </c>
      <c r="C943" t="s">
        <v>1033</v>
      </c>
      <c r="D943" t="s">
        <v>10</v>
      </c>
      <c r="E943">
        <v>62</v>
      </c>
      <c r="F943" t="s">
        <v>11</v>
      </c>
      <c r="G943">
        <v>4</v>
      </c>
      <c r="H943" s="2">
        <v>500</v>
      </c>
      <c r="I943" s="2">
        <v>2000</v>
      </c>
      <c r="J943" s="1" t="str">
        <f>IF(
   Sales_Performance[[#This Row],[Date]] = _xlfn.MINIFS(Sales_Performance[Date],Sales_Performance[Customer ID],Sales_Performance[[#This Row],[Customer ID]]),
   "New Customer",
   "Returning Customer"
)</f>
        <v>New Customer</v>
      </c>
    </row>
    <row r="944" spans="1:10" x14ac:dyDescent="0.35">
      <c r="A944" t="s">
        <v>1106</v>
      </c>
      <c r="B944" s="1">
        <v>44987</v>
      </c>
      <c r="C944" t="s">
        <v>72</v>
      </c>
      <c r="D944" t="s">
        <v>10</v>
      </c>
      <c r="E944">
        <v>50</v>
      </c>
      <c r="F944" t="s">
        <v>18</v>
      </c>
      <c r="G944">
        <v>1</v>
      </c>
      <c r="H944" s="2">
        <v>300</v>
      </c>
      <c r="I944" s="2">
        <v>300</v>
      </c>
      <c r="J944" s="1" t="str">
        <f>IF(
   Sales_Performance[[#This Row],[Date]] = _xlfn.MINIFS(Sales_Performance[Date],Sales_Performance[Customer ID],Sales_Performance[[#This Row],[Customer ID]]),
   "New Customer",
   "Returning Customer"
)</f>
        <v>Returning Customer</v>
      </c>
    </row>
    <row r="945" spans="1:10" x14ac:dyDescent="0.35">
      <c r="A945" t="s">
        <v>489</v>
      </c>
      <c r="B945" s="1">
        <v>45212</v>
      </c>
      <c r="C945" t="s">
        <v>47</v>
      </c>
      <c r="D945" t="s">
        <v>15</v>
      </c>
      <c r="E945">
        <v>23</v>
      </c>
      <c r="F945" t="s">
        <v>11</v>
      </c>
      <c r="G945">
        <v>3</v>
      </c>
      <c r="H945" s="2">
        <v>25</v>
      </c>
      <c r="I945" s="2">
        <v>75</v>
      </c>
      <c r="J945" s="1" t="str">
        <f>IF(
   Sales_Performance[[#This Row],[Date]] = _xlfn.MINIFS(Sales_Performance[Date],Sales_Performance[Customer ID],Sales_Performance[[#This Row],[Customer ID]]),
   "New Customer",
   "Returning Customer"
)</f>
        <v>New Customer</v>
      </c>
    </row>
    <row r="946" spans="1:10" x14ac:dyDescent="0.35">
      <c r="A946" t="s">
        <v>449</v>
      </c>
      <c r="B946" s="1">
        <v>45140</v>
      </c>
      <c r="C946" t="s">
        <v>1264</v>
      </c>
      <c r="D946" t="s">
        <v>15</v>
      </c>
      <c r="E946">
        <v>41</v>
      </c>
      <c r="F946" t="s">
        <v>11</v>
      </c>
      <c r="G946">
        <v>2</v>
      </c>
      <c r="H946" s="2">
        <v>25</v>
      </c>
      <c r="I946" s="2">
        <v>50</v>
      </c>
      <c r="J946" s="1" t="str">
        <f>IF(
   Sales_Performance[[#This Row],[Date]] = _xlfn.MINIFS(Sales_Performance[Date],Sales_Performance[Customer ID],Sales_Performance[[#This Row],[Customer ID]]),
   "New Customer",
   "Returning Customer"
)</f>
        <v>Returning Customer</v>
      </c>
    </row>
    <row r="947" spans="1:10" x14ac:dyDescent="0.35">
      <c r="A947" t="s">
        <v>103</v>
      </c>
      <c r="B947" s="1">
        <v>45254</v>
      </c>
      <c r="C947" t="s">
        <v>183</v>
      </c>
      <c r="D947" t="s">
        <v>15</v>
      </c>
      <c r="E947">
        <v>32</v>
      </c>
      <c r="F947" t="s">
        <v>16</v>
      </c>
      <c r="G947">
        <v>2</v>
      </c>
      <c r="H947" s="2">
        <v>30</v>
      </c>
      <c r="I947" s="2">
        <v>60</v>
      </c>
      <c r="J947" s="1" t="str">
        <f>IF(
   Sales_Performance[[#This Row],[Date]] = _xlfn.MINIFS(Sales_Performance[Date],Sales_Performance[Customer ID],Sales_Performance[[#This Row],[Customer ID]]),
   "New Customer",
   "Returning Customer"
)</f>
        <v>Returning Customer</v>
      </c>
    </row>
    <row r="948" spans="1:10" x14ac:dyDescent="0.35">
      <c r="A948" t="s">
        <v>1452</v>
      </c>
      <c r="B948" s="1">
        <v>45237</v>
      </c>
      <c r="C948" t="s">
        <v>1456</v>
      </c>
      <c r="D948" t="s">
        <v>10</v>
      </c>
      <c r="E948">
        <v>36</v>
      </c>
      <c r="F948" t="s">
        <v>16</v>
      </c>
      <c r="G948">
        <v>3</v>
      </c>
      <c r="H948" s="2">
        <v>300</v>
      </c>
      <c r="I948" s="2">
        <v>900</v>
      </c>
      <c r="J948" s="1" t="str">
        <f>IF(
   Sales_Performance[[#This Row],[Date]] = _xlfn.MINIFS(Sales_Performance[Date],Sales_Performance[Customer ID],Sales_Performance[[#This Row],[Customer ID]]),
   "New Customer",
   "Returning Customer"
)</f>
        <v>Returning Customer</v>
      </c>
    </row>
    <row r="949" spans="1:10" x14ac:dyDescent="0.35">
      <c r="A949" t="s">
        <v>1135</v>
      </c>
      <c r="B949" s="1">
        <v>45232</v>
      </c>
      <c r="C949" t="s">
        <v>377</v>
      </c>
      <c r="D949" t="s">
        <v>10</v>
      </c>
      <c r="E949">
        <v>33</v>
      </c>
      <c r="F949" t="s">
        <v>18</v>
      </c>
      <c r="G949">
        <v>2</v>
      </c>
      <c r="H949" s="2">
        <v>50</v>
      </c>
      <c r="I949" s="2">
        <v>100</v>
      </c>
      <c r="J949" s="1" t="str">
        <f>IF(
   Sales_Performance[[#This Row],[Date]] = _xlfn.MINIFS(Sales_Performance[Date],Sales_Performance[Customer ID],Sales_Performance[[#This Row],[Customer ID]]),
   "New Customer",
   "Returning Customer"
)</f>
        <v>Returning Customer</v>
      </c>
    </row>
    <row r="950" spans="1:10" x14ac:dyDescent="0.35">
      <c r="A950" t="s">
        <v>890</v>
      </c>
      <c r="B950" s="1">
        <v>45243</v>
      </c>
      <c r="C950" t="s">
        <v>798</v>
      </c>
      <c r="D950" t="s">
        <v>15</v>
      </c>
      <c r="E950">
        <v>57</v>
      </c>
      <c r="F950" t="s">
        <v>16</v>
      </c>
      <c r="G950">
        <v>1</v>
      </c>
      <c r="H950" s="2">
        <v>25</v>
      </c>
      <c r="I950" s="2">
        <v>25</v>
      </c>
      <c r="J950" s="1" t="str">
        <f>IF(
   Sales_Performance[[#This Row],[Date]] = _xlfn.MINIFS(Sales_Performance[Date],Sales_Performance[Customer ID],Sales_Performance[[#This Row],[Customer ID]]),
   "New Customer",
   "Returning Customer"
)</f>
        <v>Returning Customer</v>
      </c>
    </row>
    <row r="951" spans="1:10" x14ac:dyDescent="0.35">
      <c r="A951" t="s">
        <v>1347</v>
      </c>
      <c r="B951" s="1">
        <v>45042</v>
      </c>
      <c r="C951" t="s">
        <v>874</v>
      </c>
      <c r="D951" t="s">
        <v>10</v>
      </c>
      <c r="E951">
        <v>45</v>
      </c>
      <c r="F951" t="s">
        <v>18</v>
      </c>
      <c r="G951">
        <v>3</v>
      </c>
      <c r="H951" s="2">
        <v>30</v>
      </c>
      <c r="I951" s="2">
        <v>90</v>
      </c>
      <c r="J951" s="1" t="str">
        <f>IF(
   Sales_Performance[[#This Row],[Date]] = _xlfn.MINIFS(Sales_Performance[Date],Sales_Performance[Customer ID],Sales_Performance[[#This Row],[Customer ID]]),
   "New Customer",
   "Returning Customer"
)</f>
        <v>Returning Customer</v>
      </c>
    </row>
    <row r="952" spans="1:10" x14ac:dyDescent="0.35">
      <c r="A952" t="s">
        <v>443</v>
      </c>
      <c r="B952" s="1">
        <v>45194</v>
      </c>
      <c r="C952" t="s">
        <v>201</v>
      </c>
      <c r="D952" t="s">
        <v>15</v>
      </c>
      <c r="E952">
        <v>50</v>
      </c>
      <c r="F952" t="s">
        <v>11</v>
      </c>
      <c r="G952">
        <v>3</v>
      </c>
      <c r="H952" s="2">
        <v>300</v>
      </c>
      <c r="I952" s="2">
        <v>900</v>
      </c>
      <c r="J952" s="1" t="str">
        <f>IF(
   Sales_Performance[[#This Row],[Date]] = _xlfn.MINIFS(Sales_Performance[Date],Sales_Performance[Customer ID],Sales_Performance[[#This Row],[Customer ID]]),
   "New Customer",
   "Returning Customer"
)</f>
        <v>Returning Customer</v>
      </c>
    </row>
    <row r="953" spans="1:10" x14ac:dyDescent="0.35">
      <c r="A953" t="s">
        <v>37</v>
      </c>
      <c r="B953" s="1">
        <v>45121</v>
      </c>
      <c r="C953" t="s">
        <v>905</v>
      </c>
      <c r="D953" t="s">
        <v>10</v>
      </c>
      <c r="E953">
        <v>58</v>
      </c>
      <c r="F953" t="s">
        <v>16</v>
      </c>
      <c r="G953">
        <v>1</v>
      </c>
      <c r="H953" s="2">
        <v>25</v>
      </c>
      <c r="I953" s="2">
        <v>25</v>
      </c>
      <c r="J953" s="1" t="str">
        <f>IF(
   Sales_Performance[[#This Row],[Date]] = _xlfn.MINIFS(Sales_Performance[Date],Sales_Performance[Customer ID],Sales_Performance[[#This Row],[Customer ID]]),
   "New Customer",
   "Returning Customer"
)</f>
        <v>Returning Customer</v>
      </c>
    </row>
    <row r="954" spans="1:10" x14ac:dyDescent="0.35">
      <c r="A954" t="s">
        <v>302</v>
      </c>
      <c r="B954" s="1">
        <v>45157</v>
      </c>
      <c r="C954" t="s">
        <v>424</v>
      </c>
      <c r="D954" t="s">
        <v>10</v>
      </c>
      <c r="E954">
        <v>30</v>
      </c>
      <c r="F954" t="s">
        <v>16</v>
      </c>
      <c r="G954">
        <v>3</v>
      </c>
      <c r="H954" s="2">
        <v>500</v>
      </c>
      <c r="I954" s="2">
        <v>1500</v>
      </c>
      <c r="J954" s="1" t="str">
        <f>IF(
   Sales_Performance[[#This Row],[Date]] = _xlfn.MINIFS(Sales_Performance[Date],Sales_Performance[Customer ID],Sales_Performance[[#This Row],[Customer ID]]),
   "New Customer",
   "Returning Customer"
)</f>
        <v>New Customer</v>
      </c>
    </row>
    <row r="955" spans="1:10" x14ac:dyDescent="0.35">
      <c r="A955" t="s">
        <v>1284</v>
      </c>
      <c r="B955" s="1">
        <v>45153</v>
      </c>
      <c r="C955" t="s">
        <v>1205</v>
      </c>
      <c r="D955" t="s">
        <v>15</v>
      </c>
      <c r="E955">
        <v>60</v>
      </c>
      <c r="F955" t="s">
        <v>11</v>
      </c>
      <c r="G955">
        <v>4</v>
      </c>
      <c r="H955" s="2">
        <v>30</v>
      </c>
      <c r="I955" s="2">
        <v>120</v>
      </c>
      <c r="J955" s="1" t="str">
        <f>IF(
   Sales_Performance[[#This Row],[Date]] = _xlfn.MINIFS(Sales_Performance[Date],Sales_Performance[Customer ID],Sales_Performance[[#This Row],[Customer ID]]),
   "New Customer",
   "Returning Customer"
)</f>
        <v>Returning Customer</v>
      </c>
    </row>
    <row r="956" spans="1:10" x14ac:dyDescent="0.35">
      <c r="A956" t="s">
        <v>44</v>
      </c>
      <c r="B956" s="1">
        <v>45079</v>
      </c>
      <c r="C956" t="s">
        <v>1383</v>
      </c>
      <c r="D956" t="s">
        <v>10</v>
      </c>
      <c r="E956">
        <v>62</v>
      </c>
      <c r="F956" t="s">
        <v>11</v>
      </c>
      <c r="G956">
        <v>2</v>
      </c>
      <c r="H956" s="2">
        <v>25</v>
      </c>
      <c r="I956" s="2">
        <v>50</v>
      </c>
      <c r="J956" s="1" t="str">
        <f>IF(
   Sales_Performance[[#This Row],[Date]] = _xlfn.MINIFS(Sales_Performance[Date],Sales_Performance[Customer ID],Sales_Performance[[#This Row],[Customer ID]]),
   "New Customer",
   "Returning Customer"
)</f>
        <v>Returning Customer</v>
      </c>
    </row>
    <row r="957" spans="1:10" x14ac:dyDescent="0.35">
      <c r="A957" t="s">
        <v>1384</v>
      </c>
      <c r="B957" s="1">
        <v>45228</v>
      </c>
      <c r="C957" t="s">
        <v>735</v>
      </c>
      <c r="D957" t="s">
        <v>15</v>
      </c>
      <c r="E957">
        <v>42</v>
      </c>
      <c r="F957" t="s">
        <v>11</v>
      </c>
      <c r="G957">
        <v>2</v>
      </c>
      <c r="H957" s="2">
        <v>30</v>
      </c>
      <c r="I957" s="2">
        <v>60</v>
      </c>
      <c r="J957" s="1" t="str">
        <f>IF(
   Sales_Performance[[#This Row],[Date]] = _xlfn.MINIFS(Sales_Performance[Date],Sales_Performance[Customer ID],Sales_Performance[[#This Row],[Customer ID]]),
   "New Customer",
   "Returning Customer"
)</f>
        <v>Returning Customer</v>
      </c>
    </row>
    <row r="958" spans="1:10" x14ac:dyDescent="0.35">
      <c r="A958" t="s">
        <v>1189</v>
      </c>
      <c r="B958" s="1">
        <v>45279</v>
      </c>
      <c r="C958" t="s">
        <v>1494</v>
      </c>
      <c r="D958" t="s">
        <v>15</v>
      </c>
      <c r="E958">
        <v>44</v>
      </c>
      <c r="F958" t="s">
        <v>16</v>
      </c>
      <c r="G958">
        <v>2</v>
      </c>
      <c r="H958" s="2">
        <v>300</v>
      </c>
      <c r="I958" s="2">
        <v>600</v>
      </c>
      <c r="J958" s="1" t="str">
        <f>IF(
   Sales_Performance[[#This Row],[Date]] = _xlfn.MINIFS(Sales_Performance[Date],Sales_Performance[Customer ID],Sales_Performance[[#This Row],[Customer ID]]),
   "New Customer",
   "Returning Customer"
)</f>
        <v>Returning Customer</v>
      </c>
    </row>
    <row r="959" spans="1:10" x14ac:dyDescent="0.35">
      <c r="A959" t="s">
        <v>1350</v>
      </c>
      <c r="B959" s="1">
        <v>45146</v>
      </c>
      <c r="C959" t="s">
        <v>86</v>
      </c>
      <c r="D959" t="s">
        <v>10</v>
      </c>
      <c r="E959">
        <v>59</v>
      </c>
      <c r="F959" t="s">
        <v>16</v>
      </c>
      <c r="G959">
        <v>2</v>
      </c>
      <c r="H959" s="2">
        <v>30</v>
      </c>
      <c r="I959" s="2">
        <v>60</v>
      </c>
      <c r="J959" s="1" t="str">
        <f>IF(
   Sales_Performance[[#This Row],[Date]] = _xlfn.MINIFS(Sales_Performance[Date],Sales_Performance[Customer ID],Sales_Performance[[#This Row],[Customer ID]]),
   "New Customer",
   "Returning Customer"
)</f>
        <v>New Customer</v>
      </c>
    </row>
    <row r="960" spans="1:10" x14ac:dyDescent="0.35">
      <c r="A960" t="s">
        <v>1446</v>
      </c>
      <c r="B960" s="1">
        <v>45083</v>
      </c>
      <c r="C960" t="s">
        <v>512</v>
      </c>
      <c r="D960" t="s">
        <v>10</v>
      </c>
      <c r="E960">
        <v>53</v>
      </c>
      <c r="F960" t="s">
        <v>18</v>
      </c>
      <c r="G960">
        <v>4</v>
      </c>
      <c r="H960" s="2">
        <v>50</v>
      </c>
      <c r="I960" s="2">
        <v>200</v>
      </c>
      <c r="J960" s="1" t="str">
        <f>IF(
   Sales_Performance[[#This Row],[Date]] = _xlfn.MINIFS(Sales_Performance[Date],Sales_Performance[Customer ID],Sales_Performance[[#This Row],[Customer ID]]),
   "New Customer",
   "Returning Customer"
)</f>
        <v>New Customer</v>
      </c>
    </row>
    <row r="961" spans="1:10" x14ac:dyDescent="0.35">
      <c r="A961" t="s">
        <v>583</v>
      </c>
      <c r="B961" s="1">
        <v>45218</v>
      </c>
      <c r="C961" t="s">
        <v>332</v>
      </c>
      <c r="D961" t="s">
        <v>10</v>
      </c>
      <c r="E961">
        <v>44</v>
      </c>
      <c r="F961" t="s">
        <v>16</v>
      </c>
      <c r="G961">
        <v>2</v>
      </c>
      <c r="H961" s="2">
        <v>30</v>
      </c>
      <c r="I961" s="2">
        <v>60</v>
      </c>
      <c r="J961" s="1" t="str">
        <f>IF(
   Sales_Performance[[#This Row],[Date]] = _xlfn.MINIFS(Sales_Performance[Date],Sales_Performance[Customer ID],Sales_Performance[[#This Row],[Customer ID]]),
   "New Customer",
   "Returning Customer"
)</f>
        <v>Returning Customer</v>
      </c>
    </row>
    <row r="962" spans="1:10" x14ac:dyDescent="0.35">
      <c r="A962" t="s">
        <v>1208</v>
      </c>
      <c r="B962" s="1">
        <v>45244</v>
      </c>
      <c r="C962" t="s">
        <v>132</v>
      </c>
      <c r="D962" t="s">
        <v>15</v>
      </c>
      <c r="E962">
        <v>55</v>
      </c>
      <c r="F962" t="s">
        <v>18</v>
      </c>
      <c r="G962">
        <v>1</v>
      </c>
      <c r="H962" s="2">
        <v>50</v>
      </c>
      <c r="I962" s="2">
        <v>50</v>
      </c>
      <c r="J962" s="1" t="str">
        <f>IF(
   Sales_Performance[[#This Row],[Date]] = _xlfn.MINIFS(Sales_Performance[Date],Sales_Performance[Customer ID],Sales_Performance[[#This Row],[Customer ID]]),
   "New Customer",
   "Returning Customer"
)</f>
        <v>Returning Customer</v>
      </c>
    </row>
    <row r="963" spans="1:10" x14ac:dyDescent="0.35">
      <c r="A963" t="s">
        <v>366</v>
      </c>
      <c r="B963" s="1">
        <v>44957</v>
      </c>
      <c r="C963" t="s">
        <v>569</v>
      </c>
      <c r="D963" t="s">
        <v>10</v>
      </c>
      <c r="E963">
        <v>24</v>
      </c>
      <c r="F963" t="s">
        <v>16</v>
      </c>
      <c r="G963">
        <v>3</v>
      </c>
      <c r="H963" s="2">
        <v>300</v>
      </c>
      <c r="I963" s="2">
        <v>900</v>
      </c>
      <c r="J963" s="1" t="str">
        <f>IF(
   Sales_Performance[[#This Row],[Date]] = _xlfn.MINIFS(Sales_Performance[Date],Sales_Performance[Customer ID],Sales_Performance[[#This Row],[Customer ID]]),
   "New Customer",
   "Returning Customer"
)</f>
        <v>Returning Customer</v>
      </c>
    </row>
    <row r="964" spans="1:10" x14ac:dyDescent="0.35">
      <c r="A964" t="s">
        <v>736</v>
      </c>
      <c r="B964" s="1">
        <v>45239</v>
      </c>
      <c r="C964" t="s">
        <v>796</v>
      </c>
      <c r="D964" t="s">
        <v>10</v>
      </c>
      <c r="E964">
        <v>22</v>
      </c>
      <c r="F964" t="s">
        <v>16</v>
      </c>
      <c r="G964">
        <v>4</v>
      </c>
      <c r="H964" s="2">
        <v>50</v>
      </c>
      <c r="I964" s="2">
        <v>200</v>
      </c>
      <c r="J964" s="1" t="str">
        <f>IF(
   Sales_Performance[[#This Row],[Date]] = _xlfn.MINIFS(Sales_Performance[Date],Sales_Performance[Customer ID],Sales_Performance[[#This Row],[Customer ID]]),
   "New Customer",
   "Returning Customer"
)</f>
        <v>New Customer</v>
      </c>
    </row>
    <row r="965" spans="1:10" x14ac:dyDescent="0.35">
      <c r="A965" t="s">
        <v>242</v>
      </c>
      <c r="B965" s="1">
        <v>44977</v>
      </c>
      <c r="C965" t="s">
        <v>946</v>
      </c>
      <c r="D965" t="s">
        <v>10</v>
      </c>
      <c r="E965">
        <v>60</v>
      </c>
      <c r="F965" t="s">
        <v>11</v>
      </c>
      <c r="G965">
        <v>2</v>
      </c>
      <c r="H965" s="2">
        <v>500</v>
      </c>
      <c r="I965" s="2">
        <v>1000</v>
      </c>
      <c r="J965" s="1" t="str">
        <f>IF(
   Sales_Performance[[#This Row],[Date]] = _xlfn.MINIFS(Sales_Performance[Date],Sales_Performance[Customer ID],Sales_Performance[[#This Row],[Customer ID]]),
   "New Customer",
   "Returning Customer"
)</f>
        <v>New Customer</v>
      </c>
    </row>
    <row r="966" spans="1:10" x14ac:dyDescent="0.35">
      <c r="A966" t="s">
        <v>809</v>
      </c>
      <c r="B966" s="1">
        <v>45033</v>
      </c>
      <c r="C966" t="s">
        <v>637</v>
      </c>
      <c r="D966" t="s">
        <v>10</v>
      </c>
      <c r="E966">
        <v>62</v>
      </c>
      <c r="F966" t="s">
        <v>18</v>
      </c>
      <c r="G966">
        <v>1</v>
      </c>
      <c r="H966" s="2">
        <v>25</v>
      </c>
      <c r="I966" s="2">
        <v>25</v>
      </c>
      <c r="J966" s="1" t="str">
        <f>IF(
   Sales_Performance[[#This Row],[Date]] = _xlfn.MINIFS(Sales_Performance[Date],Sales_Performance[Customer ID],Sales_Performance[[#This Row],[Customer ID]]),
   "New Customer",
   "Returning Customer"
)</f>
        <v>Returning Customer</v>
      </c>
    </row>
    <row r="967" spans="1:10" x14ac:dyDescent="0.35">
      <c r="A967" t="s">
        <v>881</v>
      </c>
      <c r="B967" s="1">
        <v>45247</v>
      </c>
      <c r="C967" t="s">
        <v>55</v>
      </c>
      <c r="D967" t="s">
        <v>15</v>
      </c>
      <c r="E967">
        <v>48</v>
      </c>
      <c r="F967" t="s">
        <v>16</v>
      </c>
      <c r="G967">
        <v>3</v>
      </c>
      <c r="H967" s="2">
        <v>300</v>
      </c>
      <c r="I967" s="2">
        <v>900</v>
      </c>
      <c r="J967" s="1" t="str">
        <f>IF(
   Sales_Performance[[#This Row],[Date]] = _xlfn.MINIFS(Sales_Performance[Date],Sales_Performance[Customer ID],Sales_Performance[[#This Row],[Customer ID]]),
   "New Customer",
   "Returning Customer"
)</f>
        <v>Returning Customer</v>
      </c>
    </row>
    <row r="968" spans="1:10" x14ac:dyDescent="0.35">
      <c r="A968" t="s">
        <v>963</v>
      </c>
      <c r="B968" s="1">
        <v>45035</v>
      </c>
      <c r="C968" t="s">
        <v>1029</v>
      </c>
      <c r="D968" t="s">
        <v>15</v>
      </c>
      <c r="E968">
        <v>40</v>
      </c>
      <c r="F968" t="s">
        <v>16</v>
      </c>
      <c r="G968">
        <v>3</v>
      </c>
      <c r="H968" s="2">
        <v>300</v>
      </c>
      <c r="I968" s="2">
        <v>900</v>
      </c>
      <c r="J968" s="1" t="str">
        <f>IF(
   Sales_Performance[[#This Row],[Date]] = _xlfn.MINIFS(Sales_Performance[Date],Sales_Performance[Customer ID],Sales_Performance[[#This Row],[Customer ID]]),
   "New Customer",
   "Returning Customer"
)</f>
        <v>New Customer</v>
      </c>
    </row>
    <row r="969" spans="1:10" x14ac:dyDescent="0.35">
      <c r="A969" t="s">
        <v>639</v>
      </c>
      <c r="B969" s="1">
        <v>45212</v>
      </c>
      <c r="C969" t="s">
        <v>688</v>
      </c>
      <c r="D969" t="s">
        <v>15</v>
      </c>
      <c r="E969">
        <v>51</v>
      </c>
      <c r="F969" t="s">
        <v>18</v>
      </c>
      <c r="G969">
        <v>2</v>
      </c>
      <c r="H969" s="2">
        <v>500</v>
      </c>
      <c r="I969" s="2">
        <v>1000</v>
      </c>
      <c r="J969" s="1" t="str">
        <f>IF(
   Sales_Performance[[#This Row],[Date]] = _xlfn.MINIFS(Sales_Performance[Date],Sales_Performance[Customer ID],Sales_Performance[[#This Row],[Customer ID]]),
   "New Customer",
   "Returning Customer"
)</f>
        <v>Returning Customer</v>
      </c>
    </row>
    <row r="970" spans="1:10" x14ac:dyDescent="0.35">
      <c r="A970" t="s">
        <v>450</v>
      </c>
      <c r="B970" s="1">
        <v>45062</v>
      </c>
      <c r="C970" t="s">
        <v>633</v>
      </c>
      <c r="D970" t="s">
        <v>10</v>
      </c>
      <c r="E970">
        <v>59</v>
      </c>
      <c r="F970" t="s">
        <v>11</v>
      </c>
      <c r="G970">
        <v>4</v>
      </c>
      <c r="H970" s="2">
        <v>500</v>
      </c>
      <c r="I970" s="2">
        <v>2000</v>
      </c>
      <c r="J970" s="1" t="str">
        <f>IF(
   Sales_Performance[[#This Row],[Date]] = _xlfn.MINIFS(Sales_Performance[Date],Sales_Performance[Customer ID],Sales_Performance[[#This Row],[Customer ID]]),
   "New Customer",
   "Returning Customer"
)</f>
        <v>New Customer</v>
      </c>
    </row>
    <row r="971" spans="1:10" x14ac:dyDescent="0.35">
      <c r="A971" t="s">
        <v>292</v>
      </c>
      <c r="B971" s="1">
        <v>45265</v>
      </c>
      <c r="C971" t="s">
        <v>1201</v>
      </c>
      <c r="D971" t="s">
        <v>15</v>
      </c>
      <c r="E971">
        <v>27</v>
      </c>
      <c r="F971" t="s">
        <v>11</v>
      </c>
      <c r="G971">
        <v>4</v>
      </c>
      <c r="H971" s="2">
        <v>50</v>
      </c>
      <c r="I971" s="2">
        <v>200</v>
      </c>
      <c r="J971" s="1" t="str">
        <f>IF(
   Sales_Performance[[#This Row],[Date]] = _xlfn.MINIFS(Sales_Performance[Date],Sales_Performance[Customer ID],Sales_Performance[[#This Row],[Customer ID]]),
   "New Customer",
   "Returning Customer"
)</f>
        <v>New Customer</v>
      </c>
    </row>
    <row r="972" spans="1:10" x14ac:dyDescent="0.35">
      <c r="A972" t="s">
        <v>223</v>
      </c>
      <c r="B972" s="1">
        <v>44968</v>
      </c>
      <c r="C972" t="s">
        <v>983</v>
      </c>
      <c r="D972" t="s">
        <v>10</v>
      </c>
      <c r="E972">
        <v>49</v>
      </c>
      <c r="F972" t="s">
        <v>18</v>
      </c>
      <c r="G972">
        <v>4</v>
      </c>
      <c r="H972" s="2">
        <v>25</v>
      </c>
      <c r="I972" s="2">
        <v>100</v>
      </c>
      <c r="J972" s="1" t="str">
        <f>IF(
   Sales_Performance[[#This Row],[Date]] = _xlfn.MINIFS(Sales_Performance[Date],Sales_Performance[Customer ID],Sales_Performance[[#This Row],[Customer ID]]),
   "New Customer",
   "Returning Customer"
)</f>
        <v>New Customer</v>
      </c>
    </row>
    <row r="973" spans="1:10" x14ac:dyDescent="0.35">
      <c r="A973" t="s">
        <v>1023</v>
      </c>
      <c r="B973" s="1">
        <v>45007</v>
      </c>
      <c r="C973" t="s">
        <v>349</v>
      </c>
      <c r="D973" t="s">
        <v>10</v>
      </c>
      <c r="E973">
        <v>60</v>
      </c>
      <c r="F973" t="s">
        <v>16</v>
      </c>
      <c r="G973">
        <v>1</v>
      </c>
      <c r="H973" s="2">
        <v>50</v>
      </c>
      <c r="I973" s="2">
        <v>50</v>
      </c>
      <c r="J973" s="1" t="str">
        <f>IF(
   Sales_Performance[[#This Row],[Date]] = _xlfn.MINIFS(Sales_Performance[Date],Sales_Performance[Customer ID],Sales_Performance[[#This Row],[Customer ID]]),
   "New Customer",
   "Returning Customer"
)</f>
        <v>New Customer</v>
      </c>
    </row>
    <row r="974" spans="1:10" x14ac:dyDescent="0.35">
      <c r="A974" t="s">
        <v>192</v>
      </c>
      <c r="B974" s="1">
        <v>45049</v>
      </c>
      <c r="C974" t="s">
        <v>1349</v>
      </c>
      <c r="D974" t="s">
        <v>10</v>
      </c>
      <c r="E974">
        <v>47</v>
      </c>
      <c r="F974" t="s">
        <v>18</v>
      </c>
      <c r="G974">
        <v>1</v>
      </c>
      <c r="H974" s="2">
        <v>30</v>
      </c>
      <c r="I974" s="2">
        <v>30</v>
      </c>
      <c r="J974" s="1" t="str">
        <f>IF(
   Sales_Performance[[#This Row],[Date]] = _xlfn.MINIFS(Sales_Performance[Date],Sales_Performance[Customer ID],Sales_Performance[[#This Row],[Customer ID]]),
   "New Customer",
   "Returning Customer"
)</f>
        <v>New Customer</v>
      </c>
    </row>
    <row r="975" spans="1:10" x14ac:dyDescent="0.35">
      <c r="A975" t="s">
        <v>162</v>
      </c>
      <c r="B975" s="1">
        <v>45015</v>
      </c>
      <c r="C975" t="s">
        <v>1199</v>
      </c>
      <c r="D975" t="s">
        <v>15</v>
      </c>
      <c r="E975">
        <v>56</v>
      </c>
      <c r="F975" t="s">
        <v>16</v>
      </c>
      <c r="G975">
        <v>4</v>
      </c>
      <c r="H975" s="2">
        <v>50</v>
      </c>
      <c r="I975" s="2">
        <v>200</v>
      </c>
      <c r="J975" s="1" t="str">
        <f>IF(
   Sales_Performance[[#This Row],[Date]] = _xlfn.MINIFS(Sales_Performance[Date],Sales_Performance[Customer ID],Sales_Performance[[#This Row],[Customer ID]]),
   "New Customer",
   "Returning Customer"
)</f>
        <v>New Customer</v>
      </c>
    </row>
    <row r="976" spans="1:10" x14ac:dyDescent="0.35">
      <c r="A976" t="s">
        <v>654</v>
      </c>
      <c r="B976" s="1">
        <v>45209</v>
      </c>
      <c r="C976" t="s">
        <v>1048</v>
      </c>
      <c r="D976" t="s">
        <v>15</v>
      </c>
      <c r="E976">
        <v>48</v>
      </c>
      <c r="F976" t="s">
        <v>18</v>
      </c>
      <c r="G976">
        <v>2</v>
      </c>
      <c r="H976" s="2">
        <v>300</v>
      </c>
      <c r="I976" s="2">
        <v>600</v>
      </c>
      <c r="J976" s="1" t="str">
        <f>IF(
   Sales_Performance[[#This Row],[Date]] = _xlfn.MINIFS(Sales_Performance[Date],Sales_Performance[Customer ID],Sales_Performance[[#This Row],[Customer ID]]),
   "New Customer",
   "Returning Customer"
)</f>
        <v>New Customer</v>
      </c>
    </row>
    <row r="977" spans="1:10" x14ac:dyDescent="0.35">
      <c r="A977" t="s">
        <v>149</v>
      </c>
      <c r="B977" s="1">
        <v>44965</v>
      </c>
      <c r="C977" t="s">
        <v>943</v>
      </c>
      <c r="D977" t="s">
        <v>15</v>
      </c>
      <c r="E977">
        <v>35</v>
      </c>
      <c r="F977" t="s">
        <v>11</v>
      </c>
      <c r="G977">
        <v>3</v>
      </c>
      <c r="H977" s="2">
        <v>25</v>
      </c>
      <c r="I977" s="2">
        <v>75</v>
      </c>
      <c r="J977" s="1" t="str">
        <f>IF(
   Sales_Performance[[#This Row],[Date]] = _xlfn.MINIFS(Sales_Performance[Date],Sales_Performance[Customer ID],Sales_Performance[[#This Row],[Customer ID]]),
   "New Customer",
   "Returning Customer"
)</f>
        <v>Returning Customer</v>
      </c>
    </row>
    <row r="978" spans="1:10" x14ac:dyDescent="0.35">
      <c r="A978" t="s">
        <v>541</v>
      </c>
      <c r="B978" s="1">
        <v>45007</v>
      </c>
      <c r="C978" t="s">
        <v>1340</v>
      </c>
      <c r="D978" t="s">
        <v>15</v>
      </c>
      <c r="E978">
        <v>53</v>
      </c>
      <c r="F978" t="s">
        <v>16</v>
      </c>
      <c r="G978">
        <v>3</v>
      </c>
      <c r="H978" s="2">
        <v>50</v>
      </c>
      <c r="I978" s="2">
        <v>150</v>
      </c>
      <c r="J978" s="1" t="str">
        <f>IF(
   Sales_Performance[[#This Row],[Date]] = _xlfn.MINIFS(Sales_Performance[Date],Sales_Performance[Customer ID],Sales_Performance[[#This Row],[Customer ID]]),
   "New Customer",
   "Returning Customer"
)</f>
        <v>Returning Customer</v>
      </c>
    </row>
    <row r="979" spans="1:10" x14ac:dyDescent="0.35">
      <c r="A979" t="s">
        <v>1191</v>
      </c>
      <c r="B979" s="1">
        <v>44928</v>
      </c>
      <c r="C979" t="s">
        <v>937</v>
      </c>
      <c r="D979" t="s">
        <v>15</v>
      </c>
      <c r="E979">
        <v>19</v>
      </c>
      <c r="F979" t="s">
        <v>18</v>
      </c>
      <c r="G979">
        <v>1</v>
      </c>
      <c r="H979" s="2">
        <v>25</v>
      </c>
      <c r="I979" s="2">
        <v>25</v>
      </c>
      <c r="J979" s="1" t="str">
        <f>IF(
   Sales_Performance[[#This Row],[Date]] = _xlfn.MINIFS(Sales_Performance[Date],Sales_Performance[Customer ID],Sales_Performance[[#This Row],[Customer ID]]),
   "New Customer",
   "Returning Customer"
)</f>
        <v>New Customer</v>
      </c>
    </row>
    <row r="980" spans="1:10" x14ac:dyDescent="0.35">
      <c r="A980" t="s">
        <v>329</v>
      </c>
      <c r="B980" s="1">
        <v>45039</v>
      </c>
      <c r="C980" t="s">
        <v>952</v>
      </c>
      <c r="D980" t="s">
        <v>15</v>
      </c>
      <c r="E980">
        <v>55</v>
      </c>
      <c r="F980" t="s">
        <v>18</v>
      </c>
      <c r="G980">
        <v>2</v>
      </c>
      <c r="H980" s="2">
        <v>50</v>
      </c>
      <c r="I980" s="2">
        <v>100</v>
      </c>
      <c r="J980" s="1" t="str">
        <f>IF(
   Sales_Performance[[#This Row],[Date]] = _xlfn.MINIFS(Sales_Performance[Date],Sales_Performance[Customer ID],Sales_Performance[[#This Row],[Customer ID]]),
   "New Customer",
   "Returning Customer"
)</f>
        <v>New Customer</v>
      </c>
    </row>
    <row r="981" spans="1:10" x14ac:dyDescent="0.35">
      <c r="A981" t="s">
        <v>499</v>
      </c>
      <c r="B981" s="1">
        <v>45136</v>
      </c>
      <c r="C981" t="s">
        <v>1422</v>
      </c>
      <c r="D981" t="s">
        <v>15</v>
      </c>
      <c r="E981">
        <v>31</v>
      </c>
      <c r="F981" t="s">
        <v>11</v>
      </c>
      <c r="G981">
        <v>3</v>
      </c>
      <c r="H981" s="2">
        <v>25</v>
      </c>
      <c r="I981" s="2">
        <v>75</v>
      </c>
      <c r="J981" s="1" t="str">
        <f>IF(
   Sales_Performance[[#This Row],[Date]] = _xlfn.MINIFS(Sales_Performance[Date],Sales_Performance[Customer ID],Sales_Performance[[#This Row],[Customer ID]]),
   "New Customer",
   "Returning Customer"
)</f>
        <v>New Customer</v>
      </c>
    </row>
    <row r="982" spans="1:10" x14ac:dyDescent="0.35">
      <c r="A982" t="s">
        <v>704</v>
      </c>
      <c r="B982" s="1">
        <v>45157</v>
      </c>
      <c r="C982" t="s">
        <v>250</v>
      </c>
      <c r="D982" t="s">
        <v>15</v>
      </c>
      <c r="E982">
        <v>30</v>
      </c>
      <c r="F982" t="s">
        <v>11</v>
      </c>
      <c r="G982">
        <v>2</v>
      </c>
      <c r="H982" s="2">
        <v>30</v>
      </c>
      <c r="I982" s="2">
        <v>60</v>
      </c>
      <c r="J982" s="1" t="str">
        <f>IF(
   Sales_Performance[[#This Row],[Date]] = _xlfn.MINIFS(Sales_Performance[Date],Sales_Performance[Customer ID],Sales_Performance[[#This Row],[Customer ID]]),
   "New Customer",
   "Returning Customer"
)</f>
        <v>New Customer</v>
      </c>
    </row>
    <row r="983" spans="1:10" x14ac:dyDescent="0.35">
      <c r="A983" t="s">
        <v>527</v>
      </c>
      <c r="B983" s="1">
        <v>45279</v>
      </c>
      <c r="C983" t="s">
        <v>640</v>
      </c>
      <c r="D983" t="s">
        <v>15</v>
      </c>
      <c r="E983">
        <v>46</v>
      </c>
      <c r="F983" t="s">
        <v>18</v>
      </c>
      <c r="G983">
        <v>3</v>
      </c>
      <c r="H983" s="2">
        <v>30</v>
      </c>
      <c r="I983" s="2">
        <v>90</v>
      </c>
      <c r="J983" s="1" t="str">
        <f>IF(
   Sales_Performance[[#This Row],[Date]] = _xlfn.MINIFS(Sales_Performance[Date],Sales_Performance[Customer ID],Sales_Performance[[#This Row],[Customer ID]]),
   "New Customer",
   "Returning Customer"
)</f>
        <v>Returning Customer</v>
      </c>
    </row>
    <row r="984" spans="1:10" x14ac:dyDescent="0.35">
      <c r="A984" t="s">
        <v>534</v>
      </c>
      <c r="B984" s="1">
        <v>45231</v>
      </c>
      <c r="C984" t="s">
        <v>533</v>
      </c>
      <c r="D984" t="s">
        <v>15</v>
      </c>
      <c r="E984">
        <v>29</v>
      </c>
      <c r="F984" t="s">
        <v>16</v>
      </c>
      <c r="G984">
        <v>1</v>
      </c>
      <c r="H984" s="2">
        <v>300</v>
      </c>
      <c r="I984" s="2">
        <v>300</v>
      </c>
      <c r="J984" s="1" t="str">
        <f>IF(
   Sales_Performance[[#This Row],[Date]] = _xlfn.MINIFS(Sales_Performance[Date],Sales_Performance[Customer ID],Sales_Performance[[#This Row],[Customer ID]]),
   "New Customer",
   "Returning Customer"
)</f>
        <v>Returning Customer</v>
      </c>
    </row>
    <row r="985" spans="1:10" x14ac:dyDescent="0.35">
      <c r="A985" t="s">
        <v>273</v>
      </c>
      <c r="B985" s="1">
        <v>45167</v>
      </c>
      <c r="C985" t="s">
        <v>264</v>
      </c>
      <c r="D985" t="s">
        <v>10</v>
      </c>
      <c r="E985">
        <v>56</v>
      </c>
      <c r="F985" t="s">
        <v>16</v>
      </c>
      <c r="G985">
        <v>1</v>
      </c>
      <c r="H985" s="2">
        <v>500</v>
      </c>
      <c r="I985" s="2">
        <v>500</v>
      </c>
      <c r="J985" s="1" t="str">
        <f>IF(
   Sales_Performance[[#This Row],[Date]] = _xlfn.MINIFS(Sales_Performance[Date],Sales_Performance[Customer ID],Sales_Performance[[#This Row],[Customer ID]]),
   "New Customer",
   "Returning Customer"
)</f>
        <v>New Customer</v>
      </c>
    </row>
    <row r="986" spans="1:10" x14ac:dyDescent="0.35">
      <c r="A986" t="s">
        <v>1222</v>
      </c>
      <c r="B986" s="1">
        <v>45076</v>
      </c>
      <c r="C986" t="s">
        <v>1027</v>
      </c>
      <c r="D986" t="s">
        <v>15</v>
      </c>
      <c r="E986">
        <v>19</v>
      </c>
      <c r="F986" t="s">
        <v>11</v>
      </c>
      <c r="G986">
        <v>2</v>
      </c>
      <c r="H986" s="2">
        <v>25</v>
      </c>
      <c r="I986" s="2">
        <v>50</v>
      </c>
      <c r="J986" s="1" t="str">
        <f>IF(
   Sales_Performance[[#This Row],[Date]] = _xlfn.MINIFS(Sales_Performance[Date],Sales_Performance[Customer ID],Sales_Performance[[#This Row],[Customer ID]]),
   "New Customer",
   "Returning Customer"
)</f>
        <v>Returning Customer</v>
      </c>
    </row>
    <row r="987" spans="1:10" x14ac:dyDescent="0.35">
      <c r="A987" t="s">
        <v>968</v>
      </c>
      <c r="B987" s="1">
        <v>44943</v>
      </c>
      <c r="C987" t="s">
        <v>1392</v>
      </c>
      <c r="D987" t="s">
        <v>15</v>
      </c>
      <c r="E987">
        <v>49</v>
      </c>
      <c r="F987" t="s">
        <v>16</v>
      </c>
      <c r="G987">
        <v>2</v>
      </c>
      <c r="H987" s="2">
        <v>500</v>
      </c>
      <c r="I987" s="2">
        <v>1000</v>
      </c>
      <c r="J987" s="1" t="str">
        <f>IF(
   Sales_Performance[[#This Row],[Date]] = _xlfn.MINIFS(Sales_Performance[Date],Sales_Performance[Customer ID],Sales_Performance[[#This Row],[Customer ID]]),
   "New Customer",
   "Returning Customer"
)</f>
        <v>New Customer</v>
      </c>
    </row>
    <row r="988" spans="1:10" x14ac:dyDescent="0.35">
      <c r="A988" t="s">
        <v>1226</v>
      </c>
      <c r="B988" s="1">
        <v>45045</v>
      </c>
      <c r="C988" t="s">
        <v>700</v>
      </c>
      <c r="D988" t="s">
        <v>15</v>
      </c>
      <c r="E988">
        <v>30</v>
      </c>
      <c r="F988" t="s">
        <v>16</v>
      </c>
      <c r="G988">
        <v>3</v>
      </c>
      <c r="H988" s="2">
        <v>300</v>
      </c>
      <c r="I988" s="2">
        <v>900</v>
      </c>
      <c r="J988" s="1" t="str">
        <f>IF(
   Sales_Performance[[#This Row],[Date]] = _xlfn.MINIFS(Sales_Performance[Date],Sales_Performance[Customer ID],Sales_Performance[[#This Row],[Customer ID]]),
   "New Customer",
   "Returning Customer"
)</f>
        <v>New Customer</v>
      </c>
    </row>
    <row r="989" spans="1:10" x14ac:dyDescent="0.35">
      <c r="A989" t="s">
        <v>14</v>
      </c>
      <c r="B989" s="1">
        <v>45074</v>
      </c>
      <c r="C989" t="s">
        <v>561</v>
      </c>
      <c r="D989" t="s">
        <v>15</v>
      </c>
      <c r="E989">
        <v>63</v>
      </c>
      <c r="F989" t="s">
        <v>16</v>
      </c>
      <c r="G989">
        <v>3</v>
      </c>
      <c r="H989" s="2">
        <v>25</v>
      </c>
      <c r="I989" s="2">
        <v>75</v>
      </c>
      <c r="J989" s="1" t="str">
        <f>IF(
   Sales_Performance[[#This Row],[Date]] = _xlfn.MINIFS(Sales_Performance[Date],Sales_Performance[Customer ID],Sales_Performance[[#This Row],[Customer ID]]),
   "New Customer",
   "Returning Customer"
)</f>
        <v>Returning Customer</v>
      </c>
    </row>
    <row r="990" spans="1:10" x14ac:dyDescent="0.35">
      <c r="A990" t="s">
        <v>354</v>
      </c>
      <c r="B990" s="1">
        <v>45288</v>
      </c>
      <c r="C990" t="s">
        <v>512</v>
      </c>
      <c r="D990" t="s">
        <v>15</v>
      </c>
      <c r="E990">
        <v>44</v>
      </c>
      <c r="F990" t="s">
        <v>11</v>
      </c>
      <c r="G990">
        <v>1</v>
      </c>
      <c r="H990" s="2">
        <v>25</v>
      </c>
      <c r="I990" s="2">
        <v>25</v>
      </c>
      <c r="J990" s="1" t="str">
        <f>IF(
   Sales_Performance[[#This Row],[Date]] = _xlfn.MINIFS(Sales_Performance[Date],Sales_Performance[Customer ID],Sales_Performance[[#This Row],[Customer ID]]),
   "New Customer",
   "Returning Customer"
)</f>
        <v>Returning Customer</v>
      </c>
    </row>
    <row r="991" spans="1:10" x14ac:dyDescent="0.35">
      <c r="A991" t="s">
        <v>190</v>
      </c>
      <c r="B991" s="1">
        <v>45277</v>
      </c>
      <c r="C991" t="s">
        <v>1272</v>
      </c>
      <c r="D991" t="s">
        <v>15</v>
      </c>
      <c r="E991">
        <v>50</v>
      </c>
      <c r="F991" t="s">
        <v>11</v>
      </c>
      <c r="G991">
        <v>4</v>
      </c>
      <c r="H991" s="2">
        <v>300</v>
      </c>
      <c r="I991" s="2">
        <v>1200</v>
      </c>
      <c r="J991" s="1" t="str">
        <f>IF(
   Sales_Performance[[#This Row],[Date]] = _xlfn.MINIFS(Sales_Performance[Date],Sales_Performance[Customer ID],Sales_Performance[[#This Row],[Customer ID]]),
   "New Customer",
   "Returning Customer"
)</f>
        <v>New Customer</v>
      </c>
    </row>
    <row r="992" spans="1:10" x14ac:dyDescent="0.35">
      <c r="A992" t="s">
        <v>1301</v>
      </c>
      <c r="B992" s="1">
        <v>45071</v>
      </c>
      <c r="C992" t="s">
        <v>504</v>
      </c>
      <c r="D992" t="s">
        <v>15</v>
      </c>
      <c r="E992">
        <v>58</v>
      </c>
      <c r="F992" t="s">
        <v>18</v>
      </c>
      <c r="G992">
        <v>2</v>
      </c>
      <c r="H992" s="2">
        <v>500</v>
      </c>
      <c r="I992" s="2">
        <v>1000</v>
      </c>
      <c r="J992" s="1" t="str">
        <f>IF(
   Sales_Performance[[#This Row],[Date]] = _xlfn.MINIFS(Sales_Performance[Date],Sales_Performance[Customer ID],Sales_Performance[[#This Row],[Customer ID]]),
   "New Customer",
   "Returning Customer"
)</f>
        <v>Returning Customer</v>
      </c>
    </row>
    <row r="993" spans="1:10" x14ac:dyDescent="0.35">
      <c r="A993" t="s">
        <v>843</v>
      </c>
      <c r="B993" s="1">
        <v>45286</v>
      </c>
      <c r="C993" t="s">
        <v>523</v>
      </c>
      <c r="D993" t="s">
        <v>15</v>
      </c>
      <c r="E993">
        <v>34</v>
      </c>
      <c r="F993" t="s">
        <v>16</v>
      </c>
      <c r="G993">
        <v>2</v>
      </c>
      <c r="H993" s="2">
        <v>50</v>
      </c>
      <c r="I993" s="2">
        <v>100</v>
      </c>
      <c r="J993" s="1" t="str">
        <f>IF(
   Sales_Performance[[#This Row],[Date]] = _xlfn.MINIFS(Sales_Performance[Date],Sales_Performance[Customer ID],Sales_Performance[[#This Row],[Customer ID]]),
   "New Customer",
   "Returning Customer"
)</f>
        <v>New Customer</v>
      </c>
    </row>
    <row r="994" spans="1:10" x14ac:dyDescent="0.35">
      <c r="A994" t="s">
        <v>1379</v>
      </c>
      <c r="B994" s="1">
        <v>45159</v>
      </c>
      <c r="C994" t="s">
        <v>140</v>
      </c>
      <c r="D994" t="s">
        <v>15</v>
      </c>
      <c r="E994">
        <v>57</v>
      </c>
      <c r="F994" t="s">
        <v>11</v>
      </c>
      <c r="G994">
        <v>2</v>
      </c>
      <c r="H994" s="2">
        <v>30</v>
      </c>
      <c r="I994" s="2">
        <v>60</v>
      </c>
      <c r="J994" s="1" t="str">
        <f>IF(
   Sales_Performance[[#This Row],[Date]] = _xlfn.MINIFS(Sales_Performance[Date],Sales_Performance[Customer ID],Sales_Performance[[#This Row],[Customer ID]]),
   "New Customer",
   "Returning Customer"
)</f>
        <v>New Customer</v>
      </c>
    </row>
    <row r="995" spans="1:10" x14ac:dyDescent="0.35">
      <c r="A995" t="s">
        <v>188</v>
      </c>
      <c r="B995" s="1">
        <v>44963</v>
      </c>
      <c r="C995" t="s">
        <v>1020</v>
      </c>
      <c r="D995" t="s">
        <v>15</v>
      </c>
      <c r="E995">
        <v>48</v>
      </c>
      <c r="F995" t="s">
        <v>11</v>
      </c>
      <c r="G995">
        <v>3</v>
      </c>
      <c r="H995" s="2">
        <v>50</v>
      </c>
      <c r="I995" s="2">
        <v>150</v>
      </c>
      <c r="J995" s="1" t="str">
        <f>IF(
   Sales_Performance[[#This Row],[Date]] = _xlfn.MINIFS(Sales_Performance[Date],Sales_Performance[Customer ID],Sales_Performance[[#This Row],[Customer ID]]),
   "New Customer",
   "Returning Customer"
)</f>
        <v>New Customer</v>
      </c>
    </row>
    <row r="996" spans="1:10" x14ac:dyDescent="0.35">
      <c r="A996" t="s">
        <v>391</v>
      </c>
      <c r="B996" s="1">
        <v>45278</v>
      </c>
      <c r="C996" t="s">
        <v>1290</v>
      </c>
      <c r="D996" t="s">
        <v>15</v>
      </c>
      <c r="E996">
        <v>51</v>
      </c>
      <c r="F996" t="s">
        <v>18</v>
      </c>
      <c r="G996">
        <v>2</v>
      </c>
      <c r="H996" s="2">
        <v>500</v>
      </c>
      <c r="I996" s="2">
        <v>1000</v>
      </c>
      <c r="J996" s="1" t="str">
        <f>IF(
   Sales_Performance[[#This Row],[Date]] = _xlfn.MINIFS(Sales_Performance[Date],Sales_Performance[Customer ID],Sales_Performance[[#This Row],[Customer ID]]),
   "New Customer",
   "Returning Customer"
)</f>
        <v>Returning Customer</v>
      </c>
    </row>
    <row r="997" spans="1:10" x14ac:dyDescent="0.35">
      <c r="A997" t="s">
        <v>497</v>
      </c>
      <c r="B997" s="1">
        <v>45046</v>
      </c>
      <c r="C997" t="s">
        <v>325</v>
      </c>
      <c r="D997" t="s">
        <v>15</v>
      </c>
      <c r="E997">
        <v>41</v>
      </c>
      <c r="F997" t="s">
        <v>16</v>
      </c>
      <c r="G997">
        <v>1</v>
      </c>
      <c r="H997" s="2">
        <v>30</v>
      </c>
      <c r="I997" s="2">
        <v>30</v>
      </c>
      <c r="J997" s="1" t="str">
        <f>IF(
   Sales_Performance[[#This Row],[Date]] = _xlfn.MINIFS(Sales_Performance[Date],Sales_Performance[Customer ID],Sales_Performance[[#This Row],[Customer ID]]),
   "New Customer",
   "Returning Customer"
)</f>
        <v>New Customer</v>
      </c>
    </row>
    <row r="998" spans="1:10" x14ac:dyDescent="0.35">
      <c r="A998" t="s">
        <v>97</v>
      </c>
      <c r="B998" s="1">
        <v>45062</v>
      </c>
      <c r="C998" t="s">
        <v>327</v>
      </c>
      <c r="D998" t="s">
        <v>10</v>
      </c>
      <c r="E998">
        <v>62</v>
      </c>
      <c r="F998" t="s">
        <v>16</v>
      </c>
      <c r="G998">
        <v>1</v>
      </c>
      <c r="H998" s="2">
        <v>50</v>
      </c>
      <c r="I998" s="2">
        <v>50</v>
      </c>
      <c r="J998" s="1" t="str">
        <f>IF(
   Sales_Performance[[#This Row],[Date]] = _xlfn.MINIFS(Sales_Performance[Date],Sales_Performance[Customer ID],Sales_Performance[[#This Row],[Customer ID]]),
   "New Customer",
   "Returning Customer"
)</f>
        <v>New Customer</v>
      </c>
    </row>
    <row r="999" spans="1:10" x14ac:dyDescent="0.35">
      <c r="A999" t="s">
        <v>879</v>
      </c>
      <c r="B999" s="1">
        <v>45247</v>
      </c>
      <c r="C999" t="s">
        <v>165</v>
      </c>
      <c r="D999" t="s">
        <v>10</v>
      </c>
      <c r="E999">
        <v>52</v>
      </c>
      <c r="F999" t="s">
        <v>18</v>
      </c>
      <c r="G999">
        <v>3</v>
      </c>
      <c r="H999" s="2">
        <v>30</v>
      </c>
      <c r="I999" s="2">
        <v>90</v>
      </c>
      <c r="J999" s="1" t="str">
        <f>IF(
   Sales_Performance[[#This Row],[Date]] = _xlfn.MINIFS(Sales_Performance[Date],Sales_Performance[Customer ID],Sales_Performance[[#This Row],[Customer ID]]),
   "New Customer",
   "Returning Customer"
)</f>
        <v>Returning Customer</v>
      </c>
    </row>
    <row r="1000" spans="1:10" x14ac:dyDescent="0.35">
      <c r="A1000" t="s">
        <v>1412</v>
      </c>
      <c r="B1000" s="1">
        <v>45228</v>
      </c>
      <c r="C1000" t="s">
        <v>684</v>
      </c>
      <c r="D1000" t="s">
        <v>15</v>
      </c>
      <c r="E1000">
        <v>23</v>
      </c>
      <c r="F1000" t="s">
        <v>18</v>
      </c>
      <c r="G1000">
        <v>4</v>
      </c>
      <c r="H1000" s="2">
        <v>25</v>
      </c>
      <c r="I1000" s="2">
        <v>100</v>
      </c>
      <c r="J1000" s="1" t="str">
        <f>IF(
   Sales_Performance[[#This Row],[Date]] = _xlfn.MINIFS(Sales_Performance[Date],Sales_Performance[Customer ID],Sales_Performance[[#This Row],[Customer ID]]),
   "New Customer",
   "Returning Customer"
)</f>
        <v>New Customer</v>
      </c>
    </row>
    <row r="1001" spans="1:10" x14ac:dyDescent="0.35">
      <c r="A1001" t="s">
        <v>1479</v>
      </c>
      <c r="B1001" s="1">
        <v>45265</v>
      </c>
      <c r="C1001" t="s">
        <v>1122</v>
      </c>
      <c r="D1001" t="s">
        <v>15</v>
      </c>
      <c r="E1001">
        <v>36</v>
      </c>
      <c r="F1001" t="s">
        <v>11</v>
      </c>
      <c r="G1001">
        <v>3</v>
      </c>
      <c r="H1001" s="2">
        <v>50</v>
      </c>
      <c r="I1001" s="2">
        <v>150</v>
      </c>
      <c r="J1001" s="1" t="str">
        <f>IF(
   Sales_Performance[[#This Row],[Date]] = _xlfn.MINIFS(Sales_Performance[Date],Sales_Performance[Customer ID],Sales_Performance[[#This Row],[Customer ID]]),
   "New Customer",
   "Returning Customer"
)</f>
        <v>Returning Customer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1A8F-5157-401A-A8B1-2BEF295401CC}">
  <dimension ref="A1:F495"/>
  <sheetViews>
    <sheetView zoomScale="80" zoomScaleNormal="80" workbookViewId="0">
      <selection activeCell="H21" sqref="H21"/>
    </sheetView>
  </sheetViews>
  <sheetFormatPr defaultRowHeight="14.5" x14ac:dyDescent="0.35"/>
  <cols>
    <col min="1" max="1" width="11.453125" bestFit="1" customWidth="1"/>
    <col min="2" max="2" width="7.26953125" bestFit="1" customWidth="1"/>
    <col min="3" max="3" width="4.08984375" bestFit="1" customWidth="1"/>
    <col min="4" max="4" width="9.6328125" bestFit="1" customWidth="1"/>
    <col min="5" max="5" width="13.08984375" bestFit="1" customWidth="1"/>
    <col min="6" max="6" width="17.7265625" bestFit="1" customWidth="1"/>
    <col min="8" max="8" width="8.7265625" customWidth="1"/>
  </cols>
  <sheetData>
    <row r="1" spans="1:6" x14ac:dyDescent="0.35">
      <c r="A1" t="s">
        <v>2</v>
      </c>
      <c r="B1" s="3" t="s">
        <v>3</v>
      </c>
      <c r="C1" s="3" t="s">
        <v>4</v>
      </c>
      <c r="D1" s="3" t="s">
        <v>1508</v>
      </c>
      <c r="E1" s="3" t="s">
        <v>1509</v>
      </c>
      <c r="F1" s="3" t="s">
        <v>1512</v>
      </c>
    </row>
    <row r="2" spans="1:6" x14ac:dyDescent="0.35">
      <c r="A2" t="s">
        <v>855</v>
      </c>
      <c r="B2" t="str">
        <f>VLOOKUP(A2,Sales_Performance[[Customer ID]:[Total Amount]],2,0)</f>
        <v>Male</v>
      </c>
      <c r="C2">
        <f>_xlfn.XLOOKUP(A2,Sales_Performance[Customer ID],Sales_Performance[Age],0)</f>
        <v>52</v>
      </c>
      <c r="D2" t="str" cm="1">
        <f t="array" ref="D2">_xlfn.IFS(
   C2 &lt; 18, "Under 18",
   C2 &lt;= 24, "18-24",
   C2 &lt;= 34, "25-34",
   C2 &lt;= 44, "35-44",
   C2 &lt;= 54, "45-54",
   C2 &lt;= 64, "55-64",
   TRUE, "65+"
)</f>
        <v>45-54</v>
      </c>
      <c r="E2" s="1">
        <f>_xlfn.MINIFS(
   Sales_Performance[Date],
   Sales_Performance[Customer ID],
   A2
)</f>
        <v>45153</v>
      </c>
      <c r="F2" t="str">
        <f>IF(
   COUNTIF(Sales_Performance[Customer ID], A2) = 1,
   "One-Time Customer",
   "Repeat Customer"
)</f>
        <v>One-Time Customer</v>
      </c>
    </row>
    <row r="3" spans="1:6" x14ac:dyDescent="0.35">
      <c r="A3" t="s">
        <v>1180</v>
      </c>
      <c r="B3" t="str">
        <f>VLOOKUP(A3,Sales_Performance[[Customer ID]:[Total Amount]],2,0)</f>
        <v>Male</v>
      </c>
      <c r="C3">
        <f>_xlfn.XLOOKUP(A3,Sales_Performance[Customer ID],Sales_Performance[Age],0)</f>
        <v>23</v>
      </c>
      <c r="D3" t="str" cm="1">
        <f t="array" ref="D3">_xlfn.IFS(
   C3 &lt; 18, "Under 18",
   C3 &lt;= 24, "18-24",
   C3 &lt;= 34, "25-34",
   C3 &lt;= 44, "35-44",
   C3 &lt;= 54, "45-54",
   C3 &lt;= 64, "55-64",
   TRUE, "65+"
)</f>
        <v>18-24</v>
      </c>
      <c r="E3" s="1">
        <f>_xlfn.MINIFS(
   Sales_Performance[Date],
   Sales_Performance[Customer ID],
   A3
)</f>
        <v>45197</v>
      </c>
      <c r="F3" t="str">
        <f>IF(
   COUNTIF(Sales_Performance[Customer ID], A3) = 1,
   "One-Time Customer",
   "Repeat Customer"
)</f>
        <v>One-Time Customer</v>
      </c>
    </row>
    <row r="4" spans="1:6" x14ac:dyDescent="0.35">
      <c r="A4" t="s">
        <v>561</v>
      </c>
      <c r="B4" t="str">
        <f>VLOOKUP(A4,Sales_Performance[[Customer ID]:[Total Amount]],2,0)</f>
        <v>Male</v>
      </c>
      <c r="C4">
        <f>_xlfn.XLOOKUP(A4,Sales_Performance[Customer ID],Sales_Performance[Age],0)</f>
        <v>28</v>
      </c>
      <c r="D4" t="str" cm="1">
        <f t="array" ref="D4">_xlfn.IFS(
   C4 &lt; 18, "Under 18",
   C4 &lt;= 24, "18-24",
   C4 &lt;= 34, "25-34",
   C4 &lt;= 44, "35-44",
   C4 &lt;= 54, "45-54",
   C4 &lt;= 64, "55-64",
   TRUE, "65+"
)</f>
        <v>25-34</v>
      </c>
      <c r="E4" s="1">
        <f>_xlfn.MINIFS(
   Sales_Performance[Date],
   Sales_Performance[Customer ID],
   A4
)</f>
        <v>44965</v>
      </c>
      <c r="F4" t="str">
        <f>IF(
   COUNTIF(Sales_Performance[Customer ID], A4) = 1,
   "One-Time Customer",
   "Repeat Customer"
)</f>
        <v>Repeat Customer</v>
      </c>
    </row>
    <row r="5" spans="1:6" x14ac:dyDescent="0.35">
      <c r="A5" t="s">
        <v>658</v>
      </c>
      <c r="B5" t="str">
        <f>VLOOKUP(A5,Sales_Performance[[Customer ID]:[Total Amount]],2,0)</f>
        <v>Female</v>
      </c>
      <c r="C5">
        <f>_xlfn.XLOOKUP(A5,Sales_Performance[Customer ID],Sales_Performance[Age],0)</f>
        <v>51</v>
      </c>
      <c r="D5" t="str" cm="1">
        <f t="array" ref="D5">_xlfn.IFS(
   C5 &lt; 18, "Under 18",
   C5 &lt;= 24, "18-24",
   C5 &lt;= 34, "25-34",
   C5 &lt;= 44, "35-44",
   C5 &lt;= 54, "45-54",
   C5 &lt;= 64, "55-64",
   TRUE, "65+"
)</f>
        <v>45-54</v>
      </c>
      <c r="E5" s="1">
        <f>_xlfn.MINIFS(
   Sales_Performance[Date],
   Sales_Performance[Customer ID],
   A5
)</f>
        <v>44956</v>
      </c>
      <c r="F5" t="str">
        <f>IF(
   COUNTIF(Sales_Performance[Customer ID], A5) = 1,
   "One-Time Customer",
   "Repeat Customer"
)</f>
        <v>Repeat Customer</v>
      </c>
    </row>
    <row r="6" spans="1:6" x14ac:dyDescent="0.35">
      <c r="A6" t="s">
        <v>671</v>
      </c>
      <c r="B6" t="str">
        <f>VLOOKUP(A6,Sales_Performance[[Customer ID]:[Total Amount]],2,0)</f>
        <v>Female</v>
      </c>
      <c r="C6">
        <f>_xlfn.XLOOKUP(A6,Sales_Performance[Customer ID],Sales_Performance[Age],0)</f>
        <v>62</v>
      </c>
      <c r="D6" t="str" cm="1">
        <f t="array" ref="D6">_xlfn.IFS(
   C6 &lt; 18, "Under 18",
   C6 &lt;= 24, "18-24",
   C6 &lt;= 34, "25-34",
   C6 &lt;= 44, "35-44",
   C6 &lt;= 54, "45-54",
   C6 &lt;= 64, "55-64",
   TRUE, "65+"
)</f>
        <v>55-64</v>
      </c>
      <c r="E6" s="1">
        <f>_xlfn.MINIFS(
   Sales_Performance[Date],
   Sales_Performance[Customer ID],
   A6
)</f>
        <v>45036</v>
      </c>
      <c r="F6" t="str">
        <f>IF(
   COUNTIF(Sales_Performance[Customer ID], A6) = 1,
   "One-Time Customer",
   "Repeat Customer"
)</f>
        <v>Repeat Customer</v>
      </c>
    </row>
    <row r="7" spans="1:6" x14ac:dyDescent="0.35">
      <c r="A7" t="s">
        <v>1261</v>
      </c>
      <c r="B7" t="str">
        <f>VLOOKUP(A7,Sales_Performance[[Customer ID]:[Total Amount]],2,0)</f>
        <v>Male</v>
      </c>
      <c r="C7">
        <f>_xlfn.XLOOKUP(A7,Sales_Performance[Customer ID],Sales_Performance[Age],0)</f>
        <v>33</v>
      </c>
      <c r="D7" t="str" cm="1">
        <f t="array" ref="D7">_xlfn.IFS(
   C7 &lt; 18, "Under 18",
   C7 &lt;= 24, "18-24",
   C7 &lt;= 34, "25-34",
   C7 &lt;= 44, "35-44",
   C7 &lt;= 54, "45-54",
   C7 &lt;= 64, "55-64",
   TRUE, "65+"
)</f>
        <v>25-34</v>
      </c>
      <c r="E7" s="1">
        <f>_xlfn.MINIFS(
   Sales_Performance[Date],
   Sales_Performance[Customer ID],
   A7
)</f>
        <v>44950</v>
      </c>
      <c r="F7" t="str">
        <f>IF(
   COUNTIF(Sales_Performance[Customer ID], A7) = 1,
   "One-Time Customer",
   "Repeat Customer"
)</f>
        <v>Repeat Customer</v>
      </c>
    </row>
    <row r="8" spans="1:6" x14ac:dyDescent="0.35">
      <c r="A8" t="s">
        <v>1467</v>
      </c>
      <c r="B8" t="str">
        <f>VLOOKUP(A8,Sales_Performance[[Customer ID]:[Total Amount]],2,0)</f>
        <v>Male</v>
      </c>
      <c r="C8">
        <f>_xlfn.XLOOKUP(A8,Sales_Performance[Customer ID],Sales_Performance[Age],0)</f>
        <v>24</v>
      </c>
      <c r="D8" t="str" cm="1">
        <f t="array" ref="D8">_xlfn.IFS(
   C8 &lt; 18, "Under 18",
   C8 &lt;= 24, "18-24",
   C8 &lt;= 34, "25-34",
   C8 &lt;= 44, "35-44",
   C8 &lt;= 54, "45-54",
   C8 &lt;= 64, "55-64",
   TRUE, "65+"
)</f>
        <v>18-24</v>
      </c>
      <c r="E8" s="1">
        <f>_xlfn.MINIFS(
   Sales_Performance[Date],
   Sales_Performance[Customer ID],
   A8
)</f>
        <v>44941</v>
      </c>
      <c r="F8" t="str">
        <f>IF(
   COUNTIF(Sales_Performance[Customer ID], A8) = 1,
   "One-Time Customer",
   "Repeat Customer"
)</f>
        <v>Repeat Customer</v>
      </c>
    </row>
    <row r="9" spans="1:6" x14ac:dyDescent="0.35">
      <c r="A9" t="s">
        <v>798</v>
      </c>
      <c r="B9" t="str">
        <f>VLOOKUP(A9,Sales_Performance[[Customer ID]:[Total Amount]],2,0)</f>
        <v>Male</v>
      </c>
      <c r="C9">
        <f>_xlfn.XLOOKUP(A9,Sales_Performance[Customer ID],Sales_Performance[Age],0)</f>
        <v>32</v>
      </c>
      <c r="D9" t="str" cm="1">
        <f t="array" ref="D9">_xlfn.IFS(
   C9 &lt; 18, "Under 18",
   C9 &lt;= 24, "18-24",
   C9 &lt;= 34, "25-34",
   C9 &lt;= 44, "35-44",
   C9 &lt;= 54, "45-54",
   C9 &lt;= 64, "55-64",
   TRUE, "65+"
)</f>
        <v>25-34</v>
      </c>
      <c r="E9" s="1">
        <f>_xlfn.MINIFS(
   Sales_Performance[Date],
   Sales_Performance[Customer ID],
   A9
)</f>
        <v>45186</v>
      </c>
      <c r="F9" t="str">
        <f>IF(
   COUNTIF(Sales_Performance[Customer ID], A9) = 1,
   "One-Time Customer",
   "Repeat Customer"
)</f>
        <v>Repeat Customer</v>
      </c>
    </row>
    <row r="10" spans="1:6" x14ac:dyDescent="0.35">
      <c r="A10" t="s">
        <v>1155</v>
      </c>
      <c r="B10" t="str">
        <f>VLOOKUP(A10,Sales_Performance[[Customer ID]:[Total Amount]],2,0)</f>
        <v>Male</v>
      </c>
      <c r="C10">
        <f>_xlfn.XLOOKUP(A10,Sales_Performance[Customer ID],Sales_Performance[Age],0)</f>
        <v>29</v>
      </c>
      <c r="D10" t="str" cm="1">
        <f t="array" ref="D10">_xlfn.IFS(
   C10 &lt; 18, "Under 18",
   C10 &lt;= 24, "18-24",
   C10 &lt;= 34, "25-34",
   C10 &lt;= 44, "35-44",
   C10 &lt;= 54, "45-54",
   C10 &lt;= 64, "55-64",
   TRUE, "65+"
)</f>
        <v>25-34</v>
      </c>
      <c r="E10" s="1">
        <f>_xlfn.MINIFS(
   Sales_Performance[Date],
   Sales_Performance[Customer ID],
   A10
)</f>
        <v>44984</v>
      </c>
      <c r="F10" t="str">
        <f>IF(
   COUNTIF(Sales_Performance[Customer ID], A10) = 1,
   "One-Time Customer",
   "Repeat Customer"
)</f>
        <v>Repeat Customer</v>
      </c>
    </row>
    <row r="11" spans="1:6" x14ac:dyDescent="0.35">
      <c r="A11" t="s">
        <v>57</v>
      </c>
      <c r="B11" t="str">
        <f>VLOOKUP(A11,Sales_Performance[[Customer ID]:[Total Amount]],2,0)</f>
        <v>Male</v>
      </c>
      <c r="C11">
        <f>_xlfn.XLOOKUP(A11,Sales_Performance[Customer ID],Sales_Performance[Age],0)</f>
        <v>23</v>
      </c>
      <c r="D11" t="str" cm="1">
        <f t="array" ref="D11">_xlfn.IFS(
   C11 &lt; 18, "Under 18",
   C11 &lt;= 24, "18-24",
   C11 &lt;= 34, "25-34",
   C11 &lt;= 44, "35-44",
   C11 &lt;= 54, "45-54",
   C11 &lt;= 64, "55-64",
   TRUE, "65+"
)</f>
        <v>18-24</v>
      </c>
      <c r="E11" s="1">
        <f>_xlfn.MINIFS(
   Sales_Performance[Date],
   Sales_Performance[Customer ID],
   A11
)</f>
        <v>45051</v>
      </c>
      <c r="F11" t="str">
        <f>IF(
   COUNTIF(Sales_Performance[Customer ID], A11) = 1,
   "One-Time Customer",
   "Repeat Customer"
)</f>
        <v>Repeat Customer</v>
      </c>
    </row>
    <row r="12" spans="1:6" x14ac:dyDescent="0.35">
      <c r="A12" t="s">
        <v>773</v>
      </c>
      <c r="B12" t="str">
        <f>VLOOKUP(A12,Sales_Performance[[Customer ID]:[Total Amount]],2,0)</f>
        <v>Female</v>
      </c>
      <c r="C12">
        <f>_xlfn.XLOOKUP(A12,Sales_Performance[Customer ID],Sales_Performance[Age],0)</f>
        <v>42</v>
      </c>
      <c r="D12" t="str" cm="1">
        <f t="array" ref="D12">_xlfn.IFS(
   C12 &lt; 18, "Under 18",
   C12 &lt;= 24, "18-24",
   C12 &lt;= 34, "25-34",
   C12 &lt;= 44, "35-44",
   C12 &lt;= 54, "45-54",
   C12 &lt;= 64, "55-64",
   TRUE, "65+"
)</f>
        <v>35-44</v>
      </c>
      <c r="E12" s="1">
        <f>_xlfn.MINIFS(
   Sales_Performance[Date],
   Sales_Performance[Customer ID],
   A12
)</f>
        <v>45103</v>
      </c>
      <c r="F12" t="str">
        <f>IF(
   COUNTIF(Sales_Performance[Customer ID], A12) = 1,
   "One-Time Customer",
   "Repeat Customer"
)</f>
        <v>Repeat Customer</v>
      </c>
    </row>
    <row r="13" spans="1:6" x14ac:dyDescent="0.35">
      <c r="A13" t="s">
        <v>1122</v>
      </c>
      <c r="B13" t="str">
        <f>VLOOKUP(A13,Sales_Performance[[Customer ID]:[Total Amount]],2,0)</f>
        <v>Female</v>
      </c>
      <c r="C13">
        <f>_xlfn.XLOOKUP(A13,Sales_Performance[Customer ID],Sales_Performance[Age],0)</f>
        <v>25</v>
      </c>
      <c r="D13" t="str" cm="1">
        <f t="array" ref="D13">_xlfn.IFS(
   C13 &lt; 18, "Under 18",
   C13 &lt;= 24, "18-24",
   C13 &lt;= 34, "25-34",
   C13 &lt;= 44, "35-44",
   C13 &lt;= 54, "45-54",
   C13 &lt;= 64, "55-64",
   TRUE, "65+"
)</f>
        <v>25-34</v>
      </c>
      <c r="E13" s="1">
        <f>_xlfn.MINIFS(
   Sales_Performance[Date],
   Sales_Performance[Customer ID],
   A13
)</f>
        <v>45077</v>
      </c>
      <c r="F13" t="str">
        <f>IF(
   COUNTIF(Sales_Performance[Customer ID], A13) = 1,
   "One-Time Customer",
   "Repeat Customer"
)</f>
        <v>Repeat Customer</v>
      </c>
    </row>
    <row r="14" spans="1:6" x14ac:dyDescent="0.35">
      <c r="A14" t="s">
        <v>1279</v>
      </c>
      <c r="B14" t="str">
        <f>VLOOKUP(A14,Sales_Performance[[Customer ID]:[Total Amount]],2,0)</f>
        <v>Male</v>
      </c>
      <c r="C14">
        <f>_xlfn.XLOOKUP(A14,Sales_Performance[Customer ID],Sales_Performance[Age],0)</f>
        <v>50</v>
      </c>
      <c r="D14" t="str" cm="1">
        <f t="array" ref="D14">_xlfn.IFS(
   C14 &lt; 18, "Under 18",
   C14 &lt;= 24, "18-24",
   C14 &lt;= 34, "25-34",
   C14 &lt;= 44, "35-44",
   C14 &lt;= 54, "45-54",
   C14 &lt;= 64, "55-64",
   TRUE, "65+"
)</f>
        <v>45-54</v>
      </c>
      <c r="E14" s="1">
        <f>_xlfn.MINIFS(
   Sales_Performance[Date],
   Sales_Performance[Customer ID],
   A14
)</f>
        <v>45087</v>
      </c>
      <c r="F14" t="str">
        <f>IF(
   COUNTIF(Sales_Performance[Customer ID], A14) = 1,
   "One-Time Customer",
   "Repeat Customer"
)</f>
        <v>One-Time Customer</v>
      </c>
    </row>
    <row r="15" spans="1:6" x14ac:dyDescent="0.35">
      <c r="A15" t="s">
        <v>89</v>
      </c>
      <c r="B15" t="str">
        <f>VLOOKUP(A15,Sales_Performance[[Customer ID]:[Total Amount]],2,0)</f>
        <v>Male</v>
      </c>
      <c r="C15">
        <f>_xlfn.XLOOKUP(A15,Sales_Performance[Customer ID],Sales_Performance[Age],0)</f>
        <v>47</v>
      </c>
      <c r="D15" t="str" cm="1">
        <f t="array" ref="D15">_xlfn.IFS(
   C15 &lt; 18, "Under 18",
   C15 &lt;= 24, "18-24",
   C15 &lt;= 34, "25-34",
   C15 &lt;= 44, "35-44",
   C15 &lt;= 54, "45-54",
   C15 &lt;= 64, "55-64",
   TRUE, "65+"
)</f>
        <v>45-54</v>
      </c>
      <c r="E15" s="1">
        <f>_xlfn.MINIFS(
   Sales_Performance[Date],
   Sales_Performance[Customer ID],
   A15
)</f>
        <v>45094</v>
      </c>
      <c r="F15" t="str">
        <f>IF(
   COUNTIF(Sales_Performance[Customer ID], A15) = 1,
   "One-Time Customer",
   "Repeat Customer"
)</f>
        <v>One-Time Customer</v>
      </c>
    </row>
    <row r="16" spans="1:6" x14ac:dyDescent="0.35">
      <c r="A16" t="s">
        <v>905</v>
      </c>
      <c r="B16" t="str">
        <f>VLOOKUP(A16,Sales_Performance[[Customer ID]:[Total Amount]],2,0)</f>
        <v>Female</v>
      </c>
      <c r="C16">
        <f>_xlfn.XLOOKUP(A16,Sales_Performance[Customer ID],Sales_Performance[Age],0)</f>
        <v>35</v>
      </c>
      <c r="D16" t="str" cm="1">
        <f t="array" ref="D16">_xlfn.IFS(
   C16 &lt; 18, "Under 18",
   C16 &lt;= 24, "18-24",
   C16 &lt;= 34, "25-34",
   C16 &lt;= 44, "35-44",
   C16 &lt;= 54, "45-54",
   C16 &lt;= 64, "55-64",
   TRUE, "65+"
)</f>
        <v>35-44</v>
      </c>
      <c r="E16" s="1">
        <f>_xlfn.MINIFS(
   Sales_Performance[Date],
   Sales_Performance[Customer ID],
   A16
)</f>
        <v>44991</v>
      </c>
      <c r="F16" t="str">
        <f>IF(
   COUNTIF(Sales_Performance[Customer ID], A16) = 1,
   "One-Time Customer",
   "Repeat Customer"
)</f>
        <v>Repeat Customer</v>
      </c>
    </row>
    <row r="17" spans="1:6" x14ac:dyDescent="0.35">
      <c r="A17" t="s">
        <v>297</v>
      </c>
      <c r="B17" t="str">
        <f>VLOOKUP(A17,Sales_Performance[[Customer ID]:[Total Amount]],2,0)</f>
        <v>Female</v>
      </c>
      <c r="C17">
        <f>_xlfn.XLOOKUP(A17,Sales_Performance[Customer ID],Sales_Performance[Age],0)</f>
        <v>64</v>
      </c>
      <c r="D17" t="str" cm="1">
        <f t="array" ref="D17">_xlfn.IFS(
   C17 &lt; 18, "Under 18",
   C17 &lt;= 24, "18-24",
   C17 &lt;= 34, "25-34",
   C17 &lt;= 44, "35-44",
   C17 &lt;= 54, "45-54",
   C17 &lt;= 64, "55-64",
   TRUE, "65+"
)</f>
        <v>55-64</v>
      </c>
      <c r="E17" s="1">
        <f>_xlfn.MINIFS(
   Sales_Performance[Date],
   Sales_Performance[Customer ID],
   A17
)</f>
        <v>45195</v>
      </c>
      <c r="F17" t="str">
        <f>IF(
   COUNTIF(Sales_Performance[Customer ID], A17) = 1,
   "One-Time Customer",
   "Repeat Customer"
)</f>
        <v>One-Time Customer</v>
      </c>
    </row>
    <row r="18" spans="1:6" x14ac:dyDescent="0.35">
      <c r="A18" t="s">
        <v>1025</v>
      </c>
      <c r="B18" t="str">
        <f>VLOOKUP(A18,Sales_Performance[[Customer ID]:[Total Amount]],2,0)</f>
        <v>Male</v>
      </c>
      <c r="C18">
        <f>_xlfn.XLOOKUP(A18,Sales_Performance[Customer ID],Sales_Performance[Age],0)</f>
        <v>64</v>
      </c>
      <c r="D18" t="str" cm="1">
        <f t="array" ref="D18">_xlfn.IFS(
   C18 &lt; 18, "Under 18",
   C18 &lt;= 24, "18-24",
   C18 &lt;= 34, "25-34",
   C18 &lt;= 44, "35-44",
   C18 &lt;= 54, "45-54",
   C18 &lt;= 64, "55-64",
   TRUE, "65+"
)</f>
        <v>55-64</v>
      </c>
      <c r="E18" s="1">
        <f>_xlfn.MINIFS(
   Sales_Performance[Date],
   Sales_Performance[Customer ID],
   A18
)</f>
        <v>45217</v>
      </c>
      <c r="F18" t="str">
        <f>IF(
   COUNTIF(Sales_Performance[Customer ID], A18) = 1,
   "One-Time Customer",
   "Repeat Customer"
)</f>
        <v>Repeat Customer</v>
      </c>
    </row>
    <row r="19" spans="1:6" x14ac:dyDescent="0.35">
      <c r="A19" t="s">
        <v>675</v>
      </c>
      <c r="B19" t="str">
        <f>VLOOKUP(A19,Sales_Performance[[Customer ID]:[Total Amount]],2,0)</f>
        <v>Female</v>
      </c>
      <c r="C19">
        <f>_xlfn.XLOOKUP(A19,Sales_Performance[Customer ID],Sales_Performance[Age],0)</f>
        <v>27</v>
      </c>
      <c r="D19" t="str" cm="1">
        <f t="array" ref="D19">_xlfn.IFS(
   C19 &lt; 18, "Under 18",
   C19 &lt;= 24, "18-24",
   C19 &lt;= 34, "25-34",
   C19 &lt;= 44, "35-44",
   C19 &lt;= 54, "45-54",
   C19 &lt;= 64, "55-64",
   TRUE, "65+"
)</f>
        <v>25-34</v>
      </c>
      <c r="E19" s="1">
        <f>_xlfn.MINIFS(
   Sales_Performance[Date],
   Sales_Performance[Customer ID],
   A19
)</f>
        <v>44993</v>
      </c>
      <c r="F19" t="str">
        <f>IF(
   COUNTIF(Sales_Performance[Customer ID], A19) = 1,
   "One-Time Customer",
   "Repeat Customer"
)</f>
        <v>Repeat Customer</v>
      </c>
    </row>
    <row r="20" spans="1:6" x14ac:dyDescent="0.35">
      <c r="A20" t="s">
        <v>1048</v>
      </c>
      <c r="B20" t="str">
        <f>VLOOKUP(A20,Sales_Performance[[Customer ID]:[Total Amount]],2,0)</f>
        <v>Female</v>
      </c>
      <c r="C20">
        <f>_xlfn.XLOOKUP(A20,Sales_Performance[Customer ID],Sales_Performance[Age],0)</f>
        <v>35</v>
      </c>
      <c r="D20" t="str" cm="1">
        <f t="array" ref="D20">_xlfn.IFS(
   C20 &lt; 18, "Under 18",
   C20 &lt;= 24, "18-24",
   C20 &lt;= 34, "25-34",
   C20 &lt;= 44, "35-44",
   C20 &lt;= 54, "45-54",
   C20 &lt;= 64, "55-64",
   TRUE, "65+"
)</f>
        <v>35-44</v>
      </c>
      <c r="E20" s="1">
        <f>_xlfn.MINIFS(
   Sales_Performance[Date],
   Sales_Performance[Customer ID],
   A20
)</f>
        <v>45209</v>
      </c>
      <c r="F20" t="str">
        <f>IF(
   COUNTIF(Sales_Performance[Customer ID], A20) = 1,
   "One-Time Customer",
   "Repeat Customer"
)</f>
        <v>Repeat Customer</v>
      </c>
    </row>
    <row r="21" spans="1:6" x14ac:dyDescent="0.35">
      <c r="A21" t="s">
        <v>1383</v>
      </c>
      <c r="B21" t="str">
        <f>VLOOKUP(A21,Sales_Performance[[Customer ID]:[Total Amount]],2,0)</f>
        <v>Female</v>
      </c>
      <c r="C21">
        <f>_xlfn.XLOOKUP(A21,Sales_Performance[Customer ID],Sales_Performance[Age],0)</f>
        <v>58</v>
      </c>
      <c r="D21" t="str" cm="1">
        <f t="array" ref="D21">_xlfn.IFS(
   C21 &lt; 18, "Under 18",
   C21 &lt;= 24, "18-24",
   C21 &lt;= 34, "25-34",
   C21 &lt;= 44, "35-44",
   C21 &lt;= 54, "45-54",
   C21 &lt;= 64, "55-64",
   TRUE, "65+"
)</f>
        <v>55-64</v>
      </c>
      <c r="E21" s="1">
        <f>_xlfn.MINIFS(
   Sales_Performance[Date],
   Sales_Performance[Customer ID],
   A21
)</f>
        <v>45029</v>
      </c>
      <c r="F21" t="str">
        <f>IF(
   COUNTIF(Sales_Performance[Customer ID], A21) = 1,
   "One-Time Customer",
   "Repeat Customer"
)</f>
        <v>Repeat Customer</v>
      </c>
    </row>
    <row r="22" spans="1:6" x14ac:dyDescent="0.35">
      <c r="A22" t="s">
        <v>453</v>
      </c>
      <c r="B22" t="str">
        <f>VLOOKUP(A22,Sales_Performance[[Customer ID]:[Total Amount]],2,0)</f>
        <v>Male</v>
      </c>
      <c r="C22">
        <f>_xlfn.XLOOKUP(A22,Sales_Performance[Customer ID],Sales_Performance[Age],0)</f>
        <v>53</v>
      </c>
      <c r="D22" t="str" cm="1">
        <f t="array" ref="D22">_xlfn.IFS(
   C22 &lt; 18, "Under 18",
   C22 &lt;= 24, "18-24",
   C22 &lt;= 34, "25-34",
   C22 &lt;= 44, "35-44",
   C22 &lt;= 54, "45-54",
   C22 &lt;= 64, "55-64",
   TRUE, "65+"
)</f>
        <v>45-54</v>
      </c>
      <c r="E22" s="1">
        <f>_xlfn.MINIFS(
   Sales_Performance[Date],
   Sales_Performance[Customer ID],
   A22
)</f>
        <v>44953</v>
      </c>
      <c r="F22" t="str">
        <f>IF(
   COUNTIF(Sales_Performance[Customer ID], A22) = 1,
   "One-Time Customer",
   "Repeat Customer"
)</f>
        <v>Repeat Customer</v>
      </c>
    </row>
    <row r="23" spans="1:6" x14ac:dyDescent="0.35">
      <c r="A23" t="s">
        <v>1360</v>
      </c>
      <c r="B23" t="str">
        <f>VLOOKUP(A23,Sales_Performance[[Customer ID]:[Total Amount]],2,0)</f>
        <v>Male</v>
      </c>
      <c r="C23">
        <f>_xlfn.XLOOKUP(A23,Sales_Performance[Customer ID],Sales_Performance[Age],0)</f>
        <v>41</v>
      </c>
      <c r="D23" t="str" cm="1">
        <f t="array" ref="D23">_xlfn.IFS(
   C23 &lt; 18, "Under 18",
   C23 &lt;= 24, "18-24",
   C23 &lt;= 34, "25-34",
   C23 &lt;= 44, "35-44",
   C23 &lt;= 54, "45-54",
   C23 &lt;= 64, "55-64",
   TRUE, "65+"
)</f>
        <v>35-44</v>
      </c>
      <c r="E23" s="1">
        <f>_xlfn.MINIFS(
   Sales_Performance[Date],
   Sales_Performance[Customer ID],
   A23
)</f>
        <v>45008</v>
      </c>
      <c r="F23" t="str">
        <f>IF(
   COUNTIF(Sales_Performance[Customer ID], A23) = 1,
   "One-Time Customer",
   "Repeat Customer"
)</f>
        <v>Repeat Customer</v>
      </c>
    </row>
    <row r="24" spans="1:6" x14ac:dyDescent="0.35">
      <c r="A24" t="s">
        <v>411</v>
      </c>
      <c r="B24" t="str">
        <f>VLOOKUP(A24,Sales_Performance[[Customer ID]:[Total Amount]],2,0)</f>
        <v>Female</v>
      </c>
      <c r="C24">
        <f>_xlfn.XLOOKUP(A24,Sales_Performance[Customer ID],Sales_Performance[Age],0)</f>
        <v>18</v>
      </c>
      <c r="D24" t="str" cm="1">
        <f t="array" ref="D24">_xlfn.IFS(
   C24 &lt; 18, "Under 18",
   C24 &lt;= 24, "18-24",
   C24 &lt;= 34, "25-34",
   C24 &lt;= 44, "35-44",
   C24 &lt;= 54, "45-54",
   C24 &lt;= 64, "55-64",
   TRUE, "65+"
)</f>
        <v>18-24</v>
      </c>
      <c r="E24" s="1">
        <f>_xlfn.MINIFS(
   Sales_Performance[Date],
   Sales_Performance[Customer ID],
   A24
)</f>
        <v>44968</v>
      </c>
      <c r="F24" t="str">
        <f>IF(
   COUNTIF(Sales_Performance[Customer ID], A24) = 1,
   "One-Time Customer",
   "Repeat Customer"
)</f>
        <v>Repeat Customer</v>
      </c>
    </row>
    <row r="25" spans="1:6" x14ac:dyDescent="0.35">
      <c r="A25" t="s">
        <v>750</v>
      </c>
      <c r="B25" t="str">
        <f>VLOOKUP(A25,Sales_Performance[[Customer ID]:[Total Amount]],2,0)</f>
        <v>Male</v>
      </c>
      <c r="C25">
        <f>_xlfn.XLOOKUP(A25,Sales_Performance[Customer ID],Sales_Performance[Age],0)</f>
        <v>34</v>
      </c>
      <c r="D25" t="str" cm="1">
        <f t="array" ref="D25">_xlfn.IFS(
   C25 &lt; 18, "Under 18",
   C25 &lt;= 24, "18-24",
   C25 &lt;= 34, "25-34",
   C25 &lt;= 44, "35-44",
   C25 &lt;= 54, "45-54",
   C25 &lt;= 64, "55-64",
   TRUE, "65+"
)</f>
        <v>25-34</v>
      </c>
      <c r="E25" s="1">
        <f>_xlfn.MINIFS(
   Sales_Performance[Date],
   Sales_Performance[Customer ID],
   A25
)</f>
        <v>44981</v>
      </c>
      <c r="F25" t="str">
        <f>IF(
   COUNTIF(Sales_Performance[Customer ID], A25) = 1,
   "One-Time Customer",
   "Repeat Customer"
)</f>
        <v>Repeat Customer</v>
      </c>
    </row>
    <row r="26" spans="1:6" x14ac:dyDescent="0.35">
      <c r="A26" t="s">
        <v>51</v>
      </c>
      <c r="B26" t="str">
        <f>VLOOKUP(A26,Sales_Performance[[Customer ID]:[Total Amount]],2,0)</f>
        <v>Female</v>
      </c>
      <c r="C26">
        <f>_xlfn.XLOOKUP(A26,Sales_Performance[Customer ID],Sales_Performance[Age],0)</f>
        <v>64</v>
      </c>
      <c r="D26" t="str" cm="1">
        <f t="array" ref="D26">_xlfn.IFS(
   C26 &lt; 18, "Under 18",
   C26 &lt;= 24, "18-24",
   C26 &lt;= 34, "25-34",
   C26 &lt;= 44, "35-44",
   C26 &lt;= 54, "45-54",
   C26 &lt;= 64, "55-64",
   TRUE, "65+"
)</f>
        <v>55-64</v>
      </c>
      <c r="E26" s="1">
        <f>_xlfn.MINIFS(
   Sales_Performance[Date],
   Sales_Performance[Customer ID],
   A26
)</f>
        <v>45286</v>
      </c>
      <c r="F26" t="str">
        <f>IF(
   COUNTIF(Sales_Performance[Customer ID], A26) = 1,
   "One-Time Customer",
   "Repeat Customer"
)</f>
        <v>One-Time Customer</v>
      </c>
    </row>
    <row r="27" spans="1:6" x14ac:dyDescent="0.35">
      <c r="A27" t="s">
        <v>70</v>
      </c>
      <c r="B27" t="str">
        <f>VLOOKUP(A27,Sales_Performance[[Customer ID]:[Total Amount]],2,0)</f>
        <v>Female</v>
      </c>
      <c r="C27">
        <f>_xlfn.XLOOKUP(A27,Sales_Performance[Customer ID],Sales_Performance[Age],0)</f>
        <v>58</v>
      </c>
      <c r="D27" t="str" cm="1">
        <f t="array" ref="D27">_xlfn.IFS(
   C27 &lt; 18, "Under 18",
   C27 &lt;= 24, "18-24",
   C27 &lt;= 34, "25-34",
   C27 &lt;= 44, "35-44",
   C27 &lt;= 54, "45-54",
   C27 &lt;= 64, "55-64",
   TRUE, "65+"
)</f>
        <v>55-64</v>
      </c>
      <c r="E27" s="1">
        <f>_xlfn.MINIFS(
   Sales_Performance[Date],
   Sales_Performance[Customer ID],
   A27
)</f>
        <v>45072</v>
      </c>
      <c r="F27" t="str">
        <f>IF(
   COUNTIF(Sales_Performance[Customer ID], A27) = 1,
   "One-Time Customer",
   "Repeat Customer"
)</f>
        <v>Repeat Customer</v>
      </c>
    </row>
    <row r="28" spans="1:6" x14ac:dyDescent="0.35">
      <c r="A28" t="s">
        <v>181</v>
      </c>
      <c r="B28" t="str">
        <f>VLOOKUP(A28,Sales_Performance[[Customer ID]:[Total Amount]],2,0)</f>
        <v>Male</v>
      </c>
      <c r="C28">
        <f>_xlfn.XLOOKUP(A28,Sales_Performance[Customer ID],Sales_Performance[Age],0)</f>
        <v>20</v>
      </c>
      <c r="D28" t="str" cm="1">
        <f t="array" ref="D28">_xlfn.IFS(
   C28 &lt; 18, "Under 18",
   C28 &lt;= 24, "18-24",
   C28 &lt;= 34, "25-34",
   C28 &lt;= 44, "35-44",
   C28 &lt;= 54, "45-54",
   C28 &lt;= 64, "55-64",
   TRUE, "65+"
)</f>
        <v>18-24</v>
      </c>
      <c r="E28" s="1">
        <f>_xlfn.MINIFS(
   Sales_Performance[Date],
   Sales_Performance[Customer ID],
   A28
)</f>
        <v>44963</v>
      </c>
      <c r="F28" t="str">
        <f>IF(
   COUNTIF(Sales_Performance[Customer ID], A28) = 1,
   "One-Time Customer",
   "Repeat Customer"
)</f>
        <v>Repeat Customer</v>
      </c>
    </row>
    <row r="29" spans="1:6" x14ac:dyDescent="0.35">
      <c r="A29" t="s">
        <v>715</v>
      </c>
      <c r="B29" t="str">
        <f>VLOOKUP(A29,Sales_Performance[[Customer ID]:[Total Amount]],2,0)</f>
        <v>Female</v>
      </c>
      <c r="C29">
        <f>_xlfn.XLOOKUP(A29,Sales_Performance[Customer ID],Sales_Performance[Age],0)</f>
        <v>64</v>
      </c>
      <c r="D29" t="str" cm="1">
        <f t="array" ref="D29">_xlfn.IFS(
   C29 &lt; 18, "Under 18",
   C29 &lt;= 24, "18-24",
   C29 &lt;= 34, "25-34",
   C29 &lt;= 44, "35-44",
   C29 &lt;= 54, "45-54",
   C29 &lt;= 64, "55-64",
   TRUE, "65+"
)</f>
        <v>55-64</v>
      </c>
      <c r="E29" s="1">
        <f>_xlfn.MINIFS(
   Sales_Performance[Date],
   Sales_Performance[Customer ID],
   A29
)</f>
        <v>44988</v>
      </c>
      <c r="F29" t="str">
        <f>IF(
   COUNTIF(Sales_Performance[Customer ID], A29) = 1,
   "One-Time Customer",
   "Repeat Customer"
)</f>
        <v>Repeat Customer</v>
      </c>
    </row>
    <row r="30" spans="1:6" x14ac:dyDescent="0.35">
      <c r="A30" t="s">
        <v>932</v>
      </c>
      <c r="B30" t="str">
        <f>VLOOKUP(A30,Sales_Performance[[Customer ID]:[Total Amount]],2,0)</f>
        <v>Female</v>
      </c>
      <c r="C30">
        <f>_xlfn.XLOOKUP(A30,Sales_Performance[Customer ID],Sales_Performance[Age],0)</f>
        <v>52</v>
      </c>
      <c r="D30" t="str" cm="1">
        <f t="array" ref="D30">_xlfn.IFS(
   C30 &lt; 18, "Under 18",
   C30 &lt;= 24, "18-24",
   C30 &lt;= 34, "25-34",
   C30 &lt;= 44, "35-44",
   C30 &lt;= 54, "45-54",
   C30 &lt;= 64, "55-64",
   TRUE, "65+"
)</f>
        <v>45-54</v>
      </c>
      <c r="E30" s="1">
        <f>_xlfn.MINIFS(
   Sales_Performance[Date],
   Sales_Performance[Customer ID],
   A30
)</f>
        <v>45206</v>
      </c>
      <c r="F30" t="str">
        <f>IF(
   COUNTIF(Sales_Performance[Customer ID], A30) = 1,
   "One-Time Customer",
   "Repeat Customer"
)</f>
        <v>One-Time Customer</v>
      </c>
    </row>
    <row r="31" spans="1:6" x14ac:dyDescent="0.35">
      <c r="A31" t="s">
        <v>1288</v>
      </c>
      <c r="B31" t="str">
        <f>VLOOKUP(A31,Sales_Performance[[Customer ID]:[Total Amount]],2,0)</f>
        <v>Female</v>
      </c>
      <c r="C31">
        <f>_xlfn.XLOOKUP(A31,Sales_Performance[Customer ID],Sales_Performance[Age],0)</f>
        <v>21</v>
      </c>
      <c r="D31" t="str" cm="1">
        <f t="array" ref="D31">_xlfn.IFS(
   C31 &lt; 18, "Under 18",
   C31 &lt;= 24, "18-24",
   C31 &lt;= 34, "25-34",
   C31 &lt;= 44, "35-44",
   C31 &lt;= 54, "45-54",
   C31 &lt;= 64, "55-64",
   TRUE, "65+"
)</f>
        <v>18-24</v>
      </c>
      <c r="E31" s="1">
        <f>_xlfn.MINIFS(
   Sales_Performance[Date],
   Sales_Performance[Customer ID],
   A31
)</f>
        <v>44937</v>
      </c>
      <c r="F31" t="str">
        <f>IF(
   COUNTIF(Sales_Performance[Customer ID], A31) = 1,
   "One-Time Customer",
   "Repeat Customer"
)</f>
        <v>Repeat Customer</v>
      </c>
    </row>
    <row r="32" spans="1:6" x14ac:dyDescent="0.35">
      <c r="A32" t="s">
        <v>700</v>
      </c>
      <c r="B32" t="str">
        <f>VLOOKUP(A32,Sales_Performance[[Customer ID]:[Total Amount]],2,0)</f>
        <v>Female</v>
      </c>
      <c r="C32">
        <f>_xlfn.XLOOKUP(A32,Sales_Performance[Customer ID],Sales_Performance[Age],0)</f>
        <v>51</v>
      </c>
      <c r="D32" t="str" cm="1">
        <f t="array" ref="D32">_xlfn.IFS(
   C32 &lt; 18, "Under 18",
   C32 &lt;= 24, "18-24",
   C32 &lt;= 34, "25-34",
   C32 &lt;= 44, "35-44",
   C32 &lt;= 54, "45-54",
   C32 &lt;= 64, "55-64",
   TRUE, "65+"
)</f>
        <v>45-54</v>
      </c>
      <c r="E32" s="1">
        <f>_xlfn.MINIFS(
   Sales_Performance[Date],
   Sales_Performance[Customer ID],
   A32
)</f>
        <v>45045</v>
      </c>
      <c r="F32" t="str">
        <f>IF(
   COUNTIF(Sales_Performance[Customer ID], A32) = 1,
   "One-Time Customer",
   "Repeat Customer"
)</f>
        <v>Repeat Customer</v>
      </c>
    </row>
    <row r="33" spans="1:6" x14ac:dyDescent="0.35">
      <c r="A33" t="s">
        <v>808</v>
      </c>
      <c r="B33" t="str">
        <f>VLOOKUP(A33,Sales_Performance[[Customer ID]:[Total Amount]],2,0)</f>
        <v>Female</v>
      </c>
      <c r="C33">
        <f>_xlfn.XLOOKUP(A33,Sales_Performance[Customer ID],Sales_Performance[Age],0)</f>
        <v>57</v>
      </c>
      <c r="D33" t="str" cm="1">
        <f t="array" ref="D33">_xlfn.IFS(
   C33 &lt; 18, "Under 18",
   C33 &lt;= 24, "18-24",
   C33 &lt;= 34, "25-34",
   C33 &lt;= 44, "35-44",
   C33 &lt;= 54, "45-54",
   C33 &lt;= 64, "55-64",
   TRUE, "65+"
)</f>
        <v>55-64</v>
      </c>
      <c r="E33" s="1">
        <f>_xlfn.MINIFS(
   Sales_Performance[Date],
   Sales_Performance[Customer ID],
   A33
)</f>
        <v>44931</v>
      </c>
      <c r="F33" t="str">
        <f>IF(
   COUNTIF(Sales_Performance[Customer ID], A33) = 1,
   "One-Time Customer",
   "Repeat Customer"
)</f>
        <v>Repeat Customer</v>
      </c>
    </row>
    <row r="34" spans="1:6" x14ac:dyDescent="0.35">
      <c r="A34" t="s">
        <v>777</v>
      </c>
      <c r="B34" t="str">
        <f>VLOOKUP(A34,Sales_Performance[[Customer ID]:[Total Amount]],2,0)</f>
        <v>Female</v>
      </c>
      <c r="C34">
        <f>_xlfn.XLOOKUP(A34,Sales_Performance[Customer ID],Sales_Performance[Age],0)</f>
        <v>60</v>
      </c>
      <c r="D34" t="str" cm="1">
        <f t="array" ref="D34">_xlfn.IFS(
   C34 &lt; 18, "Under 18",
   C34 &lt;= 24, "18-24",
   C34 &lt;= 34, "25-34",
   C34 &lt;= 44, "35-44",
   C34 &lt;= 54, "45-54",
   C34 &lt;= 64, "55-64",
   TRUE, "65+"
)</f>
        <v>55-64</v>
      </c>
      <c r="E34" s="1">
        <f>_xlfn.MINIFS(
   Sales_Performance[Date],
   Sales_Performance[Customer ID],
   A34
)</f>
        <v>45012</v>
      </c>
      <c r="F34" t="str">
        <f>IF(
   COUNTIF(Sales_Performance[Customer ID], A34) = 1,
   "One-Time Customer",
   "Repeat Customer"
)</f>
        <v>Repeat Customer</v>
      </c>
    </row>
    <row r="35" spans="1:6" x14ac:dyDescent="0.35">
      <c r="A35" t="s">
        <v>1378</v>
      </c>
      <c r="B35" t="str">
        <f>VLOOKUP(A35,Sales_Performance[[Customer ID]:[Total Amount]],2,0)</f>
        <v>Male</v>
      </c>
      <c r="C35">
        <f>_xlfn.XLOOKUP(A35,Sales_Performance[Customer ID],Sales_Performance[Age],0)</f>
        <v>21</v>
      </c>
      <c r="D35" t="str" cm="1">
        <f t="array" ref="D35">_xlfn.IFS(
   C35 &lt; 18, "Under 18",
   C35 &lt;= 24, "18-24",
   C35 &lt;= 34, "25-34",
   C35 &lt;= 44, "35-44",
   C35 &lt;= 54, "45-54",
   C35 &lt;= 64, "55-64",
   TRUE, "65+"
)</f>
        <v>18-24</v>
      </c>
      <c r="E35" s="1">
        <f>_xlfn.MINIFS(
   Sales_Performance[Date],
   Sales_Performance[Customer ID],
   A35
)</f>
        <v>45025</v>
      </c>
      <c r="F35" t="str">
        <f>IF(
   COUNTIF(Sales_Performance[Customer ID], A35) = 1,
   "One-Time Customer",
   "Repeat Customer"
)</f>
        <v>One-Time Customer</v>
      </c>
    </row>
    <row r="36" spans="1:6" x14ac:dyDescent="0.35">
      <c r="A36" t="s">
        <v>121</v>
      </c>
      <c r="B36" t="str">
        <f>VLOOKUP(A36,Sales_Performance[[Customer ID]:[Total Amount]],2,0)</f>
        <v>Male</v>
      </c>
      <c r="C36">
        <f>_xlfn.XLOOKUP(A36,Sales_Performance[Customer ID],Sales_Performance[Age],0)</f>
        <v>18</v>
      </c>
      <c r="D36" t="str" cm="1">
        <f t="array" ref="D36">_xlfn.IFS(
   C36 &lt; 18, "Under 18",
   C36 &lt;= 24, "18-24",
   C36 &lt;= 34, "25-34",
   C36 &lt;= 44, "35-44",
   C36 &lt;= 54, "45-54",
   C36 &lt;= 64, "55-64",
   TRUE, "65+"
)</f>
        <v>18-24</v>
      </c>
      <c r="E36" s="1">
        <f>_xlfn.MINIFS(
   Sales_Performance[Date],
   Sales_Performance[Customer ID],
   A36
)</f>
        <v>45178</v>
      </c>
      <c r="F36" t="str">
        <f>IF(
   COUNTIF(Sales_Performance[Customer ID], A36) = 1,
   "One-Time Customer",
   "Repeat Customer"
)</f>
        <v>Repeat Customer</v>
      </c>
    </row>
    <row r="37" spans="1:6" x14ac:dyDescent="0.35">
      <c r="A37" t="s">
        <v>1335</v>
      </c>
      <c r="B37" t="str">
        <f>VLOOKUP(A37,Sales_Performance[[Customer ID]:[Total Amount]],2,0)</f>
        <v>Female</v>
      </c>
      <c r="C37">
        <f>_xlfn.XLOOKUP(A37,Sales_Performance[Customer ID],Sales_Performance[Age],0)</f>
        <v>47</v>
      </c>
      <c r="D37" t="str" cm="1">
        <f t="array" ref="D37">_xlfn.IFS(
   C37 &lt; 18, "Under 18",
   C37 &lt;= 24, "18-24",
   C37 &lt;= 34, "25-34",
   C37 &lt;= 44, "35-44",
   C37 &lt;= 54, "45-54",
   C37 &lt;= 64, "55-64",
   TRUE, "65+"
)</f>
        <v>45-54</v>
      </c>
      <c r="E37" s="1">
        <f>_xlfn.MINIFS(
   Sales_Performance[Date],
   Sales_Performance[Customer ID],
   A37
)</f>
        <v>45061</v>
      </c>
      <c r="F37" t="str">
        <f>IF(
   COUNTIF(Sales_Performance[Customer ID], A37) = 1,
   "One-Time Customer",
   "Repeat Customer"
)</f>
        <v>Repeat Customer</v>
      </c>
    </row>
    <row r="38" spans="1:6" x14ac:dyDescent="0.35">
      <c r="A38" t="s">
        <v>988</v>
      </c>
      <c r="B38" t="str">
        <f>VLOOKUP(A38,Sales_Performance[[Customer ID]:[Total Amount]],2,0)</f>
        <v>Female</v>
      </c>
      <c r="C38">
        <f>_xlfn.XLOOKUP(A38,Sales_Performance[Customer ID],Sales_Performance[Age],0)</f>
        <v>28</v>
      </c>
      <c r="D38" t="str" cm="1">
        <f t="array" ref="D38">_xlfn.IFS(
   C38 &lt; 18, "Under 18",
   C38 &lt;= 24, "18-24",
   C38 &lt;= 34, "25-34",
   C38 &lt;= 44, "35-44",
   C38 &lt;= 54, "45-54",
   C38 &lt;= 64, "55-64",
   TRUE, "65+"
)</f>
        <v>25-34</v>
      </c>
      <c r="E38" s="1">
        <f>_xlfn.MINIFS(
   Sales_Performance[Date],
   Sales_Performance[Customer ID],
   A38
)</f>
        <v>45206</v>
      </c>
      <c r="F38" t="str">
        <f>IF(
   COUNTIF(Sales_Performance[Customer ID], A38) = 1,
   "One-Time Customer",
   "Repeat Customer"
)</f>
        <v>One-Time Customer</v>
      </c>
    </row>
    <row r="39" spans="1:6" x14ac:dyDescent="0.35">
      <c r="A39" t="s">
        <v>597</v>
      </c>
      <c r="B39" t="str">
        <f>VLOOKUP(A39,Sales_Performance[[Customer ID]:[Total Amount]],2,0)</f>
        <v>Female</v>
      </c>
      <c r="C39">
        <f>_xlfn.XLOOKUP(A39,Sales_Performance[Customer ID],Sales_Performance[Age],0)</f>
        <v>35</v>
      </c>
      <c r="D39" t="str" cm="1">
        <f t="array" ref="D39">_xlfn.IFS(
   C39 &lt; 18, "Under 18",
   C39 &lt;= 24, "18-24",
   C39 &lt;= 34, "25-34",
   C39 &lt;= 44, "35-44",
   C39 &lt;= 54, "45-54",
   C39 &lt;= 64, "55-64",
   TRUE, "65+"
)</f>
        <v>35-44</v>
      </c>
      <c r="E39" s="1">
        <f>_xlfn.MINIFS(
   Sales_Performance[Date],
   Sales_Performance[Customer ID],
   A39
)</f>
        <v>45151</v>
      </c>
      <c r="F39" t="str">
        <f>IF(
   COUNTIF(Sales_Performance[Customer ID], A39) = 1,
   "One-Time Customer",
   "Repeat Customer"
)</f>
        <v>One-Time Customer</v>
      </c>
    </row>
    <row r="40" spans="1:6" x14ac:dyDescent="0.35">
      <c r="A40" t="s">
        <v>208</v>
      </c>
      <c r="B40" t="str">
        <f>VLOOKUP(A40,Sales_Performance[[Customer ID]:[Total Amount]],2,0)</f>
        <v>Female</v>
      </c>
      <c r="C40">
        <f>_xlfn.XLOOKUP(A40,Sales_Performance[Customer ID],Sales_Performance[Age],0)</f>
        <v>31</v>
      </c>
      <c r="D40" t="str" cm="1">
        <f t="array" ref="D40">_xlfn.IFS(
   C40 &lt; 18, "Under 18",
   C40 &lt;= 24, "18-24",
   C40 &lt;= 34, "25-34",
   C40 &lt;= 44, "35-44",
   C40 &lt;= 54, "45-54",
   C40 &lt;= 64, "55-64",
   TRUE, "65+"
)</f>
        <v>25-34</v>
      </c>
      <c r="E40" s="1">
        <f>_xlfn.MINIFS(
   Sales_Performance[Date],
   Sales_Performance[Customer ID],
   A40
)</f>
        <v>45039</v>
      </c>
      <c r="F40" t="str">
        <f>IF(
   COUNTIF(Sales_Performance[Customer ID], A40) = 1,
   "One-Time Customer",
   "Repeat Customer"
)</f>
        <v>Repeat Customer</v>
      </c>
    </row>
    <row r="41" spans="1:6" x14ac:dyDescent="0.35">
      <c r="A41" t="s">
        <v>1318</v>
      </c>
      <c r="B41" t="str">
        <f>VLOOKUP(A41,Sales_Performance[[Customer ID]:[Total Amount]],2,0)</f>
        <v>Male</v>
      </c>
      <c r="C41">
        <f>_xlfn.XLOOKUP(A41,Sales_Performance[Customer ID],Sales_Performance[Age],0)</f>
        <v>63</v>
      </c>
      <c r="D41" t="str" cm="1">
        <f t="array" ref="D41">_xlfn.IFS(
   C41 &lt; 18, "Under 18",
   C41 &lt;= 24, "18-24",
   C41 &lt;= 34, "25-34",
   C41 &lt;= 44, "35-44",
   C41 &lt;= 54, "45-54",
   C41 &lt;= 64, "55-64",
   TRUE, "65+"
)</f>
        <v>55-64</v>
      </c>
      <c r="E41" s="1">
        <f>_xlfn.MINIFS(
   Sales_Performance[Date],
   Sales_Performance[Customer ID],
   A41
)</f>
        <v>44964</v>
      </c>
      <c r="F41" t="str">
        <f>IF(
   COUNTIF(Sales_Performance[Customer ID], A41) = 1,
   "One-Time Customer",
   "Repeat Customer"
)</f>
        <v>Repeat Customer</v>
      </c>
    </row>
    <row r="42" spans="1:6" x14ac:dyDescent="0.35">
      <c r="A42" t="s">
        <v>579</v>
      </c>
      <c r="B42" t="str">
        <f>VLOOKUP(A42,Sales_Performance[[Customer ID]:[Total Amount]],2,0)</f>
        <v>Female</v>
      </c>
      <c r="C42">
        <f>_xlfn.XLOOKUP(A42,Sales_Performance[Customer ID],Sales_Performance[Age],0)</f>
        <v>59</v>
      </c>
      <c r="D42" t="str" cm="1">
        <f t="array" ref="D42">_xlfn.IFS(
   C42 &lt; 18, "Under 18",
   C42 &lt;= 24, "18-24",
   C42 &lt;= 34, "25-34",
   C42 &lt;= 44, "35-44",
   C42 &lt;= 54, "45-54",
   C42 &lt;= 64, "55-64",
   TRUE, "65+"
)</f>
        <v>55-64</v>
      </c>
      <c r="E42" s="1">
        <f>_xlfn.MINIFS(
   Sales_Performance[Date],
   Sales_Performance[Customer ID],
   A42
)</f>
        <v>44943</v>
      </c>
      <c r="F42" t="str">
        <f>IF(
   COUNTIF(Sales_Performance[Customer ID], A42) = 1,
   "One-Time Customer",
   "Repeat Customer"
)</f>
        <v>One-Time Customer</v>
      </c>
    </row>
    <row r="43" spans="1:6" x14ac:dyDescent="0.35">
      <c r="A43" t="s">
        <v>924</v>
      </c>
      <c r="B43" t="str">
        <f>VLOOKUP(A43,Sales_Performance[[Customer ID]:[Total Amount]],2,0)</f>
        <v>Female</v>
      </c>
      <c r="C43">
        <f>_xlfn.XLOOKUP(A43,Sales_Performance[Customer ID],Sales_Performance[Age],0)</f>
        <v>26</v>
      </c>
      <c r="D43" t="str" cm="1">
        <f t="array" ref="D43">_xlfn.IFS(
   C43 &lt; 18, "Under 18",
   C43 &lt;= 24, "18-24",
   C43 &lt;= 34, "25-34",
   C43 &lt;= 44, "35-44",
   C43 &lt;= 54, "45-54",
   C43 &lt;= 64, "55-64",
   TRUE, "65+"
)</f>
        <v>25-34</v>
      </c>
      <c r="E43" s="1">
        <f>_xlfn.MINIFS(
   Sales_Performance[Date],
   Sales_Performance[Customer ID],
   A43
)</f>
        <v>44929</v>
      </c>
      <c r="F43" t="str">
        <f>IF(
   COUNTIF(Sales_Performance[Customer ID], A43) = 1,
   "One-Time Customer",
   "Repeat Customer"
)</f>
        <v>Repeat Customer</v>
      </c>
    </row>
    <row r="44" spans="1:6" x14ac:dyDescent="0.35">
      <c r="A44" t="s">
        <v>1193</v>
      </c>
      <c r="B44" t="str">
        <f>VLOOKUP(A44,Sales_Performance[[Customer ID]:[Total Amount]],2,0)</f>
        <v>Male</v>
      </c>
      <c r="C44">
        <f>_xlfn.XLOOKUP(A44,Sales_Performance[Customer ID],Sales_Performance[Age],0)</f>
        <v>22</v>
      </c>
      <c r="D44" t="str" cm="1">
        <f t="array" ref="D44">_xlfn.IFS(
   C44 &lt; 18, "Under 18",
   C44 &lt;= 24, "18-24",
   C44 &lt;= 34, "25-34",
   C44 &lt;= 44, "35-44",
   C44 &lt;= 54, "45-54",
   C44 &lt;= 64, "55-64",
   TRUE, "65+"
)</f>
        <v>18-24</v>
      </c>
      <c r="E44" s="1">
        <f>_xlfn.MINIFS(
   Sales_Performance[Date],
   Sales_Performance[Customer ID],
   A44
)</f>
        <v>44939</v>
      </c>
      <c r="F44" t="str">
        <f>IF(
   COUNTIF(Sales_Performance[Customer ID], A44) = 1,
   "One-Time Customer",
   "Repeat Customer"
)</f>
        <v>Repeat Customer</v>
      </c>
    </row>
    <row r="45" spans="1:6" x14ac:dyDescent="0.35">
      <c r="A45" t="s">
        <v>201</v>
      </c>
      <c r="B45" t="str">
        <f>VLOOKUP(A45,Sales_Performance[[Customer ID]:[Total Amount]],2,0)</f>
        <v>Female</v>
      </c>
      <c r="C45">
        <f>_xlfn.XLOOKUP(A45,Sales_Performance[Customer ID],Sales_Performance[Age],0)</f>
        <v>39</v>
      </c>
      <c r="D45" t="str" cm="1">
        <f t="array" ref="D45">_xlfn.IFS(
   C45 &lt; 18, "Under 18",
   C45 &lt;= 24, "18-24",
   C45 &lt;= 34, "25-34",
   C45 &lt;= 44, "35-44",
   C45 &lt;= 54, "45-54",
   C45 &lt;= 64, "55-64",
   TRUE, "65+"
)</f>
        <v>35-44</v>
      </c>
      <c r="E45" s="1">
        <f>_xlfn.MINIFS(
   Sales_Performance[Date],
   Sales_Performance[Customer ID],
   A45
)</f>
        <v>45028</v>
      </c>
      <c r="F45" t="str">
        <f>IF(
   COUNTIF(Sales_Performance[Customer ID], A45) = 1,
   "One-Time Customer",
   "Repeat Customer"
)</f>
        <v>Repeat Customer</v>
      </c>
    </row>
    <row r="46" spans="1:6" x14ac:dyDescent="0.35">
      <c r="A46" t="s">
        <v>1462</v>
      </c>
      <c r="B46" t="str">
        <f>VLOOKUP(A46,Sales_Performance[[Customer ID]:[Total Amount]],2,0)</f>
        <v>Female</v>
      </c>
      <c r="C46">
        <f>_xlfn.XLOOKUP(A46,Sales_Performance[Customer ID],Sales_Performance[Age],0)</f>
        <v>26</v>
      </c>
      <c r="D46" t="str" cm="1">
        <f t="array" ref="D46">_xlfn.IFS(
   C46 &lt; 18, "Under 18",
   C46 &lt;= 24, "18-24",
   C46 &lt;= 34, "25-34",
   C46 &lt;= 44, "35-44",
   C46 &lt;= 54, "45-54",
   C46 &lt;= 64, "55-64",
   TRUE, "65+"
)</f>
        <v>25-34</v>
      </c>
      <c r="E46" s="1">
        <f>_xlfn.MINIFS(
   Sales_Performance[Date],
   Sales_Performance[Customer ID],
   A46
)</f>
        <v>44942</v>
      </c>
      <c r="F46" t="str">
        <f>IF(
   COUNTIF(Sales_Performance[Customer ID], A46) = 1,
   "One-Time Customer",
   "Repeat Customer"
)</f>
        <v>Repeat Customer</v>
      </c>
    </row>
    <row r="47" spans="1:6" x14ac:dyDescent="0.35">
      <c r="A47" t="s">
        <v>1199</v>
      </c>
      <c r="B47" t="str">
        <f>VLOOKUP(A47,Sales_Performance[[Customer ID]:[Total Amount]],2,0)</f>
        <v>Female</v>
      </c>
      <c r="C47">
        <f>_xlfn.XLOOKUP(A47,Sales_Performance[Customer ID],Sales_Performance[Age],0)</f>
        <v>27</v>
      </c>
      <c r="D47" t="str" cm="1">
        <f t="array" ref="D47">_xlfn.IFS(
   C47 &lt; 18, "Under 18",
   C47 &lt;= 24, "18-24",
   C47 &lt;= 34, "25-34",
   C47 &lt;= 44, "35-44",
   C47 &lt;= 54, "45-54",
   C47 &lt;= 64, "55-64",
   TRUE, "65+"
)</f>
        <v>25-34</v>
      </c>
      <c r="E47" s="1">
        <f>_xlfn.MINIFS(
   Sales_Performance[Date],
   Sales_Performance[Customer ID],
   A47
)</f>
        <v>45015</v>
      </c>
      <c r="F47" t="str">
        <f>IF(
   COUNTIF(Sales_Performance[Customer ID], A47) = 1,
   "One-Time Customer",
   "Repeat Customer"
)</f>
        <v>Repeat Customer</v>
      </c>
    </row>
    <row r="48" spans="1:6" x14ac:dyDescent="0.35">
      <c r="A48" t="s">
        <v>185</v>
      </c>
      <c r="B48" t="str">
        <f>VLOOKUP(A48,Sales_Performance[[Customer ID]:[Total Amount]],2,0)</f>
        <v>Female</v>
      </c>
      <c r="C48">
        <f>_xlfn.XLOOKUP(A48,Sales_Performance[Customer ID],Sales_Performance[Age],0)</f>
        <v>28</v>
      </c>
      <c r="D48" t="str" cm="1">
        <f t="array" ref="D48">_xlfn.IFS(
   C48 &lt; 18, "Under 18",
   C48 &lt;= 24, "18-24",
   C48 &lt;= 34, "25-34",
   C48 &lt;= 44, "35-44",
   C48 &lt;= 54, "45-54",
   C48 &lt;= 64, "55-64",
   TRUE, "65+"
)</f>
        <v>25-34</v>
      </c>
      <c r="E48" s="1">
        <f>_xlfn.MINIFS(
   Sales_Performance[Date],
   Sales_Performance[Customer ID],
   A48
)</f>
        <v>45225</v>
      </c>
      <c r="F48" t="str">
        <f>IF(
   COUNTIF(Sales_Performance[Customer ID], A48) = 1,
   "One-Time Customer",
   "Repeat Customer"
)</f>
        <v>One-Time Customer</v>
      </c>
    </row>
    <row r="49" spans="1:6" x14ac:dyDescent="0.35">
      <c r="A49" t="s">
        <v>1354</v>
      </c>
      <c r="B49" t="str">
        <f>VLOOKUP(A49,Sales_Performance[[Customer ID]:[Total Amount]],2,0)</f>
        <v>Female</v>
      </c>
      <c r="C49">
        <f>_xlfn.XLOOKUP(A49,Sales_Performance[Customer ID],Sales_Performance[Age],0)</f>
        <v>30</v>
      </c>
      <c r="D49" t="str" cm="1">
        <f t="array" ref="D49">_xlfn.IFS(
   C49 &lt; 18, "Under 18",
   C49 &lt;= 24, "18-24",
   C49 &lt;= 34, "25-34",
   C49 &lt;= 44, "35-44",
   C49 &lt;= 54, "45-54",
   C49 &lt;= 64, "55-64",
   TRUE, "65+"
)</f>
        <v>25-34</v>
      </c>
      <c r="E49" s="1">
        <f>_xlfn.MINIFS(
   Sales_Performance[Date],
   Sales_Performance[Customer ID],
   A49
)</f>
        <v>45278</v>
      </c>
      <c r="F49" t="str">
        <f>IF(
   COUNTIF(Sales_Performance[Customer ID], A49) = 1,
   "One-Time Customer",
   "Repeat Customer"
)</f>
        <v>Repeat Customer</v>
      </c>
    </row>
    <row r="50" spans="1:6" x14ac:dyDescent="0.35">
      <c r="A50" t="s">
        <v>305</v>
      </c>
      <c r="B50" t="str">
        <f>VLOOKUP(A50,Sales_Performance[[Customer ID]:[Total Amount]],2,0)</f>
        <v>Female</v>
      </c>
      <c r="C50">
        <f>_xlfn.XLOOKUP(A50,Sales_Performance[Customer ID],Sales_Performance[Age],0)</f>
        <v>18</v>
      </c>
      <c r="D50" t="str" cm="1">
        <f t="array" ref="D50">_xlfn.IFS(
   C50 &lt; 18, "Under 18",
   C50 &lt;= 24, "18-24",
   C50 &lt;= 34, "25-34",
   C50 &lt;= 44, "35-44",
   C50 &lt;= 54, "45-54",
   C50 &lt;= 64, "55-64",
   TRUE, "65+"
)</f>
        <v>18-24</v>
      </c>
      <c r="E50" s="1">
        <f>_xlfn.MINIFS(
   Sales_Performance[Date],
   Sales_Performance[Customer ID],
   A50
)</f>
        <v>44962</v>
      </c>
      <c r="F50" t="str">
        <f>IF(
   COUNTIF(Sales_Performance[Customer ID], A50) = 1,
   "One-Time Customer",
   "Repeat Customer"
)</f>
        <v>Repeat Customer</v>
      </c>
    </row>
    <row r="51" spans="1:6" x14ac:dyDescent="0.35">
      <c r="A51" t="s">
        <v>1258</v>
      </c>
      <c r="B51" t="str">
        <f>VLOOKUP(A51,Sales_Performance[[Customer ID]:[Total Amount]],2,0)</f>
        <v>Male</v>
      </c>
      <c r="C51">
        <f>_xlfn.XLOOKUP(A51,Sales_Performance[Customer ID],Sales_Performance[Age],0)</f>
        <v>64</v>
      </c>
      <c r="D51" t="str" cm="1">
        <f t="array" ref="D51">_xlfn.IFS(
   C51 &lt; 18, "Under 18",
   C51 &lt;= 24, "18-24",
   C51 &lt;= 34, "25-34",
   C51 &lt;= 44, "35-44",
   C51 &lt;= 54, "45-54",
   C51 &lt;= 64, "55-64",
   TRUE, "65+"
)</f>
        <v>55-64</v>
      </c>
      <c r="E51" s="1">
        <f>_xlfn.MINIFS(
   Sales_Performance[Date],
   Sales_Performance[Customer ID],
   A51
)</f>
        <v>44943</v>
      </c>
      <c r="F51" t="str">
        <f>IF(
   COUNTIF(Sales_Performance[Customer ID], A51) = 1,
   "One-Time Customer",
   "Repeat Customer"
)</f>
        <v>One-Time Customer</v>
      </c>
    </row>
    <row r="52" spans="1:6" x14ac:dyDescent="0.35">
      <c r="A52" t="s">
        <v>422</v>
      </c>
      <c r="B52" t="str">
        <f>VLOOKUP(A52,Sales_Performance[[Customer ID]:[Total Amount]],2,0)</f>
        <v>Male</v>
      </c>
      <c r="C52">
        <f>_xlfn.XLOOKUP(A52,Sales_Performance[Customer ID],Sales_Performance[Age],0)</f>
        <v>51</v>
      </c>
      <c r="D52" t="str" cm="1">
        <f t="array" ref="D52">_xlfn.IFS(
   C52 &lt; 18, "Under 18",
   C52 &lt;= 24, "18-24",
   C52 &lt;= 34, "25-34",
   C52 &lt;= 44, "35-44",
   C52 &lt;= 54, "45-54",
   C52 &lt;= 64, "55-64",
   TRUE, "65+"
)</f>
        <v>45-54</v>
      </c>
      <c r="E52" s="1">
        <f>_xlfn.MINIFS(
   Sales_Performance[Date],
   Sales_Performance[Customer ID],
   A52
)</f>
        <v>45073</v>
      </c>
      <c r="F52" t="str">
        <f>IF(
   COUNTIF(Sales_Performance[Customer ID], A52) = 1,
   "One-Time Customer",
   "Repeat Customer"
)</f>
        <v>Repeat Customer</v>
      </c>
    </row>
    <row r="53" spans="1:6" x14ac:dyDescent="0.35">
      <c r="A53" t="s">
        <v>406</v>
      </c>
      <c r="B53" t="str">
        <f>VLOOKUP(A53,Sales_Performance[[Customer ID]:[Total Amount]],2,0)</f>
        <v>Male</v>
      </c>
      <c r="C53">
        <f>_xlfn.XLOOKUP(A53,Sales_Performance[Customer ID],Sales_Performance[Age],0)</f>
        <v>47</v>
      </c>
      <c r="D53" t="str" cm="1">
        <f t="array" ref="D53">_xlfn.IFS(
   C53 &lt; 18, "Under 18",
   C53 &lt;= 24, "18-24",
   C53 &lt;= 34, "25-34",
   C53 &lt;= 44, "35-44",
   C53 &lt;= 54, "45-54",
   C53 &lt;= 64, "55-64",
   TRUE, "65+"
)</f>
        <v>45-54</v>
      </c>
      <c r="E53" s="1">
        <f>_xlfn.MINIFS(
   Sales_Performance[Date],
   Sales_Performance[Customer ID],
   A53
)</f>
        <v>44985</v>
      </c>
      <c r="F53" t="str">
        <f>IF(
   COUNTIF(Sales_Performance[Customer ID], A53) = 1,
   "One-Time Customer",
   "Repeat Customer"
)</f>
        <v>Repeat Customer</v>
      </c>
    </row>
    <row r="54" spans="1:6" x14ac:dyDescent="0.35">
      <c r="A54" t="s">
        <v>673</v>
      </c>
      <c r="B54" t="str">
        <f>VLOOKUP(A54,Sales_Performance[[Customer ID]:[Total Amount]],2,0)</f>
        <v>Male</v>
      </c>
      <c r="C54">
        <f>_xlfn.XLOOKUP(A54,Sales_Performance[Customer ID],Sales_Performance[Age],0)</f>
        <v>41</v>
      </c>
      <c r="D54" t="str" cm="1">
        <f t="array" ref="D54">_xlfn.IFS(
   C54 &lt; 18, "Under 18",
   C54 &lt;= 24, "18-24",
   C54 &lt;= 34, "25-34",
   C54 &lt;= 44, "35-44",
   C54 &lt;= 54, "45-54",
   C54 &lt;= 64, "55-64",
   TRUE, "65+"
)</f>
        <v>35-44</v>
      </c>
      <c r="E54" s="1">
        <f>_xlfn.MINIFS(
   Sales_Performance[Date],
   Sales_Performance[Customer ID],
   A54
)</f>
        <v>45093</v>
      </c>
      <c r="F54" t="str">
        <f>IF(
   COUNTIF(Sales_Performance[Customer ID], A54) = 1,
   "One-Time Customer",
   "Repeat Customer"
)</f>
        <v>One-Time Customer</v>
      </c>
    </row>
    <row r="55" spans="1:6" x14ac:dyDescent="0.35">
      <c r="A55" t="s">
        <v>123</v>
      </c>
      <c r="B55" t="str">
        <f>VLOOKUP(A55,Sales_Performance[[Customer ID]:[Total Amount]],2,0)</f>
        <v>Female</v>
      </c>
      <c r="C55">
        <f>_xlfn.XLOOKUP(A55,Sales_Performance[Customer ID],Sales_Performance[Age],0)</f>
        <v>22</v>
      </c>
      <c r="D55" t="str" cm="1">
        <f t="array" ref="D55">_xlfn.IFS(
   C55 &lt; 18, "Under 18",
   C55 &lt;= 24, "18-24",
   C55 &lt;= 34, "25-34",
   C55 &lt;= 44, "35-44",
   C55 &lt;= 54, "45-54",
   C55 &lt;= 64, "55-64",
   TRUE, "65+"
)</f>
        <v>18-24</v>
      </c>
      <c r="E55" s="1">
        <f>_xlfn.MINIFS(
   Sales_Performance[Date],
   Sales_Performance[Customer ID],
   A55
)</f>
        <v>45042</v>
      </c>
      <c r="F55" t="str">
        <f>IF(
   COUNTIF(Sales_Performance[Customer ID], A55) = 1,
   "One-Time Customer",
   "Repeat Customer"
)</f>
        <v>Repeat Customer</v>
      </c>
    </row>
    <row r="56" spans="1:6" x14ac:dyDescent="0.35">
      <c r="A56" t="s">
        <v>327</v>
      </c>
      <c r="B56" t="str">
        <f>VLOOKUP(A56,Sales_Performance[[Customer ID]:[Total Amount]],2,0)</f>
        <v>Female</v>
      </c>
      <c r="C56">
        <f>_xlfn.XLOOKUP(A56,Sales_Performance[Customer ID],Sales_Performance[Age],0)</f>
        <v>47</v>
      </c>
      <c r="D56" t="str" cm="1">
        <f t="array" ref="D56">_xlfn.IFS(
   C56 &lt; 18, "Under 18",
   C56 &lt;= 24, "18-24",
   C56 &lt;= 34, "25-34",
   C56 &lt;= 44, "35-44",
   C56 &lt;= 54, "45-54",
   C56 &lt;= 64, "55-64",
   TRUE, "65+"
)</f>
        <v>45-54</v>
      </c>
      <c r="E56" s="1">
        <f>_xlfn.MINIFS(
   Sales_Performance[Date],
   Sales_Performance[Customer ID],
   A56
)</f>
        <v>45062</v>
      </c>
      <c r="F56" t="str">
        <f>IF(
   COUNTIF(Sales_Performance[Customer ID], A56) = 1,
   "One-Time Customer",
   "Repeat Customer"
)</f>
        <v>Repeat Customer</v>
      </c>
    </row>
    <row r="57" spans="1:6" x14ac:dyDescent="0.35">
      <c r="A57" t="s">
        <v>637</v>
      </c>
      <c r="B57" t="str">
        <f>VLOOKUP(A57,Sales_Performance[[Customer ID]:[Total Amount]],2,0)</f>
        <v>Male</v>
      </c>
      <c r="C57">
        <f>_xlfn.XLOOKUP(A57,Sales_Performance[Customer ID],Sales_Performance[Age],0)</f>
        <v>50</v>
      </c>
      <c r="D57" t="str" cm="1">
        <f t="array" ref="D57">_xlfn.IFS(
   C57 &lt; 18, "Under 18",
   C57 &lt;= 24, "18-24",
   C57 &lt;= 34, "25-34",
   C57 &lt;= 44, "35-44",
   C57 &lt;= 54, "45-54",
   C57 &lt;= 64, "55-64",
   TRUE, "65+"
)</f>
        <v>45-54</v>
      </c>
      <c r="E57" s="1">
        <f>_xlfn.MINIFS(
   Sales_Performance[Date],
   Sales_Performance[Customer ID],
   A57
)</f>
        <v>44970</v>
      </c>
      <c r="F57" t="str">
        <f>IF(
   COUNTIF(Sales_Performance[Customer ID], A57) = 1,
   "One-Time Customer",
   "Repeat Customer"
)</f>
        <v>Repeat Customer</v>
      </c>
    </row>
    <row r="58" spans="1:6" x14ac:dyDescent="0.35">
      <c r="A58" t="s">
        <v>818</v>
      </c>
      <c r="B58" t="str">
        <f>VLOOKUP(A58,Sales_Performance[[Customer ID]:[Total Amount]],2,0)</f>
        <v>Female</v>
      </c>
      <c r="C58">
        <f>_xlfn.XLOOKUP(A58,Sales_Performance[Customer ID],Sales_Performance[Age],0)</f>
        <v>22</v>
      </c>
      <c r="D58" t="str" cm="1">
        <f t="array" ref="D58">_xlfn.IFS(
   C58 &lt; 18, "Under 18",
   C58 &lt;= 24, "18-24",
   C58 &lt;= 34, "25-34",
   C58 &lt;= 44, "35-44",
   C58 &lt;= 54, "45-54",
   C58 &lt;= 64, "55-64",
   TRUE, "65+"
)</f>
        <v>18-24</v>
      </c>
      <c r="E58" s="1">
        <f>_xlfn.MINIFS(
   Sales_Performance[Date],
   Sales_Performance[Customer ID],
   A58
)</f>
        <v>45009</v>
      </c>
      <c r="F58" t="str">
        <f>IF(
   COUNTIF(Sales_Performance[Customer ID], A58) = 1,
   "One-Time Customer",
   "Repeat Customer"
)</f>
        <v>Repeat Customer</v>
      </c>
    </row>
    <row r="59" spans="1:6" x14ac:dyDescent="0.35">
      <c r="A59" t="s">
        <v>183</v>
      </c>
      <c r="B59" t="str">
        <f>VLOOKUP(A59,Sales_Performance[[Customer ID]:[Total Amount]],2,0)</f>
        <v>Male</v>
      </c>
      <c r="C59">
        <f>_xlfn.XLOOKUP(A59,Sales_Performance[Customer ID],Sales_Performance[Age],0)</f>
        <v>43</v>
      </c>
      <c r="D59" t="str" cm="1">
        <f t="array" ref="D59">_xlfn.IFS(
   C59 &lt; 18, "Under 18",
   C59 &lt;= 24, "18-24",
   C59 &lt;= 34, "25-34",
   C59 &lt;= 44, "35-44",
   C59 &lt;= 54, "45-54",
   C59 &lt;= 64, "55-64",
   TRUE, "65+"
)</f>
        <v>35-44</v>
      </c>
      <c r="E59" s="1">
        <f>_xlfn.MINIFS(
   Sales_Performance[Date],
   Sales_Performance[Customer ID],
   A59
)</f>
        <v>44985</v>
      </c>
      <c r="F59" t="str">
        <f>IF(
   COUNTIF(Sales_Performance[Customer ID], A59) = 1,
   "One-Time Customer",
   "Repeat Customer"
)</f>
        <v>Repeat Customer</v>
      </c>
    </row>
    <row r="60" spans="1:6" x14ac:dyDescent="0.35">
      <c r="A60" t="s">
        <v>660</v>
      </c>
      <c r="B60" t="str">
        <f>VLOOKUP(A60,Sales_Performance[[Customer ID]:[Total Amount]],2,0)</f>
        <v>Female</v>
      </c>
      <c r="C60">
        <f>_xlfn.XLOOKUP(A60,Sales_Performance[Customer ID],Sales_Performance[Age],0)</f>
        <v>23</v>
      </c>
      <c r="D60" t="str" cm="1">
        <f t="array" ref="D60">_xlfn.IFS(
   C60 &lt; 18, "Under 18",
   C60 &lt;= 24, "18-24",
   C60 &lt;= 34, "25-34",
   C60 &lt;= 44, "35-44",
   C60 &lt;= 54, "45-54",
   C60 &lt;= 64, "55-64",
   TRUE, "65+"
)</f>
        <v>18-24</v>
      </c>
      <c r="E60" s="1">
        <f>_xlfn.MINIFS(
   Sales_Performance[Date],
   Sales_Performance[Customer ID],
   A60
)</f>
        <v>44953</v>
      </c>
      <c r="F60" t="str">
        <f>IF(
   COUNTIF(Sales_Performance[Customer ID], A60) = 1,
   "One-Time Customer",
   "Repeat Customer"
)</f>
        <v>One-Time Customer</v>
      </c>
    </row>
    <row r="61" spans="1:6" x14ac:dyDescent="0.35">
      <c r="A61" t="s">
        <v>916</v>
      </c>
      <c r="B61" t="str">
        <f>VLOOKUP(A61,Sales_Performance[[Customer ID]:[Total Amount]],2,0)</f>
        <v>Female</v>
      </c>
      <c r="C61">
        <f>_xlfn.XLOOKUP(A61,Sales_Performance[Customer ID],Sales_Performance[Age],0)</f>
        <v>30</v>
      </c>
      <c r="D61" t="str" cm="1">
        <f t="array" ref="D61">_xlfn.IFS(
   C61 &lt; 18, "Under 18",
   C61 &lt;= 24, "18-24",
   C61 &lt;= 34, "25-34",
   C61 &lt;= 44, "35-44",
   C61 &lt;= 54, "45-54",
   C61 &lt;= 64, "55-64",
   TRUE, "65+"
)</f>
        <v>25-34</v>
      </c>
      <c r="E61" s="1">
        <f>_xlfn.MINIFS(
   Sales_Performance[Date],
   Sales_Performance[Customer ID],
   A61
)</f>
        <v>45054</v>
      </c>
      <c r="F61" t="str">
        <f>IF(
   COUNTIF(Sales_Performance[Customer ID], A61) = 1,
   "One-Time Customer",
   "Repeat Customer"
)</f>
        <v>Repeat Customer</v>
      </c>
    </row>
    <row r="62" spans="1:6" x14ac:dyDescent="0.35">
      <c r="A62" t="s">
        <v>64</v>
      </c>
      <c r="B62" t="str">
        <f>VLOOKUP(A62,Sales_Performance[[Customer ID]:[Total Amount]],2,0)</f>
        <v>Male</v>
      </c>
      <c r="C62">
        <f>_xlfn.XLOOKUP(A62,Sales_Performance[Customer ID],Sales_Performance[Age],0)</f>
        <v>40</v>
      </c>
      <c r="D62" t="str" cm="1">
        <f t="array" ref="D62">_xlfn.IFS(
   C62 &lt; 18, "Under 18",
   C62 &lt;= 24, "18-24",
   C62 &lt;= 34, "25-34",
   C62 &lt;= 44, "35-44",
   C62 &lt;= 54, "45-54",
   C62 &lt;= 64, "55-64",
   TRUE, "65+"
)</f>
        <v>35-44</v>
      </c>
      <c r="E62" s="1">
        <f>_xlfn.MINIFS(
   Sales_Performance[Date],
   Sales_Performance[Customer ID],
   A62
)</f>
        <v>44947</v>
      </c>
      <c r="F62" t="str">
        <f>IF(
   COUNTIF(Sales_Performance[Customer ID], A62) = 1,
   "One-Time Customer",
   "Repeat Customer"
)</f>
        <v>Repeat Customer</v>
      </c>
    </row>
    <row r="63" spans="1:6" x14ac:dyDescent="0.35">
      <c r="A63" t="s">
        <v>234</v>
      </c>
      <c r="B63" t="str">
        <f>VLOOKUP(A63,Sales_Performance[[Customer ID]:[Total Amount]],2,0)</f>
        <v>Female</v>
      </c>
      <c r="C63">
        <f>_xlfn.XLOOKUP(A63,Sales_Performance[Customer ID],Sales_Performance[Age],0)</f>
        <v>22</v>
      </c>
      <c r="D63" t="str" cm="1">
        <f t="array" ref="D63">_xlfn.IFS(
   C63 &lt; 18, "Under 18",
   C63 &lt;= 24, "18-24",
   C63 &lt;= 34, "25-34",
   C63 &lt;= 44, "35-44",
   C63 &lt;= 54, "45-54",
   C63 &lt;= 64, "55-64",
   TRUE, "65+"
)</f>
        <v>18-24</v>
      </c>
      <c r="E63" s="1">
        <f>_xlfn.MINIFS(
   Sales_Performance[Date],
   Sales_Performance[Customer ID],
   A63
)</f>
        <v>44949</v>
      </c>
      <c r="F63" t="str">
        <f>IF(
   COUNTIF(Sales_Performance[Customer ID], A63) = 1,
   "One-Time Customer",
   "Repeat Customer"
)</f>
        <v>One-Time Customer</v>
      </c>
    </row>
    <row r="64" spans="1:6" x14ac:dyDescent="0.35">
      <c r="A64" t="s">
        <v>652</v>
      </c>
      <c r="B64" t="str">
        <f>VLOOKUP(A64,Sales_Performance[[Customer ID]:[Total Amount]],2,0)</f>
        <v>Male</v>
      </c>
      <c r="C64">
        <f>_xlfn.XLOOKUP(A64,Sales_Performance[Customer ID],Sales_Performance[Age],0)</f>
        <v>57</v>
      </c>
      <c r="D64" t="str" cm="1">
        <f t="array" ref="D64">_xlfn.IFS(
   C64 &lt; 18, "Under 18",
   C64 &lt;= 24, "18-24",
   C64 &lt;= 34, "25-34",
   C64 &lt;= 44, "35-44",
   C64 &lt;= 54, "45-54",
   C64 &lt;= 64, "55-64",
   TRUE, "65+"
)</f>
        <v>55-64</v>
      </c>
      <c r="E64" s="1">
        <f>_xlfn.MINIFS(
   Sales_Performance[Date],
   Sales_Performance[Customer ID],
   A64
)</f>
        <v>44974</v>
      </c>
      <c r="F64" t="str">
        <f>IF(
   COUNTIF(Sales_Performance[Customer ID], A64) = 1,
   "One-Time Customer",
   "Repeat Customer"
)</f>
        <v>Repeat Customer</v>
      </c>
    </row>
    <row r="65" spans="1:6" x14ac:dyDescent="0.35">
      <c r="A65" t="s">
        <v>204</v>
      </c>
      <c r="B65" t="str">
        <f>VLOOKUP(A65,Sales_Performance[[Customer ID]:[Total Amount]],2,0)</f>
        <v>Male</v>
      </c>
      <c r="C65">
        <f>_xlfn.XLOOKUP(A65,Sales_Performance[Customer ID],Sales_Performance[Age],0)</f>
        <v>57</v>
      </c>
      <c r="D65" t="str" cm="1">
        <f t="array" ref="D65">_xlfn.IFS(
   C65 &lt; 18, "Under 18",
   C65 &lt;= 24, "18-24",
   C65 &lt;= 34, "25-34",
   C65 &lt;= 44, "35-44",
   C65 &lt;= 54, "45-54",
   C65 &lt;= 64, "55-64",
   TRUE, "65+"
)</f>
        <v>55-64</v>
      </c>
      <c r="E65" s="1">
        <f>_xlfn.MINIFS(
   Sales_Performance[Date],
   Sales_Performance[Customer ID],
   A65
)</f>
        <v>44979</v>
      </c>
      <c r="F65" t="str">
        <f>IF(
   COUNTIF(Sales_Performance[Customer ID], A65) = 1,
   "One-Time Customer",
   "Repeat Customer"
)</f>
        <v>Repeat Customer</v>
      </c>
    </row>
    <row r="66" spans="1:6" x14ac:dyDescent="0.35">
      <c r="A66" t="s">
        <v>445</v>
      </c>
      <c r="B66" t="str">
        <f>VLOOKUP(A66,Sales_Performance[[Customer ID]:[Total Amount]],2,0)</f>
        <v>Female</v>
      </c>
      <c r="C66">
        <f>_xlfn.XLOOKUP(A66,Sales_Performance[Customer ID],Sales_Performance[Age],0)</f>
        <v>48</v>
      </c>
      <c r="D66" t="str" cm="1">
        <f t="array" ref="D66">_xlfn.IFS(
   C66 &lt; 18, "Under 18",
   C66 &lt;= 24, "18-24",
   C66 &lt;= 34, "25-34",
   C66 &lt;= 44, "35-44",
   C66 &lt;= 54, "45-54",
   C66 &lt;= 64, "55-64",
   TRUE, "65+"
)</f>
        <v>45-54</v>
      </c>
      <c r="E66" s="1">
        <f>_xlfn.MINIFS(
   Sales_Performance[Date],
   Sales_Performance[Customer ID],
   A66
)</f>
        <v>45083</v>
      </c>
      <c r="F66" t="str">
        <f>IF(
   COUNTIF(Sales_Performance[Customer ID], A66) = 1,
   "One-Time Customer",
   "Repeat Customer"
)</f>
        <v>Repeat Customer</v>
      </c>
    </row>
    <row r="67" spans="1:6" x14ac:dyDescent="0.35">
      <c r="A67" t="s">
        <v>575</v>
      </c>
      <c r="B67" t="str">
        <f>VLOOKUP(A67,Sales_Performance[[Customer ID]:[Total Amount]],2,0)</f>
        <v>Male</v>
      </c>
      <c r="C67">
        <f>_xlfn.XLOOKUP(A67,Sales_Performance[Customer ID],Sales_Performance[Age],0)</f>
        <v>51</v>
      </c>
      <c r="D67" t="str" cm="1">
        <f t="array" ref="D67">_xlfn.IFS(
   C67 &lt; 18, "Under 18",
   C67 &lt;= 24, "18-24",
   C67 &lt;= 34, "25-34",
   C67 &lt;= 44, "35-44",
   C67 &lt;= 54, "45-54",
   C67 &lt;= 64, "55-64",
   TRUE, "65+"
)</f>
        <v>45-54</v>
      </c>
      <c r="E67" s="1">
        <f>_xlfn.MINIFS(
   Sales_Performance[Date],
   Sales_Performance[Customer ID],
   A67
)</f>
        <v>44979</v>
      </c>
      <c r="F67" t="str">
        <f>IF(
   COUNTIF(Sales_Performance[Customer ID], A67) = 1,
   "One-Time Customer",
   "Repeat Customer"
)</f>
        <v>Repeat Customer</v>
      </c>
    </row>
    <row r="68" spans="1:6" x14ac:dyDescent="0.35">
      <c r="A68" t="s">
        <v>432</v>
      </c>
      <c r="B68" t="str">
        <f>VLOOKUP(A68,Sales_Performance[[Customer ID]:[Total Amount]],2,0)</f>
        <v>Male</v>
      </c>
      <c r="C68">
        <f>_xlfn.XLOOKUP(A68,Sales_Performance[Customer ID],Sales_Performance[Age],0)</f>
        <v>30</v>
      </c>
      <c r="D68" t="str" cm="1">
        <f t="array" ref="D68">_xlfn.IFS(
   C68 &lt; 18, "Under 18",
   C68 &lt;= 24, "18-24",
   C68 &lt;= 34, "25-34",
   C68 &lt;= 44, "35-44",
   C68 &lt;= 54, "45-54",
   C68 &lt;= 64, "55-64",
   TRUE, "65+"
)</f>
        <v>25-34</v>
      </c>
      <c r="E68" s="1">
        <f>_xlfn.MINIFS(
   Sales_Performance[Date],
   Sales_Performance[Customer ID],
   A68
)</f>
        <v>45171</v>
      </c>
      <c r="F68" t="str">
        <f>IF(
   COUNTIF(Sales_Performance[Customer ID], A68) = 1,
   "One-Time Customer",
   "Repeat Customer"
)</f>
        <v>One-Time Customer</v>
      </c>
    </row>
    <row r="69" spans="1:6" x14ac:dyDescent="0.35">
      <c r="A69" t="s">
        <v>1094</v>
      </c>
      <c r="B69" t="str">
        <f>VLOOKUP(A69,Sales_Performance[[Customer ID]:[Total Amount]],2,0)</f>
        <v>Female</v>
      </c>
      <c r="C69">
        <f>_xlfn.XLOOKUP(A69,Sales_Performance[Customer ID],Sales_Performance[Age],0)</f>
        <v>43</v>
      </c>
      <c r="D69" t="str" cm="1">
        <f t="array" ref="D69">_xlfn.IFS(
   C69 &lt; 18, "Under 18",
   C69 &lt;= 24, "18-24",
   C69 &lt;= 34, "25-34",
   C69 &lt;= 44, "35-44",
   C69 &lt;= 54, "45-54",
   C69 &lt;= 64, "55-64",
   TRUE, "65+"
)</f>
        <v>35-44</v>
      </c>
      <c r="E69" s="1">
        <f>_xlfn.MINIFS(
   Sales_Performance[Date],
   Sales_Performance[Customer ID],
   A69
)</f>
        <v>44958</v>
      </c>
      <c r="F69" t="str">
        <f>IF(
   COUNTIF(Sales_Performance[Customer ID], A69) = 1,
   "One-Time Customer",
   "Repeat Customer"
)</f>
        <v>Repeat Customer</v>
      </c>
    </row>
    <row r="70" spans="1:6" x14ac:dyDescent="0.35">
      <c r="A70" t="s">
        <v>1478</v>
      </c>
      <c r="B70" t="str">
        <f>VLOOKUP(A70,Sales_Performance[[Customer ID]:[Total Amount]],2,0)</f>
        <v>Male</v>
      </c>
      <c r="C70">
        <f>_xlfn.XLOOKUP(A70,Sales_Performance[Customer ID],Sales_Performance[Age],0)</f>
        <v>36</v>
      </c>
      <c r="D70" t="str" cm="1">
        <f t="array" ref="D70">_xlfn.IFS(
   C70 &lt; 18, "Under 18",
   C70 &lt;= 24, "18-24",
   C70 &lt;= 34, "25-34",
   C70 &lt;= 44, "35-44",
   C70 &lt;= 54, "45-54",
   C70 &lt;= 64, "55-64",
   TRUE, "65+"
)</f>
        <v>35-44</v>
      </c>
      <c r="E70" s="1">
        <f>_xlfn.MINIFS(
   Sales_Performance[Date],
   Sales_Performance[Customer ID],
   A70
)</f>
        <v>44967</v>
      </c>
      <c r="F70" t="str">
        <f>IF(
   COUNTIF(Sales_Performance[Customer ID], A70) = 1,
   "One-Time Customer",
   "Repeat Customer"
)</f>
        <v>Repeat Customer</v>
      </c>
    </row>
    <row r="71" spans="1:6" x14ac:dyDescent="0.35">
      <c r="A71" t="s">
        <v>1117</v>
      </c>
      <c r="B71" t="str">
        <f>VLOOKUP(A71,Sales_Performance[[Customer ID]:[Total Amount]],2,0)</f>
        <v>Male</v>
      </c>
      <c r="C71">
        <f>_xlfn.XLOOKUP(A71,Sales_Performance[Customer ID],Sales_Performance[Age],0)</f>
        <v>42</v>
      </c>
      <c r="D71" t="str" cm="1">
        <f t="array" ref="D71">_xlfn.IFS(
   C71 &lt; 18, "Under 18",
   C71 &lt;= 24, "18-24",
   C71 &lt;= 34, "25-34",
   C71 &lt;= 44, "35-44",
   C71 &lt;= 54, "45-54",
   C71 &lt;= 64, "55-64",
   TRUE, "65+"
)</f>
        <v>35-44</v>
      </c>
      <c r="E71" s="1">
        <f>_xlfn.MINIFS(
   Sales_Performance[Date],
   Sales_Performance[Customer ID],
   A71
)</f>
        <v>45179</v>
      </c>
      <c r="F71" t="str">
        <f>IF(
   COUNTIF(Sales_Performance[Customer ID], A71) = 1,
   "One-Time Customer",
   "Repeat Customer"
)</f>
        <v>Repeat Customer</v>
      </c>
    </row>
    <row r="72" spans="1:6" x14ac:dyDescent="0.35">
      <c r="A72" t="s">
        <v>531</v>
      </c>
      <c r="B72" t="str">
        <f>VLOOKUP(A72,Sales_Performance[[Customer ID]:[Total Amount]],2,0)</f>
        <v>Female</v>
      </c>
      <c r="C72">
        <f>_xlfn.XLOOKUP(A72,Sales_Performance[Customer ID],Sales_Performance[Age],0)</f>
        <v>40</v>
      </c>
      <c r="D72" t="str" cm="1">
        <f t="array" ref="D72">_xlfn.IFS(
   C72 &lt; 18, "Under 18",
   C72 &lt;= 24, "18-24",
   C72 &lt;= 34, "25-34",
   C72 &lt;= 44, "35-44",
   C72 &lt;= 54, "45-54",
   C72 &lt;= 64, "55-64",
   TRUE, "65+"
)</f>
        <v>35-44</v>
      </c>
      <c r="E72" s="1">
        <f>_xlfn.MINIFS(
   Sales_Performance[Date],
   Sales_Performance[Customer ID],
   A72
)</f>
        <v>44927</v>
      </c>
      <c r="F72" t="str">
        <f>IF(
   COUNTIF(Sales_Performance[Customer ID], A72) = 1,
   "One-Time Customer",
   "Repeat Customer"
)</f>
        <v>One-Time Customer</v>
      </c>
    </row>
    <row r="73" spans="1:6" x14ac:dyDescent="0.35">
      <c r="A73" t="s">
        <v>478</v>
      </c>
      <c r="B73" t="str">
        <f>VLOOKUP(A73,Sales_Performance[[Customer ID]:[Total Amount]],2,0)</f>
        <v>Male</v>
      </c>
      <c r="C73">
        <f>_xlfn.XLOOKUP(A73,Sales_Performance[Customer ID],Sales_Performance[Age],0)</f>
        <v>55</v>
      </c>
      <c r="D73" t="str" cm="1">
        <f t="array" ref="D73">_xlfn.IFS(
   C73 &lt; 18, "Under 18",
   C73 &lt;= 24, "18-24",
   C73 &lt;= 34, "25-34",
   C73 &lt;= 44, "35-44",
   C73 &lt;= 54, "45-54",
   C73 &lt;= 64, "55-64",
   TRUE, "65+"
)</f>
        <v>55-64</v>
      </c>
      <c r="E73" s="1">
        <f>_xlfn.MINIFS(
   Sales_Performance[Date],
   Sales_Performance[Customer ID],
   A73
)</f>
        <v>45025</v>
      </c>
      <c r="F73" t="str">
        <f>IF(
   COUNTIF(Sales_Performance[Customer ID], A73) = 1,
   "One-Time Customer",
   "Repeat Customer"
)</f>
        <v>Repeat Customer</v>
      </c>
    </row>
    <row r="74" spans="1:6" x14ac:dyDescent="0.35">
      <c r="A74" t="s">
        <v>1426</v>
      </c>
      <c r="B74" t="str">
        <f>VLOOKUP(A74,Sales_Performance[[Customer ID]:[Total Amount]],2,0)</f>
        <v>Male</v>
      </c>
      <c r="C74">
        <f>_xlfn.XLOOKUP(A74,Sales_Performance[Customer ID],Sales_Performance[Age],0)</f>
        <v>31</v>
      </c>
      <c r="D74" t="str" cm="1">
        <f t="array" ref="D74">_xlfn.IFS(
   C74 &lt; 18, "Under 18",
   C74 &lt;= 24, "18-24",
   C74 &lt;= 34, "25-34",
   C74 &lt;= 44, "35-44",
   C74 &lt;= 54, "45-54",
   C74 &lt;= 64, "55-64",
   TRUE, "65+"
)</f>
        <v>25-34</v>
      </c>
      <c r="E74" s="1">
        <f>_xlfn.MINIFS(
   Sales_Performance[Date],
   Sales_Performance[Customer ID],
   A74
)</f>
        <v>44949</v>
      </c>
      <c r="F74" t="str">
        <f>IF(
   COUNTIF(Sales_Performance[Customer ID], A74) = 1,
   "One-Time Customer",
   "Repeat Customer"
)</f>
        <v>Repeat Customer</v>
      </c>
    </row>
    <row r="75" spans="1:6" x14ac:dyDescent="0.35">
      <c r="A75" t="s">
        <v>1017</v>
      </c>
      <c r="B75" t="str">
        <f>VLOOKUP(A75,Sales_Performance[[Customer ID]:[Total Amount]],2,0)</f>
        <v>Male</v>
      </c>
      <c r="C75">
        <f>_xlfn.XLOOKUP(A75,Sales_Performance[Customer ID],Sales_Performance[Age],0)</f>
        <v>49</v>
      </c>
      <c r="D75" t="str" cm="1">
        <f t="array" ref="D75">_xlfn.IFS(
   C75 &lt; 18, "Under 18",
   C75 &lt;= 24, "18-24",
   C75 &lt;= 34, "25-34",
   C75 &lt;= 44, "35-44",
   C75 &lt;= 54, "45-54",
   C75 &lt;= 64, "55-64",
   TRUE, "65+"
)</f>
        <v>45-54</v>
      </c>
      <c r="E75" s="1">
        <f>_xlfn.MINIFS(
   Sales_Performance[Date],
   Sales_Performance[Customer ID],
   A75
)</f>
        <v>45071</v>
      </c>
      <c r="F75" t="str">
        <f>IF(
   COUNTIF(Sales_Performance[Customer ID], A75) = 1,
   "One-Time Customer",
   "Repeat Customer"
)</f>
        <v>Repeat Customer</v>
      </c>
    </row>
    <row r="76" spans="1:6" x14ac:dyDescent="0.35">
      <c r="A76" t="s">
        <v>309</v>
      </c>
      <c r="B76" t="str">
        <f>VLOOKUP(A76,Sales_Performance[[Customer ID]:[Total Amount]],2,0)</f>
        <v>Male</v>
      </c>
      <c r="C76">
        <f>_xlfn.XLOOKUP(A76,Sales_Performance[Customer ID],Sales_Performance[Age],0)</f>
        <v>29</v>
      </c>
      <c r="D76" t="str" cm="1">
        <f t="array" ref="D76">_xlfn.IFS(
   C76 &lt; 18, "Under 18",
   C76 &lt;= 24, "18-24",
   C76 &lt;= 34, "25-34",
   C76 &lt;= 44, "35-44",
   C76 &lt;= 54, "45-54",
   C76 &lt;= 64, "55-64",
   TRUE, "65+"
)</f>
        <v>25-34</v>
      </c>
      <c r="E76" s="1">
        <f>_xlfn.MINIFS(
   Sales_Performance[Date],
   Sales_Performance[Customer ID],
   A76
)</f>
        <v>44968</v>
      </c>
      <c r="F76" t="str">
        <f>IF(
   COUNTIF(Sales_Performance[Customer ID], A76) = 1,
   "One-Time Customer",
   "Repeat Customer"
)</f>
        <v>Repeat Customer</v>
      </c>
    </row>
    <row r="77" spans="1:6" x14ac:dyDescent="0.35">
      <c r="A77" t="s">
        <v>1472</v>
      </c>
      <c r="B77" t="str">
        <f>VLOOKUP(A77,Sales_Performance[[Customer ID]:[Total Amount]],2,0)</f>
        <v>Male</v>
      </c>
      <c r="C77">
        <f>_xlfn.XLOOKUP(A77,Sales_Performance[Customer ID],Sales_Performance[Age],0)</f>
        <v>47</v>
      </c>
      <c r="D77" t="str" cm="1">
        <f t="array" ref="D77">_xlfn.IFS(
   C77 &lt; 18, "Under 18",
   C77 &lt;= 24, "18-24",
   C77 &lt;= 34, "25-34",
   C77 &lt;= 44, "35-44",
   C77 &lt;= 54, "45-54",
   C77 &lt;= 64, "55-64",
   TRUE, "65+"
)</f>
        <v>45-54</v>
      </c>
      <c r="E77" s="1">
        <f>_xlfn.MINIFS(
   Sales_Performance[Date],
   Sales_Performance[Customer ID],
   A77
)</f>
        <v>44931</v>
      </c>
      <c r="F77" t="str">
        <f>IF(
   COUNTIF(Sales_Performance[Customer ID], A77) = 1,
   "One-Time Customer",
   "Repeat Customer"
)</f>
        <v>Repeat Customer</v>
      </c>
    </row>
    <row r="78" spans="1:6" x14ac:dyDescent="0.35">
      <c r="A78" t="s">
        <v>1220</v>
      </c>
      <c r="B78" t="str">
        <f>VLOOKUP(A78,Sales_Performance[[Customer ID]:[Total Amount]],2,0)</f>
        <v>Female</v>
      </c>
      <c r="C78">
        <f>_xlfn.XLOOKUP(A78,Sales_Performance[Customer ID],Sales_Performance[Age],0)</f>
        <v>22</v>
      </c>
      <c r="D78" t="str" cm="1">
        <f t="array" ref="D78">_xlfn.IFS(
   C78 &lt; 18, "Under 18",
   C78 &lt;= 24, "18-24",
   C78 &lt;= 34, "25-34",
   C78 &lt;= 44, "35-44",
   C78 &lt;= 54, "45-54",
   C78 &lt;= 64, "55-64",
   TRUE, "65+"
)</f>
        <v>18-24</v>
      </c>
      <c r="E78" s="1">
        <f>_xlfn.MINIFS(
   Sales_Performance[Date],
   Sales_Performance[Customer ID],
   A78
)</f>
        <v>44991</v>
      </c>
      <c r="F78" t="str">
        <f>IF(
   COUNTIF(Sales_Performance[Customer ID], A78) = 1,
   "One-Time Customer",
   "Repeat Customer"
)</f>
        <v>Repeat Customer</v>
      </c>
    </row>
    <row r="79" spans="1:6" x14ac:dyDescent="0.35">
      <c r="A79" t="s">
        <v>1097</v>
      </c>
      <c r="B79" t="str">
        <f>VLOOKUP(A79,Sales_Performance[[Customer ID]:[Total Amount]],2,0)</f>
        <v>Female</v>
      </c>
      <c r="C79">
        <f>_xlfn.XLOOKUP(A79,Sales_Performance[Customer ID],Sales_Performance[Age],0)</f>
        <v>52</v>
      </c>
      <c r="D79" t="str" cm="1">
        <f t="array" ref="D79">_xlfn.IFS(
   C79 &lt; 18, "Under 18",
   C79 &lt;= 24, "18-24",
   C79 &lt;= 34, "25-34",
   C79 &lt;= 44, "35-44",
   C79 &lt;= 54, "45-54",
   C79 &lt;= 64, "55-64",
   TRUE, "65+"
)</f>
        <v>45-54</v>
      </c>
      <c r="E79" s="1">
        <f>_xlfn.MINIFS(
   Sales_Performance[Date],
   Sales_Performance[Customer ID],
   A79
)</f>
        <v>45052</v>
      </c>
      <c r="F79" t="str">
        <f>IF(
   COUNTIF(Sales_Performance[Customer ID], A79) = 1,
   "One-Time Customer",
   "Repeat Customer"
)</f>
        <v>Repeat Customer</v>
      </c>
    </row>
    <row r="80" spans="1:6" x14ac:dyDescent="0.35">
      <c r="A80" t="s">
        <v>1082</v>
      </c>
      <c r="B80" t="str">
        <f>VLOOKUP(A80,Sales_Performance[[Customer ID]:[Total Amount]],2,0)</f>
        <v>Male</v>
      </c>
      <c r="C80">
        <f>_xlfn.XLOOKUP(A80,Sales_Performance[Customer ID],Sales_Performance[Age],0)</f>
        <v>59</v>
      </c>
      <c r="D80" t="str" cm="1">
        <f t="array" ref="D80">_xlfn.IFS(
   C80 &lt; 18, "Under 18",
   C80 &lt;= 24, "18-24",
   C80 &lt;= 34, "25-34",
   C80 &lt;= 44, "35-44",
   C80 &lt;= 54, "45-54",
   C80 &lt;= 64, "55-64",
   TRUE, "65+"
)</f>
        <v>55-64</v>
      </c>
      <c r="E80" s="1">
        <f>_xlfn.MINIFS(
   Sales_Performance[Date],
   Sales_Performance[Customer ID],
   A80
)</f>
        <v>44997</v>
      </c>
      <c r="F80" t="str">
        <f>IF(
   COUNTIF(Sales_Performance[Customer ID], A80) = 1,
   "One-Time Customer",
   "Repeat Customer"
)</f>
        <v>One-Time Customer</v>
      </c>
    </row>
    <row r="81" spans="1:6" x14ac:dyDescent="0.35">
      <c r="A81" t="s">
        <v>930</v>
      </c>
      <c r="B81" t="str">
        <f>VLOOKUP(A81,Sales_Performance[[Customer ID]:[Total Amount]],2,0)</f>
        <v>Female</v>
      </c>
      <c r="C81">
        <f>_xlfn.XLOOKUP(A81,Sales_Performance[Customer ID],Sales_Performance[Age],0)</f>
        <v>35</v>
      </c>
      <c r="D81" t="str" cm="1">
        <f t="array" ref="D81">_xlfn.IFS(
   C81 &lt; 18, "Under 18",
   C81 &lt;= 24, "18-24",
   C81 &lt;= 34, "25-34",
   C81 &lt;= 44, "35-44",
   C81 &lt;= 54, "45-54",
   C81 &lt;= 64, "55-64",
   TRUE, "65+"
)</f>
        <v>35-44</v>
      </c>
      <c r="E81" s="1">
        <f>_xlfn.MINIFS(
   Sales_Performance[Date],
   Sales_Performance[Customer ID],
   A81
)</f>
        <v>45025</v>
      </c>
      <c r="F81" t="str">
        <f>IF(
   COUNTIF(Sales_Performance[Customer ID], A81) = 1,
   "One-Time Customer",
   "Repeat Customer"
)</f>
        <v>One-Time Customer</v>
      </c>
    </row>
    <row r="82" spans="1:6" x14ac:dyDescent="0.35">
      <c r="A82" t="s">
        <v>351</v>
      </c>
      <c r="B82" t="str">
        <f>VLOOKUP(A82,Sales_Performance[[Customer ID]:[Total Amount]],2,0)</f>
        <v>Female</v>
      </c>
      <c r="C82">
        <f>_xlfn.XLOOKUP(A82,Sales_Performance[Customer ID],Sales_Performance[Age],0)</f>
        <v>37</v>
      </c>
      <c r="D82" t="str" cm="1">
        <f t="array" ref="D82">_xlfn.IFS(
   C82 &lt; 18, "Under 18",
   C82 &lt;= 24, "18-24",
   C82 &lt;= 34, "25-34",
   C82 &lt;= 44, "35-44",
   C82 &lt;= 54, "45-54",
   C82 &lt;= 64, "55-64",
   TRUE, "65+"
)</f>
        <v>35-44</v>
      </c>
      <c r="E82" s="1">
        <f>_xlfn.MINIFS(
   Sales_Performance[Date],
   Sales_Performance[Customer ID],
   A82
)</f>
        <v>44928</v>
      </c>
      <c r="F82" t="str">
        <f>IF(
   COUNTIF(Sales_Performance[Customer ID], A82) = 1,
   "One-Time Customer",
   "Repeat Customer"
)</f>
        <v>Repeat Customer</v>
      </c>
    </row>
    <row r="83" spans="1:6" x14ac:dyDescent="0.35">
      <c r="A83" t="s">
        <v>427</v>
      </c>
      <c r="B83" t="str">
        <f>VLOOKUP(A83,Sales_Performance[[Customer ID]:[Total Amount]],2,0)</f>
        <v>Female</v>
      </c>
      <c r="C83">
        <f>_xlfn.XLOOKUP(A83,Sales_Performance[Customer ID],Sales_Performance[Age],0)</f>
        <v>40</v>
      </c>
      <c r="D83" t="str" cm="1">
        <f t="array" ref="D83">_xlfn.IFS(
   C83 &lt; 18, "Under 18",
   C83 &lt;= 24, "18-24",
   C83 &lt;= 34, "25-34",
   C83 &lt;= 44, "35-44",
   C83 &lt;= 54, "45-54",
   C83 &lt;= 64, "55-64",
   TRUE, "65+"
)</f>
        <v>35-44</v>
      </c>
      <c r="E83" s="1">
        <f>_xlfn.MINIFS(
   Sales_Performance[Date],
   Sales_Performance[Customer ID],
   A83
)</f>
        <v>45047</v>
      </c>
      <c r="F83" t="str">
        <f>IF(
   COUNTIF(Sales_Performance[Customer ID], A83) = 1,
   "One-Time Customer",
   "Repeat Customer"
)</f>
        <v>Repeat Customer</v>
      </c>
    </row>
    <row r="84" spans="1:6" x14ac:dyDescent="0.35">
      <c r="A84" t="s">
        <v>765</v>
      </c>
      <c r="B84" t="str">
        <f>VLOOKUP(A84,Sales_Performance[[Customer ID]:[Total Amount]],2,0)</f>
        <v>Female</v>
      </c>
      <c r="C84">
        <f>_xlfn.XLOOKUP(A84,Sales_Performance[Customer ID],Sales_Performance[Age],0)</f>
        <v>34</v>
      </c>
      <c r="D84" t="str" cm="1">
        <f t="array" ref="D84">_xlfn.IFS(
   C84 &lt; 18, "Under 18",
   C84 &lt;= 24, "18-24",
   C84 &lt;= 34, "25-34",
   C84 &lt;= 44, "35-44",
   C84 &lt;= 54, "45-54",
   C84 &lt;= 64, "55-64",
   TRUE, "65+"
)</f>
        <v>25-34</v>
      </c>
      <c r="E84" s="1">
        <f>_xlfn.MINIFS(
   Sales_Performance[Date],
   Sales_Performance[Customer ID],
   A84
)</f>
        <v>44998</v>
      </c>
      <c r="F84" t="str">
        <f>IF(
   COUNTIF(Sales_Performance[Customer ID], A84) = 1,
   "One-Time Customer",
   "Repeat Customer"
)</f>
        <v>Repeat Customer</v>
      </c>
    </row>
    <row r="85" spans="1:6" x14ac:dyDescent="0.35">
      <c r="A85" t="s">
        <v>1364</v>
      </c>
      <c r="B85" t="str">
        <f>VLOOKUP(A85,Sales_Performance[[Customer ID]:[Total Amount]],2,0)</f>
        <v>Female</v>
      </c>
      <c r="C85">
        <f>_xlfn.XLOOKUP(A85,Sales_Performance[Customer ID],Sales_Performance[Age],0)</f>
        <v>33</v>
      </c>
      <c r="D85" t="str" cm="1">
        <f t="array" ref="D85">_xlfn.IFS(
   C85 &lt; 18, "Under 18",
   C85 &lt;= 24, "18-24",
   C85 &lt;= 34, "25-34",
   C85 &lt;= 44, "35-44",
   C85 &lt;= 54, "45-54",
   C85 &lt;= 64, "55-64",
   TRUE, "65+"
)</f>
        <v>25-34</v>
      </c>
      <c r="E85" s="1">
        <f>_xlfn.MINIFS(
   Sales_Performance[Date],
   Sales_Performance[Customer ID],
   A85
)</f>
        <v>45106</v>
      </c>
      <c r="F85" t="str">
        <f>IF(
   COUNTIF(Sales_Performance[Customer ID], A85) = 1,
   "One-Time Customer",
   "Repeat Customer"
)</f>
        <v>One-Time Customer</v>
      </c>
    </row>
    <row r="86" spans="1:6" x14ac:dyDescent="0.35">
      <c r="A86" t="s">
        <v>943</v>
      </c>
      <c r="B86" t="str">
        <f>VLOOKUP(A86,Sales_Performance[[Customer ID]:[Total Amount]],2,0)</f>
        <v>Male</v>
      </c>
      <c r="C86">
        <f>_xlfn.XLOOKUP(A86,Sales_Performance[Customer ID],Sales_Performance[Age],0)</f>
        <v>35</v>
      </c>
      <c r="D86" t="str" cm="1">
        <f t="array" ref="D86">_xlfn.IFS(
   C86 &lt; 18, "Under 18",
   C86 &lt;= 24, "18-24",
   C86 &lt;= 34, "25-34",
   C86 &lt;= 44, "35-44",
   C86 &lt;= 54, "45-54",
   C86 &lt;= 64, "55-64",
   TRUE, "65+"
)</f>
        <v>35-44</v>
      </c>
      <c r="E86" s="1">
        <f>_xlfn.MINIFS(
   Sales_Performance[Date],
   Sales_Performance[Customer ID],
   A86
)</f>
        <v>44959</v>
      </c>
      <c r="F86" t="str">
        <f>IF(
   COUNTIF(Sales_Performance[Customer ID], A86) = 1,
   "One-Time Customer",
   "Repeat Customer"
)</f>
        <v>Repeat Customer</v>
      </c>
    </row>
    <row r="87" spans="1:6" x14ac:dyDescent="0.35">
      <c r="A87" t="s">
        <v>1231</v>
      </c>
      <c r="B87" t="str">
        <f>VLOOKUP(A87,Sales_Performance[[Customer ID]:[Total Amount]],2,0)</f>
        <v>Female</v>
      </c>
      <c r="C87">
        <f>_xlfn.XLOOKUP(A87,Sales_Performance[Customer ID],Sales_Performance[Age],0)</f>
        <v>34</v>
      </c>
      <c r="D87" t="str" cm="1">
        <f t="array" ref="D87">_xlfn.IFS(
   C87 &lt; 18, "Under 18",
   C87 &lt;= 24, "18-24",
   C87 &lt;= 34, "25-34",
   C87 &lt;= 44, "35-44",
   C87 &lt;= 54, "45-54",
   C87 &lt;= 64, "55-64",
   TRUE, "65+"
)</f>
        <v>25-34</v>
      </c>
      <c r="E87" s="1">
        <f>_xlfn.MINIFS(
   Sales_Performance[Date],
   Sales_Performance[Customer ID],
   A87
)</f>
        <v>44982</v>
      </c>
      <c r="F87" t="str">
        <f>IF(
   COUNTIF(Sales_Performance[Customer ID], A87) = 1,
   "One-Time Customer",
   "Repeat Customer"
)</f>
        <v>Repeat Customer</v>
      </c>
    </row>
    <row r="88" spans="1:6" x14ac:dyDescent="0.35">
      <c r="A88" t="s">
        <v>907</v>
      </c>
      <c r="B88" t="str">
        <f>VLOOKUP(A88,Sales_Performance[[Customer ID]:[Total Amount]],2,0)</f>
        <v>Female</v>
      </c>
      <c r="C88">
        <f>_xlfn.XLOOKUP(A88,Sales_Performance[Customer ID],Sales_Performance[Age],0)</f>
        <v>18</v>
      </c>
      <c r="D88" t="str" cm="1">
        <f t="array" ref="D88">_xlfn.IFS(
   C88 &lt; 18, "Under 18",
   C88 &lt;= 24, "18-24",
   C88 &lt;= 34, "25-34",
   C88 &lt;= 44, "35-44",
   C88 &lt;= 54, "45-54",
   C88 &lt;= 64, "55-64",
   TRUE, "65+"
)</f>
        <v>18-24</v>
      </c>
      <c r="E88" s="1">
        <f>_xlfn.MINIFS(
   Sales_Performance[Date],
   Sales_Performance[Customer ID],
   A88
)</f>
        <v>45021</v>
      </c>
      <c r="F88" t="str">
        <f>IF(
   COUNTIF(Sales_Performance[Customer ID], A88) = 1,
   "One-Time Customer",
   "Repeat Customer"
)</f>
        <v>Repeat Customer</v>
      </c>
    </row>
    <row r="89" spans="1:6" x14ac:dyDescent="0.35">
      <c r="A89" t="s">
        <v>840</v>
      </c>
      <c r="B89" t="str">
        <f>VLOOKUP(A89,Sales_Performance[[Customer ID]:[Total Amount]],2,0)</f>
        <v>Male</v>
      </c>
      <c r="C89">
        <f>_xlfn.XLOOKUP(A89,Sales_Performance[Customer ID],Sales_Performance[Age],0)</f>
        <v>49</v>
      </c>
      <c r="D89" t="str" cm="1">
        <f t="array" ref="D89">_xlfn.IFS(
   C89 &lt; 18, "Under 18",
   C89 &lt;= 24, "18-24",
   C89 &lt;= 34, "25-34",
   C89 &lt;= 44, "35-44",
   C89 &lt;= 54, "45-54",
   C89 &lt;= 64, "55-64",
   TRUE, "65+"
)</f>
        <v>45-54</v>
      </c>
      <c r="E89" s="1">
        <f>_xlfn.MINIFS(
   Sales_Performance[Date],
   Sales_Performance[Customer ID],
   A89
)</f>
        <v>45045</v>
      </c>
      <c r="F89" t="str">
        <f>IF(
   COUNTIF(Sales_Performance[Customer ID], A89) = 1,
   "One-Time Customer",
   "Repeat Customer"
)</f>
        <v>Repeat Customer</v>
      </c>
    </row>
    <row r="90" spans="1:6" x14ac:dyDescent="0.35">
      <c r="A90" t="s">
        <v>1031</v>
      </c>
      <c r="B90" t="str">
        <f>VLOOKUP(A90,Sales_Performance[[Customer ID]:[Total Amount]],2,0)</f>
        <v>Female</v>
      </c>
      <c r="C90">
        <f>_xlfn.XLOOKUP(A90,Sales_Performance[Customer ID],Sales_Performance[Age],0)</f>
        <v>29</v>
      </c>
      <c r="D90" t="str" cm="1">
        <f t="array" ref="D90">_xlfn.IFS(
   C90 &lt; 18, "Under 18",
   C90 &lt;= 24, "18-24",
   C90 &lt;= 34, "25-34",
   C90 &lt;= 44, "35-44",
   C90 &lt;= 54, "45-54",
   C90 &lt;= 64, "55-64",
   TRUE, "65+"
)</f>
        <v>25-34</v>
      </c>
      <c r="E90" s="1">
        <f>_xlfn.MINIFS(
   Sales_Performance[Date],
   Sales_Performance[Customer ID],
   A90
)</f>
        <v>45147</v>
      </c>
      <c r="F90" t="str">
        <f>IF(
   COUNTIF(Sales_Performance[Customer ID], A90) = 1,
   "One-Time Customer",
   "Repeat Customer"
)</f>
        <v>Repeat Customer</v>
      </c>
    </row>
    <row r="91" spans="1:6" x14ac:dyDescent="0.35">
      <c r="A91" t="s">
        <v>789</v>
      </c>
      <c r="B91" t="str">
        <f>VLOOKUP(A91,Sales_Performance[[Customer ID]:[Total Amount]],2,0)</f>
        <v>Female</v>
      </c>
      <c r="C91">
        <f>_xlfn.XLOOKUP(A91,Sales_Performance[Customer ID],Sales_Performance[Age],0)</f>
        <v>39</v>
      </c>
      <c r="D91" t="str" cm="1">
        <f t="array" ref="D91">_xlfn.IFS(
   C91 &lt; 18, "Under 18",
   C91 &lt;= 24, "18-24",
   C91 &lt;= 34, "25-34",
   C91 &lt;= 44, "35-44",
   C91 &lt;= 54, "45-54",
   C91 &lt;= 64, "55-64",
   TRUE, "65+"
)</f>
        <v>35-44</v>
      </c>
      <c r="E91" s="1">
        <f>_xlfn.MINIFS(
   Sales_Performance[Date],
   Sales_Performance[Customer ID],
   A91
)</f>
        <v>44943</v>
      </c>
      <c r="F91" t="str">
        <f>IF(
   COUNTIF(Sales_Performance[Customer ID], A91) = 1,
   "One-Time Customer",
   "Repeat Customer"
)</f>
        <v>Repeat Customer</v>
      </c>
    </row>
    <row r="92" spans="1:6" x14ac:dyDescent="0.35">
      <c r="A92" t="s">
        <v>823</v>
      </c>
      <c r="B92" t="str">
        <f>VLOOKUP(A92,Sales_Performance[[Customer ID]:[Total Amount]],2,0)</f>
        <v>Male</v>
      </c>
      <c r="C92">
        <f>_xlfn.XLOOKUP(A92,Sales_Performance[Customer ID],Sales_Performance[Age],0)</f>
        <v>21</v>
      </c>
      <c r="D92" t="str" cm="1">
        <f t="array" ref="D92">_xlfn.IFS(
   C92 &lt; 18, "Under 18",
   C92 &lt;= 24, "18-24",
   C92 &lt;= 34, "25-34",
   C92 &lt;= 44, "35-44",
   C92 &lt;= 54, "45-54",
   C92 &lt;= 64, "55-64",
   TRUE, "65+"
)</f>
        <v>18-24</v>
      </c>
      <c r="E92" s="1">
        <f>_xlfn.MINIFS(
   Sales_Performance[Date],
   Sales_Performance[Customer ID],
   A92
)</f>
        <v>45086</v>
      </c>
      <c r="F92" t="str">
        <f>IF(
   COUNTIF(Sales_Performance[Customer ID], A92) = 1,
   "One-Time Customer",
   "Repeat Customer"
)</f>
        <v>Repeat Customer</v>
      </c>
    </row>
    <row r="93" spans="1:6" x14ac:dyDescent="0.35">
      <c r="A93" t="s">
        <v>1029</v>
      </c>
      <c r="B93" t="str">
        <f>VLOOKUP(A93,Sales_Performance[[Customer ID]:[Total Amount]],2,0)</f>
        <v>Female</v>
      </c>
      <c r="C93">
        <f>_xlfn.XLOOKUP(A93,Sales_Performance[Customer ID],Sales_Performance[Age],0)</f>
        <v>34</v>
      </c>
      <c r="D93" t="str" cm="1">
        <f t="array" ref="D93">_xlfn.IFS(
   C93 &lt; 18, "Under 18",
   C93 &lt;= 24, "18-24",
   C93 &lt;= 34, "25-34",
   C93 &lt;= 44, "35-44",
   C93 &lt;= 54, "45-54",
   C93 &lt;= 64, "55-64",
   TRUE, "65+"
)</f>
        <v>25-34</v>
      </c>
      <c r="E93" s="1">
        <f>_xlfn.MINIFS(
   Sales_Performance[Date],
   Sales_Performance[Customer ID],
   A93
)</f>
        <v>45035</v>
      </c>
      <c r="F93" t="str">
        <f>IF(
   COUNTIF(Sales_Performance[Customer ID], A93) = 1,
   "One-Time Customer",
   "Repeat Customer"
)</f>
        <v>Repeat Customer</v>
      </c>
    </row>
    <row r="94" spans="1:6" x14ac:dyDescent="0.35">
      <c r="A94" t="s">
        <v>1398</v>
      </c>
      <c r="B94" t="str">
        <f>VLOOKUP(A94,Sales_Performance[[Customer ID]:[Total Amount]],2,0)</f>
        <v>Male</v>
      </c>
      <c r="C94">
        <f>_xlfn.XLOOKUP(A94,Sales_Performance[Customer ID],Sales_Performance[Age],0)</f>
        <v>36</v>
      </c>
      <c r="D94" t="str" cm="1">
        <f t="array" ref="D94">_xlfn.IFS(
   C94 &lt; 18, "Under 18",
   C94 &lt;= 24, "18-24",
   C94 &lt;= 34, "25-34",
   C94 &lt;= 44, "35-44",
   C94 &lt;= 54, "45-54",
   C94 &lt;= 64, "55-64",
   TRUE, "65+"
)</f>
        <v>35-44</v>
      </c>
      <c r="E94" s="1">
        <f>_xlfn.MINIFS(
   Sales_Performance[Date],
   Sales_Performance[Customer ID],
   A94
)</f>
        <v>44996</v>
      </c>
      <c r="F94" t="str">
        <f>IF(
   COUNTIF(Sales_Performance[Customer ID], A94) = 1,
   "One-Time Customer",
   "Repeat Customer"
)</f>
        <v>Repeat Customer</v>
      </c>
    </row>
    <row r="95" spans="1:6" x14ac:dyDescent="0.35">
      <c r="A95" t="s">
        <v>831</v>
      </c>
      <c r="B95" t="str">
        <f>VLOOKUP(A95,Sales_Performance[[Customer ID]:[Total Amount]],2,0)</f>
        <v>Male</v>
      </c>
      <c r="C95">
        <f>_xlfn.XLOOKUP(A95,Sales_Performance[Customer ID],Sales_Performance[Age],0)</f>
        <v>42</v>
      </c>
      <c r="D95" t="str" cm="1">
        <f t="array" ref="D95">_xlfn.IFS(
   C95 &lt; 18, "Under 18",
   C95 &lt;= 24, "18-24",
   C95 &lt;= 34, "25-34",
   C95 &lt;= 44, "35-44",
   C95 &lt;= 54, "45-54",
   C95 &lt;= 64, "55-64",
   TRUE, "65+"
)</f>
        <v>35-44</v>
      </c>
      <c r="E95" s="1">
        <f>_xlfn.MINIFS(
   Sales_Performance[Date],
   Sales_Performance[Customer ID],
   A95
)</f>
        <v>45067</v>
      </c>
      <c r="F95" t="str">
        <f>IF(
   COUNTIF(Sales_Performance[Customer ID], A95) = 1,
   "One-Time Customer",
   "Repeat Customer"
)</f>
        <v>Repeat Customer</v>
      </c>
    </row>
    <row r="96" spans="1:6" x14ac:dyDescent="0.35">
      <c r="A96" t="s">
        <v>104</v>
      </c>
      <c r="B96" t="str">
        <f>VLOOKUP(A96,Sales_Performance[[Customer ID]:[Total Amount]],2,0)</f>
        <v>Female</v>
      </c>
      <c r="C96">
        <f>_xlfn.XLOOKUP(A96,Sales_Performance[Customer ID],Sales_Performance[Age],0)</f>
        <v>47</v>
      </c>
      <c r="D96" t="str" cm="1">
        <f t="array" ref="D96">_xlfn.IFS(
   C96 &lt; 18, "Under 18",
   C96 &lt;= 24, "18-24",
   C96 &lt;= 34, "25-34",
   C96 &lt;= 44, "35-44",
   C96 &lt;= 54, "45-54",
   C96 &lt;= 64, "55-64",
   TRUE, "65+"
)</f>
        <v>45-54</v>
      </c>
      <c r="E96" s="1">
        <f>_xlfn.MINIFS(
   Sales_Performance[Date],
   Sales_Performance[Customer ID],
   A96
)</f>
        <v>45024</v>
      </c>
      <c r="F96" t="str">
        <f>IF(
   COUNTIF(Sales_Performance[Customer ID], A96) = 1,
   "One-Time Customer",
   "Repeat Customer"
)</f>
        <v>Repeat Customer</v>
      </c>
    </row>
    <row r="97" spans="1:6" x14ac:dyDescent="0.35">
      <c r="A97" t="s">
        <v>1190</v>
      </c>
      <c r="B97" t="str">
        <f>VLOOKUP(A97,Sales_Performance[[Customer ID]:[Total Amount]],2,0)</f>
        <v>Female</v>
      </c>
      <c r="C97">
        <f>_xlfn.XLOOKUP(A97,Sales_Performance[Customer ID],Sales_Performance[Age],0)</f>
        <v>34</v>
      </c>
      <c r="D97" t="str" cm="1">
        <f t="array" ref="D97">_xlfn.IFS(
   C97 &lt; 18, "Under 18",
   C97 &lt;= 24, "18-24",
   C97 &lt;= 34, "25-34",
   C97 &lt;= 44, "35-44",
   C97 &lt;= 54, "45-54",
   C97 &lt;= 64, "55-64",
   TRUE, "65+"
)</f>
        <v>25-34</v>
      </c>
      <c r="E97" s="1">
        <f>_xlfn.MINIFS(
   Sales_Performance[Date],
   Sales_Performance[Customer ID],
   A97
)</f>
        <v>45143</v>
      </c>
      <c r="F97" t="str">
        <f>IF(
   COUNTIF(Sales_Performance[Customer ID], A97) = 1,
   "One-Time Customer",
   "Repeat Customer"
)</f>
        <v>Repeat Customer</v>
      </c>
    </row>
    <row r="98" spans="1:6" x14ac:dyDescent="0.35">
      <c r="A98" t="s">
        <v>640</v>
      </c>
      <c r="B98" t="str">
        <f>VLOOKUP(A98,Sales_Performance[[Customer ID]:[Total Amount]],2,0)</f>
        <v>Male</v>
      </c>
      <c r="C98">
        <f>_xlfn.XLOOKUP(A98,Sales_Performance[Customer ID],Sales_Performance[Age],0)</f>
        <v>51</v>
      </c>
      <c r="D98" t="str" cm="1">
        <f t="array" ref="D98">_xlfn.IFS(
   C98 &lt; 18, "Under 18",
   C98 &lt;= 24, "18-24",
   C98 &lt;= 34, "25-34",
   C98 &lt;= 44, "35-44",
   C98 &lt;= 54, "45-54",
   C98 &lt;= 64, "55-64",
   TRUE, "65+"
)</f>
        <v>45-54</v>
      </c>
      <c r="E98" s="1">
        <f>_xlfn.MINIFS(
   Sales_Performance[Date],
   Sales_Performance[Customer ID],
   A98
)</f>
        <v>44981</v>
      </c>
      <c r="F98" t="str">
        <f>IF(
   COUNTIF(Sales_Performance[Customer ID], A98) = 1,
   "One-Time Customer",
   "Repeat Customer"
)</f>
        <v>Repeat Customer</v>
      </c>
    </row>
    <row r="99" spans="1:6" x14ac:dyDescent="0.35">
      <c r="A99" t="s">
        <v>330</v>
      </c>
      <c r="B99" t="str">
        <f>VLOOKUP(A99,Sales_Performance[[Customer ID]:[Total Amount]],2,0)</f>
        <v>Male</v>
      </c>
      <c r="C99">
        <f>_xlfn.XLOOKUP(A99,Sales_Performance[Customer ID],Sales_Performance[Age],0)</f>
        <v>51</v>
      </c>
      <c r="D99" t="str" cm="1">
        <f t="array" ref="D99">_xlfn.IFS(
   C99 &lt; 18, "Under 18",
   C99 &lt;= 24, "18-24",
   C99 &lt;= 34, "25-34",
   C99 &lt;= 44, "35-44",
   C99 &lt;= 54, "45-54",
   C99 &lt;= 64, "55-64",
   TRUE, "65+"
)</f>
        <v>45-54</v>
      </c>
      <c r="E99" s="1">
        <f>_xlfn.MINIFS(
   Sales_Performance[Date],
   Sales_Performance[Customer ID],
   A99
)</f>
        <v>44932</v>
      </c>
      <c r="F99" t="str">
        <f>IF(
   COUNTIF(Sales_Performance[Customer ID], A99) = 1,
   "One-Time Customer",
   "Repeat Customer"
)</f>
        <v>Repeat Customer</v>
      </c>
    </row>
    <row r="100" spans="1:6" x14ac:dyDescent="0.35">
      <c r="A100" t="s">
        <v>191</v>
      </c>
      <c r="B100" t="str">
        <f>VLOOKUP(A100,Sales_Performance[[Customer ID]:[Total Amount]],2,0)</f>
        <v>Female</v>
      </c>
      <c r="C100">
        <f>_xlfn.XLOOKUP(A100,Sales_Performance[Customer ID],Sales_Performance[Age],0)</f>
        <v>22</v>
      </c>
      <c r="D100" t="str" cm="1">
        <f t="array" ref="D100">_xlfn.IFS(
   C100 &lt; 18, "Under 18",
   C100 &lt;= 24, "18-24",
   C100 &lt;= 34, "25-34",
   C100 &lt;= 44, "35-44",
   C100 &lt;= 54, "45-54",
   C100 &lt;= 64, "55-64",
   TRUE, "65+"
)</f>
        <v>18-24</v>
      </c>
      <c r="E100" s="1">
        <f>_xlfn.MINIFS(
   Sales_Performance[Date],
   Sales_Performance[Customer ID],
   A100
)</f>
        <v>44974</v>
      </c>
      <c r="F100" t="str">
        <f>IF(
   COUNTIF(Sales_Performance[Customer ID], A100) = 1,
   "One-Time Customer",
   "Repeat Customer"
)</f>
        <v>Repeat Customer</v>
      </c>
    </row>
    <row r="101" spans="1:6" x14ac:dyDescent="0.35">
      <c r="A101" t="s">
        <v>93</v>
      </c>
      <c r="B101" t="str">
        <f>VLOOKUP(A101,Sales_Performance[[Customer ID]:[Total Amount]],2,0)</f>
        <v>Female</v>
      </c>
      <c r="C101">
        <f>_xlfn.XLOOKUP(A101,Sales_Performance[Customer ID],Sales_Performance[Age],0)</f>
        <v>42</v>
      </c>
      <c r="D101" t="str" cm="1">
        <f t="array" ref="D101">_xlfn.IFS(
   C101 &lt; 18, "Under 18",
   C101 &lt;= 24, "18-24",
   C101 &lt;= 34, "25-34",
   C101 &lt;= 44, "35-44",
   C101 &lt;= 54, "45-54",
   C101 &lt;= 64, "55-64",
   TRUE, "65+"
)</f>
        <v>35-44</v>
      </c>
      <c r="E101" s="1">
        <f>_xlfn.MINIFS(
   Sales_Performance[Date],
   Sales_Performance[Customer ID],
   A101
)</f>
        <v>44991</v>
      </c>
      <c r="F101" t="str">
        <f>IF(
   COUNTIF(Sales_Performance[Customer ID], A101) = 1,
   "One-Time Customer",
   "Repeat Customer"
)</f>
        <v>Repeat Customer</v>
      </c>
    </row>
    <row r="102" spans="1:6" x14ac:dyDescent="0.35">
      <c r="A102" t="s">
        <v>1294</v>
      </c>
      <c r="B102" t="str">
        <f>VLOOKUP(A102,Sales_Performance[[Customer ID]:[Total Amount]],2,0)</f>
        <v>Female</v>
      </c>
      <c r="C102">
        <f>_xlfn.XLOOKUP(A102,Sales_Performance[Customer ID],Sales_Performance[Age],0)</f>
        <v>57</v>
      </c>
      <c r="D102" t="str" cm="1">
        <f t="array" ref="D102">_xlfn.IFS(
   C102 &lt; 18, "Under 18",
   C102 &lt;= 24, "18-24",
   C102 &lt;= 34, "25-34",
   C102 &lt;= 44, "35-44",
   C102 &lt;= 54, "45-54",
   C102 &lt;= 64, "55-64",
   TRUE, "65+"
)</f>
        <v>55-64</v>
      </c>
      <c r="E102" s="1">
        <f>_xlfn.MINIFS(
   Sales_Performance[Date],
   Sales_Performance[Customer ID],
   A102
)</f>
        <v>44934</v>
      </c>
      <c r="F102" t="str">
        <f>IF(
   COUNTIF(Sales_Performance[Customer ID], A102) = 1,
   "One-Time Customer",
   "Repeat Customer"
)</f>
        <v>Repeat Customer</v>
      </c>
    </row>
    <row r="103" spans="1:6" x14ac:dyDescent="0.35">
      <c r="A103" t="s">
        <v>665</v>
      </c>
      <c r="B103" t="str">
        <f>VLOOKUP(A103,Sales_Performance[[Customer ID]:[Total Amount]],2,0)</f>
        <v>Female</v>
      </c>
      <c r="C103">
        <f>_xlfn.XLOOKUP(A103,Sales_Performance[Customer ID],Sales_Performance[Age],0)</f>
        <v>38</v>
      </c>
      <c r="D103" t="str" cm="1">
        <f t="array" ref="D103">_xlfn.IFS(
   C103 &lt; 18, "Under 18",
   C103 &lt;= 24, "18-24",
   C103 &lt;= 34, "25-34",
   C103 &lt;= 44, "35-44",
   C103 &lt;= 54, "45-54",
   C103 &lt;= 64, "55-64",
   TRUE, "65+"
)</f>
        <v>35-44</v>
      </c>
      <c r="E103" s="1">
        <f>_xlfn.MINIFS(
   Sales_Performance[Date],
   Sales_Performance[Customer ID],
   A103
)</f>
        <v>45141</v>
      </c>
      <c r="F103" t="str">
        <f>IF(
   COUNTIF(Sales_Performance[Customer ID], A103) = 1,
   "One-Time Customer",
   "Repeat Customer"
)</f>
        <v>One-Time Customer</v>
      </c>
    </row>
    <row r="104" spans="1:6" x14ac:dyDescent="0.35">
      <c r="A104" t="s">
        <v>77</v>
      </c>
      <c r="B104" t="str">
        <f>VLOOKUP(A104,Sales_Performance[[Customer ID]:[Total Amount]],2,0)</f>
        <v>Male</v>
      </c>
      <c r="C104">
        <f>_xlfn.XLOOKUP(A104,Sales_Performance[Customer ID],Sales_Performance[Age],0)</f>
        <v>18</v>
      </c>
      <c r="D104" t="str" cm="1">
        <f t="array" ref="D104">_xlfn.IFS(
   C104 &lt; 18, "Under 18",
   C104 &lt;= 24, "18-24",
   C104 &lt;= 34, "25-34",
   C104 &lt;= 44, "35-44",
   C104 &lt;= 54, "45-54",
   C104 &lt;= 64, "55-64",
   TRUE, "65+"
)</f>
        <v>18-24</v>
      </c>
      <c r="E104" s="1">
        <f>_xlfn.MINIFS(
   Sales_Performance[Date],
   Sales_Performance[Customer ID],
   A104
)</f>
        <v>45243</v>
      </c>
      <c r="F104" t="str">
        <f>IF(
   COUNTIF(Sales_Performance[Customer ID], A104) = 1,
   "One-Time Customer",
   "Repeat Customer"
)</f>
        <v>One-Time Customer</v>
      </c>
    </row>
    <row r="105" spans="1:6" x14ac:dyDescent="0.35">
      <c r="A105" t="s">
        <v>971</v>
      </c>
      <c r="B105" t="str">
        <f>VLOOKUP(A105,Sales_Performance[[Customer ID]:[Total Amount]],2,0)</f>
        <v>Male</v>
      </c>
      <c r="C105">
        <f>_xlfn.XLOOKUP(A105,Sales_Performance[Customer ID],Sales_Performance[Age],0)</f>
        <v>31</v>
      </c>
      <c r="D105" t="str" cm="1">
        <f t="array" ref="D105">_xlfn.IFS(
   C105 &lt; 18, "Under 18",
   C105 &lt;= 24, "18-24",
   C105 &lt;= 34, "25-34",
   C105 &lt;= 44, "35-44",
   C105 &lt;= 54, "45-54",
   C105 &lt;= 64, "55-64",
   TRUE, "65+"
)</f>
        <v>25-34</v>
      </c>
      <c r="E105" s="1">
        <f>_xlfn.MINIFS(
   Sales_Performance[Date],
   Sales_Performance[Customer ID],
   A105
)</f>
        <v>44936</v>
      </c>
      <c r="F105" t="str">
        <f>IF(
   COUNTIF(Sales_Performance[Customer ID], A105) = 1,
   "One-Time Customer",
   "Repeat Customer"
)</f>
        <v>Repeat Customer</v>
      </c>
    </row>
    <row r="106" spans="1:6" x14ac:dyDescent="0.35">
      <c r="A106" t="s">
        <v>1020</v>
      </c>
      <c r="B106" t="str">
        <f>VLOOKUP(A106,Sales_Performance[[Customer ID]:[Total Amount]],2,0)</f>
        <v>Female</v>
      </c>
      <c r="C106">
        <f>_xlfn.XLOOKUP(A106,Sales_Performance[Customer ID],Sales_Performance[Age],0)</f>
        <v>35</v>
      </c>
      <c r="D106" t="str" cm="1">
        <f t="array" ref="D106">_xlfn.IFS(
   C106 &lt; 18, "Under 18",
   C106 &lt;= 24, "18-24",
   C106 &lt;= 34, "25-34",
   C106 &lt;= 44, "35-44",
   C106 &lt;= 54, "45-54",
   C106 &lt;= 64, "55-64",
   TRUE, "65+"
)</f>
        <v>35-44</v>
      </c>
      <c r="E106" s="1">
        <f>_xlfn.MINIFS(
   Sales_Performance[Date],
   Sales_Performance[Customer ID],
   A106
)</f>
        <v>44963</v>
      </c>
      <c r="F106" t="str">
        <f>IF(
   COUNTIF(Sales_Performance[Customer ID], A106) = 1,
   "One-Time Customer",
   "Repeat Customer"
)</f>
        <v>Repeat Customer</v>
      </c>
    </row>
    <row r="107" spans="1:6" x14ac:dyDescent="0.35">
      <c r="A107" t="s">
        <v>1099</v>
      </c>
      <c r="B107" t="str">
        <f>VLOOKUP(A107,Sales_Performance[[Customer ID]:[Total Amount]],2,0)</f>
        <v>Female</v>
      </c>
      <c r="C107">
        <f>_xlfn.XLOOKUP(A107,Sales_Performance[Customer ID],Sales_Performance[Age],0)</f>
        <v>55</v>
      </c>
      <c r="D107" t="str" cm="1">
        <f t="array" ref="D107">_xlfn.IFS(
   C107 &lt; 18, "Under 18",
   C107 &lt;= 24, "18-24",
   C107 &lt;= 34, "25-34",
   C107 &lt;= 44, "35-44",
   C107 &lt;= 54, "45-54",
   C107 &lt;= 64, "55-64",
   TRUE, "65+"
)</f>
        <v>55-64</v>
      </c>
      <c r="E107" s="1">
        <f>_xlfn.MINIFS(
   Sales_Performance[Date],
   Sales_Performance[Customer ID],
   A107
)</f>
        <v>45162</v>
      </c>
      <c r="F107" t="str">
        <f>IF(
   COUNTIF(Sales_Performance[Customer ID], A107) = 1,
   "One-Time Customer",
   "Repeat Customer"
)</f>
        <v>Repeat Customer</v>
      </c>
    </row>
    <row r="108" spans="1:6" x14ac:dyDescent="0.35">
      <c r="A108" t="s">
        <v>1272</v>
      </c>
      <c r="B108" t="str">
        <f>VLOOKUP(A108,Sales_Performance[[Customer ID]:[Total Amount]],2,0)</f>
        <v>Female</v>
      </c>
      <c r="C108">
        <f>_xlfn.XLOOKUP(A108,Sales_Performance[Customer ID],Sales_Performance[Age],0)</f>
        <v>50</v>
      </c>
      <c r="D108" t="str" cm="1">
        <f t="array" ref="D108">_xlfn.IFS(
   C108 &lt; 18, "Under 18",
   C108 &lt;= 24, "18-24",
   C108 &lt;= 34, "25-34",
   C108 &lt;= 44, "35-44",
   C108 &lt;= 54, "45-54",
   C108 &lt;= 64, "55-64",
   TRUE, "65+"
)</f>
        <v>45-54</v>
      </c>
      <c r="E108" s="1">
        <f>_xlfn.MINIFS(
   Sales_Performance[Date],
   Sales_Performance[Customer ID],
   A108
)</f>
        <v>45277</v>
      </c>
      <c r="F108" t="str">
        <f>IF(
   COUNTIF(Sales_Performance[Customer ID], A108) = 1,
   "One-Time Customer",
   "Repeat Customer"
)</f>
        <v>One-Time Customer</v>
      </c>
    </row>
    <row r="109" spans="1:6" x14ac:dyDescent="0.35">
      <c r="A109" t="s">
        <v>1349</v>
      </c>
      <c r="B109" t="str">
        <f>VLOOKUP(A109,Sales_Performance[[Customer ID]:[Total Amount]],2,0)</f>
        <v>Female</v>
      </c>
      <c r="C109">
        <f>_xlfn.XLOOKUP(A109,Sales_Performance[Customer ID],Sales_Performance[Age],0)</f>
        <v>53</v>
      </c>
      <c r="D109" t="str" cm="1">
        <f t="array" ref="D109">_xlfn.IFS(
   C109 &lt; 18, "Under 18",
   C109 &lt;= 24, "18-24",
   C109 &lt;= 34, "25-34",
   C109 &lt;= 44, "35-44",
   C109 &lt;= 54, "45-54",
   C109 &lt;= 64, "55-64",
   TRUE, "65+"
)</f>
        <v>45-54</v>
      </c>
      <c r="E109" s="1">
        <f>_xlfn.MINIFS(
   Sales_Performance[Date],
   Sales_Performance[Customer ID],
   A109
)</f>
        <v>45049</v>
      </c>
      <c r="F109" t="str">
        <f>IF(
   COUNTIF(Sales_Performance[Customer ID], A109) = 1,
   "One-Time Customer",
   "Repeat Customer"
)</f>
        <v>Repeat Customer</v>
      </c>
    </row>
    <row r="110" spans="1:6" x14ac:dyDescent="0.35">
      <c r="A110" t="s">
        <v>158</v>
      </c>
      <c r="B110" t="str">
        <f>VLOOKUP(A110,Sales_Performance[[Customer ID]:[Total Amount]],2,0)</f>
        <v>Male</v>
      </c>
      <c r="C110">
        <f>_xlfn.XLOOKUP(A110,Sales_Performance[Customer ID],Sales_Performance[Age],0)</f>
        <v>36</v>
      </c>
      <c r="D110" t="str" cm="1">
        <f t="array" ref="D110">_xlfn.IFS(
   C110 &lt; 18, "Under 18",
   C110 &lt;= 24, "18-24",
   C110 &lt;= 34, "25-34",
   C110 &lt;= 44, "35-44",
   C110 &lt;= 54, "45-54",
   C110 &lt;= 64, "55-64",
   TRUE, "65+"
)</f>
        <v>35-44</v>
      </c>
      <c r="E110" s="1">
        <f>_xlfn.MINIFS(
   Sales_Performance[Date],
   Sales_Performance[Customer ID],
   A110
)</f>
        <v>44961</v>
      </c>
      <c r="F110" t="str">
        <f>IF(
   COUNTIF(Sales_Performance[Customer ID], A110) = 1,
   "One-Time Customer",
   "Repeat Customer"
)</f>
        <v>Repeat Customer</v>
      </c>
    </row>
    <row r="111" spans="1:6" x14ac:dyDescent="0.35">
      <c r="A111" t="s">
        <v>253</v>
      </c>
      <c r="B111" t="str">
        <f>VLOOKUP(A111,Sales_Performance[[Customer ID]:[Total Amount]],2,0)</f>
        <v>Female</v>
      </c>
      <c r="C111">
        <f>_xlfn.XLOOKUP(A111,Sales_Performance[Customer ID],Sales_Performance[Age],0)</f>
        <v>19</v>
      </c>
      <c r="D111" t="str" cm="1">
        <f t="array" ref="D111">_xlfn.IFS(
   C111 &lt; 18, "Under 18",
   C111 &lt;= 24, "18-24",
   C111 &lt;= 34, "25-34",
   C111 &lt;= 44, "35-44",
   C111 &lt;= 54, "45-54",
   C111 &lt;= 64, "55-64",
   TRUE, "65+"
)</f>
        <v>18-24</v>
      </c>
      <c r="E111" s="1">
        <f>_xlfn.MINIFS(
   Sales_Performance[Date],
   Sales_Performance[Customer ID],
   A111
)</f>
        <v>45185</v>
      </c>
      <c r="F111" t="str">
        <f>IF(
   COUNTIF(Sales_Performance[Customer ID], A111) = 1,
   "One-Time Customer",
   "Repeat Customer"
)</f>
        <v>One-Time Customer</v>
      </c>
    </row>
    <row r="112" spans="1:6" x14ac:dyDescent="0.35">
      <c r="A112" t="s">
        <v>179</v>
      </c>
      <c r="B112" t="str">
        <f>VLOOKUP(A112,Sales_Performance[[Customer ID]:[Total Amount]],2,0)</f>
        <v>Male</v>
      </c>
      <c r="C112">
        <f>_xlfn.XLOOKUP(A112,Sales_Performance[Customer ID],Sales_Performance[Age],0)</f>
        <v>50</v>
      </c>
      <c r="D112" t="str" cm="1">
        <f t="array" ref="D112">_xlfn.IFS(
   C112 &lt; 18, "Under 18",
   C112 &lt;= 24, "18-24",
   C112 &lt;= 34, "25-34",
   C112 &lt;= 44, "35-44",
   C112 &lt;= 54, "45-54",
   C112 &lt;= 64, "55-64",
   TRUE, "65+"
)</f>
        <v>45-54</v>
      </c>
      <c r="E112" s="1">
        <f>_xlfn.MINIFS(
   Sales_Performance[Date],
   Sales_Performance[Customer ID],
   A112
)</f>
        <v>44969</v>
      </c>
      <c r="F112" t="str">
        <f>IF(
   COUNTIF(Sales_Performance[Customer ID], A112) = 1,
   "One-Time Customer",
   "Repeat Customer"
)</f>
        <v>Repeat Customer</v>
      </c>
    </row>
    <row r="113" spans="1:6" x14ac:dyDescent="0.35">
      <c r="A113" t="s">
        <v>948</v>
      </c>
      <c r="B113" t="str">
        <f>VLOOKUP(A113,Sales_Performance[[Customer ID]:[Total Amount]],2,0)</f>
        <v>Male</v>
      </c>
      <c r="C113">
        <f>_xlfn.XLOOKUP(A113,Sales_Performance[Customer ID],Sales_Performance[Age],0)</f>
        <v>34</v>
      </c>
      <c r="D113" t="str" cm="1">
        <f t="array" ref="D113">_xlfn.IFS(
   C113 &lt; 18, "Under 18",
   C113 &lt;= 24, "18-24",
   C113 &lt;= 34, "25-34",
   C113 &lt;= 44, "35-44",
   C113 &lt;= 54, "45-54",
   C113 &lt;= 64, "55-64",
   TRUE, "65+"
)</f>
        <v>25-34</v>
      </c>
      <c r="E113" s="1">
        <f>_xlfn.MINIFS(
   Sales_Performance[Date],
   Sales_Performance[Customer ID],
   A113
)</f>
        <v>45163</v>
      </c>
      <c r="F113" t="str">
        <f>IF(
   COUNTIF(Sales_Performance[Customer ID], A113) = 1,
   "One-Time Customer",
   "Repeat Customer"
)</f>
        <v>Repeat Customer</v>
      </c>
    </row>
    <row r="114" spans="1:6" x14ac:dyDescent="0.35">
      <c r="A114" t="s">
        <v>1451</v>
      </c>
      <c r="B114" t="str">
        <f>VLOOKUP(A114,Sales_Performance[[Customer ID]:[Total Amount]],2,0)</f>
        <v>Female</v>
      </c>
      <c r="C114">
        <f>_xlfn.XLOOKUP(A114,Sales_Performance[Customer ID],Sales_Performance[Age],0)</f>
        <v>64</v>
      </c>
      <c r="D114" t="str" cm="1">
        <f t="array" ref="D114">_xlfn.IFS(
   C114 &lt; 18, "Under 18",
   C114 &lt;= 24, "18-24",
   C114 &lt;= 34, "25-34",
   C114 &lt;= 44, "35-44",
   C114 &lt;= 54, "45-54",
   C114 &lt;= 64, "55-64",
   TRUE, "65+"
)</f>
        <v>55-64</v>
      </c>
      <c r="E114" s="1">
        <f>_xlfn.MINIFS(
   Sales_Performance[Date],
   Sales_Performance[Customer ID],
   A114
)</f>
        <v>44933</v>
      </c>
      <c r="F114" t="str">
        <f>IF(
   COUNTIF(Sales_Performance[Customer ID], A114) = 1,
   "One-Time Customer",
   "Repeat Customer"
)</f>
        <v>Repeat Customer</v>
      </c>
    </row>
    <row r="115" spans="1:6" x14ac:dyDescent="0.35">
      <c r="A115" t="s">
        <v>101</v>
      </c>
      <c r="B115" t="str">
        <f>VLOOKUP(A115,Sales_Performance[[Customer ID]:[Total Amount]],2,0)</f>
        <v>Female</v>
      </c>
      <c r="C115">
        <f>_xlfn.XLOOKUP(A115,Sales_Performance[Customer ID],Sales_Performance[Age],0)</f>
        <v>22</v>
      </c>
      <c r="D115" t="str" cm="1">
        <f t="array" ref="D115">_xlfn.IFS(
   C115 &lt; 18, "Under 18",
   C115 &lt;= 24, "18-24",
   C115 &lt;= 34, "25-34",
   C115 &lt;= 44, "35-44",
   C115 &lt;= 54, "45-54",
   C115 &lt;= 64, "55-64",
   TRUE, "65+"
)</f>
        <v>18-24</v>
      </c>
      <c r="E115" s="1">
        <f>_xlfn.MINIFS(
   Sales_Performance[Date],
   Sales_Performance[Customer ID],
   A115
)</f>
        <v>44976</v>
      </c>
      <c r="F115" t="str">
        <f>IF(
   COUNTIF(Sales_Performance[Customer ID], A115) = 1,
   "One-Time Customer",
   "Repeat Customer"
)</f>
        <v>Repeat Customer</v>
      </c>
    </row>
    <row r="116" spans="1:6" x14ac:dyDescent="0.35">
      <c r="A116" t="s">
        <v>867</v>
      </c>
      <c r="B116" t="str">
        <f>VLOOKUP(A116,Sales_Performance[[Customer ID]:[Total Amount]],2,0)</f>
        <v>Male</v>
      </c>
      <c r="C116">
        <f>_xlfn.XLOOKUP(A116,Sales_Performance[Customer ID],Sales_Performance[Age],0)</f>
        <v>48</v>
      </c>
      <c r="D116" t="str" cm="1">
        <f t="array" ref="D116">_xlfn.IFS(
   C116 &lt; 18, "Under 18",
   C116 &lt;= 24, "18-24",
   C116 &lt;= 34, "25-34",
   C116 &lt;= 44, "35-44",
   C116 &lt;= 54, "45-54",
   C116 &lt;= 64, "55-64",
   TRUE, "65+"
)</f>
        <v>45-54</v>
      </c>
      <c r="E116" s="1">
        <f>_xlfn.MINIFS(
   Sales_Performance[Date],
   Sales_Performance[Customer ID],
   A116
)</f>
        <v>45055</v>
      </c>
      <c r="F116" t="str">
        <f>IF(
   COUNTIF(Sales_Performance[Customer ID], A116) = 1,
   "One-Time Customer",
   "Repeat Customer"
)</f>
        <v>Repeat Customer</v>
      </c>
    </row>
    <row r="117" spans="1:6" x14ac:dyDescent="0.35">
      <c r="A117" t="s">
        <v>538</v>
      </c>
      <c r="B117" t="str">
        <f>VLOOKUP(A117,Sales_Performance[[Customer ID]:[Total Amount]],2,0)</f>
        <v>Female</v>
      </c>
      <c r="C117">
        <f>_xlfn.XLOOKUP(A117,Sales_Performance[Customer ID],Sales_Performance[Age],0)</f>
        <v>40</v>
      </c>
      <c r="D117" t="str" cm="1">
        <f t="array" ref="D117">_xlfn.IFS(
   C117 &lt; 18, "Under 18",
   C117 &lt;= 24, "18-24",
   C117 &lt;= 34, "25-34",
   C117 &lt;= 44, "35-44",
   C117 &lt;= 54, "45-54",
   C117 &lt;= 64, "55-64",
   TRUE, "65+"
)</f>
        <v>35-44</v>
      </c>
      <c r="E117" s="1">
        <f>_xlfn.MINIFS(
   Sales_Performance[Date],
   Sales_Performance[Customer ID],
   A117
)</f>
        <v>44950</v>
      </c>
      <c r="F117" t="str">
        <f>IF(
   COUNTIF(Sales_Performance[Customer ID], A117) = 1,
   "One-Time Customer",
   "Repeat Customer"
)</f>
        <v>Repeat Customer</v>
      </c>
    </row>
    <row r="118" spans="1:6" x14ac:dyDescent="0.35">
      <c r="A118" t="s">
        <v>709</v>
      </c>
      <c r="B118" t="str">
        <f>VLOOKUP(A118,Sales_Performance[[Customer ID]:[Total Amount]],2,0)</f>
        <v>Male</v>
      </c>
      <c r="C118">
        <f>_xlfn.XLOOKUP(A118,Sales_Performance[Customer ID],Sales_Performance[Age],0)</f>
        <v>19</v>
      </c>
      <c r="D118" t="str" cm="1">
        <f t="array" ref="D118">_xlfn.IFS(
   C118 &lt; 18, "Under 18",
   C118 &lt;= 24, "18-24",
   C118 &lt;= 34, "25-34",
   C118 &lt;= 44, "35-44",
   C118 &lt;= 54, "45-54",
   C118 &lt;= 64, "55-64",
   TRUE, "65+"
)</f>
        <v>18-24</v>
      </c>
      <c r="E118" s="1">
        <f>_xlfn.MINIFS(
   Sales_Performance[Date],
   Sales_Performance[Customer ID],
   A118
)</f>
        <v>44982</v>
      </c>
      <c r="F118" t="str">
        <f>IF(
   COUNTIF(Sales_Performance[Customer ID], A118) = 1,
   "One-Time Customer",
   "Repeat Customer"
)</f>
        <v>Repeat Customer</v>
      </c>
    </row>
    <row r="119" spans="1:6" x14ac:dyDescent="0.35">
      <c r="A119" t="s">
        <v>706</v>
      </c>
      <c r="B119" t="str">
        <f>VLOOKUP(A119,Sales_Performance[[Customer ID]:[Total Amount]],2,0)</f>
        <v>Male</v>
      </c>
      <c r="C119">
        <f>_xlfn.XLOOKUP(A119,Sales_Performance[Customer ID],Sales_Performance[Age],0)</f>
        <v>23</v>
      </c>
      <c r="D119" t="str" cm="1">
        <f t="array" ref="D119">_xlfn.IFS(
   C119 &lt; 18, "Under 18",
   C119 &lt;= 24, "18-24",
   C119 &lt;= 34, "25-34",
   C119 &lt;= 44, "35-44",
   C119 &lt;= 54, "45-54",
   C119 &lt;= 64, "55-64",
   TRUE, "65+"
)</f>
        <v>18-24</v>
      </c>
      <c r="E119" s="1">
        <f>_xlfn.MINIFS(
   Sales_Performance[Date],
   Sales_Performance[Customer ID],
   A119
)</f>
        <v>45037</v>
      </c>
      <c r="F119" t="str">
        <f>IF(
   COUNTIF(Sales_Performance[Customer ID], A119) = 1,
   "One-Time Customer",
   "Repeat Customer"
)</f>
        <v>Repeat Customer</v>
      </c>
    </row>
    <row r="120" spans="1:6" x14ac:dyDescent="0.35">
      <c r="A120" t="s">
        <v>850</v>
      </c>
      <c r="B120" t="str">
        <f>VLOOKUP(A120,Sales_Performance[[Customer ID]:[Total Amount]],2,0)</f>
        <v>Female</v>
      </c>
      <c r="C120">
        <f>_xlfn.XLOOKUP(A120,Sales_Performance[Customer ID],Sales_Performance[Age],0)</f>
        <v>34</v>
      </c>
      <c r="D120" t="str" cm="1">
        <f t="array" ref="D120">_xlfn.IFS(
   C120 &lt; 18, "Under 18",
   C120 &lt;= 24, "18-24",
   C120 &lt;= 34, "25-34",
   C120 &lt;= 44, "35-44",
   C120 &lt;= 54, "45-54",
   C120 &lt;= 64, "55-64",
   TRUE, "65+"
)</f>
        <v>25-34</v>
      </c>
      <c r="E120" s="1">
        <f>_xlfn.MINIFS(
   Sales_Performance[Date],
   Sales_Performance[Customer ID],
   A120
)</f>
        <v>45026</v>
      </c>
      <c r="F120" t="str">
        <f>IF(
   COUNTIF(Sales_Performance[Customer ID], A120) = 1,
   "One-Time Customer",
   "Repeat Customer"
)</f>
        <v>Repeat Customer</v>
      </c>
    </row>
    <row r="121" spans="1:6" x14ac:dyDescent="0.35">
      <c r="A121" t="s">
        <v>852</v>
      </c>
      <c r="B121" t="str">
        <f>VLOOKUP(A121,Sales_Performance[[Customer ID]:[Total Amount]],2,0)</f>
        <v>Male</v>
      </c>
      <c r="C121">
        <f>_xlfn.XLOOKUP(A121,Sales_Performance[Customer ID],Sales_Performance[Age],0)</f>
        <v>58</v>
      </c>
      <c r="D121" t="str" cm="1">
        <f t="array" ref="D121">_xlfn.IFS(
   C121 &lt; 18, "Under 18",
   C121 &lt;= 24, "18-24",
   C121 &lt;= 34, "25-34",
   C121 &lt;= 44, "35-44",
   C121 &lt;= 54, "45-54",
   C121 &lt;= 64, "55-64",
   TRUE, "65+"
)</f>
        <v>55-64</v>
      </c>
      <c r="E121" s="1">
        <f>_xlfn.MINIFS(
   Sales_Performance[Date],
   Sales_Performance[Customer ID],
   A121
)</f>
        <v>45228</v>
      </c>
      <c r="F121" t="str">
        <f>IF(
   COUNTIF(Sales_Performance[Customer ID], A121) = 1,
   "One-Time Customer",
   "Repeat Customer"
)</f>
        <v>One-Time Customer</v>
      </c>
    </row>
    <row r="122" spans="1:6" x14ac:dyDescent="0.35">
      <c r="A122" t="s">
        <v>648</v>
      </c>
      <c r="B122" t="str">
        <f>VLOOKUP(A122,Sales_Performance[[Customer ID]:[Total Amount]],2,0)</f>
        <v>Male</v>
      </c>
      <c r="C122">
        <f>_xlfn.XLOOKUP(A122,Sales_Performance[Customer ID],Sales_Performance[Age],0)</f>
        <v>20</v>
      </c>
      <c r="D122" t="str" cm="1">
        <f t="array" ref="D122">_xlfn.IFS(
   C122 &lt; 18, "Under 18",
   C122 &lt;= 24, "18-24",
   C122 &lt;= 34, "25-34",
   C122 &lt;= 44, "35-44",
   C122 &lt;= 54, "45-54",
   C122 &lt;= 64, "55-64",
   TRUE, "65+"
)</f>
        <v>18-24</v>
      </c>
      <c r="E122" s="1">
        <f>_xlfn.MINIFS(
   Sales_Performance[Date],
   Sales_Performance[Customer ID],
   A122
)</f>
        <v>44964</v>
      </c>
      <c r="F122" t="str">
        <f>IF(
   COUNTIF(Sales_Performance[Customer ID], A122) = 1,
   "One-Time Customer",
   "Repeat Customer"
)</f>
        <v>Repeat Customer</v>
      </c>
    </row>
    <row r="123" spans="1:6" x14ac:dyDescent="0.35">
      <c r="A123" t="s">
        <v>1051</v>
      </c>
      <c r="B123" t="str">
        <f>VLOOKUP(A123,Sales_Performance[[Customer ID]:[Total Amount]],2,0)</f>
        <v>Female</v>
      </c>
      <c r="C123">
        <f>_xlfn.XLOOKUP(A123,Sales_Performance[Customer ID],Sales_Performance[Age],0)</f>
        <v>39</v>
      </c>
      <c r="D123" t="str" cm="1">
        <f t="array" ref="D123">_xlfn.IFS(
   C123 &lt; 18, "Under 18",
   C123 &lt;= 24, "18-24",
   C123 &lt;= 34, "25-34",
   C123 &lt;= 44, "35-44",
   C123 &lt;= 54, "45-54",
   C123 &lt;= 64, "55-64",
   TRUE, "65+"
)</f>
        <v>35-44</v>
      </c>
      <c r="E123" s="1">
        <f>_xlfn.MINIFS(
   Sales_Performance[Date],
   Sales_Performance[Customer ID],
   A123
)</f>
        <v>45017</v>
      </c>
      <c r="F123" t="str">
        <f>IF(
   COUNTIF(Sales_Performance[Customer ID], A123) = 1,
   "One-Time Customer",
   "Repeat Customer"
)</f>
        <v>One-Time Customer</v>
      </c>
    </row>
    <row r="124" spans="1:6" x14ac:dyDescent="0.35">
      <c r="A124" t="s">
        <v>379</v>
      </c>
      <c r="B124" t="str">
        <f>VLOOKUP(A124,Sales_Performance[[Customer ID]:[Total Amount]],2,0)</f>
        <v>Female</v>
      </c>
      <c r="C124">
        <f>_xlfn.XLOOKUP(A124,Sales_Performance[Customer ID],Sales_Performance[Age],0)</f>
        <v>47</v>
      </c>
      <c r="D124" t="str" cm="1">
        <f t="array" ref="D124">_xlfn.IFS(
   C124 &lt; 18, "Under 18",
   C124 &lt;= 24, "18-24",
   C124 &lt;= 34, "25-34",
   C124 &lt;= 44, "35-44",
   C124 &lt;= 54, "45-54",
   C124 &lt;= 64, "55-64",
   TRUE, "65+"
)</f>
        <v>45-54</v>
      </c>
      <c r="E124" s="1">
        <f>_xlfn.MINIFS(
   Sales_Performance[Date],
   Sales_Performance[Customer ID],
   A124
)</f>
        <v>45069</v>
      </c>
      <c r="F124" t="str">
        <f>IF(
   COUNTIF(Sales_Performance[Customer ID], A124) = 1,
   "One-Time Customer",
   "Repeat Customer"
)</f>
        <v>One-Time Customer</v>
      </c>
    </row>
    <row r="125" spans="1:6" x14ac:dyDescent="0.35">
      <c r="A125" t="s">
        <v>1376</v>
      </c>
      <c r="B125" t="str">
        <f>VLOOKUP(A125,Sales_Performance[[Customer ID]:[Total Amount]],2,0)</f>
        <v>Male</v>
      </c>
      <c r="C125">
        <f>_xlfn.XLOOKUP(A125,Sales_Performance[Customer ID],Sales_Performance[Age],0)</f>
        <v>37</v>
      </c>
      <c r="D125" t="str" cm="1">
        <f t="array" ref="D125">_xlfn.IFS(
   C125 &lt; 18, "Under 18",
   C125 &lt;= 24, "18-24",
   C125 &lt;= 34, "25-34",
   C125 &lt;= 44, "35-44",
   C125 &lt;= 54, "45-54",
   C125 &lt;= 64, "55-64",
   TRUE, "65+"
)</f>
        <v>35-44</v>
      </c>
      <c r="E125" s="1">
        <f>_xlfn.MINIFS(
   Sales_Performance[Date],
   Sales_Performance[Customer ID],
   A125
)</f>
        <v>45176</v>
      </c>
      <c r="F125" t="str">
        <f>IF(
   COUNTIF(Sales_Performance[Customer ID], A125) = 1,
   "One-Time Customer",
   "Repeat Customer"
)</f>
        <v>Repeat Customer</v>
      </c>
    </row>
    <row r="126" spans="1:6" x14ac:dyDescent="0.35">
      <c r="A126" t="s">
        <v>962</v>
      </c>
      <c r="B126" t="str">
        <f>VLOOKUP(A126,Sales_Performance[[Customer ID]:[Total Amount]],2,0)</f>
        <v>Male</v>
      </c>
      <c r="C126">
        <f>_xlfn.XLOOKUP(A126,Sales_Performance[Customer ID],Sales_Performance[Age],0)</f>
        <v>64</v>
      </c>
      <c r="D126" t="str" cm="1">
        <f t="array" ref="D126">_xlfn.IFS(
   C126 &lt; 18, "Under 18",
   C126 &lt;= 24, "18-24",
   C126 &lt;= 34, "25-34",
   C126 &lt;= 44, "35-44",
   C126 &lt;= 54, "45-54",
   C126 &lt;= 64, "55-64",
   TRUE, "65+"
)</f>
        <v>55-64</v>
      </c>
      <c r="E126" s="1">
        <f>_xlfn.MINIFS(
   Sales_Performance[Date],
   Sales_Performance[Customer ID],
   A126
)</f>
        <v>44980</v>
      </c>
      <c r="F126" t="str">
        <f>IF(
   COUNTIF(Sales_Performance[Customer ID], A126) = 1,
   "One-Time Customer",
   "Repeat Customer"
)</f>
        <v>Repeat Customer</v>
      </c>
    </row>
    <row r="127" spans="1:6" x14ac:dyDescent="0.35">
      <c r="A127" t="s">
        <v>84</v>
      </c>
      <c r="B127" t="str">
        <f>VLOOKUP(A127,Sales_Performance[[Customer ID]:[Total Amount]],2,0)</f>
        <v>Male</v>
      </c>
      <c r="C127">
        <f>_xlfn.XLOOKUP(A127,Sales_Performance[Customer ID],Sales_Performance[Age],0)</f>
        <v>61</v>
      </c>
      <c r="D127" t="str" cm="1">
        <f t="array" ref="D127">_xlfn.IFS(
   C127 &lt; 18, "Under 18",
   C127 &lt;= 24, "18-24",
   C127 &lt;= 34, "25-34",
   C127 &lt;= 44, "35-44",
   C127 &lt;= 54, "45-54",
   C127 &lt;= 64, "55-64",
   TRUE, "65+"
)</f>
        <v>55-64</v>
      </c>
      <c r="E127" s="1">
        <f>_xlfn.MINIFS(
   Sales_Performance[Date],
   Sales_Performance[Customer ID],
   A127
)</f>
        <v>45087</v>
      </c>
      <c r="F127" t="str">
        <f>IF(
   COUNTIF(Sales_Performance[Customer ID], A127) = 1,
   "One-Time Customer",
   "Repeat Customer"
)</f>
        <v>Repeat Customer</v>
      </c>
    </row>
    <row r="128" spans="1:6" x14ac:dyDescent="0.35">
      <c r="A128" t="s">
        <v>983</v>
      </c>
      <c r="B128" t="str">
        <f>VLOOKUP(A128,Sales_Performance[[Customer ID]:[Total Amount]],2,0)</f>
        <v>Female</v>
      </c>
      <c r="C128">
        <f>_xlfn.XLOOKUP(A128,Sales_Performance[Customer ID],Sales_Performance[Age],0)</f>
        <v>45</v>
      </c>
      <c r="D128" t="str" cm="1">
        <f t="array" ref="D128">_xlfn.IFS(
   C128 &lt; 18, "Under 18",
   C128 &lt;= 24, "18-24",
   C128 &lt;= 34, "25-34",
   C128 &lt;= 44, "35-44",
   C128 &lt;= 54, "45-54",
   C128 &lt;= 64, "55-64",
   TRUE, "65+"
)</f>
        <v>45-54</v>
      </c>
      <c r="E128" s="1">
        <f>_xlfn.MINIFS(
   Sales_Performance[Date],
   Sales_Performance[Customer ID],
   A128
)</f>
        <v>44968</v>
      </c>
      <c r="F128" t="str">
        <f>IF(
   COUNTIF(Sales_Performance[Customer ID], A128) = 1,
   "One-Time Customer",
   "Repeat Customer"
)</f>
        <v>Repeat Customer</v>
      </c>
    </row>
    <row r="129" spans="1:6" x14ac:dyDescent="0.35">
      <c r="A129" t="s">
        <v>340</v>
      </c>
      <c r="B129" t="str">
        <f>VLOOKUP(A129,Sales_Performance[[Customer ID]:[Total Amount]],2,0)</f>
        <v>Female</v>
      </c>
      <c r="C129">
        <f>_xlfn.XLOOKUP(A129,Sales_Performance[Customer ID],Sales_Performance[Age],0)</f>
        <v>39</v>
      </c>
      <c r="D129" t="str" cm="1">
        <f t="array" ref="D129">_xlfn.IFS(
   C129 &lt; 18, "Under 18",
   C129 &lt;= 24, "18-24",
   C129 &lt;= 34, "25-34",
   C129 &lt;= 44, "35-44",
   C129 &lt;= 54, "45-54",
   C129 &lt;= 64, "55-64",
   TRUE, "65+"
)</f>
        <v>35-44</v>
      </c>
      <c r="E129" s="1">
        <f>_xlfn.MINIFS(
   Sales_Performance[Date],
   Sales_Performance[Customer ID],
   A129
)</f>
        <v>45041</v>
      </c>
      <c r="F129" t="str">
        <f>IF(
   COUNTIF(Sales_Performance[Customer ID], A129) = 1,
   "One-Time Customer",
   "Repeat Customer"
)</f>
        <v>Repeat Customer</v>
      </c>
    </row>
    <row r="130" spans="1:6" x14ac:dyDescent="0.35">
      <c r="A130" t="s">
        <v>275</v>
      </c>
      <c r="B130" t="str">
        <f>VLOOKUP(A130,Sales_Performance[[Customer ID]:[Total Amount]],2,0)</f>
        <v>Male</v>
      </c>
      <c r="C130">
        <f>_xlfn.XLOOKUP(A130,Sales_Performance[Customer ID],Sales_Performance[Age],0)</f>
        <v>22</v>
      </c>
      <c r="D130" t="str" cm="1">
        <f t="array" ref="D130">_xlfn.IFS(
   C130 &lt; 18, "Under 18",
   C130 &lt;= 24, "18-24",
   C130 &lt;= 34, "25-34",
   C130 &lt;= 44, "35-44",
   C130 &lt;= 54, "45-54",
   C130 &lt;= 64, "55-64",
   TRUE, "65+"
)</f>
        <v>18-24</v>
      </c>
      <c r="E130" s="1">
        <f>_xlfn.MINIFS(
   Sales_Performance[Date],
   Sales_Performance[Customer ID],
   A130
)</f>
        <v>44956</v>
      </c>
      <c r="F130" t="str">
        <f>IF(
   COUNTIF(Sales_Performance[Customer ID], A130) = 1,
   "One-Time Customer",
   "Repeat Customer"
)</f>
        <v>One-Time Customer</v>
      </c>
    </row>
    <row r="131" spans="1:6" x14ac:dyDescent="0.35">
      <c r="A131" t="s">
        <v>957</v>
      </c>
      <c r="B131" t="str">
        <f>VLOOKUP(A131,Sales_Performance[[Customer ID]:[Total Amount]],2,0)</f>
        <v>Female</v>
      </c>
      <c r="C131">
        <f>_xlfn.XLOOKUP(A131,Sales_Performance[Customer ID],Sales_Performance[Age],0)</f>
        <v>41</v>
      </c>
      <c r="D131" t="str" cm="1">
        <f t="array" ref="D131">_xlfn.IFS(
   C131 &lt; 18, "Under 18",
   C131 &lt;= 24, "18-24",
   C131 &lt;= 34, "25-34",
   C131 &lt;= 44, "35-44",
   C131 &lt;= 54, "45-54",
   C131 &lt;= 64, "55-64",
   TRUE, "65+"
)</f>
        <v>35-44</v>
      </c>
      <c r="E131" s="1">
        <f>_xlfn.MINIFS(
   Sales_Performance[Date],
   Sales_Performance[Customer ID],
   A131
)</f>
        <v>45207</v>
      </c>
      <c r="F131" t="str">
        <f>IF(
   COUNTIF(Sales_Performance[Customer ID], A131) = 1,
   "One-Time Customer",
   "Repeat Customer"
)</f>
        <v>One-Time Customer</v>
      </c>
    </row>
    <row r="132" spans="1:6" x14ac:dyDescent="0.35">
      <c r="A132" t="s">
        <v>1366</v>
      </c>
      <c r="B132" t="str">
        <f>VLOOKUP(A132,Sales_Performance[[Customer ID]:[Total Amount]],2,0)</f>
        <v>Female</v>
      </c>
      <c r="C132">
        <f>_xlfn.XLOOKUP(A132,Sales_Performance[Customer ID],Sales_Performance[Age],0)</f>
        <v>56</v>
      </c>
      <c r="D132" t="str" cm="1">
        <f t="array" ref="D132">_xlfn.IFS(
   C132 &lt; 18, "Under 18",
   C132 &lt;= 24, "18-24",
   C132 &lt;= 34, "25-34",
   C132 &lt;= 44, "35-44",
   C132 &lt;= 54, "45-54",
   C132 &lt;= 64, "55-64",
   TRUE, "65+"
)</f>
        <v>55-64</v>
      </c>
      <c r="E132" s="1">
        <f>_xlfn.MINIFS(
   Sales_Performance[Date],
   Sales_Performance[Customer ID],
   A132
)</f>
        <v>44979</v>
      </c>
      <c r="F132" t="str">
        <f>IF(
   COUNTIF(Sales_Performance[Customer ID], A132) = 1,
   "One-Time Customer",
   "Repeat Customer"
)</f>
        <v>Repeat Customer</v>
      </c>
    </row>
    <row r="133" spans="1:6" x14ac:dyDescent="0.35">
      <c r="A133" t="s">
        <v>1316</v>
      </c>
      <c r="B133" t="str">
        <f>VLOOKUP(A133,Sales_Performance[[Customer ID]:[Total Amount]],2,0)</f>
        <v>Female</v>
      </c>
      <c r="C133">
        <f>_xlfn.XLOOKUP(A133,Sales_Performance[Customer ID],Sales_Performance[Age],0)</f>
        <v>28</v>
      </c>
      <c r="D133" t="str" cm="1">
        <f t="array" ref="D133">_xlfn.IFS(
   C133 &lt; 18, "Under 18",
   C133 &lt;= 24, "18-24",
   C133 &lt;= 34, "25-34",
   C133 &lt;= 44, "35-44",
   C133 &lt;= 54, "45-54",
   C133 &lt;= 64, "55-64",
   TRUE, "65+"
)</f>
        <v>25-34</v>
      </c>
      <c r="E133" s="1">
        <f>_xlfn.MINIFS(
   Sales_Performance[Date],
   Sales_Performance[Customer ID],
   A133
)</f>
        <v>44958</v>
      </c>
      <c r="F133" t="str">
        <f>IF(
   COUNTIF(Sales_Performance[Customer ID], A133) = 1,
   "One-Time Customer",
   "Repeat Customer"
)</f>
        <v>Repeat Customer</v>
      </c>
    </row>
    <row r="134" spans="1:6" x14ac:dyDescent="0.35">
      <c r="A134" t="s">
        <v>521</v>
      </c>
      <c r="B134" t="str">
        <f>VLOOKUP(A134,Sales_Performance[[Customer ID]:[Total Amount]],2,0)</f>
        <v>Female</v>
      </c>
      <c r="C134">
        <f>_xlfn.XLOOKUP(A134,Sales_Performance[Customer ID],Sales_Performance[Age],0)</f>
        <v>43</v>
      </c>
      <c r="D134" t="str" cm="1">
        <f t="array" ref="D134">_xlfn.IFS(
   C134 &lt; 18, "Under 18",
   C134 &lt;= 24, "18-24",
   C134 &lt;= 34, "25-34",
   C134 &lt;= 44, "35-44",
   C134 &lt;= 54, "45-54",
   C134 &lt;= 64, "55-64",
   TRUE, "65+"
)</f>
        <v>35-44</v>
      </c>
      <c r="E134" s="1">
        <f>_xlfn.MINIFS(
   Sales_Performance[Date],
   Sales_Performance[Customer ID],
   A134
)</f>
        <v>44979</v>
      </c>
      <c r="F134" t="str">
        <f>IF(
   COUNTIF(Sales_Performance[Customer ID], A134) = 1,
   "One-Time Customer",
   "Repeat Customer"
)</f>
        <v>Repeat Customer</v>
      </c>
    </row>
    <row r="135" spans="1:6" x14ac:dyDescent="0.35">
      <c r="A135" t="s">
        <v>794</v>
      </c>
      <c r="B135" t="str">
        <f>VLOOKUP(A135,Sales_Performance[[Customer ID]:[Total Amount]],2,0)</f>
        <v>Male</v>
      </c>
      <c r="C135">
        <f>_xlfn.XLOOKUP(A135,Sales_Performance[Customer ID],Sales_Performance[Age],0)</f>
        <v>30</v>
      </c>
      <c r="D135" t="str" cm="1">
        <f t="array" ref="D135">_xlfn.IFS(
   C135 &lt; 18, "Under 18",
   C135 &lt;= 24, "18-24",
   C135 &lt;= 34, "25-34",
   C135 &lt;= 44, "35-44",
   C135 &lt;= 54, "45-54",
   C135 &lt;= 64, "55-64",
   TRUE, "65+"
)</f>
        <v>25-34</v>
      </c>
      <c r="E135" s="1">
        <f>_xlfn.MINIFS(
   Sales_Performance[Date],
   Sales_Performance[Customer ID],
   A135
)</f>
        <v>45222</v>
      </c>
      <c r="F135" t="str">
        <f>IF(
   COUNTIF(Sales_Performance[Customer ID], A135) = 1,
   "One-Time Customer",
   "Repeat Customer"
)</f>
        <v>One-Time Customer</v>
      </c>
    </row>
    <row r="136" spans="1:6" x14ac:dyDescent="0.35">
      <c r="A136" t="s">
        <v>294</v>
      </c>
      <c r="B136" t="str">
        <f>VLOOKUP(A136,Sales_Performance[[Customer ID]:[Total Amount]],2,0)</f>
        <v>Male</v>
      </c>
      <c r="C136">
        <f>_xlfn.XLOOKUP(A136,Sales_Performance[Customer ID],Sales_Performance[Age],0)</f>
        <v>50</v>
      </c>
      <c r="D136" t="str" cm="1">
        <f t="array" ref="D136">_xlfn.IFS(
   C136 &lt; 18, "Under 18",
   C136 &lt;= 24, "18-24",
   C136 &lt;= 34, "25-34",
   C136 &lt;= 44, "35-44",
   C136 &lt;= 54, "45-54",
   C136 &lt;= 64, "55-64",
   TRUE, "65+"
)</f>
        <v>45-54</v>
      </c>
      <c r="E136" s="1">
        <f>_xlfn.MINIFS(
   Sales_Performance[Date],
   Sales_Performance[Customer ID],
   A136
)</f>
        <v>45005</v>
      </c>
      <c r="F136" t="str">
        <f>IF(
   COUNTIF(Sales_Performance[Customer ID], A136) = 1,
   "One-Time Customer",
   "Repeat Customer"
)</f>
        <v>Repeat Customer</v>
      </c>
    </row>
    <row r="137" spans="1:6" x14ac:dyDescent="0.35">
      <c r="A137" t="s">
        <v>886</v>
      </c>
      <c r="B137" t="str">
        <f>VLOOKUP(A137,Sales_Performance[[Customer ID]:[Total Amount]],2,0)</f>
        <v>Female</v>
      </c>
      <c r="C137">
        <f>_xlfn.XLOOKUP(A137,Sales_Performance[Customer ID],Sales_Performance[Age],0)</f>
        <v>48</v>
      </c>
      <c r="D137" t="str" cm="1">
        <f t="array" ref="D137">_xlfn.IFS(
   C137 &lt; 18, "Under 18",
   C137 &lt;= 24, "18-24",
   C137 &lt;= 34, "25-34",
   C137 &lt;= 44, "35-44",
   C137 &lt;= 54, "45-54",
   C137 &lt;= 64, "55-64",
   TRUE, "65+"
)</f>
        <v>45-54</v>
      </c>
      <c r="E137" s="1">
        <f>_xlfn.MINIFS(
   Sales_Performance[Date],
   Sales_Performance[Customer ID],
   A137
)</f>
        <v>44995</v>
      </c>
      <c r="F137" t="str">
        <f>IF(
   COUNTIF(Sales_Performance[Customer ID], A137) = 1,
   "One-Time Customer",
   "Repeat Customer"
)</f>
        <v>Repeat Customer</v>
      </c>
    </row>
    <row r="138" spans="1:6" x14ac:dyDescent="0.35">
      <c r="A138" t="s">
        <v>946</v>
      </c>
      <c r="B138" t="str">
        <f>VLOOKUP(A138,Sales_Performance[[Customer ID]:[Total Amount]],2,0)</f>
        <v>Female</v>
      </c>
      <c r="C138">
        <f>_xlfn.XLOOKUP(A138,Sales_Performance[Customer ID],Sales_Performance[Age],0)</f>
        <v>43</v>
      </c>
      <c r="D138" t="str" cm="1">
        <f t="array" ref="D138">_xlfn.IFS(
   C138 &lt; 18, "Under 18",
   C138 &lt;= 24, "18-24",
   C138 &lt;= 34, "25-34",
   C138 &lt;= 44, "35-44",
   C138 &lt;= 54, "45-54",
   C138 &lt;= 64, "55-64",
   TRUE, "65+"
)</f>
        <v>35-44</v>
      </c>
      <c r="E138" s="1">
        <f>_xlfn.MINIFS(
   Sales_Performance[Date],
   Sales_Performance[Customer ID],
   A138
)</f>
        <v>44977</v>
      </c>
      <c r="F138" t="str">
        <f>IF(
   COUNTIF(Sales_Performance[Customer ID], A138) = 1,
   "One-Time Customer",
   "Repeat Customer"
)</f>
        <v>Repeat Customer</v>
      </c>
    </row>
    <row r="139" spans="1:6" x14ac:dyDescent="0.35">
      <c r="A139" t="s">
        <v>1433</v>
      </c>
      <c r="B139" t="str">
        <f>VLOOKUP(A139,Sales_Performance[[Customer ID]:[Total Amount]],2,0)</f>
        <v>Male</v>
      </c>
      <c r="C139">
        <f>_xlfn.XLOOKUP(A139,Sales_Performance[Customer ID],Sales_Performance[Age],0)</f>
        <v>20</v>
      </c>
      <c r="D139" t="str" cm="1">
        <f t="array" ref="D139">_xlfn.IFS(
   C139 &lt; 18, "Under 18",
   C139 &lt;= 24, "18-24",
   C139 &lt;= 34, "25-34",
   C139 &lt;= 44, "35-44",
   C139 &lt;= 54, "45-54",
   C139 &lt;= 64, "55-64",
   TRUE, "65+"
)</f>
        <v>18-24</v>
      </c>
      <c r="E139" s="1">
        <f>_xlfn.MINIFS(
   Sales_Performance[Date],
   Sales_Performance[Customer ID],
   A139
)</f>
        <v>44974</v>
      </c>
      <c r="F139" t="str">
        <f>IF(
   COUNTIF(Sales_Performance[Customer ID], A139) = 1,
   "One-Time Customer",
   "Repeat Customer"
)</f>
        <v>Repeat Customer</v>
      </c>
    </row>
    <row r="140" spans="1:6" x14ac:dyDescent="0.35">
      <c r="A140" t="s">
        <v>194</v>
      </c>
      <c r="B140" t="str">
        <f>VLOOKUP(A140,Sales_Performance[[Customer ID]:[Total Amount]],2,0)</f>
        <v>Female</v>
      </c>
      <c r="C140">
        <f>_xlfn.XLOOKUP(A140,Sales_Performance[Customer ID],Sales_Performance[Age],0)</f>
        <v>52</v>
      </c>
      <c r="D140" t="str" cm="1">
        <f t="array" ref="D140">_xlfn.IFS(
   C140 &lt; 18, "Under 18",
   C140 &lt;= 24, "18-24",
   C140 &lt;= 34, "25-34",
   C140 &lt;= 44, "35-44",
   C140 &lt;= 54, "45-54",
   C140 &lt;= 64, "55-64",
   TRUE, "65+"
)</f>
        <v>45-54</v>
      </c>
      <c r="E140" s="1">
        <f>_xlfn.MINIFS(
   Sales_Performance[Date],
   Sales_Performance[Customer ID],
   A140
)</f>
        <v>45254</v>
      </c>
      <c r="F140" t="str">
        <f>IF(
   COUNTIF(Sales_Performance[Customer ID], A140) = 1,
   "One-Time Customer",
   "Repeat Customer"
)</f>
        <v>Repeat Customer</v>
      </c>
    </row>
    <row r="141" spans="1:6" x14ac:dyDescent="0.35">
      <c r="A141" t="s">
        <v>990</v>
      </c>
      <c r="B141" t="str">
        <f>VLOOKUP(A141,Sales_Performance[[Customer ID]:[Total Amount]],2,0)</f>
        <v>Female</v>
      </c>
      <c r="C141">
        <f>_xlfn.XLOOKUP(A141,Sales_Performance[Customer ID],Sales_Performance[Age],0)</f>
        <v>64</v>
      </c>
      <c r="D141" t="str" cm="1">
        <f t="array" ref="D141">_xlfn.IFS(
   C141 &lt; 18, "Under 18",
   C141 &lt;= 24, "18-24",
   C141 &lt;= 34, "25-34",
   C141 &lt;= 44, "35-44",
   C141 &lt;= 54, "45-54",
   C141 &lt;= 64, "55-64",
   TRUE, "65+"
)</f>
        <v>55-64</v>
      </c>
      <c r="E141" s="1">
        <f>_xlfn.MINIFS(
   Sales_Performance[Date],
   Sales_Performance[Customer ID],
   A141
)</f>
        <v>44959</v>
      </c>
      <c r="F141" t="str">
        <f>IF(
   COUNTIF(Sales_Performance[Customer ID], A141) = 1,
   "One-Time Customer",
   "Repeat Customer"
)</f>
        <v>Repeat Customer</v>
      </c>
    </row>
    <row r="142" spans="1:6" x14ac:dyDescent="0.35">
      <c r="A142" t="s">
        <v>170</v>
      </c>
      <c r="B142" t="str">
        <f>VLOOKUP(A142,Sales_Performance[[Customer ID]:[Total Amount]],2,0)</f>
        <v>Male</v>
      </c>
      <c r="C142">
        <f>_xlfn.XLOOKUP(A142,Sales_Performance[Customer ID],Sales_Performance[Age],0)</f>
        <v>38</v>
      </c>
      <c r="D142" t="str" cm="1">
        <f t="array" ref="D142">_xlfn.IFS(
   C142 &lt; 18, "Under 18",
   C142 &lt;= 24, "18-24",
   C142 &lt;= 34, "25-34",
   C142 &lt;= 44, "35-44",
   C142 &lt;= 54, "45-54",
   C142 &lt;= 64, "55-64",
   TRUE, "65+"
)</f>
        <v>35-44</v>
      </c>
      <c r="E142" s="1">
        <f>_xlfn.MINIFS(
   Sales_Performance[Date],
   Sales_Performance[Customer ID],
   A142
)</f>
        <v>45047</v>
      </c>
      <c r="F142" t="str">
        <f>IF(
   COUNTIF(Sales_Performance[Customer ID], A142) = 1,
   "One-Time Customer",
   "Repeat Customer"
)</f>
        <v>One-Time Customer</v>
      </c>
    </row>
    <row r="143" spans="1:6" x14ac:dyDescent="0.35">
      <c r="A143" t="s">
        <v>642</v>
      </c>
      <c r="B143" t="str">
        <f>VLOOKUP(A143,Sales_Performance[[Customer ID]:[Total Amount]],2,0)</f>
        <v>Male</v>
      </c>
      <c r="C143">
        <f>_xlfn.XLOOKUP(A143,Sales_Performance[Customer ID],Sales_Performance[Age],0)</f>
        <v>27</v>
      </c>
      <c r="D143" t="str" cm="1">
        <f t="array" ref="D143">_xlfn.IFS(
   C143 &lt; 18, "Under 18",
   C143 &lt;= 24, "18-24",
   C143 &lt;= 34, "25-34",
   C143 &lt;= 44, "35-44",
   C143 &lt;= 54, "45-54",
   C143 &lt;= 64, "55-64",
   TRUE, "65+"
)</f>
        <v>25-34</v>
      </c>
      <c r="E143" s="1">
        <f>_xlfn.MINIFS(
   Sales_Performance[Date],
   Sales_Performance[Customer ID],
   A143
)</f>
        <v>45088</v>
      </c>
      <c r="F143" t="str">
        <f>IF(
   COUNTIF(Sales_Performance[Customer ID], A143) = 1,
   "One-Time Customer",
   "Repeat Customer"
)</f>
        <v>Repeat Customer</v>
      </c>
    </row>
    <row r="144" spans="1:6" x14ac:dyDescent="0.35">
      <c r="A144" t="s">
        <v>420</v>
      </c>
      <c r="B144" t="str">
        <f>VLOOKUP(A144,Sales_Performance[[Customer ID]:[Total Amount]],2,0)</f>
        <v>Female</v>
      </c>
      <c r="C144">
        <f>_xlfn.XLOOKUP(A144,Sales_Performance[Customer ID],Sales_Performance[Age],0)</f>
        <v>42</v>
      </c>
      <c r="D144" t="str" cm="1">
        <f t="array" ref="D144">_xlfn.IFS(
   C144 &lt; 18, "Under 18",
   C144 &lt;= 24, "18-24",
   C144 &lt;= 34, "25-34",
   C144 &lt;= 44, "35-44",
   C144 &lt;= 54, "45-54",
   C144 &lt;= 64, "55-64",
   TRUE, "65+"
)</f>
        <v>35-44</v>
      </c>
      <c r="E144" s="1">
        <f>_xlfn.MINIFS(
   Sales_Performance[Date],
   Sales_Performance[Customer ID],
   A144
)</f>
        <v>45035</v>
      </c>
      <c r="F144" t="str">
        <f>IF(
   COUNTIF(Sales_Performance[Customer ID], A144) = 1,
   "One-Time Customer",
   "Repeat Customer"
)</f>
        <v>Repeat Customer</v>
      </c>
    </row>
    <row r="145" spans="1:6" x14ac:dyDescent="0.35">
      <c r="A145" t="s">
        <v>1143</v>
      </c>
      <c r="B145" t="str">
        <f>VLOOKUP(A145,Sales_Performance[[Customer ID]:[Total Amount]],2,0)</f>
        <v>Male</v>
      </c>
      <c r="C145">
        <f>_xlfn.XLOOKUP(A145,Sales_Performance[Customer ID],Sales_Performance[Age],0)</f>
        <v>51</v>
      </c>
      <c r="D145" t="str" cm="1">
        <f t="array" ref="D145">_xlfn.IFS(
   C145 &lt; 18, "Under 18",
   C145 &lt;= 24, "18-24",
   C145 &lt;= 34, "25-34",
   C145 &lt;= 44, "35-44",
   C145 &lt;= 54, "45-54",
   C145 &lt;= 64, "55-64",
   TRUE, "65+"
)</f>
        <v>45-54</v>
      </c>
      <c r="E145" s="1">
        <f>_xlfn.MINIFS(
   Sales_Performance[Date],
   Sales_Performance[Customer ID],
   A145
)</f>
        <v>44956</v>
      </c>
      <c r="F145" t="str">
        <f>IF(
   COUNTIF(Sales_Performance[Customer ID], A145) = 1,
   "One-Time Customer",
   "Repeat Customer"
)</f>
        <v>Repeat Customer</v>
      </c>
    </row>
    <row r="146" spans="1:6" x14ac:dyDescent="0.35">
      <c r="A146" t="s">
        <v>1124</v>
      </c>
      <c r="B146" t="str">
        <f>VLOOKUP(A146,Sales_Performance[[Customer ID]:[Total Amount]],2,0)</f>
        <v>Female</v>
      </c>
      <c r="C146">
        <f>_xlfn.XLOOKUP(A146,Sales_Performance[Customer ID],Sales_Performance[Age],0)</f>
        <v>43</v>
      </c>
      <c r="D146" t="str" cm="1">
        <f t="array" ref="D146">_xlfn.IFS(
   C146 &lt; 18, "Under 18",
   C146 &lt;= 24, "18-24",
   C146 &lt;= 34, "25-34",
   C146 &lt;= 44, "35-44",
   C146 &lt;= 54, "45-54",
   C146 &lt;= 64, "55-64",
   TRUE, "65+"
)</f>
        <v>35-44</v>
      </c>
      <c r="E146" s="1">
        <f>_xlfn.MINIFS(
   Sales_Performance[Date],
   Sales_Performance[Customer ID],
   A146
)</f>
        <v>45237</v>
      </c>
      <c r="F146" t="str">
        <f>IF(
   COUNTIF(Sales_Performance[Customer ID], A146) = 1,
   "One-Time Customer",
   "Repeat Customer"
)</f>
        <v>Repeat Customer</v>
      </c>
    </row>
    <row r="147" spans="1:6" x14ac:dyDescent="0.35">
      <c r="A147" t="s">
        <v>821</v>
      </c>
      <c r="B147" t="str">
        <f>VLOOKUP(A147,Sales_Performance[[Customer ID]:[Total Amount]],2,0)</f>
        <v>Male</v>
      </c>
      <c r="C147">
        <f>_xlfn.XLOOKUP(A147,Sales_Performance[Customer ID],Sales_Performance[Age],0)</f>
        <v>24</v>
      </c>
      <c r="D147" t="str" cm="1">
        <f t="array" ref="D147">_xlfn.IFS(
   C147 &lt; 18, "Under 18",
   C147 &lt;= 24, "18-24",
   C147 &lt;= 34, "25-34",
   C147 &lt;= 44, "35-44",
   C147 &lt;= 54, "45-54",
   C147 &lt;= 64, "55-64",
   TRUE, "65+"
)</f>
        <v>18-24</v>
      </c>
      <c r="E147" s="1">
        <f>_xlfn.MINIFS(
   Sales_Performance[Date],
   Sales_Performance[Customer ID],
   A147
)</f>
        <v>45051</v>
      </c>
      <c r="F147" t="str">
        <f>IF(
   COUNTIF(Sales_Performance[Customer ID], A147) = 1,
   "One-Time Customer",
   "Repeat Customer"
)</f>
        <v>One-Time Customer</v>
      </c>
    </row>
    <row r="148" spans="1:6" x14ac:dyDescent="0.35">
      <c r="A148" t="s">
        <v>13</v>
      </c>
      <c r="B148" t="str">
        <f>VLOOKUP(A148,Sales_Performance[[Customer ID]:[Total Amount]],2,0)</f>
        <v>Male</v>
      </c>
      <c r="C148">
        <f>_xlfn.XLOOKUP(A148,Sales_Performance[Customer ID],Sales_Performance[Age],0)</f>
        <v>38</v>
      </c>
      <c r="D148" t="str" cm="1">
        <f t="array" ref="D148">_xlfn.IFS(
   C148 &lt; 18, "Under 18",
   C148 &lt;= 24, "18-24",
   C148 &lt;= 34, "25-34",
   C148 &lt;= 44, "35-44",
   C148 &lt;= 54, "45-54",
   C148 &lt;= 64, "55-64",
   TRUE, "65+"
)</f>
        <v>35-44</v>
      </c>
      <c r="E148" s="1">
        <f>_xlfn.MINIFS(
   Sales_Performance[Date],
   Sales_Performance[Customer ID],
   A148
)</f>
        <v>44948</v>
      </c>
      <c r="F148" t="str">
        <f>IF(
   COUNTIF(Sales_Performance[Customer ID], A148) = 1,
   "One-Time Customer",
   "Repeat Customer"
)</f>
        <v>Repeat Customer</v>
      </c>
    </row>
    <row r="149" spans="1:6" x14ac:dyDescent="0.35">
      <c r="A149" t="s">
        <v>399</v>
      </c>
      <c r="B149" t="str">
        <f>VLOOKUP(A149,Sales_Performance[[Customer ID]:[Total Amount]],2,0)</f>
        <v>Male</v>
      </c>
      <c r="C149">
        <f>_xlfn.XLOOKUP(A149,Sales_Performance[Customer ID],Sales_Performance[Age],0)</f>
        <v>21</v>
      </c>
      <c r="D149" t="str" cm="1">
        <f t="array" ref="D149">_xlfn.IFS(
   C149 &lt; 18, "Under 18",
   C149 &lt;= 24, "18-24",
   C149 &lt;= 34, "25-34",
   C149 &lt;= 44, "35-44",
   C149 &lt;= 54, "45-54",
   C149 &lt;= 64, "55-64",
   TRUE, "65+"
)</f>
        <v>18-24</v>
      </c>
      <c r="E149" s="1">
        <f>_xlfn.MINIFS(
   Sales_Performance[Date],
   Sales_Performance[Customer ID],
   A149
)</f>
        <v>45084</v>
      </c>
      <c r="F149" t="str">
        <f>IF(
   COUNTIF(Sales_Performance[Customer ID], A149) = 1,
   "One-Time Customer",
   "Repeat Customer"
)</f>
        <v>Repeat Customer</v>
      </c>
    </row>
    <row r="150" spans="1:6" x14ac:dyDescent="0.35">
      <c r="A150" t="s">
        <v>264</v>
      </c>
      <c r="B150" t="str">
        <f>VLOOKUP(A150,Sales_Performance[[Customer ID]:[Total Amount]],2,0)</f>
        <v>Male</v>
      </c>
      <c r="C150">
        <f>_xlfn.XLOOKUP(A150,Sales_Performance[Customer ID],Sales_Performance[Age],0)</f>
        <v>63</v>
      </c>
      <c r="D150" t="str" cm="1">
        <f t="array" ref="D150">_xlfn.IFS(
   C150 &lt; 18, "Under 18",
   C150 &lt;= 24, "18-24",
   C150 &lt;= 34, "25-34",
   C150 &lt;= 44, "35-44",
   C150 &lt;= 54, "45-54",
   C150 &lt;= 64, "55-64",
   TRUE, "65+"
)</f>
        <v>55-64</v>
      </c>
      <c r="E150" s="1">
        <f>_xlfn.MINIFS(
   Sales_Performance[Date],
   Sales_Performance[Customer ID],
   A150
)</f>
        <v>45167</v>
      </c>
      <c r="F150" t="str">
        <f>IF(
   COUNTIF(Sales_Performance[Customer ID], A150) = 1,
   "One-Time Customer",
   "Repeat Customer"
)</f>
        <v>Repeat Customer</v>
      </c>
    </row>
    <row r="151" spans="1:6" x14ac:dyDescent="0.35">
      <c r="A151" t="s">
        <v>605</v>
      </c>
      <c r="B151" t="str">
        <f>VLOOKUP(A151,Sales_Performance[[Customer ID]:[Total Amount]],2,0)</f>
        <v>Female</v>
      </c>
      <c r="C151">
        <f>_xlfn.XLOOKUP(A151,Sales_Performance[Customer ID],Sales_Performance[Age],0)</f>
        <v>21</v>
      </c>
      <c r="D151" t="str" cm="1">
        <f t="array" ref="D151">_xlfn.IFS(
   C151 &lt; 18, "Under 18",
   C151 &lt;= 24, "18-24",
   C151 &lt;= 34, "25-34",
   C151 &lt;= 44, "35-44",
   C151 &lt;= 54, "45-54",
   C151 &lt;= 64, "55-64",
   TRUE, "65+"
)</f>
        <v>18-24</v>
      </c>
      <c r="E151" s="1">
        <f>_xlfn.MINIFS(
   Sales_Performance[Date],
   Sales_Performance[Customer ID],
   A151
)</f>
        <v>45039</v>
      </c>
      <c r="F151" t="str">
        <f>IF(
   COUNTIF(Sales_Performance[Customer ID], A151) = 1,
   "One-Time Customer",
   "Repeat Customer"
)</f>
        <v>Repeat Customer</v>
      </c>
    </row>
    <row r="152" spans="1:6" x14ac:dyDescent="0.35">
      <c r="A152" t="s">
        <v>869</v>
      </c>
      <c r="B152" t="str">
        <f>VLOOKUP(A152,Sales_Performance[[Customer ID]:[Total Amount]],2,0)</f>
        <v>Male</v>
      </c>
      <c r="C152">
        <f>_xlfn.XLOOKUP(A152,Sales_Performance[Customer ID],Sales_Performance[Age],0)</f>
        <v>23</v>
      </c>
      <c r="D152" t="str" cm="1">
        <f t="array" ref="D152">_xlfn.IFS(
   C152 &lt; 18, "Under 18",
   C152 &lt;= 24, "18-24",
   C152 &lt;= 34, "25-34",
   C152 &lt;= 44, "35-44",
   C152 &lt;= 54, "45-54",
   C152 &lt;= 64, "55-64",
   TRUE, "65+"
)</f>
        <v>18-24</v>
      </c>
      <c r="E152" s="1">
        <f>_xlfn.MINIFS(
   Sales_Performance[Date],
   Sales_Performance[Customer ID],
   A152
)</f>
        <v>45245</v>
      </c>
      <c r="F152" t="str">
        <f>IF(
   COUNTIF(Sales_Performance[Customer ID], A152) = 1,
   "One-Time Customer",
   "Repeat Customer"
)</f>
        <v>One-Time Customer</v>
      </c>
    </row>
    <row r="153" spans="1:6" x14ac:dyDescent="0.35">
      <c r="A153" t="s">
        <v>1400</v>
      </c>
      <c r="B153" t="str">
        <f>VLOOKUP(A153,Sales_Performance[[Customer ID]:[Total Amount]],2,0)</f>
        <v>Male</v>
      </c>
      <c r="C153">
        <f>_xlfn.XLOOKUP(A153,Sales_Performance[Customer ID],Sales_Performance[Age],0)</f>
        <v>18</v>
      </c>
      <c r="D153" t="str" cm="1">
        <f t="array" ref="D153">_xlfn.IFS(
   C153 &lt; 18, "Under 18",
   C153 &lt;= 24, "18-24",
   C153 &lt;= 34, "25-34",
   C153 &lt;= 44, "35-44",
   C153 &lt;= 54, "45-54",
   C153 &lt;= 64, "55-64",
   TRUE, "65+"
)</f>
        <v>18-24</v>
      </c>
      <c r="E153" s="1">
        <f>_xlfn.MINIFS(
   Sales_Performance[Date],
   Sales_Performance[Customer ID],
   A153
)</f>
        <v>45108</v>
      </c>
      <c r="F153" t="str">
        <f>IF(
   COUNTIF(Sales_Performance[Customer ID], A153) = 1,
   "One-Time Customer",
   "Repeat Customer"
)</f>
        <v>One-Time Customer</v>
      </c>
    </row>
    <row r="154" spans="1:6" x14ac:dyDescent="0.35">
      <c r="A154" t="s">
        <v>1456</v>
      </c>
      <c r="B154" t="str">
        <f>VLOOKUP(A154,Sales_Performance[[Customer ID]:[Total Amount]],2,0)</f>
        <v>Female</v>
      </c>
      <c r="C154">
        <f>_xlfn.XLOOKUP(A154,Sales_Performance[Customer ID],Sales_Performance[Age],0)</f>
        <v>64</v>
      </c>
      <c r="D154" t="str" cm="1">
        <f t="array" ref="D154">_xlfn.IFS(
   C154 &lt; 18, "Under 18",
   C154 &lt;= 24, "18-24",
   C154 &lt;= 34, "25-34",
   C154 &lt;= 44, "35-44",
   C154 &lt;= 54, "45-54",
   C154 &lt;= 64, "55-64",
   TRUE, "65+"
)</f>
        <v>55-64</v>
      </c>
      <c r="E154" s="1">
        <f>_xlfn.MINIFS(
   Sales_Performance[Date],
   Sales_Performance[Customer ID],
   A154
)</f>
        <v>45164</v>
      </c>
      <c r="F154" t="str">
        <f>IF(
   COUNTIF(Sales_Performance[Customer ID], A154) = 1,
   "One-Time Customer",
   "Repeat Customer"
)</f>
        <v>Repeat Customer</v>
      </c>
    </row>
    <row r="155" spans="1:6" x14ac:dyDescent="0.35">
      <c r="A155" t="s">
        <v>168</v>
      </c>
      <c r="B155" t="str">
        <f>VLOOKUP(A155,Sales_Performance[[Customer ID]:[Total Amount]],2,0)</f>
        <v>Female</v>
      </c>
      <c r="C155">
        <f>_xlfn.XLOOKUP(A155,Sales_Performance[Customer ID],Sales_Performance[Age],0)</f>
        <v>51</v>
      </c>
      <c r="D155" t="str" cm="1">
        <f t="array" ref="D155">_xlfn.IFS(
   C155 &lt; 18, "Under 18",
   C155 &lt;= 24, "18-24",
   C155 &lt;= 34, "25-34",
   C155 &lt;= 44, "35-44",
   C155 &lt;= 54, "45-54",
   C155 &lt;= 64, "55-64",
   TRUE, "65+"
)</f>
        <v>45-54</v>
      </c>
      <c r="E155" s="1">
        <f>_xlfn.MINIFS(
   Sales_Performance[Date],
   Sales_Performance[Customer ID],
   A155
)</f>
        <v>45144</v>
      </c>
      <c r="F155" t="str">
        <f>IF(
   COUNTIF(Sales_Performance[Customer ID], A155) = 1,
   "One-Time Customer",
   "Repeat Customer"
)</f>
        <v>Repeat Customer</v>
      </c>
    </row>
    <row r="156" spans="1:6" x14ac:dyDescent="0.35">
      <c r="A156" t="s">
        <v>756</v>
      </c>
      <c r="B156" t="str">
        <f>VLOOKUP(A156,Sales_Performance[[Customer ID]:[Total Amount]],2,0)</f>
        <v>Male</v>
      </c>
      <c r="C156">
        <f>_xlfn.XLOOKUP(A156,Sales_Performance[Customer ID],Sales_Performance[Age],0)</f>
        <v>56</v>
      </c>
      <c r="D156" t="str" cm="1">
        <f t="array" ref="D156">_xlfn.IFS(
   C156 &lt; 18, "Under 18",
   C156 &lt;= 24, "18-24",
   C156 &lt;= 34, "25-34",
   C156 &lt;= 44, "35-44",
   C156 &lt;= 54, "45-54",
   C156 &lt;= 64, "55-64",
   TRUE, "65+"
)</f>
        <v>55-64</v>
      </c>
      <c r="E156" s="1">
        <f>_xlfn.MINIFS(
   Sales_Performance[Date],
   Sales_Performance[Customer ID],
   A156
)</f>
        <v>45136</v>
      </c>
      <c r="F156" t="str">
        <f>IF(
   COUNTIF(Sales_Performance[Customer ID], A156) = 1,
   "One-Time Customer",
   "Repeat Customer"
)</f>
        <v>One-Time Customer</v>
      </c>
    </row>
    <row r="157" spans="1:6" x14ac:dyDescent="0.35">
      <c r="A157" t="s">
        <v>682</v>
      </c>
      <c r="B157" t="str">
        <f>VLOOKUP(A157,Sales_Performance[[Customer ID]:[Total Amount]],2,0)</f>
        <v>Female</v>
      </c>
      <c r="C157">
        <f>_xlfn.XLOOKUP(A157,Sales_Performance[Customer ID],Sales_Performance[Age],0)</f>
        <v>64</v>
      </c>
      <c r="D157" t="str" cm="1">
        <f t="array" ref="D157">_xlfn.IFS(
   C157 &lt; 18, "Under 18",
   C157 &lt;= 24, "18-24",
   C157 &lt;= 34, "25-34",
   C157 &lt;= 44, "35-44",
   C157 &lt;= 54, "45-54",
   C157 &lt;= 64, "55-64",
   TRUE, "65+"
)</f>
        <v>55-64</v>
      </c>
      <c r="E157" s="1">
        <f>_xlfn.MINIFS(
   Sales_Performance[Date],
   Sales_Performance[Customer ID],
   A157
)</f>
        <v>45031</v>
      </c>
      <c r="F157" t="str">
        <f>IF(
   COUNTIF(Sales_Performance[Customer ID], A157) = 1,
   "One-Time Customer",
   "Repeat Customer"
)</f>
        <v>One-Time Customer</v>
      </c>
    </row>
    <row r="158" spans="1:6" x14ac:dyDescent="0.35">
      <c r="A158" t="s">
        <v>1157</v>
      </c>
      <c r="B158" t="str">
        <f>VLOOKUP(A158,Sales_Performance[[Customer ID]:[Total Amount]],2,0)</f>
        <v>Male</v>
      </c>
      <c r="C158">
        <f>_xlfn.XLOOKUP(A158,Sales_Performance[Customer ID],Sales_Performance[Age],0)</f>
        <v>30</v>
      </c>
      <c r="D158" t="str" cm="1">
        <f t="array" ref="D158">_xlfn.IFS(
   C158 &lt; 18, "Under 18",
   C158 &lt;= 24, "18-24",
   C158 &lt;= 34, "25-34",
   C158 &lt;= 44, "35-44",
   C158 &lt;= 54, "45-54",
   C158 &lt;= 64, "55-64",
   TRUE, "65+"
)</f>
        <v>25-34</v>
      </c>
      <c r="E158" s="1">
        <f>_xlfn.MINIFS(
   Sales_Performance[Date],
   Sales_Performance[Customer ID],
   A158
)</f>
        <v>45064</v>
      </c>
      <c r="F158" t="str">
        <f>IF(
   COUNTIF(Sales_Performance[Customer ID], A158) = 1,
   "One-Time Customer",
   "Repeat Customer"
)</f>
        <v>One-Time Customer</v>
      </c>
    </row>
    <row r="159" spans="1:6" x14ac:dyDescent="0.35">
      <c r="A159" t="s">
        <v>1041</v>
      </c>
      <c r="B159" t="str">
        <f>VLOOKUP(A159,Sales_Performance[[Customer ID]:[Total Amount]],2,0)</f>
        <v>Male</v>
      </c>
      <c r="C159">
        <f>_xlfn.XLOOKUP(A159,Sales_Performance[Customer ID],Sales_Performance[Age],0)</f>
        <v>54</v>
      </c>
      <c r="D159" t="str" cm="1">
        <f t="array" ref="D159">_xlfn.IFS(
   C159 &lt; 18, "Under 18",
   C159 &lt;= 24, "18-24",
   C159 &lt;= 34, "25-34",
   C159 &lt;= 44, "35-44",
   C159 &lt;= 54, "45-54",
   C159 &lt;= 64, "55-64",
   TRUE, "65+"
)</f>
        <v>45-54</v>
      </c>
      <c r="E159" s="1">
        <f>_xlfn.MINIFS(
   Sales_Performance[Date],
   Sales_Performance[Customer ID],
   A159
)</f>
        <v>44962</v>
      </c>
      <c r="F159" t="str">
        <f>IF(
   COUNTIF(Sales_Performance[Customer ID], A159) = 1,
   "One-Time Customer",
   "Repeat Customer"
)</f>
        <v>One-Time Customer</v>
      </c>
    </row>
    <row r="160" spans="1:6" x14ac:dyDescent="0.35">
      <c r="A160" t="s">
        <v>353</v>
      </c>
      <c r="B160" t="str">
        <f>VLOOKUP(A160,Sales_Performance[[Customer ID]:[Total Amount]],2,0)</f>
        <v>Male</v>
      </c>
      <c r="C160">
        <f>_xlfn.XLOOKUP(A160,Sales_Performance[Customer ID],Sales_Performance[Age],0)</f>
        <v>24</v>
      </c>
      <c r="D160" t="str" cm="1">
        <f t="array" ref="D160">_xlfn.IFS(
   C160 &lt; 18, "Under 18",
   C160 &lt;= 24, "18-24",
   C160 &lt;= 34, "25-34",
   C160 &lt;= 44, "35-44",
   C160 &lt;= 54, "45-54",
   C160 &lt;= 64, "55-64",
   TRUE, "65+"
)</f>
        <v>18-24</v>
      </c>
      <c r="E160" s="1">
        <f>_xlfn.MINIFS(
   Sales_Performance[Date],
   Sales_Performance[Customer ID],
   A160
)</f>
        <v>45016</v>
      </c>
      <c r="F160" t="str">
        <f>IF(
   COUNTIF(Sales_Performance[Customer ID], A160) = 1,
   "One-Time Customer",
   "Repeat Customer"
)</f>
        <v>One-Time Customer</v>
      </c>
    </row>
    <row r="161" spans="1:6" x14ac:dyDescent="0.35">
      <c r="A161" t="s">
        <v>300</v>
      </c>
      <c r="B161" t="str">
        <f>VLOOKUP(A161,Sales_Performance[[Customer ID]:[Total Amount]],2,0)</f>
        <v>Female</v>
      </c>
      <c r="C161">
        <f>_xlfn.XLOOKUP(A161,Sales_Performance[Customer ID],Sales_Performance[Age],0)</f>
        <v>22</v>
      </c>
      <c r="D161" t="str" cm="1">
        <f t="array" ref="D161">_xlfn.IFS(
   C161 &lt; 18, "Under 18",
   C161 &lt;= 24, "18-24",
   C161 &lt;= 34, "25-34",
   C161 &lt;= 44, "35-44",
   C161 &lt;= 54, "45-54",
   C161 &lt;= 64, "55-64",
   TRUE, "65+"
)</f>
        <v>18-24</v>
      </c>
      <c r="E161" s="1">
        <f>_xlfn.MINIFS(
   Sales_Performance[Date],
   Sales_Performance[Customer ID],
   A161
)</f>
        <v>44964</v>
      </c>
      <c r="F161" t="str">
        <f>IF(
   COUNTIF(Sales_Performance[Customer ID], A161) = 1,
   "One-Time Customer",
   "Repeat Customer"
)</f>
        <v>Repeat Customer</v>
      </c>
    </row>
    <row r="162" spans="1:6" x14ac:dyDescent="0.35">
      <c r="A162" t="s">
        <v>1120</v>
      </c>
      <c r="B162" t="str">
        <f>VLOOKUP(A162,Sales_Performance[[Customer ID]:[Total Amount]],2,0)</f>
        <v>Female</v>
      </c>
      <c r="C162">
        <f>_xlfn.XLOOKUP(A162,Sales_Performance[Customer ID],Sales_Performance[Age],0)</f>
        <v>40</v>
      </c>
      <c r="D162" t="str" cm="1">
        <f t="array" ref="D162">_xlfn.IFS(
   C162 &lt; 18, "Under 18",
   C162 &lt;= 24, "18-24",
   C162 &lt;= 34, "25-34",
   C162 &lt;= 44, "35-44",
   C162 &lt;= 54, "45-54",
   C162 &lt;= 64, "55-64",
   TRUE, "65+"
)</f>
        <v>35-44</v>
      </c>
      <c r="E162" s="1">
        <f>_xlfn.MINIFS(
   Sales_Performance[Date],
   Sales_Performance[Customer ID],
   A162
)</f>
        <v>45085</v>
      </c>
      <c r="F162" t="str">
        <f>IF(
   COUNTIF(Sales_Performance[Customer ID], A162) = 1,
   "One-Time Customer",
   "Repeat Customer"
)</f>
        <v>One-Time Customer</v>
      </c>
    </row>
    <row r="163" spans="1:6" x14ac:dyDescent="0.35">
      <c r="A163" t="s">
        <v>1201</v>
      </c>
      <c r="B163" t="str">
        <f>VLOOKUP(A163,Sales_Performance[[Customer ID]:[Total Amount]],2,0)</f>
        <v>Female</v>
      </c>
      <c r="C163">
        <f>_xlfn.XLOOKUP(A163,Sales_Performance[Customer ID],Sales_Performance[Age],0)</f>
        <v>27</v>
      </c>
      <c r="D163" t="str" cm="1">
        <f t="array" ref="D163">_xlfn.IFS(
   C163 &lt; 18, "Under 18",
   C163 &lt;= 24, "18-24",
   C163 &lt;= 34, "25-34",
   C163 &lt;= 44, "35-44",
   C163 &lt;= 54, "45-54",
   C163 &lt;= 64, "55-64",
   TRUE, "65+"
)</f>
        <v>25-34</v>
      </c>
      <c r="E163" s="1">
        <f>_xlfn.MINIFS(
   Sales_Performance[Date],
   Sales_Performance[Customer ID],
   A163
)</f>
        <v>45265</v>
      </c>
      <c r="F163" t="str">
        <f>IF(
   COUNTIF(Sales_Performance[Customer ID], A163) = 1,
   "One-Time Customer",
   "Repeat Customer"
)</f>
        <v>One-Time Customer</v>
      </c>
    </row>
    <row r="164" spans="1:6" x14ac:dyDescent="0.35">
      <c r="A164" t="s">
        <v>865</v>
      </c>
      <c r="B164" t="str">
        <f>VLOOKUP(A164,Sales_Performance[[Customer ID]:[Total Amount]],2,0)</f>
        <v>Male</v>
      </c>
      <c r="C164">
        <f>_xlfn.XLOOKUP(A164,Sales_Performance[Customer ID],Sales_Performance[Age],0)</f>
        <v>20</v>
      </c>
      <c r="D164" t="str" cm="1">
        <f t="array" ref="D164">_xlfn.IFS(
   C164 &lt; 18, "Under 18",
   C164 &lt;= 24, "18-24",
   C164 &lt;= 34, "25-34",
   C164 &lt;= 44, "35-44",
   C164 &lt;= 54, "45-54",
   C164 &lt;= 64, "55-64",
   TRUE, "65+"
)</f>
        <v>18-24</v>
      </c>
      <c r="E164" s="1">
        <f>_xlfn.MINIFS(
   Sales_Performance[Date],
   Sales_Performance[Customer ID],
   A164
)</f>
        <v>44940</v>
      </c>
      <c r="F164" t="str">
        <f>IF(
   COUNTIF(Sales_Performance[Customer ID], A164) = 1,
   "One-Time Customer",
   "Repeat Customer"
)</f>
        <v>Repeat Customer</v>
      </c>
    </row>
    <row r="165" spans="1:6" x14ac:dyDescent="0.35">
      <c r="A165" t="s">
        <v>68</v>
      </c>
      <c r="B165" t="str">
        <f>VLOOKUP(A165,Sales_Performance[[Customer ID]:[Total Amount]],2,0)</f>
        <v>Male</v>
      </c>
      <c r="C165">
        <f>_xlfn.XLOOKUP(A165,Sales_Performance[Customer ID],Sales_Performance[Age],0)</f>
        <v>19</v>
      </c>
      <c r="D165" t="str" cm="1">
        <f t="array" ref="D165">_xlfn.IFS(
   C165 &lt; 18, "Under 18",
   C165 &lt;= 24, "18-24",
   C165 &lt;= 34, "25-34",
   C165 &lt;= 44, "35-44",
   C165 &lt;= 54, "45-54",
   C165 &lt;= 64, "55-64",
   TRUE, "65+"
)</f>
        <v>18-24</v>
      </c>
      <c r="E165" s="1">
        <f>_xlfn.MINIFS(
   Sales_Performance[Date],
   Sales_Performance[Customer ID],
   A165
)</f>
        <v>44974</v>
      </c>
      <c r="F165" t="str">
        <f>IF(
   COUNTIF(Sales_Performance[Customer ID], A165) = 1,
   "One-Time Customer",
   "Repeat Customer"
)</f>
        <v>Repeat Customer</v>
      </c>
    </row>
    <row r="166" spans="1:6" x14ac:dyDescent="0.35">
      <c r="A166" t="s">
        <v>62</v>
      </c>
      <c r="B166" t="str">
        <f>VLOOKUP(A166,Sales_Performance[[Customer ID]:[Total Amount]],2,0)</f>
        <v>Female</v>
      </c>
      <c r="C166">
        <f>_xlfn.XLOOKUP(A166,Sales_Performance[Customer ID],Sales_Performance[Age],0)</f>
        <v>37</v>
      </c>
      <c r="D166" t="str" cm="1">
        <f t="array" ref="D166">_xlfn.IFS(
   C166 &lt; 18, "Under 18",
   C166 &lt;= 24, "18-24",
   C166 &lt;= 34, "25-34",
   C166 &lt;= 44, "35-44",
   C166 &lt;= 54, "45-54",
   C166 &lt;= 64, "55-64",
   TRUE, "65+"
)</f>
        <v>35-44</v>
      </c>
      <c r="E166" s="1">
        <f>_xlfn.MINIFS(
   Sales_Performance[Date],
   Sales_Performance[Customer ID],
   A166
)</f>
        <v>45020</v>
      </c>
      <c r="F166" t="str">
        <f>IF(
   COUNTIF(Sales_Performance[Customer ID], A166) = 1,
   "One-Time Customer",
   "Repeat Customer"
)</f>
        <v>Repeat Customer</v>
      </c>
    </row>
    <row r="167" spans="1:6" x14ac:dyDescent="0.35">
      <c r="A167" t="s">
        <v>911</v>
      </c>
      <c r="B167" t="str">
        <f>VLOOKUP(A167,Sales_Performance[[Customer ID]:[Total Amount]],2,0)</f>
        <v>Female</v>
      </c>
      <c r="C167">
        <f>_xlfn.XLOOKUP(A167,Sales_Performance[Customer ID],Sales_Performance[Age],0)</f>
        <v>59</v>
      </c>
      <c r="D167" t="str" cm="1">
        <f t="array" ref="D167">_xlfn.IFS(
   C167 &lt; 18, "Under 18",
   C167 &lt;= 24, "18-24",
   C167 &lt;= 34, "25-34",
   C167 &lt;= 44, "35-44",
   C167 &lt;= 54, "45-54",
   C167 &lt;= 64, "55-64",
   TRUE, "65+"
)</f>
        <v>55-64</v>
      </c>
      <c r="E167" s="1">
        <f>_xlfn.MINIFS(
   Sales_Performance[Date],
   Sales_Performance[Customer ID],
   A167
)</f>
        <v>45036</v>
      </c>
      <c r="F167" t="str">
        <f>IF(
   COUNTIF(Sales_Performance[Customer ID], A167) = 1,
   "One-Time Customer",
   "Repeat Customer"
)</f>
        <v>Repeat Customer</v>
      </c>
    </row>
    <row r="168" spans="1:6" x14ac:dyDescent="0.35">
      <c r="A168" t="s">
        <v>424</v>
      </c>
      <c r="B168" t="str">
        <f>VLOOKUP(A168,Sales_Performance[[Customer ID]:[Total Amount]],2,0)</f>
        <v>Female</v>
      </c>
      <c r="C168">
        <f>_xlfn.XLOOKUP(A168,Sales_Performance[Customer ID],Sales_Performance[Age],0)</f>
        <v>57</v>
      </c>
      <c r="D168" t="str" cm="1">
        <f t="array" ref="D168">_xlfn.IFS(
   C168 &lt; 18, "Under 18",
   C168 &lt;= 24, "18-24",
   C168 &lt;= 34, "25-34",
   C168 &lt;= 44, "35-44",
   C168 &lt;= 54, "45-54",
   C168 &lt;= 64, "55-64",
   TRUE, "65+"
)</f>
        <v>55-64</v>
      </c>
      <c r="E168" s="1">
        <f>_xlfn.MINIFS(
   Sales_Performance[Date],
   Sales_Performance[Customer ID],
   A168
)</f>
        <v>45157</v>
      </c>
      <c r="F168" t="str">
        <f>IF(
   COUNTIF(Sales_Performance[Customer ID], A168) = 1,
   "One-Time Customer",
   "Repeat Customer"
)</f>
        <v>Repeat Customer</v>
      </c>
    </row>
    <row r="169" spans="1:6" x14ac:dyDescent="0.35">
      <c r="A169" t="s">
        <v>1481</v>
      </c>
      <c r="B169" t="str">
        <f>VLOOKUP(A169,Sales_Performance[[Customer ID]:[Total Amount]],2,0)</f>
        <v>Female</v>
      </c>
      <c r="C169">
        <f>_xlfn.XLOOKUP(A169,Sales_Performance[Customer ID],Sales_Performance[Age],0)</f>
        <v>40</v>
      </c>
      <c r="D169" t="str" cm="1">
        <f t="array" ref="D169">_xlfn.IFS(
   C169 &lt; 18, "Under 18",
   C169 &lt;= 24, "18-24",
   C169 &lt;= 34, "25-34",
   C169 &lt;= 44, "35-44",
   C169 &lt;= 54, "45-54",
   C169 &lt;= 64, "55-64",
   TRUE, "65+"
)</f>
        <v>35-44</v>
      </c>
      <c r="E169" s="1">
        <f>_xlfn.MINIFS(
   Sales_Performance[Date],
   Sales_Performance[Customer ID],
   A169
)</f>
        <v>44949</v>
      </c>
      <c r="F169" t="str">
        <f>IF(
   COUNTIF(Sales_Performance[Customer ID], A169) = 1,
   "One-Time Customer",
   "Repeat Customer"
)</f>
        <v>Repeat Customer</v>
      </c>
    </row>
    <row r="170" spans="1:6" x14ac:dyDescent="0.35">
      <c r="A170" t="s">
        <v>66</v>
      </c>
      <c r="B170" t="str">
        <f>VLOOKUP(A170,Sales_Performance[[Customer ID]:[Total Amount]],2,0)</f>
        <v>Female</v>
      </c>
      <c r="C170">
        <f>_xlfn.XLOOKUP(A170,Sales_Performance[Customer ID],Sales_Performance[Age],0)</f>
        <v>48</v>
      </c>
      <c r="D170" t="str" cm="1">
        <f t="array" ref="D170">_xlfn.IFS(
   C170 &lt; 18, "Under 18",
   C170 &lt;= 24, "18-24",
   C170 &lt;= 34, "25-34",
   C170 &lt;= 44, "35-44",
   C170 &lt;= 54, "45-54",
   C170 &lt;= 64, "55-64",
   TRUE, "65+"
)</f>
        <v>45-54</v>
      </c>
      <c r="E170" s="1">
        <f>_xlfn.MINIFS(
   Sales_Performance[Date],
   Sales_Performance[Customer ID],
   A170
)</f>
        <v>45062</v>
      </c>
      <c r="F170" t="str">
        <f>IF(
   COUNTIF(Sales_Performance[Customer ID], A170) = 1,
   "One-Time Customer",
   "Repeat Customer"
)</f>
        <v>One-Time Customer</v>
      </c>
    </row>
    <row r="171" spans="1:6" x14ac:dyDescent="0.35">
      <c r="A171" t="s">
        <v>1290</v>
      </c>
      <c r="B171" t="str">
        <f>VLOOKUP(A171,Sales_Performance[[Customer ID]:[Total Amount]],2,0)</f>
        <v>Male</v>
      </c>
      <c r="C171">
        <f>_xlfn.XLOOKUP(A171,Sales_Performance[Customer ID],Sales_Performance[Age],0)</f>
        <v>61</v>
      </c>
      <c r="D171" t="str" cm="1">
        <f t="array" ref="D171">_xlfn.IFS(
   C171 &lt; 18, "Under 18",
   C171 &lt;= 24, "18-24",
   C171 &lt;= 34, "25-34",
   C171 &lt;= 44, "35-44",
   C171 &lt;= 54, "45-54",
   C171 &lt;= 64, "55-64",
   TRUE, "65+"
)</f>
        <v>55-64</v>
      </c>
      <c r="E171" s="1">
        <f>_xlfn.MINIFS(
   Sales_Performance[Date],
   Sales_Performance[Customer ID],
   A171
)</f>
        <v>45113</v>
      </c>
      <c r="F171" t="str">
        <f>IF(
   COUNTIF(Sales_Performance[Customer ID], A171) = 1,
   "One-Time Customer",
   "Repeat Customer"
)</f>
        <v>Repeat Customer</v>
      </c>
    </row>
    <row r="172" spans="1:6" x14ac:dyDescent="0.35">
      <c r="A172" t="s">
        <v>246</v>
      </c>
      <c r="B172" t="str">
        <f>VLOOKUP(A172,Sales_Performance[[Customer ID]:[Total Amount]],2,0)</f>
        <v>Male</v>
      </c>
      <c r="C172">
        <f>_xlfn.XLOOKUP(A172,Sales_Performance[Customer ID],Sales_Performance[Age],0)</f>
        <v>47</v>
      </c>
      <c r="D172" t="str" cm="1">
        <f t="array" ref="D172">_xlfn.IFS(
   C172 &lt; 18, "Under 18",
   C172 &lt;= 24, "18-24",
   C172 &lt;= 34, "25-34",
   C172 &lt;= 44, "35-44",
   C172 &lt;= 54, "45-54",
   C172 &lt;= 64, "55-64",
   TRUE, "65+"
)</f>
        <v>45-54</v>
      </c>
      <c r="E172" s="1">
        <f>_xlfn.MINIFS(
   Sales_Performance[Date],
   Sales_Performance[Customer ID],
   A172
)</f>
        <v>45025</v>
      </c>
      <c r="F172" t="str">
        <f>IF(
   COUNTIF(Sales_Performance[Customer ID], A172) = 1,
   "One-Time Customer",
   "Repeat Customer"
)</f>
        <v>Repeat Customer</v>
      </c>
    </row>
    <row r="173" spans="1:6" x14ac:dyDescent="0.35">
      <c r="A173" t="s">
        <v>26</v>
      </c>
      <c r="B173" t="str">
        <f>VLOOKUP(A173,Sales_Performance[[Customer ID]:[Total Amount]],2,0)</f>
        <v>Male</v>
      </c>
      <c r="C173">
        <f>_xlfn.XLOOKUP(A173,Sales_Performance[Customer ID],Sales_Performance[Age],0)</f>
        <v>19</v>
      </c>
      <c r="D173" t="str" cm="1">
        <f t="array" ref="D173">_xlfn.IFS(
   C173 &lt; 18, "Under 18",
   C173 &lt;= 24, "18-24",
   C173 &lt;= 34, "25-34",
   C173 &lt;= 44, "35-44",
   C173 &lt;= 54, "45-54",
   C173 &lt;= 64, "55-64",
   TRUE, "65+"
)</f>
        <v>18-24</v>
      </c>
      <c r="E173" s="1">
        <f>_xlfn.MINIFS(
   Sales_Performance[Date],
   Sales_Performance[Customer ID],
   A173
)</f>
        <v>45000</v>
      </c>
      <c r="F173" t="str">
        <f>IF(
   COUNTIF(Sales_Performance[Customer ID], A173) = 1,
   "One-Time Customer",
   "Repeat Customer"
)</f>
        <v>Repeat Customer</v>
      </c>
    </row>
    <row r="174" spans="1:6" x14ac:dyDescent="0.35">
      <c r="A174" t="s">
        <v>311</v>
      </c>
      <c r="B174" t="str">
        <f>VLOOKUP(A174,Sales_Performance[[Customer ID]:[Total Amount]],2,0)</f>
        <v>Male</v>
      </c>
      <c r="C174">
        <f>_xlfn.XLOOKUP(A174,Sales_Performance[Customer ID],Sales_Performance[Age],0)</f>
        <v>62</v>
      </c>
      <c r="D174" t="str" cm="1">
        <f t="array" ref="D174">_xlfn.IFS(
   C174 &lt; 18, "Under 18",
   C174 &lt;= 24, "18-24",
   C174 &lt;= 34, "25-34",
   C174 &lt;= 44, "35-44",
   C174 &lt;= 54, "45-54",
   C174 &lt;= 64, "55-64",
   TRUE, "65+"
)</f>
        <v>55-64</v>
      </c>
      <c r="E174" s="1">
        <f>_xlfn.MINIFS(
   Sales_Performance[Date],
   Sales_Performance[Customer ID],
   A174
)</f>
        <v>45004</v>
      </c>
      <c r="F174" t="str">
        <f>IF(
   COUNTIF(Sales_Performance[Customer ID], A174) = 1,
   "One-Time Customer",
   "Repeat Customer"
)</f>
        <v>Repeat Customer</v>
      </c>
    </row>
    <row r="175" spans="1:6" x14ac:dyDescent="0.35">
      <c r="A175" t="s">
        <v>845</v>
      </c>
      <c r="B175" t="str">
        <f>VLOOKUP(A175,Sales_Performance[[Customer ID]:[Total Amount]],2,0)</f>
        <v>Female</v>
      </c>
      <c r="C175">
        <f>_xlfn.XLOOKUP(A175,Sales_Performance[Customer ID],Sales_Performance[Age],0)</f>
        <v>21</v>
      </c>
      <c r="D175" t="str" cm="1">
        <f t="array" ref="D175">_xlfn.IFS(
   C175 &lt; 18, "Under 18",
   C175 &lt;= 24, "18-24",
   C175 &lt;= 34, "25-34",
   C175 &lt;= 44, "35-44",
   C175 &lt;= 54, "45-54",
   C175 &lt;= 64, "55-64",
   TRUE, "65+"
)</f>
        <v>18-24</v>
      </c>
      <c r="E175" s="1">
        <f>_xlfn.MINIFS(
   Sales_Performance[Date],
   Sales_Performance[Customer ID],
   A175
)</f>
        <v>45187</v>
      </c>
      <c r="F175" t="str">
        <f>IF(
   COUNTIF(Sales_Performance[Customer ID], A175) = 1,
   "One-Time Customer",
   "Repeat Customer"
)</f>
        <v>Repeat Customer</v>
      </c>
    </row>
    <row r="176" spans="1:6" x14ac:dyDescent="0.35">
      <c r="A176" t="s">
        <v>814</v>
      </c>
      <c r="B176" t="str">
        <f>VLOOKUP(A176,Sales_Performance[[Customer ID]:[Total Amount]],2,0)</f>
        <v>Female</v>
      </c>
      <c r="C176">
        <f>_xlfn.XLOOKUP(A176,Sales_Performance[Customer ID],Sales_Performance[Age],0)</f>
        <v>26</v>
      </c>
      <c r="D176" t="str" cm="1">
        <f t="array" ref="D176">_xlfn.IFS(
   C176 &lt; 18, "Under 18",
   C176 &lt;= 24, "18-24",
   C176 &lt;= 34, "25-34",
   C176 &lt;= 44, "35-44",
   C176 &lt;= 54, "45-54",
   C176 &lt;= 64, "55-64",
   TRUE, "65+"
)</f>
        <v>25-34</v>
      </c>
      <c r="E176" s="1">
        <f>_xlfn.MINIFS(
   Sales_Performance[Date],
   Sales_Performance[Customer ID],
   A176
)</f>
        <v>45198</v>
      </c>
      <c r="F176" t="str">
        <f>IF(
   COUNTIF(Sales_Performance[Customer ID], A176) = 1,
   "One-Time Customer",
   "Repeat Customer"
)</f>
        <v>One-Time Customer</v>
      </c>
    </row>
    <row r="177" spans="1:6" x14ac:dyDescent="0.35">
      <c r="A177" t="s">
        <v>1507</v>
      </c>
      <c r="B177" t="str">
        <f>VLOOKUP(A177,Sales_Performance[[Customer ID]:[Total Amount]],2,0)</f>
        <v>Female</v>
      </c>
      <c r="C177">
        <f>_xlfn.XLOOKUP(A177,Sales_Performance[Customer ID],Sales_Performance[Age],0)</f>
        <v>38</v>
      </c>
      <c r="D177" t="str" cm="1">
        <f t="array" ref="D177">_xlfn.IFS(
   C177 &lt; 18, "Under 18",
   C177 &lt;= 24, "18-24",
   C177 &lt;= 34, "25-34",
   C177 &lt;= 44, "35-44",
   C177 &lt;= 54, "45-54",
   C177 &lt;= 64, "55-64",
   TRUE, "65+"
)</f>
        <v>35-44</v>
      </c>
      <c r="E177" s="1">
        <f>_xlfn.MINIFS(
   Sales_Performance[Date],
   Sales_Performance[Customer ID],
   A177
)</f>
        <v>45087</v>
      </c>
      <c r="F177" t="str">
        <f>IF(
   COUNTIF(Sales_Performance[Customer ID], A177) = 1,
   "One-Time Customer",
   "Repeat Customer"
)</f>
        <v>Repeat Customer</v>
      </c>
    </row>
    <row r="178" spans="1:6" x14ac:dyDescent="0.35">
      <c r="A178" t="s">
        <v>1130</v>
      </c>
      <c r="B178" t="str">
        <f>VLOOKUP(A178,Sales_Performance[[Customer ID]:[Total Amount]],2,0)</f>
        <v>Male</v>
      </c>
      <c r="C178">
        <f>_xlfn.XLOOKUP(A178,Sales_Performance[Customer ID],Sales_Performance[Age],0)</f>
        <v>19</v>
      </c>
      <c r="D178" t="str" cm="1">
        <f t="array" ref="D178">_xlfn.IFS(
   C178 &lt; 18, "Under 18",
   C178 &lt;= 24, "18-24",
   C178 &lt;= 34, "25-34",
   C178 &lt;= 44, "35-44",
   C178 &lt;= 54, "45-54",
   C178 &lt;= 64, "55-64",
   TRUE, "65+"
)</f>
        <v>18-24</v>
      </c>
      <c r="E178" s="1">
        <f>_xlfn.MINIFS(
   Sales_Performance[Date],
   Sales_Performance[Customer ID],
   A178
)</f>
        <v>44976</v>
      </c>
      <c r="F178" t="str">
        <f>IF(
   COUNTIF(Sales_Performance[Customer ID], A178) = 1,
   "One-Time Customer",
   "Repeat Customer"
)</f>
        <v>Repeat Customer</v>
      </c>
    </row>
    <row r="179" spans="1:6" x14ac:dyDescent="0.35">
      <c r="A179" t="s">
        <v>593</v>
      </c>
      <c r="B179" t="str">
        <f>VLOOKUP(A179,Sales_Performance[[Customer ID]:[Total Amount]],2,0)</f>
        <v>Male</v>
      </c>
      <c r="C179">
        <f>_xlfn.XLOOKUP(A179,Sales_Performance[Customer ID],Sales_Performance[Age],0)</f>
        <v>56</v>
      </c>
      <c r="D179" t="str" cm="1">
        <f t="array" ref="D179">_xlfn.IFS(
   C179 &lt; 18, "Under 18",
   C179 &lt;= 24, "18-24",
   C179 &lt;= 34, "25-34",
   C179 &lt;= 44, "35-44",
   C179 &lt;= 54, "45-54",
   C179 &lt;= 64, "55-64",
   TRUE, "65+"
)</f>
        <v>55-64</v>
      </c>
      <c r="E179" s="1">
        <f>_xlfn.MINIFS(
   Sales_Performance[Date],
   Sales_Performance[Customer ID],
   A179
)</f>
        <v>45101</v>
      </c>
      <c r="F179" t="str">
        <f>IF(
   COUNTIF(Sales_Performance[Customer ID], A179) = 1,
   "One-Time Customer",
   "Repeat Customer"
)</f>
        <v>Repeat Customer</v>
      </c>
    </row>
    <row r="180" spans="1:6" x14ac:dyDescent="0.35">
      <c r="A180" t="s">
        <v>952</v>
      </c>
      <c r="B180" t="str">
        <f>VLOOKUP(A180,Sales_Performance[[Customer ID]:[Total Amount]],2,0)</f>
        <v>Female</v>
      </c>
      <c r="C180">
        <f>_xlfn.XLOOKUP(A180,Sales_Performance[Customer ID],Sales_Performance[Age],0)</f>
        <v>54</v>
      </c>
      <c r="D180" t="str" cm="1">
        <f t="array" ref="D180">_xlfn.IFS(
   C180 &lt; 18, "Under 18",
   C180 &lt;= 24, "18-24",
   C180 &lt;= 34, "25-34",
   C180 &lt;= 44, "35-44",
   C180 &lt;= 54, "45-54",
   C180 &lt;= 64, "55-64",
   TRUE, "65+"
)</f>
        <v>45-54</v>
      </c>
      <c r="E180" s="1">
        <f>_xlfn.MINIFS(
   Sales_Performance[Date],
   Sales_Performance[Customer ID],
   A180
)</f>
        <v>45039</v>
      </c>
      <c r="F180" t="str">
        <f>IF(
   COUNTIF(Sales_Performance[Customer ID], A180) = 1,
   "One-Time Customer",
   "Repeat Customer"
)</f>
        <v>Repeat Customer</v>
      </c>
    </row>
    <row r="181" spans="1:6" x14ac:dyDescent="0.35">
      <c r="A181" t="s">
        <v>371</v>
      </c>
      <c r="B181" t="str">
        <f>VLOOKUP(A181,Sales_Performance[[Customer ID]:[Total Amount]],2,0)</f>
        <v>Female</v>
      </c>
      <c r="C181">
        <f>_xlfn.XLOOKUP(A181,Sales_Performance[Customer ID],Sales_Performance[Age],0)</f>
        <v>54</v>
      </c>
      <c r="D181" t="str" cm="1">
        <f t="array" ref="D181">_xlfn.IFS(
   C181 &lt; 18, "Under 18",
   C181 &lt;= 24, "18-24",
   C181 &lt;= 34, "25-34",
   C181 &lt;= 44, "35-44",
   C181 &lt;= 54, "45-54",
   C181 &lt;= 64, "55-64",
   TRUE, "65+"
)</f>
        <v>45-54</v>
      </c>
      <c r="E181" s="1">
        <f>_xlfn.MINIFS(
   Sales_Performance[Date],
   Sales_Performance[Customer ID],
   A181
)</f>
        <v>44939</v>
      </c>
      <c r="F181" t="str">
        <f>IF(
   COUNTIF(Sales_Performance[Customer ID], A181) = 1,
   "One-Time Customer",
   "Repeat Customer"
)</f>
        <v>Repeat Customer</v>
      </c>
    </row>
    <row r="182" spans="1:6" x14ac:dyDescent="0.35">
      <c r="A182" t="s">
        <v>1292</v>
      </c>
      <c r="B182" t="str">
        <f>VLOOKUP(A182,Sales_Performance[[Customer ID]:[Total Amount]],2,0)</f>
        <v>Male</v>
      </c>
      <c r="C182">
        <f>_xlfn.XLOOKUP(A182,Sales_Performance[Customer ID],Sales_Performance[Age],0)</f>
        <v>32</v>
      </c>
      <c r="D182" t="str" cm="1">
        <f t="array" ref="D182">_xlfn.IFS(
   C182 &lt; 18, "Under 18",
   C182 &lt;= 24, "18-24",
   C182 &lt;= 34, "25-34",
   C182 &lt;= 44, "35-44",
   C182 &lt;= 54, "45-54",
   C182 &lt;= 64, "55-64",
   TRUE, "65+"
)</f>
        <v>25-34</v>
      </c>
      <c r="E182" s="1">
        <f>_xlfn.MINIFS(
   Sales_Performance[Date],
   Sales_Performance[Customer ID],
   A182
)</f>
        <v>44955</v>
      </c>
      <c r="F182" t="str">
        <f>IF(
   COUNTIF(Sales_Performance[Customer ID], A182) = 1,
   "One-Time Customer",
   "Repeat Customer"
)</f>
        <v>Repeat Customer</v>
      </c>
    </row>
    <row r="183" spans="1:6" x14ac:dyDescent="0.35">
      <c r="A183" t="s">
        <v>1064</v>
      </c>
      <c r="B183" t="str">
        <f>VLOOKUP(A183,Sales_Performance[[Customer ID]:[Total Amount]],2,0)</f>
        <v>Female</v>
      </c>
      <c r="C183">
        <f>_xlfn.XLOOKUP(A183,Sales_Performance[Customer ID],Sales_Performance[Age],0)</f>
        <v>19</v>
      </c>
      <c r="D183" t="str" cm="1">
        <f t="array" ref="D183">_xlfn.IFS(
   C183 &lt; 18, "Under 18",
   C183 &lt;= 24, "18-24",
   C183 &lt;= 34, "25-34",
   C183 &lt;= 44, "35-44",
   C183 &lt;= 54, "45-54",
   C183 &lt;= 64, "55-64",
   TRUE, "65+"
)</f>
        <v>18-24</v>
      </c>
      <c r="E183" s="1">
        <f>_xlfn.MINIFS(
   Sales_Performance[Date],
   Sales_Performance[Customer ID],
   A183
)</f>
        <v>44957</v>
      </c>
      <c r="F183" t="str">
        <f>IF(
   COUNTIF(Sales_Performance[Customer ID], A183) = 1,
   "One-Time Customer",
   "Repeat Customer"
)</f>
        <v>Repeat Customer</v>
      </c>
    </row>
    <row r="184" spans="1:6" x14ac:dyDescent="0.35">
      <c r="A184" t="s">
        <v>1251</v>
      </c>
      <c r="B184" t="str">
        <f>VLOOKUP(A184,Sales_Performance[[Customer ID]:[Total Amount]],2,0)</f>
        <v>Male</v>
      </c>
      <c r="C184">
        <f>_xlfn.XLOOKUP(A184,Sales_Performance[Customer ID],Sales_Performance[Age],0)</f>
        <v>25</v>
      </c>
      <c r="D184" t="str" cm="1">
        <f t="array" ref="D184">_xlfn.IFS(
   C184 &lt; 18, "Under 18",
   C184 &lt;= 24, "18-24",
   C184 &lt;= 34, "25-34",
   C184 &lt;= 44, "35-44",
   C184 &lt;= 54, "45-54",
   C184 &lt;= 64, "55-64",
   TRUE, "65+"
)</f>
        <v>25-34</v>
      </c>
      <c r="E184" s="1">
        <f>_xlfn.MINIFS(
   Sales_Performance[Date],
   Sales_Performance[Customer ID],
   A184
)</f>
        <v>45112</v>
      </c>
      <c r="F184" t="str">
        <f>IF(
   COUNTIF(Sales_Performance[Customer ID], A184) = 1,
   "One-Time Customer",
   "Repeat Customer"
)</f>
        <v>Repeat Customer</v>
      </c>
    </row>
    <row r="185" spans="1:6" x14ac:dyDescent="0.35">
      <c r="A185" t="s">
        <v>1454</v>
      </c>
      <c r="B185" t="str">
        <f>VLOOKUP(A185,Sales_Performance[[Customer ID]:[Total Amount]],2,0)</f>
        <v>Male</v>
      </c>
      <c r="C185">
        <f>_xlfn.XLOOKUP(A185,Sales_Performance[Customer ID],Sales_Performance[Age],0)</f>
        <v>39</v>
      </c>
      <c r="D185" t="str" cm="1">
        <f t="array" ref="D185">_xlfn.IFS(
   C185 &lt; 18, "Under 18",
   C185 &lt;= 24, "18-24",
   C185 &lt;= 34, "25-34",
   C185 &lt;= 44, "35-44",
   C185 &lt;= 54, "45-54",
   C185 &lt;= 64, "55-64",
   TRUE, "65+"
)</f>
        <v>35-44</v>
      </c>
      <c r="E185" s="1">
        <f>_xlfn.MINIFS(
   Sales_Performance[Date],
   Sales_Performance[Customer ID],
   A185
)</f>
        <v>44930</v>
      </c>
      <c r="F185" t="str">
        <f>IF(
   COUNTIF(Sales_Performance[Customer ID], A185) = 1,
   "One-Time Customer",
   "Repeat Customer"
)</f>
        <v>Repeat Customer</v>
      </c>
    </row>
    <row r="186" spans="1:6" x14ac:dyDescent="0.35">
      <c r="A186" t="s">
        <v>1066</v>
      </c>
      <c r="B186" t="str">
        <f>VLOOKUP(A186,Sales_Performance[[Customer ID]:[Total Amount]],2,0)</f>
        <v>Male</v>
      </c>
      <c r="C186">
        <f>_xlfn.XLOOKUP(A186,Sales_Performance[Customer ID],Sales_Performance[Age],0)</f>
        <v>31</v>
      </c>
      <c r="D186" t="str" cm="1">
        <f t="array" ref="D186">_xlfn.IFS(
   C186 &lt; 18, "Under 18",
   C186 &lt;= 24, "18-24",
   C186 &lt;= 34, "25-34",
   C186 &lt;= 44, "35-44",
   C186 &lt;= 54, "45-54",
   C186 &lt;= 64, "55-64",
   TRUE, "65+"
)</f>
        <v>25-34</v>
      </c>
      <c r="E186" s="1">
        <f>_xlfn.MINIFS(
   Sales_Performance[Date],
   Sales_Performance[Customer ID],
   A186
)</f>
        <v>45137</v>
      </c>
      <c r="F186" t="str">
        <f>IF(
   COUNTIF(Sales_Performance[Customer ID], A186) = 1,
   "One-Time Customer",
   "Repeat Customer"
)</f>
        <v>Repeat Customer</v>
      </c>
    </row>
    <row r="187" spans="1:6" x14ac:dyDescent="0.35">
      <c r="A187" t="s">
        <v>1494</v>
      </c>
      <c r="B187" t="str">
        <f>VLOOKUP(A187,Sales_Performance[[Customer ID]:[Total Amount]],2,0)</f>
        <v>Female</v>
      </c>
      <c r="C187">
        <f>_xlfn.XLOOKUP(A187,Sales_Performance[Customer ID],Sales_Performance[Age],0)</f>
        <v>36</v>
      </c>
      <c r="D187" t="str" cm="1">
        <f t="array" ref="D187">_xlfn.IFS(
   C187 &lt; 18, "Under 18",
   C187 &lt;= 24, "18-24",
   C187 &lt;= 34, "25-34",
   C187 &lt;= 44, "35-44",
   C187 &lt;= 54, "45-54",
   C187 &lt;= 64, "55-64",
   TRUE, "65+"
)</f>
        <v>35-44</v>
      </c>
      <c r="E187" s="1">
        <f>_xlfn.MINIFS(
   Sales_Performance[Date],
   Sales_Performance[Customer ID],
   A187
)</f>
        <v>44991</v>
      </c>
      <c r="F187" t="str">
        <f>IF(
   COUNTIF(Sales_Performance[Customer ID], A187) = 1,
   "One-Time Customer",
   "Repeat Customer"
)</f>
        <v>Repeat Customer</v>
      </c>
    </row>
    <row r="188" spans="1:6" x14ac:dyDescent="0.35">
      <c r="A188" t="s">
        <v>804</v>
      </c>
      <c r="B188" t="str">
        <f>VLOOKUP(A188,Sales_Performance[[Customer ID]:[Total Amount]],2,0)</f>
        <v>Male</v>
      </c>
      <c r="C188">
        <f>_xlfn.XLOOKUP(A188,Sales_Performance[Customer ID],Sales_Performance[Age],0)</f>
        <v>41</v>
      </c>
      <c r="D188" t="str" cm="1">
        <f t="array" ref="D188">_xlfn.IFS(
   C188 &lt; 18, "Under 18",
   C188 &lt;= 24, "18-24",
   C188 &lt;= 34, "25-34",
   C188 &lt;= 44, "35-44",
   C188 &lt;= 54, "45-54",
   C188 &lt;= 64, "55-64",
   TRUE, "65+"
)</f>
        <v>35-44</v>
      </c>
      <c r="E188" s="1">
        <f>_xlfn.MINIFS(
   Sales_Performance[Date],
   Sales_Performance[Customer ID],
   A188
)</f>
        <v>44948</v>
      </c>
      <c r="F188" t="str">
        <f>IF(
   COUNTIF(Sales_Performance[Customer ID], A188) = 1,
   "One-Time Customer",
   "Repeat Customer"
)</f>
        <v>One-Time Customer</v>
      </c>
    </row>
    <row r="189" spans="1:6" x14ac:dyDescent="0.35">
      <c r="A189" t="s">
        <v>474</v>
      </c>
      <c r="B189" t="str">
        <f>VLOOKUP(A189,Sales_Performance[[Customer ID]:[Total Amount]],2,0)</f>
        <v>Male</v>
      </c>
      <c r="C189">
        <f>_xlfn.XLOOKUP(A189,Sales_Performance[Customer ID],Sales_Performance[Age],0)</f>
        <v>46</v>
      </c>
      <c r="D189" t="str" cm="1">
        <f t="array" ref="D189">_xlfn.IFS(
   C189 &lt; 18, "Under 18",
   C189 &lt;= 24, "18-24",
   C189 &lt;= 34, "25-34",
   C189 &lt;= 44, "35-44",
   C189 &lt;= 54, "45-54",
   C189 &lt;= 64, "55-64",
   TRUE, "65+"
)</f>
        <v>45-54</v>
      </c>
      <c r="E189" s="1">
        <f>_xlfn.MINIFS(
   Sales_Performance[Date],
   Sales_Performance[Customer ID],
   A189
)</f>
        <v>45046</v>
      </c>
      <c r="F189" t="str">
        <f>IF(
   COUNTIF(Sales_Performance[Customer ID], A189) = 1,
   "One-Time Customer",
   "Repeat Customer"
)</f>
        <v>Repeat Customer</v>
      </c>
    </row>
    <row r="190" spans="1:6" x14ac:dyDescent="0.35">
      <c r="A190" t="s">
        <v>1448</v>
      </c>
      <c r="B190" t="str">
        <f>VLOOKUP(A190,Sales_Performance[[Customer ID]:[Total Amount]],2,0)</f>
        <v>Female</v>
      </c>
      <c r="C190">
        <f>_xlfn.XLOOKUP(A190,Sales_Performance[Customer ID],Sales_Performance[Age],0)</f>
        <v>60</v>
      </c>
      <c r="D190" t="str" cm="1">
        <f t="array" ref="D190">_xlfn.IFS(
   C190 &lt; 18, "Under 18",
   C190 &lt;= 24, "18-24",
   C190 &lt;= 34, "25-34",
   C190 &lt;= 44, "35-44",
   C190 &lt;= 54, "45-54",
   C190 &lt;= 64, "55-64",
   TRUE, "65+"
)</f>
        <v>55-64</v>
      </c>
      <c r="E190" s="1">
        <f>_xlfn.MINIFS(
   Sales_Performance[Date],
   Sales_Performance[Customer ID],
   A190
)</f>
        <v>45143</v>
      </c>
      <c r="F190" t="str">
        <f>IF(
   COUNTIF(Sales_Performance[Customer ID], A190) = 1,
   "One-Time Customer",
   "Repeat Customer"
)</f>
        <v>One-Time Customer</v>
      </c>
    </row>
    <row r="191" spans="1:6" x14ac:dyDescent="0.35">
      <c r="A191" t="s">
        <v>1283</v>
      </c>
      <c r="B191" t="str">
        <f>VLOOKUP(A191,Sales_Performance[[Customer ID]:[Total Amount]],2,0)</f>
        <v>Female</v>
      </c>
      <c r="C191">
        <f>_xlfn.XLOOKUP(A191,Sales_Performance[Customer ID],Sales_Performance[Age],0)</f>
        <v>35</v>
      </c>
      <c r="D191" t="str" cm="1">
        <f t="array" ref="D191">_xlfn.IFS(
   C191 &lt; 18, "Under 18",
   C191 &lt;= 24, "18-24",
   C191 &lt;= 34, "25-34",
   C191 &lt;= 44, "35-44",
   C191 &lt;= 54, "45-54",
   C191 &lt;= 64, "55-64",
   TRUE, "65+"
)</f>
        <v>35-44</v>
      </c>
      <c r="E191" s="1">
        <f>_xlfn.MINIFS(
   Sales_Performance[Date],
   Sales_Performance[Customer ID],
   A191
)</f>
        <v>45005</v>
      </c>
      <c r="F191" t="str">
        <f>IF(
   COUNTIF(Sales_Performance[Customer ID], A191) = 1,
   "One-Time Customer",
   "Repeat Customer"
)</f>
        <v>Repeat Customer</v>
      </c>
    </row>
    <row r="192" spans="1:6" x14ac:dyDescent="0.35">
      <c r="A192" t="s">
        <v>515</v>
      </c>
      <c r="B192" t="str">
        <f>VLOOKUP(A192,Sales_Performance[[Customer ID]:[Total Amount]],2,0)</f>
        <v>Male</v>
      </c>
      <c r="C192">
        <f>_xlfn.XLOOKUP(A192,Sales_Performance[Customer ID],Sales_Performance[Age],0)</f>
        <v>26</v>
      </c>
      <c r="D192" t="str" cm="1">
        <f t="array" ref="D192">_xlfn.IFS(
   C192 &lt; 18, "Under 18",
   C192 &lt;= 24, "18-24",
   C192 &lt;= 34, "25-34",
   C192 &lt;= 44, "35-44",
   C192 &lt;= 54, "45-54",
   C192 &lt;= 64, "55-64",
   TRUE, "65+"
)</f>
        <v>25-34</v>
      </c>
      <c r="E192" s="1">
        <f>_xlfn.MINIFS(
   Sales_Performance[Date],
   Sales_Performance[Customer ID],
   A192
)</f>
        <v>44930</v>
      </c>
      <c r="F192" t="str">
        <f>IF(
   COUNTIF(Sales_Performance[Customer ID], A192) = 1,
   "One-Time Customer",
   "Repeat Customer"
)</f>
        <v>Repeat Customer</v>
      </c>
    </row>
    <row r="193" spans="1:6" x14ac:dyDescent="0.35">
      <c r="A193" t="s">
        <v>512</v>
      </c>
      <c r="B193" t="str">
        <f>VLOOKUP(A193,Sales_Performance[[Customer ID]:[Total Amount]],2,0)</f>
        <v>Male</v>
      </c>
      <c r="C193">
        <f>_xlfn.XLOOKUP(A193,Sales_Performance[Customer ID],Sales_Performance[Age],0)</f>
        <v>53</v>
      </c>
      <c r="D193" t="str" cm="1">
        <f t="array" ref="D193">_xlfn.IFS(
   C193 &lt; 18, "Under 18",
   C193 &lt;= 24, "18-24",
   C193 &lt;= 34, "25-34",
   C193 &lt;= 44, "35-44",
   C193 &lt;= 54, "45-54",
   C193 &lt;= 64, "55-64",
   TRUE, "65+"
)</f>
        <v>45-54</v>
      </c>
      <c r="E193" s="1">
        <f>_xlfn.MINIFS(
   Sales_Performance[Date],
   Sales_Performance[Customer ID],
   A193
)</f>
        <v>45083</v>
      </c>
      <c r="F193" t="str">
        <f>IF(
   COUNTIF(Sales_Performance[Customer ID], A193) = 1,
   "One-Time Customer",
   "Repeat Customer"
)</f>
        <v>Repeat Customer</v>
      </c>
    </row>
    <row r="194" spans="1:6" x14ac:dyDescent="0.35">
      <c r="A194" t="s">
        <v>631</v>
      </c>
      <c r="B194" t="str">
        <f>VLOOKUP(A194,Sales_Performance[[Customer ID]:[Total Amount]],2,0)</f>
        <v>Male</v>
      </c>
      <c r="C194">
        <f>_xlfn.XLOOKUP(A194,Sales_Performance[Customer ID],Sales_Performance[Age],0)</f>
        <v>49</v>
      </c>
      <c r="D194" t="str" cm="1">
        <f t="array" ref="D194">_xlfn.IFS(
   C194 &lt; 18, "Under 18",
   C194 &lt;= 24, "18-24",
   C194 &lt;= 34, "25-34",
   C194 &lt;= 44, "35-44",
   C194 &lt;= 54, "45-54",
   C194 &lt;= 64, "55-64",
   TRUE, "65+"
)</f>
        <v>45-54</v>
      </c>
      <c r="E194" s="1">
        <f>_xlfn.MINIFS(
   Sales_Performance[Date],
   Sales_Performance[Customer ID],
   A194
)</f>
        <v>45037</v>
      </c>
      <c r="F194" t="str">
        <f>IF(
   COUNTIF(Sales_Performance[Customer ID], A194) = 1,
   "One-Time Customer",
   "Repeat Customer"
)</f>
        <v>One-Time Customer</v>
      </c>
    </row>
    <row r="195" spans="1:6" x14ac:dyDescent="0.35">
      <c r="A195" t="s">
        <v>950</v>
      </c>
      <c r="B195" t="str">
        <f>VLOOKUP(A195,Sales_Performance[[Customer ID]:[Total Amount]],2,0)</f>
        <v>Female</v>
      </c>
      <c r="C195">
        <f>_xlfn.XLOOKUP(A195,Sales_Performance[Customer ID],Sales_Performance[Age],0)</f>
        <v>19</v>
      </c>
      <c r="D195" t="str" cm="1">
        <f t="array" ref="D195">_xlfn.IFS(
   C195 &lt; 18, "Under 18",
   C195 &lt;= 24, "18-24",
   C195 &lt;= 34, "25-34",
   C195 &lt;= 44, "35-44",
   C195 &lt;= 54, "45-54",
   C195 &lt;= 64, "55-64",
   TRUE, "65+"
)</f>
        <v>18-24</v>
      </c>
      <c r="E195" s="1">
        <f>_xlfn.MINIFS(
   Sales_Performance[Date],
   Sales_Performance[Customer ID],
   A195
)</f>
        <v>45226</v>
      </c>
      <c r="F195" t="str">
        <f>IF(
   COUNTIF(Sales_Performance[Customer ID], A195) = 1,
   "One-Time Customer",
   "Repeat Customer"
)</f>
        <v>One-Time Customer</v>
      </c>
    </row>
    <row r="196" spans="1:6" x14ac:dyDescent="0.35">
      <c r="A196" t="s">
        <v>1428</v>
      </c>
      <c r="B196" t="str">
        <f>VLOOKUP(A196,Sales_Performance[[Customer ID]:[Total Amount]],2,0)</f>
        <v>Male</v>
      </c>
      <c r="C196">
        <f>_xlfn.XLOOKUP(A196,Sales_Performance[Customer ID],Sales_Performance[Age],0)</f>
        <v>46</v>
      </c>
      <c r="D196" t="str" cm="1">
        <f t="array" ref="D196">_xlfn.IFS(
   C196 &lt; 18, "Under 18",
   C196 &lt;= 24, "18-24",
   C196 &lt;= 34, "25-34",
   C196 &lt;= 44, "35-44",
   C196 &lt;= 54, "45-54",
   C196 &lt;= 64, "55-64",
   TRUE, "65+"
)</f>
        <v>45-54</v>
      </c>
      <c r="E196" s="1">
        <f>_xlfn.MINIFS(
   Sales_Performance[Date],
   Sales_Performance[Customer ID],
   A196
)</f>
        <v>45202</v>
      </c>
      <c r="F196" t="str">
        <f>IF(
   COUNTIF(Sales_Performance[Customer ID], A196) = 1,
   "One-Time Customer",
   "Repeat Customer"
)</f>
        <v>Repeat Customer</v>
      </c>
    </row>
    <row r="197" spans="1:6" x14ac:dyDescent="0.35">
      <c r="A197" t="s">
        <v>1505</v>
      </c>
      <c r="B197" t="str">
        <f>VLOOKUP(A197,Sales_Performance[[Customer ID]:[Total Amount]],2,0)</f>
        <v>Male</v>
      </c>
      <c r="C197">
        <f>_xlfn.XLOOKUP(A197,Sales_Performance[Customer ID],Sales_Performance[Age],0)</f>
        <v>24</v>
      </c>
      <c r="D197" t="str" cm="1">
        <f t="array" ref="D197">_xlfn.IFS(
   C197 &lt; 18, "Under 18",
   C197 &lt;= 24, "18-24",
   C197 &lt;= 34, "25-34",
   C197 &lt;= 44, "35-44",
   C197 &lt;= 54, "45-54",
   C197 &lt;= 64, "55-64",
   TRUE, "65+"
)</f>
        <v>18-24</v>
      </c>
      <c r="E197" s="1">
        <f>_xlfn.MINIFS(
   Sales_Performance[Date],
   Sales_Performance[Customer ID],
   A197
)</f>
        <v>44984</v>
      </c>
      <c r="F197" t="str">
        <f>IF(
   COUNTIF(Sales_Performance[Customer ID], A197) = 1,
   "One-Time Customer",
   "Repeat Customer"
)</f>
        <v>Repeat Customer</v>
      </c>
    </row>
    <row r="198" spans="1:6" x14ac:dyDescent="0.35">
      <c r="A198" t="s">
        <v>1296</v>
      </c>
      <c r="B198" t="str">
        <f>VLOOKUP(A198,Sales_Performance[[Customer ID]:[Total Amount]],2,0)</f>
        <v>Female</v>
      </c>
      <c r="C198">
        <f>_xlfn.XLOOKUP(A198,Sales_Performance[Customer ID],Sales_Performance[Age],0)</f>
        <v>61</v>
      </c>
      <c r="D198" t="str" cm="1">
        <f t="array" ref="D198">_xlfn.IFS(
   C198 &lt; 18, "Under 18",
   C198 &lt;= 24, "18-24",
   C198 &lt;= 34, "25-34",
   C198 &lt;= 44, "35-44",
   C198 &lt;= 54, "45-54",
   C198 &lt;= 64, "55-64",
   TRUE, "65+"
)</f>
        <v>55-64</v>
      </c>
      <c r="E198" s="1">
        <f>_xlfn.MINIFS(
   Sales_Performance[Date],
   Sales_Performance[Customer ID],
   A198
)</f>
        <v>44933</v>
      </c>
      <c r="F198" t="str">
        <f>IF(
   COUNTIF(Sales_Performance[Customer ID], A198) = 1,
   "One-Time Customer",
   "Repeat Customer"
)</f>
        <v>Repeat Customer</v>
      </c>
    </row>
    <row r="199" spans="1:6" x14ac:dyDescent="0.35">
      <c r="A199" t="s">
        <v>1000</v>
      </c>
      <c r="B199" t="str">
        <f>VLOOKUP(A199,Sales_Performance[[Customer ID]:[Total Amount]],2,0)</f>
        <v>Male</v>
      </c>
      <c r="C199">
        <f>_xlfn.XLOOKUP(A199,Sales_Performance[Customer ID],Sales_Performance[Age],0)</f>
        <v>22</v>
      </c>
      <c r="D199" t="str" cm="1">
        <f t="array" ref="D199">_xlfn.IFS(
   C199 &lt; 18, "Under 18",
   C199 &lt;= 24, "18-24",
   C199 &lt;= 34, "25-34",
   C199 &lt;= 44, "35-44",
   C199 &lt;= 54, "45-54",
   C199 &lt;= 64, "55-64",
   TRUE, "65+"
)</f>
        <v>18-24</v>
      </c>
      <c r="E199" s="1">
        <f>_xlfn.MINIFS(
   Sales_Performance[Date],
   Sales_Performance[Customer ID],
   A199
)</f>
        <v>45113</v>
      </c>
      <c r="F199" t="str">
        <f>IF(
   COUNTIF(Sales_Performance[Customer ID], A199) = 1,
   "One-Time Customer",
   "Repeat Customer"
)</f>
        <v>Repeat Customer</v>
      </c>
    </row>
    <row r="200" spans="1:6" x14ac:dyDescent="0.35">
      <c r="A200" t="s">
        <v>569</v>
      </c>
      <c r="B200" t="str">
        <f>VLOOKUP(A200,Sales_Performance[[Customer ID]:[Total Amount]],2,0)</f>
        <v>Female</v>
      </c>
      <c r="C200">
        <f>_xlfn.XLOOKUP(A200,Sales_Performance[Customer ID],Sales_Performance[Age],0)</f>
        <v>24</v>
      </c>
      <c r="D200" t="str" cm="1">
        <f t="array" ref="D200">_xlfn.IFS(
   C200 &lt; 18, "Under 18",
   C200 &lt;= 24, "18-24",
   C200 &lt;= 34, "25-34",
   C200 &lt;= 44, "35-44",
   C200 &lt;= 54, "45-54",
   C200 &lt;= 64, "55-64",
   TRUE, "65+"
)</f>
        <v>18-24</v>
      </c>
      <c r="E200" s="1">
        <f>_xlfn.MINIFS(
   Sales_Performance[Date],
   Sales_Performance[Customer ID],
   A200
)</f>
        <v>44940</v>
      </c>
      <c r="F200" t="str">
        <f>IF(
   COUNTIF(Sales_Performance[Customer ID], A200) = 1,
   "One-Time Customer",
   "Repeat Customer"
)</f>
        <v>Repeat Customer</v>
      </c>
    </row>
    <row r="201" spans="1:6" x14ac:dyDescent="0.35">
      <c r="A201" t="s">
        <v>722</v>
      </c>
      <c r="B201" t="str">
        <f>VLOOKUP(A201,Sales_Performance[[Customer ID]:[Total Amount]],2,0)</f>
        <v>Female</v>
      </c>
      <c r="C201">
        <f>_xlfn.XLOOKUP(A201,Sales_Performance[Customer ID],Sales_Performance[Age],0)</f>
        <v>49</v>
      </c>
      <c r="D201" t="str" cm="1">
        <f t="array" ref="D201">_xlfn.IFS(
   C201 &lt; 18, "Under 18",
   C201 &lt;= 24, "18-24",
   C201 &lt;= 34, "25-34",
   C201 &lt;= 44, "35-44",
   C201 &lt;= 54, "45-54",
   C201 &lt;= 64, "55-64",
   TRUE, "65+"
)</f>
        <v>45-54</v>
      </c>
      <c r="E201" s="1">
        <f>_xlfn.MINIFS(
   Sales_Performance[Date],
   Sales_Performance[Customer ID],
   A201
)</f>
        <v>45124</v>
      </c>
      <c r="F201" t="str">
        <f>IF(
   COUNTIF(Sales_Performance[Customer ID], A201) = 1,
   "One-Time Customer",
   "Repeat Customer"
)</f>
        <v>Repeat Customer</v>
      </c>
    </row>
    <row r="202" spans="1:6" x14ac:dyDescent="0.35">
      <c r="A202" t="s">
        <v>1441</v>
      </c>
      <c r="B202" t="str">
        <f>VLOOKUP(A202,Sales_Performance[[Customer ID]:[Total Amount]],2,0)</f>
        <v>Female</v>
      </c>
      <c r="C202">
        <f>_xlfn.XLOOKUP(A202,Sales_Performance[Customer ID],Sales_Performance[Age],0)</f>
        <v>44</v>
      </c>
      <c r="D202" t="str" cm="1">
        <f t="array" ref="D202">_xlfn.IFS(
   C202 &lt; 18, "Under 18",
   C202 &lt;= 24, "18-24",
   C202 &lt;= 34, "25-34",
   C202 &lt;= 44, "35-44",
   C202 &lt;= 54, "45-54",
   C202 &lt;= 64, "55-64",
   TRUE, "65+"
)</f>
        <v>35-44</v>
      </c>
      <c r="E202" s="1">
        <f>_xlfn.MINIFS(
   Sales_Performance[Date],
   Sales_Performance[Customer ID],
   A202
)</f>
        <v>45128</v>
      </c>
      <c r="F202" t="str">
        <f>IF(
   COUNTIF(Sales_Performance[Customer ID], A202) = 1,
   "One-Time Customer",
   "Repeat Customer"
)</f>
        <v>Repeat Customer</v>
      </c>
    </row>
    <row r="203" spans="1:6" x14ac:dyDescent="0.35">
      <c r="A203" t="s">
        <v>601</v>
      </c>
      <c r="B203" t="str">
        <f>VLOOKUP(A203,Sales_Performance[[Customer ID]:[Total Amount]],2,0)</f>
        <v>Male</v>
      </c>
      <c r="C203">
        <f>_xlfn.XLOOKUP(A203,Sales_Performance[Customer ID],Sales_Performance[Age],0)</f>
        <v>41</v>
      </c>
      <c r="D203" t="str" cm="1">
        <f t="array" ref="D203">_xlfn.IFS(
   C203 &lt; 18, "Under 18",
   C203 &lt;= 24, "18-24",
   C203 &lt;= 34, "25-34",
   C203 &lt;= 44, "35-44",
   C203 &lt;= 54, "45-54",
   C203 &lt;= 64, "55-64",
   TRUE, "65+"
)</f>
        <v>35-44</v>
      </c>
      <c r="E203" s="1">
        <f>_xlfn.MINIFS(
   Sales_Performance[Date],
   Sales_Performance[Customer ID],
   A203
)</f>
        <v>44927</v>
      </c>
      <c r="F203" t="str">
        <f>IF(
   COUNTIF(Sales_Performance[Customer ID], A203) = 1,
   "One-Time Customer",
   "Repeat Customer"
)</f>
        <v>Repeat Customer</v>
      </c>
    </row>
    <row r="204" spans="1:6" x14ac:dyDescent="0.35">
      <c r="A204" t="s">
        <v>1356</v>
      </c>
      <c r="B204" t="str">
        <f>VLOOKUP(A204,Sales_Performance[[Customer ID]:[Total Amount]],2,0)</f>
        <v>Female</v>
      </c>
      <c r="C204">
        <f>_xlfn.XLOOKUP(A204,Sales_Performance[Customer ID],Sales_Performance[Age],0)</f>
        <v>43</v>
      </c>
      <c r="D204" t="str" cm="1">
        <f t="array" ref="D204">_xlfn.IFS(
   C204 &lt; 18, "Under 18",
   C204 &lt;= 24, "18-24",
   C204 &lt;= 34, "25-34",
   C204 &lt;= 44, "35-44",
   C204 &lt;= 54, "45-54",
   C204 &lt;= 64, "55-64",
   TRUE, "65+"
)</f>
        <v>35-44</v>
      </c>
      <c r="E204" s="1">
        <f>_xlfn.MINIFS(
   Sales_Performance[Date],
   Sales_Performance[Customer ID],
   A204
)</f>
        <v>44941</v>
      </c>
      <c r="F204" t="str">
        <f>IF(
   COUNTIF(Sales_Performance[Customer ID], A204) = 1,
   "One-Time Customer",
   "Repeat Customer"
)</f>
        <v>Repeat Customer</v>
      </c>
    </row>
    <row r="205" spans="1:6" x14ac:dyDescent="0.35">
      <c r="A205" t="s">
        <v>262</v>
      </c>
      <c r="B205" t="str">
        <f>VLOOKUP(A205,Sales_Performance[[Customer ID]:[Total Amount]],2,0)</f>
        <v>Female</v>
      </c>
      <c r="C205">
        <f>_xlfn.XLOOKUP(A205,Sales_Performance[Customer ID],Sales_Performance[Age],0)</f>
        <v>40</v>
      </c>
      <c r="D205" t="str" cm="1">
        <f t="array" ref="D205">_xlfn.IFS(
   C205 &lt; 18, "Under 18",
   C205 &lt;= 24, "18-24",
   C205 &lt;= 34, "25-34",
   C205 &lt;= 44, "35-44",
   C205 &lt;= 54, "45-54",
   C205 &lt;= 64, "55-64",
   TRUE, "65+"
)</f>
        <v>35-44</v>
      </c>
      <c r="E205" s="1">
        <f>_xlfn.MINIFS(
   Sales_Performance[Date],
   Sales_Performance[Customer ID],
   A205
)</f>
        <v>45061</v>
      </c>
      <c r="F205" t="str">
        <f>IF(
   COUNTIF(Sales_Performance[Customer ID], A205) = 1,
   "One-Time Customer",
   "Repeat Customer"
)</f>
        <v>One-Time Customer</v>
      </c>
    </row>
    <row r="206" spans="1:6" x14ac:dyDescent="0.35">
      <c r="A206" t="s">
        <v>222</v>
      </c>
      <c r="B206" t="str">
        <f>VLOOKUP(A206,Sales_Performance[[Customer ID]:[Total Amount]],2,0)</f>
        <v>Female</v>
      </c>
      <c r="C206">
        <f>_xlfn.XLOOKUP(A206,Sales_Performance[Customer ID],Sales_Performance[Age],0)</f>
        <v>63</v>
      </c>
      <c r="D206" t="str" cm="1">
        <f t="array" ref="D206">_xlfn.IFS(
   C206 &lt; 18, "Under 18",
   C206 &lt;= 24, "18-24",
   C206 &lt;= 34, "25-34",
   C206 &lt;= 44, "35-44",
   C206 &lt;= 54, "45-54",
   C206 &lt;= 64, "55-64",
   TRUE, "65+"
)</f>
        <v>55-64</v>
      </c>
      <c r="E206" s="1">
        <f>_xlfn.MINIFS(
   Sales_Performance[Date],
   Sales_Performance[Customer ID],
   A206
)</f>
        <v>45021</v>
      </c>
      <c r="F206" t="str">
        <f>IF(
   COUNTIF(Sales_Performance[Customer ID], A206) = 1,
   "One-Time Customer",
   "Repeat Customer"
)</f>
        <v>Repeat Customer</v>
      </c>
    </row>
    <row r="207" spans="1:6" x14ac:dyDescent="0.35">
      <c r="A207" t="s">
        <v>1012</v>
      </c>
      <c r="B207" t="str">
        <f>VLOOKUP(A207,Sales_Performance[[Customer ID]:[Total Amount]],2,0)</f>
        <v>Male</v>
      </c>
      <c r="C207">
        <f>_xlfn.XLOOKUP(A207,Sales_Performance[Customer ID],Sales_Performance[Age],0)</f>
        <v>50</v>
      </c>
      <c r="D207" t="str" cm="1">
        <f t="array" ref="D207">_xlfn.IFS(
   C207 &lt; 18, "Under 18",
   C207 &lt;= 24, "18-24",
   C207 &lt;= 34, "25-34",
   C207 &lt;= 44, "35-44",
   C207 &lt;= 54, "45-54",
   C207 &lt;= 64, "55-64",
   TRUE, "65+"
)</f>
        <v>45-54</v>
      </c>
      <c r="E207" s="1">
        <f>_xlfn.MINIFS(
   Sales_Performance[Date],
   Sales_Performance[Customer ID],
   A207
)</f>
        <v>45205</v>
      </c>
      <c r="F207" t="str">
        <f>IF(
   COUNTIF(Sales_Performance[Customer ID], A207) = 1,
   "One-Time Customer",
   "Repeat Customer"
)</f>
        <v>One-Time Customer</v>
      </c>
    </row>
    <row r="208" spans="1:6" x14ac:dyDescent="0.35">
      <c r="A208" t="s">
        <v>742</v>
      </c>
      <c r="B208" t="str">
        <f>VLOOKUP(A208,Sales_Performance[[Customer ID]:[Total Amount]],2,0)</f>
        <v>Male</v>
      </c>
      <c r="C208">
        <f>_xlfn.XLOOKUP(A208,Sales_Performance[Customer ID],Sales_Performance[Age],0)</f>
        <v>19</v>
      </c>
      <c r="D208" t="str" cm="1">
        <f t="array" ref="D208">_xlfn.IFS(
   C208 &lt; 18, "Under 18",
   C208 &lt;= 24, "18-24",
   C208 &lt;= 34, "25-34",
   C208 &lt;= 44, "35-44",
   C208 &lt;= 54, "45-54",
   C208 &lt;= 64, "55-64",
   TRUE, "65+"
)</f>
        <v>18-24</v>
      </c>
      <c r="E208" s="1">
        <f>_xlfn.MINIFS(
   Sales_Performance[Date],
   Sales_Performance[Customer ID],
   A208
)</f>
        <v>44928</v>
      </c>
      <c r="F208" t="str">
        <f>IF(
   COUNTIF(Sales_Performance[Customer ID], A208) = 1,
   "One-Time Customer",
   "Repeat Customer"
)</f>
        <v>Repeat Customer</v>
      </c>
    </row>
    <row r="209" spans="1:6" x14ac:dyDescent="0.35">
      <c r="A209" t="s">
        <v>1176</v>
      </c>
      <c r="B209" t="str">
        <f>VLOOKUP(A209,Sales_Performance[[Customer ID]:[Total Amount]],2,0)</f>
        <v>Female</v>
      </c>
      <c r="C209">
        <f>_xlfn.XLOOKUP(A209,Sales_Performance[Customer ID],Sales_Performance[Age],0)</f>
        <v>53</v>
      </c>
      <c r="D209" t="str" cm="1">
        <f t="array" ref="D209">_xlfn.IFS(
   C209 &lt; 18, "Under 18",
   C209 &lt;= 24, "18-24",
   C209 &lt;= 34, "25-34",
   C209 &lt;= 44, "35-44",
   C209 &lt;= 54, "45-54",
   C209 &lt;= 64, "55-64",
   TRUE, "65+"
)</f>
        <v>45-54</v>
      </c>
      <c r="E209" s="1">
        <f>_xlfn.MINIFS(
   Sales_Performance[Date],
   Sales_Performance[Customer ID],
   A209
)</f>
        <v>45141</v>
      </c>
      <c r="F209" t="str">
        <f>IF(
   COUNTIF(Sales_Performance[Customer ID], A209) = 1,
   "One-Time Customer",
   "Repeat Customer"
)</f>
        <v>One-Time Customer</v>
      </c>
    </row>
    <row r="210" spans="1:6" x14ac:dyDescent="0.35">
      <c r="A210" t="s">
        <v>416</v>
      </c>
      <c r="B210" t="str">
        <f>VLOOKUP(A210,Sales_Performance[[Customer ID]:[Total Amount]],2,0)</f>
        <v>Female</v>
      </c>
      <c r="C210">
        <f>_xlfn.XLOOKUP(A210,Sales_Performance[Customer ID],Sales_Performance[Age],0)</f>
        <v>64</v>
      </c>
      <c r="D210" t="str" cm="1">
        <f t="array" ref="D210">_xlfn.IFS(
   C210 &lt; 18, "Under 18",
   C210 &lt;= 24, "18-24",
   C210 &lt;= 34, "25-34",
   C210 &lt;= 44, "35-44",
   C210 &lt;= 54, "45-54",
   C210 &lt;= 64, "55-64",
   TRUE, "65+"
)</f>
        <v>55-64</v>
      </c>
      <c r="E210" s="1">
        <f>_xlfn.MINIFS(
   Sales_Performance[Date],
   Sales_Performance[Customer ID],
   A210
)</f>
        <v>45176</v>
      </c>
      <c r="F210" t="str">
        <f>IF(
   COUNTIF(Sales_Performance[Customer ID], A210) = 1,
   "One-Time Customer",
   "Repeat Customer"
)</f>
        <v>Repeat Customer</v>
      </c>
    </row>
    <row r="211" spans="1:6" x14ac:dyDescent="0.35">
      <c r="A211" t="s">
        <v>1140</v>
      </c>
      <c r="B211" t="str">
        <f>VLOOKUP(A211,Sales_Performance[[Customer ID]:[Total Amount]],2,0)</f>
        <v>Female</v>
      </c>
      <c r="C211">
        <f>_xlfn.XLOOKUP(A211,Sales_Performance[Customer ID],Sales_Performance[Age],0)</f>
        <v>51</v>
      </c>
      <c r="D211" t="str" cm="1">
        <f t="array" ref="D211">_xlfn.IFS(
   C211 &lt; 18, "Under 18",
   C211 &lt;= 24, "18-24",
   C211 &lt;= 34, "25-34",
   C211 &lt;= 44, "35-44",
   C211 &lt;= 54, "45-54",
   C211 &lt;= 64, "55-64",
   TRUE, "65+"
)</f>
        <v>45-54</v>
      </c>
      <c r="E211" s="1">
        <f>_xlfn.MINIFS(
   Sales_Performance[Date],
   Sales_Performance[Customer ID],
   A211
)</f>
        <v>45134</v>
      </c>
      <c r="F211" t="str">
        <f>IF(
   COUNTIF(Sales_Performance[Customer ID], A211) = 1,
   "One-Time Customer",
   "Repeat Customer"
)</f>
        <v>One-Time Customer</v>
      </c>
    </row>
    <row r="212" spans="1:6" x14ac:dyDescent="0.35">
      <c r="A212" t="s">
        <v>1500</v>
      </c>
      <c r="B212" t="str">
        <f>VLOOKUP(A212,Sales_Performance[[Customer ID]:[Total Amount]],2,0)</f>
        <v>Male</v>
      </c>
      <c r="C212">
        <f>_xlfn.XLOOKUP(A212,Sales_Performance[Customer ID],Sales_Performance[Age],0)</f>
        <v>38</v>
      </c>
      <c r="D212" t="str" cm="1">
        <f t="array" ref="D212">_xlfn.IFS(
   C212 &lt; 18, "Under 18",
   C212 &lt;= 24, "18-24",
   C212 &lt;= 34, "25-34",
   C212 &lt;= 44, "35-44",
   C212 &lt;= 54, "45-54",
   C212 &lt;= 64, "55-64",
   TRUE, "65+"
)</f>
        <v>35-44</v>
      </c>
      <c r="E212" s="1">
        <f>_xlfn.MINIFS(
   Sales_Performance[Date],
   Sales_Performance[Customer ID],
   A212
)</f>
        <v>45105</v>
      </c>
      <c r="F212" t="str">
        <f>IF(
   COUNTIF(Sales_Performance[Customer ID], A212) = 1,
   "One-Time Customer",
   "Repeat Customer"
)</f>
        <v>Repeat Customer</v>
      </c>
    </row>
    <row r="213" spans="1:6" x14ac:dyDescent="0.35">
      <c r="A213" t="s">
        <v>996</v>
      </c>
      <c r="B213" t="str">
        <f>VLOOKUP(A213,Sales_Performance[[Customer ID]:[Total Amount]],2,0)</f>
        <v>Female</v>
      </c>
      <c r="C213">
        <f>_xlfn.XLOOKUP(A213,Sales_Performance[Customer ID],Sales_Performance[Age],0)</f>
        <v>50</v>
      </c>
      <c r="D213" t="str" cm="1">
        <f t="array" ref="D213">_xlfn.IFS(
   C213 &lt; 18, "Under 18",
   C213 &lt;= 24, "18-24",
   C213 &lt;= 34, "25-34",
   C213 &lt;= 44, "35-44",
   C213 &lt;= 54, "45-54",
   C213 &lt;= 64, "55-64",
   TRUE, "65+"
)</f>
        <v>45-54</v>
      </c>
      <c r="E213" s="1">
        <f>_xlfn.MINIFS(
   Sales_Performance[Date],
   Sales_Performance[Customer ID],
   A213
)</f>
        <v>45149</v>
      </c>
      <c r="F213" t="str">
        <f>IF(
   COUNTIF(Sales_Performance[Customer ID], A213) = 1,
   "One-Time Customer",
   "Repeat Customer"
)</f>
        <v>One-Time Customer</v>
      </c>
    </row>
    <row r="214" spans="1:6" x14ac:dyDescent="0.35">
      <c r="A214" t="s">
        <v>791</v>
      </c>
      <c r="B214" t="str">
        <f>VLOOKUP(A214,Sales_Performance[[Customer ID]:[Total Amount]],2,0)</f>
        <v>Male</v>
      </c>
      <c r="C214">
        <f>_xlfn.XLOOKUP(A214,Sales_Performance[Customer ID],Sales_Performance[Age],0)</f>
        <v>18</v>
      </c>
      <c r="D214" t="str" cm="1">
        <f t="array" ref="D214">_xlfn.IFS(
   C214 &lt; 18, "Under 18",
   C214 &lt;= 24, "18-24",
   C214 &lt;= 34, "25-34",
   C214 &lt;= 44, "35-44",
   C214 &lt;= 54, "45-54",
   C214 &lt;= 64, "55-64",
   TRUE, "65+"
)</f>
        <v>18-24</v>
      </c>
      <c r="E214" s="1">
        <f>_xlfn.MINIFS(
   Sales_Performance[Date],
   Sales_Performance[Customer ID],
   A214
)</f>
        <v>45055</v>
      </c>
      <c r="F214" t="str">
        <f>IF(
   COUNTIF(Sales_Performance[Customer ID], A214) = 1,
   "One-Time Customer",
   "Repeat Customer"
)</f>
        <v>One-Time Customer</v>
      </c>
    </row>
    <row r="215" spans="1:6" x14ac:dyDescent="0.35">
      <c r="A215" t="s">
        <v>842</v>
      </c>
      <c r="B215" t="str">
        <f>VLOOKUP(A215,Sales_Performance[[Customer ID]:[Total Amount]],2,0)</f>
        <v>Male</v>
      </c>
      <c r="C215">
        <f>_xlfn.XLOOKUP(A215,Sales_Performance[Customer ID],Sales_Performance[Age],0)</f>
        <v>60</v>
      </c>
      <c r="D215" t="str" cm="1">
        <f t="array" ref="D215">_xlfn.IFS(
   C215 &lt; 18, "Under 18",
   C215 &lt;= 24, "18-24",
   C215 &lt;= 34, "25-34",
   C215 &lt;= 44, "35-44",
   C215 &lt;= 54, "45-54",
   C215 &lt;= 64, "55-64",
   TRUE, "65+"
)</f>
        <v>55-64</v>
      </c>
      <c r="E215" s="1">
        <f>_xlfn.MINIFS(
   Sales_Performance[Date],
   Sales_Performance[Customer ID],
   A215
)</f>
        <v>44941</v>
      </c>
      <c r="F215" t="str">
        <f>IF(
   COUNTIF(Sales_Performance[Customer ID], A215) = 1,
   "One-Time Customer",
   "Repeat Customer"
)</f>
        <v>Repeat Customer</v>
      </c>
    </row>
    <row r="216" spans="1:6" x14ac:dyDescent="0.35">
      <c r="A216" t="s">
        <v>1322</v>
      </c>
      <c r="B216" t="str">
        <f>VLOOKUP(A216,Sales_Performance[[Customer ID]:[Total Amount]],2,0)</f>
        <v>Female</v>
      </c>
      <c r="C216">
        <f>_xlfn.XLOOKUP(A216,Sales_Performance[Customer ID],Sales_Performance[Age],0)</f>
        <v>20</v>
      </c>
      <c r="D216" t="str" cm="1">
        <f t="array" ref="D216">_xlfn.IFS(
   C216 &lt; 18, "Under 18",
   C216 &lt;= 24, "18-24",
   C216 &lt;= 34, "25-34",
   C216 &lt;= 44, "35-44",
   C216 &lt;= 54, "45-54",
   C216 &lt;= 64, "55-64",
   TRUE, "65+"
)</f>
        <v>18-24</v>
      </c>
      <c r="E216" s="1">
        <f>_xlfn.MINIFS(
   Sales_Performance[Date],
   Sales_Performance[Customer ID],
   A216
)</f>
        <v>44990</v>
      </c>
      <c r="F216" t="str">
        <f>IF(
   COUNTIF(Sales_Performance[Customer ID], A216) = 1,
   "One-Time Customer",
   "Repeat Customer"
)</f>
        <v>Repeat Customer</v>
      </c>
    </row>
    <row r="217" spans="1:6" x14ac:dyDescent="0.35">
      <c r="A217" t="s">
        <v>72</v>
      </c>
      <c r="B217" t="str">
        <f>VLOOKUP(A217,Sales_Performance[[Customer ID]:[Total Amount]],2,0)</f>
        <v>Male</v>
      </c>
      <c r="C217">
        <f>_xlfn.XLOOKUP(A217,Sales_Performance[Customer ID],Sales_Performance[Age],0)</f>
        <v>19</v>
      </c>
      <c r="D217" t="str" cm="1">
        <f t="array" ref="D217">_xlfn.IFS(
   C217 &lt; 18, "Under 18",
   C217 &lt;= 24, "18-24",
   C217 &lt;= 34, "25-34",
   C217 &lt;= 44, "35-44",
   C217 &lt;= 54, "45-54",
   C217 &lt;= 64, "55-64",
   TRUE, "65+"
)</f>
        <v>18-24</v>
      </c>
      <c r="E217" s="1">
        <f>_xlfn.MINIFS(
   Sales_Performance[Date],
   Sales_Performance[Customer ID],
   A217
)</f>
        <v>44954</v>
      </c>
      <c r="F217" t="str">
        <f>IF(
   COUNTIF(Sales_Performance[Customer ID], A217) = 1,
   "One-Time Customer",
   "Repeat Customer"
)</f>
        <v>Repeat Customer</v>
      </c>
    </row>
    <row r="218" spans="1:6" x14ac:dyDescent="0.35">
      <c r="A218" t="s">
        <v>607</v>
      </c>
      <c r="B218" t="str">
        <f>VLOOKUP(A218,Sales_Performance[[Customer ID]:[Total Amount]],2,0)</f>
        <v>Male</v>
      </c>
      <c r="C218">
        <f>_xlfn.XLOOKUP(A218,Sales_Performance[Customer ID],Sales_Performance[Age],0)</f>
        <v>42</v>
      </c>
      <c r="D218" t="str" cm="1">
        <f t="array" ref="D218">_xlfn.IFS(
   C218 &lt; 18, "Under 18",
   C218 &lt;= 24, "18-24",
   C218 &lt;= 34, "25-34",
   C218 &lt;= 44, "35-44",
   C218 &lt;= 54, "45-54",
   C218 &lt;= 64, "55-64",
   TRUE, "65+"
)</f>
        <v>35-44</v>
      </c>
      <c r="E218" s="1">
        <f>_xlfn.MINIFS(
   Sales_Performance[Date],
   Sales_Performance[Customer ID],
   A218
)</f>
        <v>45028</v>
      </c>
      <c r="F218" t="str">
        <f>IF(
   COUNTIF(Sales_Performance[Customer ID], A218) = 1,
   "One-Time Customer",
   "Repeat Customer"
)</f>
        <v>Repeat Customer</v>
      </c>
    </row>
    <row r="219" spans="1:6" x14ac:dyDescent="0.35">
      <c r="A219" t="s">
        <v>506</v>
      </c>
      <c r="B219" t="str">
        <f>VLOOKUP(A219,Sales_Performance[[Customer ID]:[Total Amount]],2,0)</f>
        <v>Female</v>
      </c>
      <c r="C219">
        <f>_xlfn.XLOOKUP(A219,Sales_Performance[Customer ID],Sales_Performance[Age],0)</f>
        <v>62</v>
      </c>
      <c r="D219" t="str" cm="1">
        <f t="array" ref="D219">_xlfn.IFS(
   C219 &lt; 18, "Under 18",
   C219 &lt;= 24, "18-24",
   C219 &lt;= 34, "25-34",
   C219 &lt;= 44, "35-44",
   C219 &lt;= 54, "45-54",
   C219 &lt;= 64, "55-64",
   TRUE, "65+"
)</f>
        <v>55-64</v>
      </c>
      <c r="E219" s="1">
        <f>_xlfn.MINIFS(
   Sales_Performance[Date],
   Sales_Performance[Customer ID],
   A219
)</f>
        <v>45081</v>
      </c>
      <c r="F219" t="str">
        <f>IF(
   COUNTIF(Sales_Performance[Customer ID], A219) = 1,
   "One-Time Customer",
   "Repeat Customer"
)</f>
        <v>Repeat Customer</v>
      </c>
    </row>
    <row r="220" spans="1:6" x14ac:dyDescent="0.35">
      <c r="A220" t="s">
        <v>1386</v>
      </c>
      <c r="B220" t="str">
        <f>VLOOKUP(A220,Sales_Performance[[Customer ID]:[Total Amount]],2,0)</f>
        <v>Male</v>
      </c>
      <c r="C220">
        <f>_xlfn.XLOOKUP(A220,Sales_Performance[Customer ID],Sales_Performance[Age],0)</f>
        <v>32</v>
      </c>
      <c r="D220" t="str" cm="1">
        <f t="array" ref="D220">_xlfn.IFS(
   C220 &lt; 18, "Under 18",
   C220 &lt;= 24, "18-24",
   C220 &lt;= 34, "25-34",
   C220 &lt;= 44, "35-44",
   C220 &lt;= 54, "45-54",
   C220 &lt;= 64, "55-64",
   TRUE, "65+"
)</f>
        <v>25-34</v>
      </c>
      <c r="E220" s="1">
        <f>_xlfn.MINIFS(
   Sales_Performance[Date],
   Sales_Performance[Customer ID],
   A220
)</f>
        <v>45221</v>
      </c>
      <c r="F220" t="str">
        <f>IF(
   COUNTIF(Sales_Performance[Customer ID], A220) = 1,
   "One-Time Customer",
   "Repeat Customer"
)</f>
        <v>One-Time Customer</v>
      </c>
    </row>
    <row r="221" spans="1:6" x14ac:dyDescent="0.35">
      <c r="A221" t="s">
        <v>255</v>
      </c>
      <c r="B221" t="str">
        <f>VLOOKUP(A221,Sales_Performance[[Customer ID]:[Total Amount]],2,0)</f>
        <v>Female</v>
      </c>
      <c r="C221">
        <f>_xlfn.XLOOKUP(A221,Sales_Performance[Customer ID],Sales_Performance[Age],0)</f>
        <v>55</v>
      </c>
      <c r="D221" t="str" cm="1">
        <f t="array" ref="D221">_xlfn.IFS(
   C221 &lt; 18, "Under 18",
   C221 &lt;= 24, "18-24",
   C221 &lt;= 34, "25-34",
   C221 &lt;= 44, "35-44",
   C221 &lt;= 54, "45-54",
   C221 &lt;= 64, "55-64",
   TRUE, "65+"
)</f>
        <v>55-64</v>
      </c>
      <c r="E221" s="1">
        <f>_xlfn.MINIFS(
   Sales_Performance[Date],
   Sales_Performance[Customer ID],
   A221
)</f>
        <v>45111</v>
      </c>
      <c r="F221" t="str">
        <f>IF(
   COUNTIF(Sales_Performance[Customer ID], A221) = 1,
   "One-Time Customer",
   "Repeat Customer"
)</f>
        <v>Repeat Customer</v>
      </c>
    </row>
    <row r="222" spans="1:6" x14ac:dyDescent="0.35">
      <c r="A222" t="s">
        <v>668</v>
      </c>
      <c r="B222" t="str">
        <f>VLOOKUP(A222,Sales_Performance[[Customer ID]:[Total Amount]],2,0)</f>
        <v>Female</v>
      </c>
      <c r="C222">
        <f>_xlfn.XLOOKUP(A222,Sales_Performance[Customer ID],Sales_Performance[Age],0)</f>
        <v>59</v>
      </c>
      <c r="D222" t="str" cm="1">
        <f t="array" ref="D222">_xlfn.IFS(
   C222 &lt; 18, "Under 18",
   C222 &lt;= 24, "18-24",
   C222 &lt;= 34, "25-34",
   C222 &lt;= 44, "35-44",
   C222 &lt;= 54, "45-54",
   C222 &lt;= 64, "55-64",
   TRUE, "65+"
)</f>
        <v>55-64</v>
      </c>
      <c r="E222" s="1">
        <f>_xlfn.MINIFS(
   Sales_Performance[Date],
   Sales_Performance[Customer ID],
   A222
)</f>
        <v>45029</v>
      </c>
      <c r="F222" t="str">
        <f>IF(
   COUNTIF(Sales_Performance[Customer ID], A222) = 1,
   "One-Time Customer",
   "Repeat Customer"
)</f>
        <v>Repeat Customer</v>
      </c>
    </row>
    <row r="223" spans="1:6" x14ac:dyDescent="0.35">
      <c r="A223" t="s">
        <v>248</v>
      </c>
      <c r="B223" t="str">
        <f>VLOOKUP(A223,Sales_Performance[[Customer ID]:[Total Amount]],2,0)</f>
        <v>Female</v>
      </c>
      <c r="C223">
        <f>_xlfn.XLOOKUP(A223,Sales_Performance[Customer ID],Sales_Performance[Age],0)</f>
        <v>27</v>
      </c>
      <c r="D223" t="str" cm="1">
        <f t="array" ref="D223">_xlfn.IFS(
   C223 &lt; 18, "Under 18",
   C223 &lt;= 24, "18-24",
   C223 &lt;= 34, "25-34",
   C223 &lt;= 44, "35-44",
   C223 &lt;= 54, "45-54",
   C223 &lt;= 64, "55-64",
   TRUE, "65+"
)</f>
        <v>25-34</v>
      </c>
      <c r="E223" s="1">
        <f>_xlfn.MINIFS(
   Sales_Performance[Date],
   Sales_Performance[Customer ID],
   A223
)</f>
        <v>45135</v>
      </c>
      <c r="F223" t="str">
        <f>IF(
   COUNTIF(Sales_Performance[Customer ID], A223) = 1,
   "One-Time Customer",
   "Repeat Customer"
)</f>
        <v>Repeat Customer</v>
      </c>
    </row>
    <row r="224" spans="1:6" x14ac:dyDescent="0.35">
      <c r="A224" t="s">
        <v>662</v>
      </c>
      <c r="B224" t="str">
        <f>VLOOKUP(A224,Sales_Performance[[Customer ID]:[Total Amount]],2,0)</f>
        <v>Female</v>
      </c>
      <c r="C224">
        <f>_xlfn.XLOOKUP(A224,Sales_Performance[Customer ID],Sales_Performance[Age],0)</f>
        <v>45</v>
      </c>
      <c r="D224" t="str" cm="1">
        <f t="array" ref="D224">_xlfn.IFS(
   C224 &lt; 18, "Under 18",
   C224 &lt;= 24, "18-24",
   C224 &lt;= 34, "25-34",
   C224 &lt;= 44, "35-44",
   C224 &lt;= 54, "45-54",
   C224 &lt;= 64, "55-64",
   TRUE, "65+"
)</f>
        <v>45-54</v>
      </c>
      <c r="E224" s="1">
        <f>_xlfn.MINIFS(
   Sales_Performance[Date],
   Sales_Performance[Customer ID],
   A224
)</f>
        <v>45124</v>
      </c>
      <c r="F224" t="str">
        <f>IF(
   COUNTIF(Sales_Performance[Customer ID], A224) = 1,
   "One-Time Customer",
   "Repeat Customer"
)</f>
        <v>Repeat Customer</v>
      </c>
    </row>
    <row r="225" spans="1:6" x14ac:dyDescent="0.35">
      <c r="A225" t="s">
        <v>1395</v>
      </c>
      <c r="B225" t="str">
        <f>VLOOKUP(A225,Sales_Performance[[Customer ID]:[Total Amount]],2,0)</f>
        <v>Male</v>
      </c>
      <c r="C225">
        <f>_xlfn.XLOOKUP(A225,Sales_Performance[Customer ID],Sales_Performance[Age],0)</f>
        <v>27</v>
      </c>
      <c r="D225" t="str" cm="1">
        <f t="array" ref="D225">_xlfn.IFS(
   C225 &lt; 18, "Under 18",
   C225 &lt;= 24, "18-24",
   C225 &lt;= 34, "25-34",
   C225 &lt;= 44, "35-44",
   C225 &lt;= 54, "45-54",
   C225 &lt;= 64, "55-64",
   TRUE, "65+"
)</f>
        <v>25-34</v>
      </c>
      <c r="E225" s="1">
        <f>_xlfn.MINIFS(
   Sales_Performance[Date],
   Sales_Performance[Customer ID],
   A225
)</f>
        <v>45201</v>
      </c>
      <c r="F225" t="str">
        <f>IF(
   COUNTIF(Sales_Performance[Customer ID], A225) = 1,
   "One-Time Customer",
   "Repeat Customer"
)</f>
        <v>One-Time Customer</v>
      </c>
    </row>
    <row r="226" spans="1:6" x14ac:dyDescent="0.35">
      <c r="A226" t="s">
        <v>1235</v>
      </c>
      <c r="B226" t="str">
        <f>VLOOKUP(A226,Sales_Performance[[Customer ID]:[Total Amount]],2,0)</f>
        <v>Male</v>
      </c>
      <c r="C226">
        <f>_xlfn.XLOOKUP(A226,Sales_Performance[Customer ID],Sales_Performance[Age],0)</f>
        <v>23</v>
      </c>
      <c r="D226" t="str" cm="1">
        <f t="array" ref="D226">_xlfn.IFS(
   C226 &lt; 18, "Under 18",
   C226 &lt;= 24, "18-24",
   C226 &lt;= 34, "25-34",
   C226 &lt;= 44, "35-44",
   C226 &lt;= 54, "45-54",
   C226 &lt;= 64, "55-64",
   TRUE, "65+"
)</f>
        <v>18-24</v>
      </c>
      <c r="E226" s="1">
        <f>_xlfn.MINIFS(
   Sales_Performance[Date],
   Sales_Performance[Customer ID],
   A226
)</f>
        <v>45145</v>
      </c>
      <c r="F226" t="str">
        <f>IF(
   COUNTIF(Sales_Performance[Customer ID], A226) = 1,
   "One-Time Customer",
   "Repeat Customer"
)</f>
        <v>Repeat Customer</v>
      </c>
    </row>
    <row r="227" spans="1:6" x14ac:dyDescent="0.35">
      <c r="A227" t="s">
        <v>965</v>
      </c>
      <c r="B227" t="str">
        <f>VLOOKUP(A227,Sales_Performance[[Customer ID]:[Total Amount]],2,0)</f>
        <v>Male</v>
      </c>
      <c r="C227">
        <f>_xlfn.XLOOKUP(A227,Sales_Performance[Customer ID],Sales_Performance[Age],0)</f>
        <v>29</v>
      </c>
      <c r="D227" t="str" cm="1">
        <f t="array" ref="D227">_xlfn.IFS(
   C227 &lt; 18, "Under 18",
   C227 &lt;= 24, "18-24",
   C227 &lt;= 34, "25-34",
   C227 &lt;= 44, "35-44",
   C227 &lt;= 54, "45-54",
   C227 &lt;= 64, "55-64",
   TRUE, "65+"
)</f>
        <v>25-34</v>
      </c>
      <c r="E227" s="1">
        <f>_xlfn.MINIFS(
   Sales_Performance[Date],
   Sales_Performance[Customer ID],
   A227
)</f>
        <v>44954</v>
      </c>
      <c r="F227" t="str">
        <f>IF(
   COUNTIF(Sales_Performance[Customer ID], A227) = 1,
   "One-Time Customer",
   "Repeat Customer"
)</f>
        <v>Repeat Customer</v>
      </c>
    </row>
    <row r="228" spans="1:6" x14ac:dyDescent="0.35">
      <c r="A228" t="s">
        <v>976</v>
      </c>
      <c r="B228" t="str">
        <f>VLOOKUP(A228,Sales_Performance[[Customer ID]:[Total Amount]],2,0)</f>
        <v>Female</v>
      </c>
      <c r="C228">
        <f>_xlfn.XLOOKUP(A228,Sales_Performance[Customer ID],Sales_Performance[Age],0)</f>
        <v>42</v>
      </c>
      <c r="D228" t="str" cm="1">
        <f t="array" ref="D228">_xlfn.IFS(
   C228 &lt; 18, "Under 18",
   C228 &lt;= 24, "18-24",
   C228 &lt;= 34, "25-34",
   C228 &lt;= 44, "35-44",
   C228 &lt;= 54, "45-54",
   C228 &lt;= 64, "55-64",
   TRUE, "65+"
)</f>
        <v>35-44</v>
      </c>
      <c r="E228" s="1">
        <f>_xlfn.MINIFS(
   Sales_Performance[Date],
   Sales_Performance[Customer ID],
   A228
)</f>
        <v>45253</v>
      </c>
      <c r="F228" t="str">
        <f>IF(
   COUNTIF(Sales_Performance[Customer ID], A228) = 1,
   "One-Time Customer",
   "Repeat Customer"
)</f>
        <v>One-Time Customer</v>
      </c>
    </row>
    <row r="229" spans="1:6" x14ac:dyDescent="0.35">
      <c r="A229" t="s">
        <v>213</v>
      </c>
      <c r="B229" t="str">
        <f>VLOOKUP(A229,Sales_Performance[[Customer ID]:[Total Amount]],2,0)</f>
        <v>Female</v>
      </c>
      <c r="C229">
        <f>_xlfn.XLOOKUP(A229,Sales_Performance[Customer ID],Sales_Performance[Age],0)</f>
        <v>48</v>
      </c>
      <c r="D229" t="str" cm="1">
        <f t="array" ref="D229">_xlfn.IFS(
   C229 &lt; 18, "Under 18",
   C229 &lt;= 24, "18-24",
   C229 &lt;= 34, "25-34",
   C229 &lt;= 44, "35-44",
   C229 &lt;= 54, "45-54",
   C229 &lt;= 64, "55-64",
   TRUE, "65+"
)</f>
        <v>45-54</v>
      </c>
      <c r="E229" s="1">
        <f>_xlfn.MINIFS(
   Sales_Performance[Date],
   Sales_Performance[Customer ID],
   A229
)</f>
        <v>45075</v>
      </c>
      <c r="F229" t="str">
        <f>IF(
   COUNTIF(Sales_Performance[Customer ID], A229) = 1,
   "One-Time Customer",
   "Repeat Customer"
)</f>
        <v>Repeat Customer</v>
      </c>
    </row>
    <row r="230" spans="1:6" x14ac:dyDescent="0.35">
      <c r="A230" t="s">
        <v>563</v>
      </c>
      <c r="B230" t="str">
        <f>VLOOKUP(A230,Sales_Performance[[Customer ID]:[Total Amount]],2,0)</f>
        <v>Female</v>
      </c>
      <c r="C230">
        <f>_xlfn.XLOOKUP(A230,Sales_Performance[Customer ID],Sales_Performance[Age],0)</f>
        <v>61</v>
      </c>
      <c r="D230" t="str" cm="1">
        <f t="array" ref="D230">_xlfn.IFS(
   C230 &lt; 18, "Under 18",
   C230 &lt;= 24, "18-24",
   C230 &lt;= 34, "25-34",
   C230 &lt;= 44, "35-44",
   C230 &lt;= 54, "45-54",
   C230 &lt;= 64, "55-64",
   TRUE, "65+"
)</f>
        <v>55-64</v>
      </c>
      <c r="E230" s="1">
        <f>_xlfn.MINIFS(
   Sales_Performance[Date],
   Sales_Performance[Customer ID],
   A230
)</f>
        <v>45083</v>
      </c>
      <c r="F230" t="str">
        <f>IF(
   COUNTIF(Sales_Performance[Customer ID], A230) = 1,
   "One-Time Customer",
   "Repeat Customer"
)</f>
        <v>Repeat Customer</v>
      </c>
    </row>
    <row r="231" spans="1:6" x14ac:dyDescent="0.35">
      <c r="A231" t="s">
        <v>1214</v>
      </c>
      <c r="B231" t="str">
        <f>VLOOKUP(A231,Sales_Performance[[Customer ID]:[Total Amount]],2,0)</f>
        <v>Male</v>
      </c>
      <c r="C231">
        <f>_xlfn.XLOOKUP(A231,Sales_Performance[Customer ID],Sales_Performance[Age],0)</f>
        <v>41</v>
      </c>
      <c r="D231" t="str" cm="1">
        <f t="array" ref="D231">_xlfn.IFS(
   C231 &lt; 18, "Under 18",
   C231 &lt;= 24, "18-24",
   C231 &lt;= 34, "25-34",
   C231 &lt;= 44, "35-44",
   C231 &lt;= 54, "45-54",
   C231 &lt;= 64, "55-64",
   TRUE, "65+"
)</f>
        <v>35-44</v>
      </c>
      <c r="E231" s="1">
        <f>_xlfn.MINIFS(
   Sales_Performance[Date],
   Sales_Performance[Customer ID],
   A231
)</f>
        <v>45018</v>
      </c>
      <c r="F231" t="str">
        <f>IF(
   COUNTIF(Sales_Performance[Customer ID], A231) = 1,
   "One-Time Customer",
   "Repeat Customer"
)</f>
        <v>Repeat Customer</v>
      </c>
    </row>
    <row r="232" spans="1:6" x14ac:dyDescent="0.35">
      <c r="A232" t="s">
        <v>1138</v>
      </c>
      <c r="B232" t="str">
        <f>VLOOKUP(A232,Sales_Performance[[Customer ID]:[Total Amount]],2,0)</f>
        <v>Male</v>
      </c>
      <c r="C232">
        <f>_xlfn.XLOOKUP(A232,Sales_Performance[Customer ID],Sales_Performance[Age],0)</f>
        <v>27</v>
      </c>
      <c r="D232" t="str" cm="1">
        <f t="array" ref="D232">_xlfn.IFS(
   C232 &lt; 18, "Under 18",
   C232 &lt;= 24, "18-24",
   C232 &lt;= 34, "25-34",
   C232 &lt;= 44, "35-44",
   C232 &lt;= 54, "45-54",
   C232 &lt;= 64, "55-64",
   TRUE, "65+"
)</f>
        <v>25-34</v>
      </c>
      <c r="E232" s="1">
        <f>_xlfn.MINIFS(
   Sales_Performance[Date],
   Sales_Performance[Customer ID],
   A232
)</f>
        <v>45078</v>
      </c>
      <c r="F232" t="str">
        <f>IF(
   COUNTIF(Sales_Performance[Customer ID], A232) = 1,
   "One-Time Customer",
   "Repeat Customer"
)</f>
        <v>One-Time Customer</v>
      </c>
    </row>
    <row r="233" spans="1:6" x14ac:dyDescent="0.35">
      <c r="A233" t="s">
        <v>165</v>
      </c>
      <c r="B233" t="str">
        <f>VLOOKUP(A233,Sales_Performance[[Customer ID]:[Total Amount]],2,0)</f>
        <v>Male</v>
      </c>
      <c r="C233">
        <f>_xlfn.XLOOKUP(A233,Sales_Performance[Customer ID],Sales_Performance[Age],0)</f>
        <v>25</v>
      </c>
      <c r="D233" t="str" cm="1">
        <f t="array" ref="D233">_xlfn.IFS(
   C233 &lt; 18, "Under 18",
   C233 &lt;= 24, "18-24",
   C233 &lt;= 34, "25-34",
   C233 &lt;= 44, "35-44",
   C233 &lt;= 54, "45-54",
   C233 &lt;= 64, "55-64",
   TRUE, "65+"
)</f>
        <v>25-34</v>
      </c>
      <c r="E233" s="1">
        <f>_xlfn.MINIFS(
   Sales_Performance[Date],
   Sales_Performance[Customer ID],
   A233
)</f>
        <v>45005</v>
      </c>
      <c r="F233" t="str">
        <f>IF(
   COUNTIF(Sales_Performance[Customer ID], A233) = 1,
   "One-Time Customer",
   "Repeat Customer"
)</f>
        <v>Repeat Customer</v>
      </c>
    </row>
    <row r="234" spans="1:6" x14ac:dyDescent="0.35">
      <c r="A234" t="s">
        <v>1240</v>
      </c>
      <c r="B234" t="str">
        <f>VLOOKUP(A234,Sales_Performance[[Customer ID]:[Total Amount]],2,0)</f>
        <v>Male</v>
      </c>
      <c r="C234">
        <f>_xlfn.XLOOKUP(A234,Sales_Performance[Customer ID],Sales_Performance[Age],0)</f>
        <v>55</v>
      </c>
      <c r="D234" t="str" cm="1">
        <f t="array" ref="D234">_xlfn.IFS(
   C234 &lt; 18, "Under 18",
   C234 &lt;= 24, "18-24",
   C234 &lt;= 34, "25-34",
   C234 &lt;= 44, "35-44",
   C234 &lt;= 54, "45-54",
   C234 &lt;= 64, "55-64",
   TRUE, "65+"
)</f>
        <v>55-64</v>
      </c>
      <c r="E234" s="1">
        <f>_xlfn.MINIFS(
   Sales_Performance[Date],
   Sales_Performance[Customer ID],
   A234
)</f>
        <v>45152</v>
      </c>
      <c r="F234" t="str">
        <f>IF(
   COUNTIF(Sales_Performance[Customer ID], A234) = 1,
   "One-Time Customer",
   "Repeat Customer"
)</f>
        <v>Repeat Customer</v>
      </c>
    </row>
    <row r="235" spans="1:6" x14ac:dyDescent="0.35">
      <c r="A235" t="s">
        <v>1264</v>
      </c>
      <c r="B235" t="str">
        <f>VLOOKUP(A235,Sales_Performance[[Customer ID]:[Total Amount]],2,0)</f>
        <v>Female</v>
      </c>
      <c r="C235">
        <f>_xlfn.XLOOKUP(A235,Sales_Performance[Customer ID],Sales_Performance[Age],0)</f>
        <v>32</v>
      </c>
      <c r="D235" t="str" cm="1">
        <f t="array" ref="D235">_xlfn.IFS(
   C235 &lt; 18, "Under 18",
   C235 &lt;= 24, "18-24",
   C235 &lt;= 34, "25-34",
   C235 &lt;= 44, "35-44",
   C235 &lt;= 54, "45-54",
   C235 &lt;= 64, "55-64",
   TRUE, "65+"
)</f>
        <v>25-34</v>
      </c>
      <c r="E235" s="1">
        <f>_xlfn.MINIFS(
   Sales_Performance[Date],
   Sales_Performance[Customer ID],
   A235
)</f>
        <v>45007</v>
      </c>
      <c r="F235" t="str">
        <f>IF(
   COUNTIF(Sales_Performance[Customer ID], A235) = 1,
   "One-Time Customer",
   "Repeat Customer"
)</f>
        <v>Repeat Customer</v>
      </c>
    </row>
    <row r="236" spans="1:6" x14ac:dyDescent="0.35">
      <c r="A236" t="s">
        <v>633</v>
      </c>
      <c r="B236" t="str">
        <f>VLOOKUP(A236,Sales_Performance[[Customer ID]:[Total Amount]],2,0)</f>
        <v>Male</v>
      </c>
      <c r="C236">
        <f>_xlfn.XLOOKUP(A236,Sales_Performance[Customer ID],Sales_Performance[Age],0)</f>
        <v>61</v>
      </c>
      <c r="D236" t="str" cm="1">
        <f t="array" ref="D236">_xlfn.IFS(
   C236 &lt; 18, "Under 18",
   C236 &lt;= 24, "18-24",
   C236 &lt;= 34, "25-34",
   C236 &lt;= 44, "35-44",
   C236 &lt;= 54, "45-54",
   C236 &lt;= 64, "55-64",
   TRUE, "65+"
)</f>
        <v>55-64</v>
      </c>
      <c r="E236" s="1">
        <f>_xlfn.MINIFS(
   Sales_Performance[Date],
   Sales_Performance[Customer ID],
   A236
)</f>
        <v>45062</v>
      </c>
      <c r="F236" t="str">
        <f>IF(
   COUNTIF(Sales_Performance[Customer ID], A236) = 1,
   "One-Time Customer",
   "Repeat Customer"
)</f>
        <v>Repeat Customer</v>
      </c>
    </row>
    <row r="237" spans="1:6" x14ac:dyDescent="0.35">
      <c r="A237" t="s">
        <v>603</v>
      </c>
      <c r="B237" t="str">
        <f>VLOOKUP(A237,Sales_Performance[[Customer ID]:[Total Amount]],2,0)</f>
        <v>Female</v>
      </c>
      <c r="C237">
        <f>_xlfn.XLOOKUP(A237,Sales_Performance[Customer ID],Sales_Performance[Age],0)</f>
        <v>60</v>
      </c>
      <c r="D237" t="str" cm="1">
        <f t="array" ref="D237">_xlfn.IFS(
   C237 &lt; 18, "Under 18",
   C237 &lt;= 24, "18-24",
   C237 &lt;= 34, "25-34",
   C237 &lt;= 44, "35-44",
   C237 &lt;= 54, "45-54",
   C237 &lt;= 64, "55-64",
   TRUE, "65+"
)</f>
        <v>55-64</v>
      </c>
      <c r="E237" s="1">
        <f>_xlfn.MINIFS(
   Sales_Performance[Date],
   Sales_Performance[Customer ID],
   A237
)</f>
        <v>45050</v>
      </c>
      <c r="F237" t="str">
        <f>IF(
   COUNTIF(Sales_Performance[Customer ID], A237) = 1,
   "One-Time Customer",
   "Repeat Customer"
)</f>
        <v>Repeat Customer</v>
      </c>
    </row>
    <row r="238" spans="1:6" x14ac:dyDescent="0.35">
      <c r="A238" t="s">
        <v>172</v>
      </c>
      <c r="B238" t="str">
        <f>VLOOKUP(A238,Sales_Performance[[Customer ID]:[Total Amount]],2,0)</f>
        <v>Female</v>
      </c>
      <c r="C238">
        <f>_xlfn.XLOOKUP(A238,Sales_Performance[Customer ID],Sales_Performance[Age],0)</f>
        <v>57</v>
      </c>
      <c r="D238" t="str" cm="1">
        <f t="array" ref="D238">_xlfn.IFS(
   C238 &lt; 18, "Under 18",
   C238 &lt;= 24, "18-24",
   C238 &lt;= 34, "25-34",
   C238 &lt;= 44, "35-44",
   C238 &lt;= 54, "45-54",
   C238 &lt;= 64, "55-64",
   TRUE, "65+"
)</f>
        <v>55-64</v>
      </c>
      <c r="E238" s="1">
        <f>_xlfn.MINIFS(
   Sales_Performance[Date],
   Sales_Performance[Customer ID],
   A238
)</f>
        <v>45003</v>
      </c>
      <c r="F238" t="str">
        <f>IF(
   COUNTIF(Sales_Performance[Customer ID], A238) = 1,
   "One-Time Customer",
   "Repeat Customer"
)</f>
        <v>One-Time Customer</v>
      </c>
    </row>
    <row r="239" spans="1:6" x14ac:dyDescent="0.35">
      <c r="A239" t="s">
        <v>1035</v>
      </c>
      <c r="B239" t="str">
        <f>VLOOKUP(A239,Sales_Performance[[Customer ID]:[Total Amount]],2,0)</f>
        <v>Female</v>
      </c>
      <c r="C239">
        <f>_xlfn.XLOOKUP(A239,Sales_Performance[Customer ID],Sales_Performance[Age],0)</f>
        <v>39</v>
      </c>
      <c r="D239" t="str" cm="1">
        <f t="array" ref="D239">_xlfn.IFS(
   C239 &lt; 18, "Under 18",
   C239 &lt;= 24, "18-24",
   C239 &lt;= 34, "25-34",
   C239 &lt;= 44, "35-44",
   C239 &lt;= 54, "45-54",
   C239 &lt;= 64, "55-64",
   TRUE, "65+"
)</f>
        <v>35-44</v>
      </c>
      <c r="E239" s="1">
        <f>_xlfn.MINIFS(
   Sales_Performance[Date],
   Sales_Performance[Customer ID],
   A239
)</f>
        <v>45244</v>
      </c>
      <c r="F239" t="str">
        <f>IF(
   COUNTIF(Sales_Performance[Customer ID], A239) = 1,
   "One-Time Customer",
   "Repeat Customer"
)</f>
        <v>Repeat Customer</v>
      </c>
    </row>
    <row r="240" spans="1:6" x14ac:dyDescent="0.35">
      <c r="A240" t="s">
        <v>508</v>
      </c>
      <c r="B240" t="str">
        <f>VLOOKUP(A240,Sales_Performance[[Customer ID]:[Total Amount]],2,0)</f>
        <v>Female</v>
      </c>
      <c r="C240">
        <f>_xlfn.XLOOKUP(A240,Sales_Performance[Customer ID],Sales_Performance[Age],0)</f>
        <v>44</v>
      </c>
      <c r="D240" t="str" cm="1">
        <f t="array" ref="D240">_xlfn.IFS(
   C240 &lt; 18, "Under 18",
   C240 &lt;= 24, "18-24",
   C240 &lt;= 34, "25-34",
   C240 &lt;= 44, "35-44",
   C240 &lt;= 54, "45-54",
   C240 &lt;= 64, "55-64",
   TRUE, "65+"
)</f>
        <v>35-44</v>
      </c>
      <c r="E240" s="1">
        <f>_xlfn.MINIFS(
   Sales_Performance[Date],
   Sales_Performance[Customer ID],
   A240
)</f>
        <v>45146</v>
      </c>
      <c r="F240" t="str">
        <f>IF(
   COUNTIF(Sales_Performance[Customer ID], A240) = 1,
   "One-Time Customer",
   "Repeat Customer"
)</f>
        <v>Repeat Customer</v>
      </c>
    </row>
    <row r="241" spans="1:6" x14ac:dyDescent="0.35">
      <c r="A241" t="s">
        <v>811</v>
      </c>
      <c r="B241" t="str">
        <f>VLOOKUP(A241,Sales_Performance[[Customer ID]:[Total Amount]],2,0)</f>
        <v>Female</v>
      </c>
      <c r="C241">
        <f>_xlfn.XLOOKUP(A241,Sales_Performance[Customer ID],Sales_Performance[Age],0)</f>
        <v>47</v>
      </c>
      <c r="D241" t="str" cm="1">
        <f t="array" ref="D241">_xlfn.IFS(
   C241 &lt; 18, "Under 18",
   C241 &lt;= 24, "18-24",
   C241 &lt;= 34, "25-34",
   C241 &lt;= 44, "35-44",
   C241 &lt;= 54, "45-54",
   C241 &lt;= 64, "55-64",
   TRUE, "65+"
)</f>
        <v>45-54</v>
      </c>
      <c r="E241" s="1">
        <f>_xlfn.MINIFS(
   Sales_Performance[Date],
   Sales_Performance[Customer ID],
   A241
)</f>
        <v>44962</v>
      </c>
      <c r="F241" t="str">
        <f>IF(
   COUNTIF(Sales_Performance[Customer ID], A241) = 1,
   "One-Time Customer",
   "Repeat Customer"
)</f>
        <v>Repeat Customer</v>
      </c>
    </row>
    <row r="242" spans="1:6" x14ac:dyDescent="0.35">
      <c r="A242" t="s">
        <v>1004</v>
      </c>
      <c r="B242" t="str">
        <f>VLOOKUP(A242,Sales_Performance[[Customer ID]:[Total Amount]],2,0)</f>
        <v>Male</v>
      </c>
      <c r="C242">
        <f>_xlfn.XLOOKUP(A242,Sales_Performance[Customer ID],Sales_Performance[Age],0)</f>
        <v>53</v>
      </c>
      <c r="D242" t="str" cm="1">
        <f t="array" ref="D242">_xlfn.IFS(
   C242 &lt; 18, "Under 18",
   C242 &lt;= 24, "18-24",
   C242 &lt;= 34, "25-34",
   C242 &lt;= 44, "35-44",
   C242 &lt;= 54, "45-54",
   C242 &lt;= 64, "55-64",
   TRUE, "65+"
)</f>
        <v>45-54</v>
      </c>
      <c r="E242" s="1">
        <f>_xlfn.MINIFS(
   Sales_Performance[Date],
   Sales_Performance[Customer ID],
   A242
)</f>
        <v>44945</v>
      </c>
      <c r="F242" t="str">
        <f>IF(
   COUNTIF(Sales_Performance[Customer ID], A242) = 1,
   "One-Time Customer",
   "Repeat Customer"
)</f>
        <v>Repeat Customer</v>
      </c>
    </row>
    <row r="243" spans="1:6" x14ac:dyDescent="0.35">
      <c r="A243" t="s">
        <v>217</v>
      </c>
      <c r="B243" t="str">
        <f>VLOOKUP(A243,Sales_Performance[[Customer ID]:[Total Amount]],2,0)</f>
        <v>Female</v>
      </c>
      <c r="C243">
        <f>_xlfn.XLOOKUP(A243,Sales_Performance[Customer ID],Sales_Performance[Age],0)</f>
        <v>22</v>
      </c>
      <c r="D243" t="str" cm="1">
        <f t="array" ref="D243">_xlfn.IFS(
   C243 &lt; 18, "Under 18",
   C243 &lt;= 24, "18-24",
   C243 &lt;= 34, "25-34",
   C243 &lt;= 44, "35-44",
   C243 &lt;= 54, "45-54",
   C243 &lt;= 64, "55-64",
   TRUE, "65+"
)</f>
        <v>18-24</v>
      </c>
      <c r="E243" s="1">
        <f>_xlfn.MINIFS(
   Sales_Performance[Date],
   Sales_Performance[Customer ID],
   A243
)</f>
        <v>45150</v>
      </c>
      <c r="F243" t="str">
        <f>IF(
   COUNTIF(Sales_Performance[Customer ID], A243) = 1,
   "One-Time Customer",
   "Repeat Customer"
)</f>
        <v>Repeat Customer</v>
      </c>
    </row>
    <row r="244" spans="1:6" x14ac:dyDescent="0.35">
      <c r="A244" t="s">
        <v>837</v>
      </c>
      <c r="B244" t="str">
        <f>VLOOKUP(A244,Sales_Performance[[Customer ID]:[Total Amount]],2,0)</f>
        <v>Female</v>
      </c>
      <c r="C244">
        <f>_xlfn.XLOOKUP(A244,Sales_Performance[Customer ID],Sales_Performance[Age],0)</f>
        <v>39</v>
      </c>
      <c r="D244" t="str" cm="1">
        <f t="array" ref="D244">_xlfn.IFS(
   C244 &lt; 18, "Under 18",
   C244 &lt;= 24, "18-24",
   C244 &lt;= 34, "25-34",
   C244 &lt;= 44, "35-44",
   C244 &lt;= 54, "45-54",
   C244 &lt;= 64, "55-64",
   TRUE, "65+"
)</f>
        <v>35-44</v>
      </c>
      <c r="E244" s="1">
        <f>_xlfn.MINIFS(
   Sales_Performance[Date],
   Sales_Performance[Customer ID],
   A244
)</f>
        <v>45066</v>
      </c>
      <c r="F244" t="str">
        <f>IF(
   COUNTIF(Sales_Performance[Customer ID], A244) = 1,
   "One-Time Customer",
   "Repeat Customer"
)</f>
        <v>One-Time Customer</v>
      </c>
    </row>
    <row r="245" spans="1:6" x14ac:dyDescent="0.35">
      <c r="A245" t="s">
        <v>313</v>
      </c>
      <c r="B245" t="str">
        <f>VLOOKUP(A245,Sales_Performance[[Customer ID]:[Total Amount]],2,0)</f>
        <v>Female</v>
      </c>
      <c r="C245">
        <f>_xlfn.XLOOKUP(A245,Sales_Performance[Customer ID],Sales_Performance[Age],0)</f>
        <v>20</v>
      </c>
      <c r="D245" t="str" cm="1">
        <f t="array" ref="D245">_xlfn.IFS(
   C245 &lt; 18, "Under 18",
   C245 &lt;= 24, "18-24",
   C245 &lt;= 34, "25-34",
   C245 &lt;= 44, "35-44",
   C245 &lt;= 54, "45-54",
   C245 &lt;= 64, "55-64",
   TRUE, "65+"
)</f>
        <v>18-24</v>
      </c>
      <c r="E245" s="1">
        <f>_xlfn.MINIFS(
   Sales_Performance[Date],
   Sales_Performance[Customer ID],
   A245
)</f>
        <v>45056</v>
      </c>
      <c r="F245" t="str">
        <f>IF(
   COUNTIF(Sales_Performance[Customer ID], A245) = 1,
   "One-Time Customer",
   "Repeat Customer"
)</f>
        <v>Repeat Customer</v>
      </c>
    </row>
    <row r="246" spans="1:6" x14ac:dyDescent="0.35">
      <c r="A246" t="s">
        <v>816</v>
      </c>
      <c r="B246" t="str">
        <f>VLOOKUP(A246,Sales_Performance[[Customer ID]:[Total Amount]],2,0)</f>
        <v>Male</v>
      </c>
      <c r="C246">
        <f>_xlfn.XLOOKUP(A246,Sales_Performance[Customer ID],Sales_Performance[Age],0)</f>
        <v>63</v>
      </c>
      <c r="D246" t="str" cm="1">
        <f t="array" ref="D246">_xlfn.IFS(
   C246 &lt; 18, "Under 18",
   C246 &lt;= 24, "18-24",
   C246 &lt;= 34, "25-34",
   C246 &lt;= 44, "35-44",
   C246 &lt;= 54, "45-54",
   C246 &lt;= 64, "55-64",
   TRUE, "65+"
)</f>
        <v>55-64</v>
      </c>
      <c r="E246" s="1">
        <f>_xlfn.MINIFS(
   Sales_Performance[Date],
   Sales_Performance[Customer ID],
   A246
)</f>
        <v>44956</v>
      </c>
      <c r="F246" t="str">
        <f>IF(
   COUNTIF(Sales_Performance[Customer ID], A246) = 1,
   "One-Time Customer",
   "Repeat Customer"
)</f>
        <v>Repeat Customer</v>
      </c>
    </row>
    <row r="247" spans="1:6" x14ac:dyDescent="0.35">
      <c r="A247" t="s">
        <v>1038</v>
      </c>
      <c r="B247" t="str">
        <f>VLOOKUP(A247,Sales_Performance[[Customer ID]:[Total Amount]],2,0)</f>
        <v>Male</v>
      </c>
      <c r="C247">
        <f>_xlfn.XLOOKUP(A247,Sales_Performance[Customer ID],Sales_Performance[Age],0)</f>
        <v>54</v>
      </c>
      <c r="D247" t="str" cm="1">
        <f t="array" ref="D247">_xlfn.IFS(
   C247 &lt; 18, "Under 18",
   C247 &lt;= 24, "18-24",
   C247 &lt;= 34, "25-34",
   C247 &lt;= 44, "35-44",
   C247 &lt;= 54, "45-54",
   C247 &lt;= 64, "55-64",
   TRUE, "65+"
)</f>
        <v>45-54</v>
      </c>
      <c r="E247" s="1">
        <f>_xlfn.MINIFS(
   Sales_Performance[Date],
   Sales_Performance[Customer ID],
   A247
)</f>
        <v>45051</v>
      </c>
      <c r="F247" t="str">
        <f>IF(
   COUNTIF(Sales_Performance[Customer ID], A247) = 1,
   "One-Time Customer",
   "Repeat Customer"
)</f>
        <v>Repeat Customer</v>
      </c>
    </row>
    <row r="248" spans="1:6" x14ac:dyDescent="0.35">
      <c r="A248" t="s">
        <v>1224</v>
      </c>
      <c r="B248" t="str">
        <f>VLOOKUP(A248,Sales_Performance[[Customer ID]:[Total Amount]],2,0)</f>
        <v>Male</v>
      </c>
      <c r="C248">
        <f>_xlfn.XLOOKUP(A248,Sales_Performance[Customer ID],Sales_Performance[Age],0)</f>
        <v>31</v>
      </c>
      <c r="D248" t="str" cm="1">
        <f t="array" ref="D248">_xlfn.IFS(
   C248 &lt; 18, "Under 18",
   C248 &lt;= 24, "18-24",
   C248 &lt;= 34, "25-34",
   C248 &lt;= 44, "35-44",
   C248 &lt;= 54, "45-54",
   C248 &lt;= 64, "55-64",
   TRUE, "65+"
)</f>
        <v>25-34</v>
      </c>
      <c r="E248" s="1">
        <f>_xlfn.MINIFS(
   Sales_Performance[Date],
   Sales_Performance[Customer ID],
   A248
)</f>
        <v>44934</v>
      </c>
      <c r="F248" t="str">
        <f>IF(
   COUNTIF(Sales_Performance[Customer ID], A248) = 1,
   "One-Time Customer",
   "Repeat Customer"
)</f>
        <v>Repeat Customer</v>
      </c>
    </row>
    <row r="249" spans="1:6" x14ac:dyDescent="0.35">
      <c r="A249" t="s">
        <v>688</v>
      </c>
      <c r="B249" t="str">
        <f>VLOOKUP(A249,Sales_Performance[[Customer ID]:[Total Amount]],2,0)</f>
        <v>Female</v>
      </c>
      <c r="C249">
        <f>_xlfn.XLOOKUP(A249,Sales_Performance[Customer ID],Sales_Performance[Age],0)</f>
        <v>54</v>
      </c>
      <c r="D249" t="str" cm="1">
        <f t="array" ref="D249">_xlfn.IFS(
   C249 &lt; 18, "Under 18",
   C249 &lt;= 24, "18-24",
   C249 &lt;= 34, "25-34",
   C249 &lt;= 44, "35-44",
   C249 &lt;= 54, "45-54",
   C249 &lt;= 64, "55-64",
   TRUE, "65+"
)</f>
        <v>45-54</v>
      </c>
      <c r="E249" s="1">
        <f>_xlfn.MINIFS(
   Sales_Performance[Date],
   Sales_Performance[Customer ID],
   A249
)</f>
        <v>44947</v>
      </c>
      <c r="F249" t="str">
        <f>IF(
   COUNTIF(Sales_Performance[Customer ID], A249) = 1,
   "One-Time Customer",
   "Repeat Customer"
)</f>
        <v>Repeat Customer</v>
      </c>
    </row>
    <row r="250" spans="1:6" x14ac:dyDescent="0.35">
      <c r="A250" t="s">
        <v>690</v>
      </c>
      <c r="B250" t="str">
        <f>VLOOKUP(A250,Sales_Performance[[Customer ID]:[Total Amount]],2,0)</f>
        <v>Female</v>
      </c>
      <c r="C250">
        <f>_xlfn.XLOOKUP(A250,Sales_Performance[Customer ID],Sales_Performance[Age],0)</f>
        <v>56</v>
      </c>
      <c r="D250" t="str" cm="1">
        <f t="array" ref="D250">_xlfn.IFS(
   C250 &lt; 18, "Under 18",
   C250 &lt;= 24, "18-24",
   C250 &lt;= 34, "25-34",
   C250 &lt;= 44, "35-44",
   C250 &lt;= 54, "45-54",
   C250 &lt;= 64, "55-64",
   TRUE, "65+"
)</f>
        <v>55-64</v>
      </c>
      <c r="E250" s="1">
        <f>_xlfn.MINIFS(
   Sales_Performance[Date],
   Sales_Performance[Customer ID],
   A250
)</f>
        <v>45011</v>
      </c>
      <c r="F250" t="str">
        <f>IF(
   COUNTIF(Sales_Performance[Customer ID], A250) = 1,
   "One-Time Customer",
   "Repeat Customer"
)</f>
        <v>Repeat Customer</v>
      </c>
    </row>
    <row r="251" spans="1:6" x14ac:dyDescent="0.35">
      <c r="A251" t="s">
        <v>1469</v>
      </c>
      <c r="B251" t="str">
        <f>VLOOKUP(A251,Sales_Performance[[Customer ID]:[Total Amount]],2,0)</f>
        <v>Male</v>
      </c>
      <c r="C251">
        <f>_xlfn.XLOOKUP(A251,Sales_Performance[Customer ID],Sales_Performance[Age],0)</f>
        <v>54</v>
      </c>
      <c r="D251" t="str" cm="1">
        <f t="array" ref="D251">_xlfn.IFS(
   C251 &lt; 18, "Under 18",
   C251 &lt;= 24, "18-24",
   C251 &lt;= 34, "25-34",
   C251 &lt;= 44, "35-44",
   C251 &lt;= 54, "45-54",
   C251 &lt;= 64, "55-64",
   TRUE, "65+"
)</f>
        <v>45-54</v>
      </c>
      <c r="E251" s="1">
        <f>_xlfn.MINIFS(
   Sales_Performance[Date],
   Sales_Performance[Customer ID],
   A251
)</f>
        <v>44971</v>
      </c>
      <c r="F251" t="str">
        <f>IF(
   COUNTIF(Sales_Performance[Customer ID], A251) = 1,
   "One-Time Customer",
   "Repeat Customer"
)</f>
        <v>Repeat Customer</v>
      </c>
    </row>
    <row r="252" spans="1:6" x14ac:dyDescent="0.35">
      <c r="A252" t="s">
        <v>476</v>
      </c>
      <c r="B252" t="str">
        <f>VLOOKUP(A252,Sales_Performance[[Customer ID]:[Total Amount]],2,0)</f>
        <v>Female</v>
      </c>
      <c r="C252">
        <f>_xlfn.XLOOKUP(A252,Sales_Performance[Customer ID],Sales_Performance[Age],0)</f>
        <v>56</v>
      </c>
      <c r="D252" t="str" cm="1">
        <f t="array" ref="D252">_xlfn.IFS(
   C252 &lt; 18, "Under 18",
   C252 &lt;= 24, "18-24",
   C252 &lt;= 34, "25-34",
   C252 &lt;= 44, "35-44",
   C252 &lt;= 54, "45-54",
   C252 &lt;= 64, "55-64",
   TRUE, "65+"
)</f>
        <v>55-64</v>
      </c>
      <c r="E252" s="1">
        <f>_xlfn.MINIFS(
   Sales_Performance[Date],
   Sales_Performance[Customer ID],
   A252
)</f>
        <v>45110</v>
      </c>
      <c r="F252" t="str">
        <f>IF(
   COUNTIF(Sales_Performance[Customer ID], A252) = 1,
   "One-Time Customer",
   "Repeat Customer"
)</f>
        <v>Repeat Customer</v>
      </c>
    </row>
    <row r="253" spans="1:6" x14ac:dyDescent="0.35">
      <c r="A253" t="s">
        <v>525</v>
      </c>
      <c r="B253" t="str">
        <f>VLOOKUP(A253,Sales_Performance[[Customer ID]:[Total Amount]],2,0)</f>
        <v>Female</v>
      </c>
      <c r="C253">
        <f>_xlfn.XLOOKUP(A253,Sales_Performance[Customer ID],Sales_Performance[Age],0)</f>
        <v>52</v>
      </c>
      <c r="D253" t="str" cm="1">
        <f t="array" ref="D253">_xlfn.IFS(
   C253 &lt; 18, "Under 18",
   C253 &lt;= 24, "18-24",
   C253 &lt;= 34, "25-34",
   C253 &lt;= 44, "35-44",
   C253 &lt;= 54, "45-54",
   C253 &lt;= 64, "55-64",
   TRUE, "65+"
)</f>
        <v>45-54</v>
      </c>
      <c r="E253" s="1">
        <f>_xlfn.MINIFS(
   Sales_Performance[Date],
   Sales_Performance[Customer ID],
   A253
)</f>
        <v>45060</v>
      </c>
      <c r="F253" t="str">
        <f>IF(
   COUNTIF(Sales_Performance[Customer ID], A253) = 1,
   "One-Time Customer",
   "Repeat Customer"
)</f>
        <v>Repeat Customer</v>
      </c>
    </row>
    <row r="254" spans="1:6" x14ac:dyDescent="0.35">
      <c r="A254" t="s">
        <v>47</v>
      </c>
      <c r="B254" t="str">
        <f>VLOOKUP(A254,Sales_Performance[[Customer ID]:[Total Amount]],2,0)</f>
        <v>Female</v>
      </c>
      <c r="C254">
        <f>_xlfn.XLOOKUP(A254,Sales_Performance[Customer ID],Sales_Performance[Age],0)</f>
        <v>23</v>
      </c>
      <c r="D254" t="str" cm="1">
        <f t="array" ref="D254">_xlfn.IFS(
   C254 &lt; 18, "Under 18",
   C254 &lt;= 24, "18-24",
   C254 &lt;= 34, "25-34",
   C254 &lt;= 44, "35-44",
   C254 &lt;= 54, "45-54",
   C254 &lt;= 64, "55-64",
   TRUE, "65+"
)</f>
        <v>18-24</v>
      </c>
      <c r="E254" s="1">
        <f>_xlfn.MINIFS(
   Sales_Performance[Date],
   Sales_Performance[Customer ID],
   A254
)</f>
        <v>45212</v>
      </c>
      <c r="F254" t="str">
        <f>IF(
   COUNTIF(Sales_Performance[Customer ID], A254) = 1,
   "One-Time Customer",
   "Repeat Customer"
)</f>
        <v>One-Time Customer</v>
      </c>
    </row>
    <row r="255" spans="1:6" x14ac:dyDescent="0.35">
      <c r="A255" t="s">
        <v>934</v>
      </c>
      <c r="B255" t="str">
        <f>VLOOKUP(A255,Sales_Performance[[Customer ID]:[Total Amount]],2,0)</f>
        <v>Male</v>
      </c>
      <c r="C255">
        <f>_xlfn.XLOOKUP(A255,Sales_Performance[Customer ID],Sales_Performance[Age],0)</f>
        <v>64</v>
      </c>
      <c r="D255" t="str" cm="1">
        <f t="array" ref="D255">_xlfn.IFS(
   C255 &lt; 18, "Under 18",
   C255 &lt;= 24, "18-24",
   C255 &lt;= 34, "25-34",
   C255 &lt;= 44, "35-44",
   C255 &lt;= 54, "45-54",
   C255 &lt;= 64, "55-64",
   TRUE, "65+"
)</f>
        <v>55-64</v>
      </c>
      <c r="E255" s="1">
        <f>_xlfn.MINIFS(
   Sales_Performance[Date],
   Sales_Performance[Customer ID],
   A255
)</f>
        <v>45080</v>
      </c>
      <c r="F255" t="str">
        <f>IF(
   COUNTIF(Sales_Performance[Customer ID], A255) = 1,
   "One-Time Customer",
   "Repeat Customer"
)</f>
        <v>Repeat Customer</v>
      </c>
    </row>
    <row r="256" spans="1:6" x14ac:dyDescent="0.35">
      <c r="A256" t="s">
        <v>1170</v>
      </c>
      <c r="B256" t="str">
        <f>VLOOKUP(A256,Sales_Performance[[Customer ID]:[Total Amount]],2,0)</f>
        <v>Male</v>
      </c>
      <c r="C256">
        <f>_xlfn.XLOOKUP(A256,Sales_Performance[Customer ID],Sales_Performance[Age],0)</f>
        <v>61</v>
      </c>
      <c r="D256" t="str" cm="1">
        <f t="array" ref="D256">_xlfn.IFS(
   C256 &lt; 18, "Under 18",
   C256 &lt;= 24, "18-24",
   C256 &lt;= 34, "25-34",
   C256 &lt;= 44, "35-44",
   C256 &lt;= 54, "45-54",
   C256 &lt;= 64, "55-64",
   TRUE, "65+"
)</f>
        <v>55-64</v>
      </c>
      <c r="E256" s="1">
        <f>_xlfn.MINIFS(
   Sales_Performance[Date],
   Sales_Performance[Customer ID],
   A256
)</f>
        <v>45035</v>
      </c>
      <c r="F256" t="str">
        <f>IF(
   COUNTIF(Sales_Performance[Customer ID], A256) = 1,
   "One-Time Customer",
   "Repeat Customer"
)</f>
        <v>Repeat Customer</v>
      </c>
    </row>
    <row r="257" spans="1:6" x14ac:dyDescent="0.35">
      <c r="A257" t="s">
        <v>325</v>
      </c>
      <c r="B257" t="str">
        <f>VLOOKUP(A257,Sales_Performance[[Customer ID]:[Total Amount]],2,0)</f>
        <v>Female</v>
      </c>
      <c r="C257">
        <f>_xlfn.XLOOKUP(A257,Sales_Performance[Customer ID],Sales_Performance[Age],0)</f>
        <v>29</v>
      </c>
      <c r="D257" t="str" cm="1">
        <f t="array" ref="D257">_xlfn.IFS(
   C257 &lt; 18, "Under 18",
   C257 &lt;= 24, "18-24",
   C257 &lt;= 34, "25-34",
   C257 &lt;= 44, "35-44",
   C257 &lt;= 54, "45-54",
   C257 &lt;= 64, "55-64",
   TRUE, "65+"
)</f>
        <v>25-34</v>
      </c>
      <c r="E257" s="1">
        <f>_xlfn.MINIFS(
   Sales_Performance[Date],
   Sales_Performance[Customer ID],
   A257
)</f>
        <v>45046</v>
      </c>
      <c r="F257" t="str">
        <f>IF(
   COUNTIF(Sales_Performance[Customer ID], A257) = 1,
   "One-Time Customer",
   "Repeat Customer"
)</f>
        <v>Repeat Customer</v>
      </c>
    </row>
    <row r="258" spans="1:6" x14ac:dyDescent="0.35">
      <c r="A258" t="s">
        <v>1422</v>
      </c>
      <c r="B258" t="str">
        <f>VLOOKUP(A258,Sales_Performance[[Customer ID]:[Total Amount]],2,0)</f>
        <v>Female</v>
      </c>
      <c r="C258">
        <f>_xlfn.XLOOKUP(A258,Sales_Performance[Customer ID],Sales_Performance[Age],0)</f>
        <v>31</v>
      </c>
      <c r="D258" t="str" cm="1">
        <f t="array" ref="D258">_xlfn.IFS(
   C258 &lt; 18, "Under 18",
   C258 &lt;= 24, "18-24",
   C258 &lt;= 34, "25-34",
   C258 &lt;= 44, "35-44",
   C258 &lt;= 54, "45-54",
   C258 &lt;= 64, "55-64",
   TRUE, "65+"
)</f>
        <v>25-34</v>
      </c>
      <c r="E258" s="1">
        <f>_xlfn.MINIFS(
   Sales_Performance[Date],
   Sales_Performance[Customer ID],
   A258
)</f>
        <v>45136</v>
      </c>
      <c r="F258" t="str">
        <f>IF(
   COUNTIF(Sales_Performance[Customer ID], A258) = 1,
   "One-Time Customer",
   "Repeat Customer"
)</f>
        <v>One-Time Customer</v>
      </c>
    </row>
    <row r="259" spans="1:6" x14ac:dyDescent="0.35">
      <c r="A259" t="s">
        <v>883</v>
      </c>
      <c r="B259" t="str">
        <f>VLOOKUP(A259,Sales_Performance[[Customer ID]:[Total Amount]],2,0)</f>
        <v>Male</v>
      </c>
      <c r="C259">
        <f>_xlfn.XLOOKUP(A259,Sales_Performance[Customer ID],Sales_Performance[Age],0)</f>
        <v>35</v>
      </c>
      <c r="D259" t="str" cm="1">
        <f t="array" ref="D259">_xlfn.IFS(
   C259 &lt; 18, "Under 18",
   C259 &lt;= 24, "18-24",
   C259 &lt;= 34, "25-34",
   C259 &lt;= 44, "35-44",
   C259 &lt;= 54, "45-54",
   C259 &lt;= 64, "55-64",
   TRUE, "65+"
)</f>
        <v>35-44</v>
      </c>
      <c r="E259" s="1">
        <f>_xlfn.MINIFS(
   Sales_Performance[Date],
   Sales_Performance[Customer ID],
   A259
)</f>
        <v>45229</v>
      </c>
      <c r="F259" t="str">
        <f>IF(
   COUNTIF(Sales_Performance[Customer ID], A259) = 1,
   "One-Time Customer",
   "Repeat Customer"
)</f>
        <v>Repeat Customer</v>
      </c>
    </row>
    <row r="260" spans="1:6" x14ac:dyDescent="0.35">
      <c r="A260" t="s">
        <v>187</v>
      </c>
      <c r="B260" t="str">
        <f>VLOOKUP(A260,Sales_Performance[[Customer ID]:[Total Amount]],2,0)</f>
        <v>Male</v>
      </c>
      <c r="C260">
        <f>_xlfn.XLOOKUP(A260,Sales_Performance[Customer ID],Sales_Performance[Age],0)</f>
        <v>21</v>
      </c>
      <c r="D260" t="str" cm="1">
        <f t="array" ref="D260">_xlfn.IFS(
   C260 &lt; 18, "Under 18",
   C260 &lt;= 24, "18-24",
   C260 &lt;= 34, "25-34",
   C260 &lt;= 44, "35-44",
   C260 &lt;= 54, "45-54",
   C260 &lt;= 64, "55-64",
   TRUE, "65+"
)</f>
        <v>18-24</v>
      </c>
      <c r="E260" s="1">
        <f>_xlfn.MINIFS(
   Sales_Performance[Date],
   Sales_Performance[Customer ID],
   A260
)</f>
        <v>45060</v>
      </c>
      <c r="F260" t="str">
        <f>IF(
   COUNTIF(Sales_Performance[Customer ID], A260) = 1,
   "One-Time Customer",
   "Repeat Customer"
)</f>
        <v>Repeat Customer</v>
      </c>
    </row>
    <row r="261" spans="1:6" x14ac:dyDescent="0.35">
      <c r="A261" t="s">
        <v>1332</v>
      </c>
      <c r="B261" t="str">
        <f>VLOOKUP(A261,Sales_Performance[[Customer ID]:[Total Amount]],2,0)</f>
        <v>Female</v>
      </c>
      <c r="C261">
        <f>_xlfn.XLOOKUP(A261,Sales_Performance[Customer ID],Sales_Performance[Age],0)</f>
        <v>37</v>
      </c>
      <c r="D261" t="str" cm="1">
        <f t="array" ref="D261">_xlfn.IFS(
   C261 &lt; 18, "Under 18",
   C261 &lt;= 24, "18-24",
   C261 &lt;= 34, "25-34",
   C261 &lt;= 44, "35-44",
   C261 &lt;= 54, "45-54",
   C261 &lt;= 64, "55-64",
   TRUE, "65+"
)</f>
        <v>35-44</v>
      </c>
      <c r="E261" s="1">
        <f>_xlfn.MINIFS(
   Sales_Performance[Date],
   Sales_Performance[Customer ID],
   A261
)</f>
        <v>45034</v>
      </c>
      <c r="F261" t="str">
        <f>IF(
   COUNTIF(Sales_Performance[Customer ID], A261) = 1,
   "One-Time Customer",
   "Repeat Customer"
)</f>
        <v>Repeat Customer</v>
      </c>
    </row>
    <row r="262" spans="1:6" x14ac:dyDescent="0.35">
      <c r="A262" t="s">
        <v>463</v>
      </c>
      <c r="B262" t="str">
        <f>VLOOKUP(A262,Sales_Performance[[Customer ID]:[Total Amount]],2,0)</f>
        <v>Female</v>
      </c>
      <c r="C262">
        <f>_xlfn.XLOOKUP(A262,Sales_Performance[Customer ID],Sales_Performance[Age],0)</f>
        <v>53</v>
      </c>
      <c r="D262" t="str" cm="1">
        <f t="array" ref="D262">_xlfn.IFS(
   C262 &lt; 18, "Under 18",
   C262 &lt;= 24, "18-24",
   C262 &lt;= 34, "25-34",
   C262 &lt;= 44, "35-44",
   C262 &lt;= 54, "45-54",
   C262 &lt;= 64, "55-64",
   TRUE, "65+"
)</f>
        <v>45-54</v>
      </c>
      <c r="E262" s="1">
        <f>_xlfn.MINIFS(
   Sales_Performance[Date],
   Sales_Performance[Customer ID],
   A262
)</f>
        <v>45158</v>
      </c>
      <c r="F262" t="str">
        <f>IF(
   COUNTIF(Sales_Performance[Customer ID], A262) = 1,
   "One-Time Customer",
   "Repeat Customer"
)</f>
        <v>Repeat Customer</v>
      </c>
    </row>
    <row r="263" spans="1:6" x14ac:dyDescent="0.35">
      <c r="A263" t="s">
        <v>30</v>
      </c>
      <c r="B263" t="str">
        <f>VLOOKUP(A263,Sales_Performance[[Customer ID]:[Total Amount]],2,0)</f>
        <v>Male</v>
      </c>
      <c r="C263">
        <f>_xlfn.XLOOKUP(A263,Sales_Performance[Customer ID],Sales_Performance[Age],0)</f>
        <v>39</v>
      </c>
      <c r="D263" t="str" cm="1">
        <f t="array" ref="D263">_xlfn.IFS(
   C263 &lt; 18, "Under 18",
   C263 &lt;= 24, "18-24",
   C263 &lt;= 34, "25-34",
   C263 &lt;= 44, "35-44",
   C263 &lt;= 54, "45-54",
   C263 &lt;= 64, "55-64",
   TRUE, "65+"
)</f>
        <v>35-44</v>
      </c>
      <c r="E263" s="1">
        <f>_xlfn.MINIFS(
   Sales_Performance[Date],
   Sales_Performance[Customer ID],
   A263
)</f>
        <v>44963</v>
      </c>
      <c r="F263" t="str">
        <f>IF(
   COUNTIF(Sales_Performance[Customer ID], A263) = 1,
   "One-Time Customer",
   "Repeat Customer"
)</f>
        <v>Repeat Customer</v>
      </c>
    </row>
    <row r="264" spans="1:6" x14ac:dyDescent="0.35">
      <c r="A264" t="s">
        <v>529</v>
      </c>
      <c r="B264" t="str">
        <f>VLOOKUP(A264,Sales_Performance[[Customer ID]:[Total Amount]],2,0)</f>
        <v>Male</v>
      </c>
      <c r="C264">
        <f>_xlfn.XLOOKUP(A264,Sales_Performance[Customer ID],Sales_Performance[Age],0)</f>
        <v>38</v>
      </c>
      <c r="D264" t="str" cm="1">
        <f t="array" ref="D264">_xlfn.IFS(
   C264 &lt; 18, "Under 18",
   C264 &lt;= 24, "18-24",
   C264 &lt;= 34, "25-34",
   C264 &lt;= 44, "35-44",
   C264 &lt;= 54, "45-54",
   C264 &lt;= 64, "55-64",
   TRUE, "65+"
)</f>
        <v>35-44</v>
      </c>
      <c r="E264" s="1">
        <f>_xlfn.MINIFS(
   Sales_Performance[Date],
   Sales_Performance[Customer ID],
   A264
)</f>
        <v>45006</v>
      </c>
      <c r="F264" t="str">
        <f>IF(
   COUNTIF(Sales_Performance[Customer ID], A264) = 1,
   "One-Time Customer",
   "Repeat Customer"
)</f>
        <v>Repeat Customer</v>
      </c>
    </row>
    <row r="265" spans="1:6" x14ac:dyDescent="0.35">
      <c r="A265" t="s">
        <v>448</v>
      </c>
      <c r="B265" t="str">
        <f>VLOOKUP(A265,Sales_Performance[[Customer ID]:[Total Amount]],2,0)</f>
        <v>Male</v>
      </c>
      <c r="C265">
        <f>_xlfn.XLOOKUP(A265,Sales_Performance[Customer ID],Sales_Performance[Age],0)</f>
        <v>35</v>
      </c>
      <c r="D265" t="str" cm="1">
        <f t="array" ref="D265">_xlfn.IFS(
   C265 &lt; 18, "Under 18",
   C265 &lt;= 24, "18-24",
   C265 &lt;= 34, "25-34",
   C265 &lt;= 44, "35-44",
   C265 &lt;= 54, "45-54",
   C265 &lt;= 64, "55-64",
   TRUE, "65+"
)</f>
        <v>35-44</v>
      </c>
      <c r="E265" s="1">
        <f>_xlfn.MINIFS(
   Sales_Performance[Date],
   Sales_Performance[Customer ID],
   A265
)</f>
        <v>44970</v>
      </c>
      <c r="F265" t="str">
        <f>IF(
   COUNTIF(Sales_Performance[Customer ID], A265) = 1,
   "One-Time Customer",
   "Repeat Customer"
)</f>
        <v>Repeat Customer</v>
      </c>
    </row>
    <row r="266" spans="1:6" x14ac:dyDescent="0.35">
      <c r="A266" t="s">
        <v>1186</v>
      </c>
      <c r="B266" t="str">
        <f>VLOOKUP(A266,Sales_Performance[[Customer ID]:[Total Amount]],2,0)</f>
        <v>Male</v>
      </c>
      <c r="C266">
        <f>_xlfn.XLOOKUP(A266,Sales_Performance[Customer ID],Sales_Performance[Age],0)</f>
        <v>40</v>
      </c>
      <c r="D266" t="str" cm="1">
        <f t="array" ref="D266">_xlfn.IFS(
   C266 &lt; 18, "Under 18",
   C266 &lt;= 24, "18-24",
   C266 &lt;= 34, "25-34",
   C266 &lt;= 44, "35-44",
   C266 &lt;= 54, "45-54",
   C266 &lt;= 64, "55-64",
   TRUE, "65+"
)</f>
        <v>35-44</v>
      </c>
      <c r="E266" s="1">
        <f>_xlfn.MINIFS(
   Sales_Performance[Date],
   Sales_Performance[Customer ID],
   A266
)</f>
        <v>45053</v>
      </c>
      <c r="F266" t="str">
        <f>IF(
   COUNTIF(Sales_Performance[Customer ID], A266) = 1,
   "One-Time Customer",
   "Repeat Customer"
)</f>
        <v>One-Time Customer</v>
      </c>
    </row>
    <row r="267" spans="1:6" x14ac:dyDescent="0.35">
      <c r="A267" t="s">
        <v>1163</v>
      </c>
      <c r="B267" t="str">
        <f>VLOOKUP(A267,Sales_Performance[[Customer ID]:[Total Amount]],2,0)</f>
        <v>Male</v>
      </c>
      <c r="C267">
        <f>_xlfn.XLOOKUP(A267,Sales_Performance[Customer ID],Sales_Performance[Age],0)</f>
        <v>62</v>
      </c>
      <c r="D267" t="str" cm="1">
        <f t="array" ref="D267">_xlfn.IFS(
   C267 &lt; 18, "Under 18",
   C267 &lt;= 24, "18-24",
   C267 &lt;= 34, "25-34",
   C267 &lt;= 44, "35-44",
   C267 &lt;= 54, "45-54",
   C267 &lt;= 64, "55-64",
   TRUE, "65+"
)</f>
        <v>55-64</v>
      </c>
      <c r="E267" s="1">
        <f>_xlfn.MINIFS(
   Sales_Performance[Date],
   Sales_Performance[Customer ID],
   A267
)</f>
        <v>44967</v>
      </c>
      <c r="F267" t="str">
        <f>IF(
   COUNTIF(Sales_Performance[Customer ID], A267) = 1,
   "One-Time Customer",
   "Repeat Customer"
)</f>
        <v>One-Time Customer</v>
      </c>
    </row>
    <row r="268" spans="1:6" x14ac:dyDescent="0.35">
      <c r="A268" t="s">
        <v>268</v>
      </c>
      <c r="B268" t="str">
        <f>VLOOKUP(A268,Sales_Performance[[Customer ID]:[Total Amount]],2,0)</f>
        <v>Male</v>
      </c>
      <c r="C268">
        <f>_xlfn.XLOOKUP(A268,Sales_Performance[Customer ID],Sales_Performance[Age],0)</f>
        <v>28</v>
      </c>
      <c r="D268" t="str" cm="1">
        <f t="array" ref="D268">_xlfn.IFS(
   C268 &lt; 18, "Under 18",
   C268 &lt;= 24, "18-24",
   C268 &lt;= 34, "25-34",
   C268 &lt;= 44, "35-44",
   C268 &lt;= 54, "45-54",
   C268 &lt;= 64, "55-64",
   TRUE, "65+"
)</f>
        <v>25-34</v>
      </c>
      <c r="E268" s="1">
        <f>_xlfn.MINIFS(
   Sales_Performance[Date],
   Sales_Performance[Customer ID],
   A268
)</f>
        <v>45213</v>
      </c>
      <c r="F268" t="str">
        <f>IF(
   COUNTIF(Sales_Performance[Customer ID], A268) = 1,
   "One-Time Customer",
   "Repeat Customer"
)</f>
        <v>Repeat Customer</v>
      </c>
    </row>
    <row r="269" spans="1:6" x14ac:dyDescent="0.35">
      <c r="A269" t="s">
        <v>967</v>
      </c>
      <c r="B269" t="str">
        <f>VLOOKUP(A269,Sales_Performance[[Customer ID]:[Total Amount]],2,0)</f>
        <v>Male</v>
      </c>
      <c r="C269">
        <f>_xlfn.XLOOKUP(A269,Sales_Performance[Customer ID],Sales_Performance[Age],0)</f>
        <v>20</v>
      </c>
      <c r="D269" t="str" cm="1">
        <f t="array" ref="D269">_xlfn.IFS(
   C269 &lt; 18, "Under 18",
   C269 &lt;= 24, "18-24",
   C269 &lt;= 34, "25-34",
   C269 &lt;= 44, "35-44",
   C269 &lt;= 54, "45-54",
   C269 &lt;= 64, "55-64",
   TRUE, "65+"
)</f>
        <v>18-24</v>
      </c>
      <c r="E269" s="1">
        <f>_xlfn.MINIFS(
   Sales_Performance[Date],
   Sales_Performance[Customer ID],
   A269
)</f>
        <v>44973</v>
      </c>
      <c r="F269" t="str">
        <f>IF(
   COUNTIF(Sales_Performance[Customer ID], A269) = 1,
   "One-Time Customer",
   "Repeat Customer"
)</f>
        <v>Repeat Customer</v>
      </c>
    </row>
    <row r="270" spans="1:6" x14ac:dyDescent="0.35">
      <c r="A270" t="s">
        <v>1184</v>
      </c>
      <c r="B270" t="str">
        <f>VLOOKUP(A270,Sales_Performance[[Customer ID]:[Total Amount]],2,0)</f>
        <v>Female</v>
      </c>
      <c r="C270">
        <f>_xlfn.XLOOKUP(A270,Sales_Performance[Customer ID],Sales_Performance[Age],0)</f>
        <v>64</v>
      </c>
      <c r="D270" t="str" cm="1">
        <f t="array" ref="D270">_xlfn.IFS(
   C270 &lt; 18, "Under 18",
   C270 &lt;= 24, "18-24",
   C270 &lt;= 34, "25-34",
   C270 &lt;= 44, "35-44",
   C270 &lt;= 54, "45-54",
   C270 &lt;= 64, "55-64",
   TRUE, "65+"
)</f>
        <v>55-64</v>
      </c>
      <c r="E270" s="1">
        <f>_xlfn.MINIFS(
   Sales_Performance[Date],
   Sales_Performance[Customer ID],
   A270
)</f>
        <v>45024</v>
      </c>
      <c r="F270" t="str">
        <f>IF(
   COUNTIF(Sales_Performance[Customer ID], A270) = 1,
   "One-Time Customer",
   "Repeat Customer"
)</f>
        <v>Repeat Customer</v>
      </c>
    </row>
    <row r="271" spans="1:6" x14ac:dyDescent="0.35">
      <c r="A271" t="s">
        <v>20</v>
      </c>
      <c r="B271" t="str">
        <f>VLOOKUP(A271,Sales_Performance[[Customer ID]:[Total Amount]],2,0)</f>
        <v>Female</v>
      </c>
      <c r="C271">
        <f>_xlfn.XLOOKUP(A271,Sales_Performance[Customer ID],Sales_Performance[Age],0)</f>
        <v>51</v>
      </c>
      <c r="D271" t="str" cm="1">
        <f t="array" ref="D271">_xlfn.IFS(
   C271 &lt; 18, "Under 18",
   C271 &lt;= 24, "18-24",
   C271 &lt;= 34, "25-34",
   C271 &lt;= 44, "35-44",
   C271 &lt;= 54, "45-54",
   C271 &lt;= 64, "55-64",
   TRUE, "65+"
)</f>
        <v>45-54</v>
      </c>
      <c r="E271" s="1">
        <f>_xlfn.MINIFS(
   Sales_Performance[Date],
   Sales_Performance[Customer ID],
   A271
)</f>
        <v>45121</v>
      </c>
      <c r="F271" t="str">
        <f>IF(
   COUNTIF(Sales_Performance[Customer ID], A271) = 1,
   "One-Time Customer",
   "Repeat Customer"
)</f>
        <v>One-Time Customer</v>
      </c>
    </row>
    <row r="272" spans="1:6" x14ac:dyDescent="0.35">
      <c r="A272" t="s">
        <v>363</v>
      </c>
      <c r="B272" t="str">
        <f>VLOOKUP(A272,Sales_Performance[[Customer ID]:[Total Amount]],2,0)</f>
        <v>Female</v>
      </c>
      <c r="C272">
        <f>_xlfn.XLOOKUP(A272,Sales_Performance[Customer ID],Sales_Performance[Age],0)</f>
        <v>57</v>
      </c>
      <c r="D272" t="str" cm="1">
        <f t="array" ref="D272">_xlfn.IFS(
   C272 &lt; 18, "Under 18",
   C272 &lt;= 24, "18-24",
   C272 &lt;= 34, "25-34",
   C272 &lt;= 44, "35-44",
   C272 &lt;= 54, "45-54",
   C272 &lt;= 64, "55-64",
   TRUE, "65+"
)</f>
        <v>55-64</v>
      </c>
      <c r="E272" s="1">
        <f>_xlfn.MINIFS(
   Sales_Performance[Date],
   Sales_Performance[Customer ID],
   A272
)</f>
        <v>44937</v>
      </c>
      <c r="F272" t="str">
        <f>IF(
   COUNTIF(Sales_Performance[Customer ID], A272) = 1,
   "One-Time Customer",
   "Repeat Customer"
)</f>
        <v>Repeat Customer</v>
      </c>
    </row>
    <row r="273" spans="1:6" x14ac:dyDescent="0.35">
      <c r="A273" t="s">
        <v>533</v>
      </c>
      <c r="B273" t="str">
        <f>VLOOKUP(A273,Sales_Performance[[Customer ID]:[Total Amount]],2,0)</f>
        <v>Female</v>
      </c>
      <c r="C273">
        <f>_xlfn.XLOOKUP(A273,Sales_Performance[Customer ID],Sales_Performance[Age],0)</f>
        <v>34</v>
      </c>
      <c r="D273" t="str" cm="1">
        <f t="array" ref="D273">_xlfn.IFS(
   C273 &lt; 18, "Under 18",
   C273 &lt;= 24, "18-24",
   C273 &lt;= 34, "25-34",
   C273 &lt;= 44, "35-44",
   C273 &lt;= 54, "45-54",
   C273 &lt;= 64, "55-64",
   TRUE, "65+"
)</f>
        <v>25-34</v>
      </c>
      <c r="E273" s="1">
        <f>_xlfn.MINIFS(
   Sales_Performance[Date],
   Sales_Performance[Customer ID],
   A273
)</f>
        <v>45011</v>
      </c>
      <c r="F273" t="str">
        <f>IF(
   COUNTIF(Sales_Performance[Customer ID], A273) = 1,
   "One-Time Customer",
   "Repeat Customer"
)</f>
        <v>Repeat Customer</v>
      </c>
    </row>
    <row r="274" spans="1:6" x14ac:dyDescent="0.35">
      <c r="A274" t="s">
        <v>586</v>
      </c>
      <c r="B274" t="str">
        <f>VLOOKUP(A274,Sales_Performance[[Customer ID]:[Total Amount]],2,0)</f>
        <v>Male</v>
      </c>
      <c r="C274">
        <f>_xlfn.XLOOKUP(A274,Sales_Performance[Customer ID],Sales_Performance[Age],0)</f>
        <v>48</v>
      </c>
      <c r="D274" t="str" cm="1">
        <f t="array" ref="D274">_xlfn.IFS(
   C274 &lt; 18, "Under 18",
   C274 &lt;= 24, "18-24",
   C274 &lt;= 34, "25-34",
   C274 &lt;= 44, "35-44",
   C274 &lt;= 54, "45-54",
   C274 &lt;= 64, "55-64",
   TRUE, "65+"
)</f>
        <v>45-54</v>
      </c>
      <c r="E274" s="1">
        <f>_xlfn.MINIFS(
   Sales_Performance[Date],
   Sales_Performance[Customer ID],
   A274
)</f>
        <v>45007</v>
      </c>
      <c r="F274" t="str">
        <f>IF(
   COUNTIF(Sales_Performance[Customer ID], A274) = 1,
   "One-Time Customer",
   "Repeat Customer"
)</f>
        <v>Repeat Customer</v>
      </c>
    </row>
    <row r="275" spans="1:6" x14ac:dyDescent="0.35">
      <c r="A275" t="s">
        <v>1055</v>
      </c>
      <c r="B275" t="str">
        <f>VLOOKUP(A275,Sales_Performance[[Customer ID]:[Total Amount]],2,0)</f>
        <v>Female</v>
      </c>
      <c r="C275">
        <f>_xlfn.XLOOKUP(A275,Sales_Performance[Customer ID],Sales_Performance[Age],0)</f>
        <v>23</v>
      </c>
      <c r="D275" t="str" cm="1">
        <f t="array" ref="D275">_xlfn.IFS(
   C275 &lt; 18, "Under 18",
   C275 &lt;= 24, "18-24",
   C275 &lt;= 34, "25-34",
   C275 &lt;= 44, "35-44",
   C275 &lt;= 54, "45-54",
   C275 &lt;= 64, "55-64",
   TRUE, "65+"
)</f>
        <v>18-24</v>
      </c>
      <c r="E275" s="1">
        <f>_xlfn.MINIFS(
   Sales_Performance[Date],
   Sales_Performance[Customer ID],
   A275
)</f>
        <v>45014</v>
      </c>
      <c r="F275" t="str">
        <f>IF(
   COUNTIF(Sales_Performance[Customer ID], A275) = 1,
   "One-Time Customer",
   "Repeat Customer"
)</f>
        <v>Repeat Customer</v>
      </c>
    </row>
    <row r="276" spans="1:6" x14ac:dyDescent="0.35">
      <c r="A276" t="s">
        <v>981</v>
      </c>
      <c r="B276" t="str">
        <f>VLOOKUP(A276,Sales_Performance[[Customer ID]:[Total Amount]],2,0)</f>
        <v>Female</v>
      </c>
      <c r="C276">
        <f>_xlfn.XLOOKUP(A276,Sales_Performance[Customer ID],Sales_Performance[Age],0)</f>
        <v>52</v>
      </c>
      <c r="D276" t="str" cm="1">
        <f t="array" ref="D276">_xlfn.IFS(
   C276 &lt; 18, "Under 18",
   C276 &lt;= 24, "18-24",
   C276 &lt;= 34, "25-34",
   C276 &lt;= 44, "35-44",
   C276 &lt;= 54, "45-54",
   C276 &lt;= 64, "55-64",
   TRUE, "65+"
)</f>
        <v>45-54</v>
      </c>
      <c r="E276" s="1">
        <f>_xlfn.MINIFS(
   Sales_Performance[Date],
   Sales_Performance[Customer ID],
   A276
)</f>
        <v>45226</v>
      </c>
      <c r="F276" t="str">
        <f>IF(
   COUNTIF(Sales_Performance[Customer ID], A276) = 1,
   "One-Time Customer",
   "Repeat Customer"
)</f>
        <v>One-Time Customer</v>
      </c>
    </row>
    <row r="277" spans="1:6" x14ac:dyDescent="0.35">
      <c r="A277" t="s">
        <v>1340</v>
      </c>
      <c r="B277" t="str">
        <f>VLOOKUP(A277,Sales_Performance[[Customer ID]:[Total Amount]],2,0)</f>
        <v>Female</v>
      </c>
      <c r="C277">
        <f>_xlfn.XLOOKUP(A277,Sales_Performance[Customer ID],Sales_Performance[Age],0)</f>
        <v>26</v>
      </c>
      <c r="D277" t="str" cm="1">
        <f t="array" ref="D277">_xlfn.IFS(
   C277 &lt; 18, "Under 18",
   C277 &lt;= 24, "18-24",
   C277 &lt;= 34, "25-34",
   C277 &lt;= 44, "35-44",
   C277 &lt;= 54, "45-54",
   C277 &lt;= 64, "55-64",
   TRUE, "65+"
)</f>
        <v>25-34</v>
      </c>
      <c r="E277" s="1">
        <f>_xlfn.MINIFS(
   Sales_Performance[Date],
   Sales_Performance[Customer ID],
   A277
)</f>
        <v>44984</v>
      </c>
      <c r="F277" t="str">
        <f>IF(
   COUNTIF(Sales_Performance[Customer ID], A277) = 1,
   "One-Time Customer",
   "Repeat Customer"
)</f>
        <v>Repeat Customer</v>
      </c>
    </row>
    <row r="278" spans="1:6" x14ac:dyDescent="0.35">
      <c r="A278" t="s">
        <v>147</v>
      </c>
      <c r="B278" t="str">
        <f>VLOOKUP(A278,Sales_Performance[[Customer ID]:[Total Amount]],2,0)</f>
        <v>Female</v>
      </c>
      <c r="C278">
        <f>_xlfn.XLOOKUP(A278,Sales_Performance[Customer ID],Sales_Performance[Age],0)</f>
        <v>45</v>
      </c>
      <c r="D278" t="str" cm="1">
        <f t="array" ref="D278">_xlfn.IFS(
   C278 &lt; 18, "Under 18",
   C278 &lt;= 24, "18-24",
   C278 &lt;= 34, "25-34",
   C278 &lt;= 44, "35-44",
   C278 &lt;= 54, "45-54",
   C278 &lt;= 64, "55-64",
   TRUE, "65+"
)</f>
        <v>45-54</v>
      </c>
      <c r="E278" s="1">
        <f>_xlfn.MINIFS(
   Sales_Performance[Date],
   Sales_Performance[Customer ID],
   A278
)</f>
        <v>44962</v>
      </c>
      <c r="F278" t="str">
        <f>IF(
   COUNTIF(Sales_Performance[Customer ID], A278) = 1,
   "One-Time Customer",
   "Repeat Customer"
)</f>
        <v>Repeat Customer</v>
      </c>
    </row>
    <row r="279" spans="1:6" x14ac:dyDescent="0.35">
      <c r="A279" t="s">
        <v>557</v>
      </c>
      <c r="B279" t="str">
        <f>VLOOKUP(A279,Sales_Performance[[Customer ID]:[Total Amount]],2,0)</f>
        <v>Male</v>
      </c>
      <c r="C279">
        <f>_xlfn.XLOOKUP(A279,Sales_Performance[Customer ID],Sales_Performance[Age],0)</f>
        <v>43</v>
      </c>
      <c r="D279" t="str" cm="1">
        <f t="array" ref="D279">_xlfn.IFS(
   C279 &lt; 18, "Under 18",
   C279 &lt;= 24, "18-24",
   C279 &lt;= 34, "25-34",
   C279 &lt;= 44, "35-44",
   C279 &lt;= 54, "45-54",
   C279 &lt;= 64, "55-64",
   TRUE, "65+"
)</f>
        <v>35-44</v>
      </c>
      <c r="E279" s="1">
        <f>_xlfn.MINIFS(
   Sales_Performance[Date],
   Sales_Performance[Customer ID],
   A279
)</f>
        <v>45020</v>
      </c>
      <c r="F279" t="str">
        <f>IF(
   COUNTIF(Sales_Performance[Customer ID], A279) = 1,
   "One-Time Customer",
   "Repeat Customer"
)</f>
        <v>Repeat Customer</v>
      </c>
    </row>
    <row r="280" spans="1:6" x14ac:dyDescent="0.35">
      <c r="A280" t="s">
        <v>1408</v>
      </c>
      <c r="B280" t="str">
        <f>VLOOKUP(A280,Sales_Performance[[Customer ID]:[Total Amount]],2,0)</f>
        <v>Male</v>
      </c>
      <c r="C280">
        <f>_xlfn.XLOOKUP(A280,Sales_Performance[Customer ID],Sales_Performance[Age],0)</f>
        <v>25</v>
      </c>
      <c r="D280" t="str" cm="1">
        <f t="array" ref="D280">_xlfn.IFS(
   C280 &lt; 18, "Under 18",
   C280 &lt;= 24, "18-24",
   C280 &lt;= 34, "25-34",
   C280 &lt;= 44, "35-44",
   C280 &lt;= 54, "45-54",
   C280 &lt;= 64, "55-64",
   TRUE, "65+"
)</f>
        <v>25-34</v>
      </c>
      <c r="E280" s="1">
        <f>_xlfn.MINIFS(
   Sales_Performance[Date],
   Sales_Performance[Customer ID],
   A280
)</f>
        <v>45012</v>
      </c>
      <c r="F280" t="str">
        <f>IF(
   COUNTIF(Sales_Performance[Customer ID], A280) = 1,
   "One-Time Customer",
   "Repeat Customer"
)</f>
        <v>Repeat Customer</v>
      </c>
    </row>
    <row r="281" spans="1:6" x14ac:dyDescent="0.35">
      <c r="A281" t="s">
        <v>735</v>
      </c>
      <c r="B281" t="str">
        <f>VLOOKUP(A281,Sales_Performance[[Customer ID]:[Total Amount]],2,0)</f>
        <v>Male</v>
      </c>
      <c r="C281">
        <f>_xlfn.XLOOKUP(A281,Sales_Performance[Customer ID],Sales_Performance[Age],0)</f>
        <v>48</v>
      </c>
      <c r="D281" t="str" cm="1">
        <f t="array" ref="D281">_xlfn.IFS(
   C281 &lt; 18, "Under 18",
   C281 &lt;= 24, "18-24",
   C281 &lt;= 34, "25-34",
   C281 &lt;= 44, "35-44",
   C281 &lt;= 54, "45-54",
   C281 &lt;= 64, "55-64",
   TRUE, "65+"
)</f>
        <v>45-54</v>
      </c>
      <c r="E281" s="1">
        <f>_xlfn.MINIFS(
   Sales_Performance[Date],
   Sales_Performance[Customer ID],
   A281
)</f>
        <v>45216</v>
      </c>
      <c r="F281" t="str">
        <f>IF(
   COUNTIF(Sales_Performance[Customer ID], A281) = 1,
   "One-Time Customer",
   "Repeat Customer"
)</f>
        <v>Repeat Customer</v>
      </c>
    </row>
    <row r="282" spans="1:6" x14ac:dyDescent="0.35">
      <c r="A282" t="s">
        <v>702</v>
      </c>
      <c r="B282" t="str">
        <f>VLOOKUP(A282,Sales_Performance[[Customer ID]:[Total Amount]],2,0)</f>
        <v>Female</v>
      </c>
      <c r="C282">
        <f>_xlfn.XLOOKUP(A282,Sales_Performance[Customer ID],Sales_Performance[Age],0)</f>
        <v>26</v>
      </c>
      <c r="D282" t="str" cm="1">
        <f t="array" ref="D282">_xlfn.IFS(
   C282 &lt; 18, "Under 18",
   C282 &lt;= 24, "18-24",
   C282 &lt;= 34, "25-34",
   C282 &lt;= 44, "35-44",
   C282 &lt;= 54, "45-54",
   C282 &lt;= 64, "55-64",
   TRUE, "65+"
)</f>
        <v>25-34</v>
      </c>
      <c r="E282" s="1">
        <f>_xlfn.MINIFS(
   Sales_Performance[Date],
   Sales_Performance[Customer ID],
   A282
)</f>
        <v>45268</v>
      </c>
      <c r="F282" t="str">
        <f>IF(
   COUNTIF(Sales_Performance[Customer ID], A282) = 1,
   "One-Time Customer",
   "Repeat Customer"
)</f>
        <v>One-Time Customer</v>
      </c>
    </row>
    <row r="283" spans="1:6" x14ac:dyDescent="0.35">
      <c r="A283" t="s">
        <v>1286</v>
      </c>
      <c r="B283" t="str">
        <f>VLOOKUP(A283,Sales_Performance[[Customer ID]:[Total Amount]],2,0)</f>
        <v>Female</v>
      </c>
      <c r="C283">
        <f>_xlfn.XLOOKUP(A283,Sales_Performance[Customer ID],Sales_Performance[Age],0)</f>
        <v>25</v>
      </c>
      <c r="D283" t="str" cm="1">
        <f t="array" ref="D283">_xlfn.IFS(
   C283 &lt; 18, "Under 18",
   C283 &lt;= 24, "18-24",
   C283 &lt;= 34, "25-34",
   C283 &lt;= 44, "35-44",
   C283 &lt;= 54, "45-54",
   C283 &lt;= 64, "55-64",
   TRUE, "65+"
)</f>
        <v>25-34</v>
      </c>
      <c r="E283" s="1">
        <f>_xlfn.MINIFS(
   Sales_Performance[Date],
   Sales_Performance[Customer ID],
   A283
)</f>
        <v>45097</v>
      </c>
      <c r="F283" t="str">
        <f>IF(
   COUNTIF(Sales_Performance[Customer ID], A283) = 1,
   "One-Time Customer",
   "Repeat Customer"
)</f>
        <v>Repeat Customer</v>
      </c>
    </row>
    <row r="284" spans="1:6" x14ac:dyDescent="0.35">
      <c r="A284" t="s">
        <v>441</v>
      </c>
      <c r="B284" t="str">
        <f>VLOOKUP(A284,Sales_Performance[[Customer ID]:[Total Amount]],2,0)</f>
        <v>Male</v>
      </c>
      <c r="C284">
        <f>_xlfn.XLOOKUP(A284,Sales_Performance[Customer ID],Sales_Performance[Age],0)</f>
        <v>61</v>
      </c>
      <c r="D284" t="str" cm="1">
        <f t="array" ref="D284">_xlfn.IFS(
   C284 &lt; 18, "Under 18",
   C284 &lt;= 24, "18-24",
   C284 &lt;= 34, "25-34",
   C284 &lt;= 44, "35-44",
   C284 &lt;= 54, "45-54",
   C284 &lt;= 64, "55-64",
   TRUE, "65+"
)</f>
        <v>55-64</v>
      </c>
      <c r="E284" s="1">
        <f>_xlfn.MINIFS(
   Sales_Performance[Date],
   Sales_Performance[Customer ID],
   A284
)</f>
        <v>45132</v>
      </c>
      <c r="F284" t="str">
        <f>IF(
   COUNTIF(Sales_Performance[Customer ID], A284) = 1,
   "One-Time Customer",
   "Repeat Customer"
)</f>
        <v>Repeat Customer</v>
      </c>
    </row>
    <row r="285" spans="1:6" x14ac:dyDescent="0.35">
      <c r="A285" t="s">
        <v>74</v>
      </c>
      <c r="B285" t="str">
        <f>VLOOKUP(A285,Sales_Performance[[Customer ID]:[Total Amount]],2,0)</f>
        <v>Male</v>
      </c>
      <c r="C285">
        <f>_xlfn.XLOOKUP(A285,Sales_Performance[Customer ID],Sales_Performance[Age],0)</f>
        <v>40</v>
      </c>
      <c r="D285" t="str" cm="1">
        <f t="array" ref="D285">_xlfn.IFS(
   C285 &lt; 18, "Under 18",
   C285 &lt;= 24, "18-24",
   C285 &lt;= 34, "25-34",
   C285 &lt;= 44, "35-44",
   C285 &lt;= 54, "45-54",
   C285 &lt;= 64, "55-64",
   TRUE, "65+"
)</f>
        <v>35-44</v>
      </c>
      <c r="E285" s="1">
        <f>_xlfn.MINIFS(
   Sales_Performance[Date],
   Sales_Performance[Customer ID],
   A285
)</f>
        <v>45048</v>
      </c>
      <c r="F285" t="str">
        <f>IF(
   COUNTIF(Sales_Performance[Customer ID], A285) = 1,
   "One-Time Customer",
   "Repeat Customer"
)</f>
        <v>Repeat Customer</v>
      </c>
    </row>
    <row r="286" spans="1:6" x14ac:dyDescent="0.35">
      <c r="A286" t="s">
        <v>319</v>
      </c>
      <c r="B286" t="str">
        <f>VLOOKUP(A286,Sales_Performance[[Customer ID]:[Total Amount]],2,0)</f>
        <v>Male</v>
      </c>
      <c r="C286">
        <f>_xlfn.XLOOKUP(A286,Sales_Performance[Customer ID],Sales_Performance[Age],0)</f>
        <v>63</v>
      </c>
      <c r="D286" t="str" cm="1">
        <f t="array" ref="D286">_xlfn.IFS(
   C286 &lt; 18, "Under 18",
   C286 &lt;= 24, "18-24",
   C286 &lt;= 34, "25-34",
   C286 &lt;= 44, "35-44",
   C286 &lt;= 54, "45-54",
   C286 &lt;= 64, "55-64",
   TRUE, "65+"
)</f>
        <v>55-64</v>
      </c>
      <c r="E286" s="1">
        <f>_xlfn.MINIFS(
   Sales_Performance[Date],
   Sales_Performance[Customer ID],
   A286
)</f>
        <v>45054</v>
      </c>
      <c r="F286" t="str">
        <f>IF(
   COUNTIF(Sales_Performance[Customer ID], A286) = 1,
   "One-Time Customer",
   "Repeat Customer"
)</f>
        <v>One-Time Customer</v>
      </c>
    </row>
    <row r="287" spans="1:6" x14ac:dyDescent="0.35">
      <c r="A287" t="s">
        <v>1374</v>
      </c>
      <c r="B287" t="str">
        <f>VLOOKUP(A287,Sales_Performance[[Customer ID]:[Total Amount]],2,0)</f>
        <v>Male</v>
      </c>
      <c r="C287">
        <f>_xlfn.XLOOKUP(A287,Sales_Performance[Customer ID],Sales_Performance[Age],0)</f>
        <v>50</v>
      </c>
      <c r="D287" t="str" cm="1">
        <f t="array" ref="D287">_xlfn.IFS(
   C287 &lt; 18, "Under 18",
   C287 &lt;= 24, "18-24",
   C287 &lt;= 34, "25-34",
   C287 &lt;= 44, "35-44",
   C287 &lt;= 54, "45-54",
   C287 &lt;= 64, "55-64",
   TRUE, "65+"
)</f>
        <v>45-54</v>
      </c>
      <c r="E287" s="1">
        <f>_xlfn.MINIFS(
   Sales_Performance[Date],
   Sales_Performance[Customer ID],
   A287
)</f>
        <v>44939</v>
      </c>
      <c r="F287" t="str">
        <f>IF(
   COUNTIF(Sales_Performance[Customer ID], A287) = 1,
   "One-Time Customer",
   "Repeat Customer"
)</f>
        <v>One-Time Customer</v>
      </c>
    </row>
    <row r="288" spans="1:6" x14ac:dyDescent="0.35">
      <c r="A288" t="s">
        <v>1178</v>
      </c>
      <c r="B288" t="str">
        <f>VLOOKUP(A288,Sales_Performance[[Customer ID]:[Total Amount]],2,0)</f>
        <v>Male</v>
      </c>
      <c r="C288">
        <f>_xlfn.XLOOKUP(A288,Sales_Performance[Customer ID],Sales_Performance[Age],0)</f>
        <v>54</v>
      </c>
      <c r="D288" t="str" cm="1">
        <f t="array" ref="D288">_xlfn.IFS(
   C288 &lt; 18, "Under 18",
   C288 &lt;= 24, "18-24",
   C288 &lt;= 34, "25-34",
   C288 &lt;= 44, "35-44",
   C288 &lt;= 54, "45-54",
   C288 &lt;= 64, "55-64",
   TRUE, "65+"
)</f>
        <v>45-54</v>
      </c>
      <c r="E288" s="1">
        <f>_xlfn.MINIFS(
   Sales_Performance[Date],
   Sales_Performance[Customer ID],
   A288
)</f>
        <v>45027</v>
      </c>
      <c r="F288" t="str">
        <f>IF(
   COUNTIF(Sales_Performance[Customer ID], A288) = 1,
   "One-Time Customer",
   "Repeat Customer"
)</f>
        <v>Repeat Customer</v>
      </c>
    </row>
    <row r="289" spans="1:6" x14ac:dyDescent="0.35">
      <c r="A289" t="s">
        <v>1205</v>
      </c>
      <c r="B289" t="str">
        <f>VLOOKUP(A289,Sales_Performance[[Customer ID]:[Total Amount]],2,0)</f>
        <v>Male</v>
      </c>
      <c r="C289">
        <f>_xlfn.XLOOKUP(A289,Sales_Performance[Customer ID],Sales_Performance[Age],0)</f>
        <v>57</v>
      </c>
      <c r="D289" t="str" cm="1">
        <f t="array" ref="D289">_xlfn.IFS(
   C289 &lt; 18, "Under 18",
   C289 &lt;= 24, "18-24",
   C289 &lt;= 34, "25-34",
   C289 &lt;= 44, "35-44",
   C289 &lt;= 54, "45-54",
   C289 &lt;= 64, "55-64",
   TRUE, "65+"
)</f>
        <v>55-64</v>
      </c>
      <c r="E289" s="1">
        <f>_xlfn.MINIFS(
   Sales_Performance[Date],
   Sales_Performance[Customer ID],
   A289
)</f>
        <v>45036</v>
      </c>
      <c r="F289" t="str">
        <f>IF(
   COUNTIF(Sales_Performance[Customer ID], A289) = 1,
   "One-Time Customer",
   "Repeat Customer"
)</f>
        <v>Repeat Customer</v>
      </c>
    </row>
    <row r="290" spans="1:6" x14ac:dyDescent="0.35">
      <c r="A290" t="s">
        <v>436</v>
      </c>
      <c r="B290" t="str">
        <f>VLOOKUP(A290,Sales_Performance[[Customer ID]:[Total Amount]],2,0)</f>
        <v>Male</v>
      </c>
      <c r="C290">
        <f>_xlfn.XLOOKUP(A290,Sales_Performance[Customer ID],Sales_Performance[Age],0)</f>
        <v>62</v>
      </c>
      <c r="D290" t="str" cm="1">
        <f t="array" ref="D290">_xlfn.IFS(
   C290 &lt; 18, "Under 18",
   C290 &lt;= 24, "18-24",
   C290 &lt;= 34, "25-34",
   C290 &lt;= 44, "35-44",
   C290 &lt;= 54, "45-54",
   C290 &lt;= 64, "55-64",
   TRUE, "65+"
)</f>
        <v>55-64</v>
      </c>
      <c r="E290" s="1">
        <f>_xlfn.MINIFS(
   Sales_Performance[Date],
   Sales_Performance[Customer ID],
   A290
)</f>
        <v>45169</v>
      </c>
      <c r="F290" t="str">
        <f>IF(
   COUNTIF(Sales_Performance[Customer ID], A290) = 1,
   "One-Time Customer",
   "Repeat Customer"
)</f>
        <v>One-Time Customer</v>
      </c>
    </row>
    <row r="291" spans="1:6" x14ac:dyDescent="0.35">
      <c r="A291" t="s">
        <v>1445</v>
      </c>
      <c r="B291" t="str">
        <f>VLOOKUP(A291,Sales_Performance[[Customer ID]:[Total Amount]],2,0)</f>
        <v>Male</v>
      </c>
      <c r="C291">
        <f>_xlfn.XLOOKUP(A291,Sales_Performance[Customer ID],Sales_Performance[Age],0)</f>
        <v>27</v>
      </c>
      <c r="D291" t="str" cm="1">
        <f t="array" ref="D291">_xlfn.IFS(
   C291 &lt; 18, "Under 18",
   C291 &lt;= 24, "18-24",
   C291 &lt;= 34, "25-34",
   C291 &lt;= 44, "35-44",
   C291 &lt;= 54, "45-54",
   C291 &lt;= 64, "55-64",
   TRUE, "65+"
)</f>
        <v>25-34</v>
      </c>
      <c r="E291" s="1">
        <f>_xlfn.MINIFS(
   Sales_Performance[Date],
   Sales_Performance[Customer ID],
   A291
)</f>
        <v>45170</v>
      </c>
      <c r="F291" t="str">
        <f>IF(
   COUNTIF(Sales_Performance[Customer ID], A291) = 1,
   "One-Time Customer",
   "Repeat Customer"
)</f>
        <v>Repeat Customer</v>
      </c>
    </row>
    <row r="292" spans="1:6" x14ac:dyDescent="0.35">
      <c r="A292" t="s">
        <v>713</v>
      </c>
      <c r="B292" t="str">
        <f>VLOOKUP(A292,Sales_Performance[[Customer ID]:[Total Amount]],2,0)</f>
        <v>Female</v>
      </c>
      <c r="C292">
        <f>_xlfn.XLOOKUP(A292,Sales_Performance[Customer ID],Sales_Performance[Age],0)</f>
        <v>24</v>
      </c>
      <c r="D292" t="str" cm="1">
        <f t="array" ref="D292">_xlfn.IFS(
   C292 &lt; 18, "Under 18",
   C292 &lt;= 24, "18-24",
   C292 &lt;= 34, "25-34",
   C292 &lt;= 44, "35-44",
   C292 &lt;= 54, "45-54",
   C292 &lt;= 64, "55-64",
   TRUE, "65+"
)</f>
        <v>18-24</v>
      </c>
      <c r="E292" s="1">
        <f>_xlfn.MINIFS(
   Sales_Performance[Date],
   Sales_Performance[Customer ID],
   A292
)</f>
        <v>44964</v>
      </c>
      <c r="F292" t="str">
        <f>IF(
   COUNTIF(Sales_Performance[Customer ID], A292) = 1,
   "One-Time Customer",
   "Repeat Customer"
)</f>
        <v>Repeat Customer</v>
      </c>
    </row>
    <row r="293" spans="1:6" x14ac:dyDescent="0.35">
      <c r="A293" t="s">
        <v>922</v>
      </c>
      <c r="B293" t="str">
        <f>VLOOKUP(A293,Sales_Performance[[Customer ID]:[Total Amount]],2,0)</f>
        <v>Female</v>
      </c>
      <c r="C293">
        <f>_xlfn.XLOOKUP(A293,Sales_Performance[Customer ID],Sales_Performance[Age],0)</f>
        <v>60</v>
      </c>
      <c r="D293" t="str" cm="1">
        <f t="array" ref="D293">_xlfn.IFS(
   C293 &lt; 18, "Under 18",
   C293 &lt;= 24, "18-24",
   C293 &lt;= 34, "25-34",
   C293 &lt;= 44, "35-44",
   C293 &lt;= 54, "45-54",
   C293 &lt;= 64, "55-64",
   TRUE, "65+"
)</f>
        <v>55-64</v>
      </c>
      <c r="E293" s="1">
        <f>_xlfn.MINIFS(
   Sales_Performance[Date],
   Sales_Performance[Customer ID],
   A293
)</f>
        <v>45002</v>
      </c>
      <c r="F293" t="str">
        <f>IF(
   COUNTIF(Sales_Performance[Customer ID], A293) = 1,
   "One-Time Customer",
   "Repeat Customer"
)</f>
        <v>Repeat Customer</v>
      </c>
    </row>
    <row r="294" spans="1:6" x14ac:dyDescent="0.35">
      <c r="A294" t="s">
        <v>900</v>
      </c>
      <c r="B294" t="str">
        <f>VLOOKUP(A294,Sales_Performance[[Customer ID]:[Total Amount]],2,0)</f>
        <v>Male</v>
      </c>
      <c r="C294">
        <f>_xlfn.XLOOKUP(A294,Sales_Performance[Customer ID],Sales_Performance[Age],0)</f>
        <v>58</v>
      </c>
      <c r="D294" t="str" cm="1">
        <f t="array" ref="D294">_xlfn.IFS(
   C294 &lt; 18, "Under 18",
   C294 &lt;= 24, "18-24",
   C294 &lt;= 34, "25-34",
   C294 &lt;= 44, "35-44",
   C294 &lt;= 54, "45-54",
   C294 &lt;= 64, "55-64",
   TRUE, "65+"
)</f>
        <v>55-64</v>
      </c>
      <c r="E294" s="1">
        <f>_xlfn.MINIFS(
   Sales_Performance[Date],
   Sales_Performance[Customer ID],
   A294
)</f>
        <v>45076</v>
      </c>
      <c r="F294" t="str">
        <f>IF(
   COUNTIF(Sales_Performance[Customer ID], A294) = 1,
   "One-Time Customer",
   "Repeat Customer"
)</f>
        <v>Repeat Customer</v>
      </c>
    </row>
    <row r="295" spans="1:6" x14ac:dyDescent="0.35">
      <c r="A295" t="s">
        <v>418</v>
      </c>
      <c r="B295" t="str">
        <f>VLOOKUP(A295,Sales_Performance[[Customer ID]:[Total Amount]],2,0)</f>
        <v>Male</v>
      </c>
      <c r="C295">
        <f>_xlfn.XLOOKUP(A295,Sales_Performance[Customer ID],Sales_Performance[Age],0)</f>
        <v>46</v>
      </c>
      <c r="D295" t="str" cm="1">
        <f t="array" ref="D295">_xlfn.IFS(
   C295 &lt; 18, "Under 18",
   C295 &lt;= 24, "18-24",
   C295 &lt;= 34, "25-34",
   C295 &lt;= 44, "35-44",
   C295 &lt;= 54, "45-54",
   C295 &lt;= 64, "55-64",
   TRUE, "65+"
)</f>
        <v>45-54</v>
      </c>
      <c r="E295" s="1">
        <f>_xlfn.MINIFS(
   Sales_Performance[Date],
   Sales_Performance[Customer ID],
   A295
)</f>
        <v>45119</v>
      </c>
      <c r="F295" t="str">
        <f>IF(
   COUNTIF(Sales_Performance[Customer ID], A295) = 1,
   "One-Time Customer",
   "Repeat Customer"
)</f>
        <v>Repeat Customer</v>
      </c>
    </row>
    <row r="296" spans="1:6" x14ac:dyDescent="0.35">
      <c r="A296" t="s">
        <v>1014</v>
      </c>
      <c r="B296" t="str">
        <f>VLOOKUP(A296,Sales_Performance[[Customer ID]:[Total Amount]],2,0)</f>
        <v>Male</v>
      </c>
      <c r="C296">
        <f>_xlfn.XLOOKUP(A296,Sales_Performance[Customer ID],Sales_Performance[Age],0)</f>
        <v>27</v>
      </c>
      <c r="D296" t="str" cm="1">
        <f t="array" ref="D296">_xlfn.IFS(
   C296 &lt; 18, "Under 18",
   C296 &lt;= 24, "18-24",
   C296 &lt;= 34, "25-34",
   C296 &lt;= 44, "35-44",
   C296 &lt;= 54, "45-54",
   C296 &lt;= 64, "55-64",
   TRUE, "65+"
)</f>
        <v>25-34</v>
      </c>
      <c r="E296" s="1">
        <f>_xlfn.MINIFS(
   Sales_Performance[Date],
   Sales_Performance[Customer ID],
   A296
)</f>
        <v>44968</v>
      </c>
      <c r="F296" t="str">
        <f>IF(
   COUNTIF(Sales_Performance[Customer ID], A296) = 1,
   "One-Time Customer",
   "Repeat Customer"
)</f>
        <v>Repeat Customer</v>
      </c>
    </row>
    <row r="297" spans="1:6" x14ac:dyDescent="0.35">
      <c r="A297" t="s">
        <v>332</v>
      </c>
      <c r="B297" t="str">
        <f>VLOOKUP(A297,Sales_Performance[[Customer ID]:[Total Amount]],2,0)</f>
        <v>Male</v>
      </c>
      <c r="C297">
        <f>_xlfn.XLOOKUP(A297,Sales_Performance[Customer ID],Sales_Performance[Age],0)</f>
        <v>34</v>
      </c>
      <c r="D297" t="str" cm="1">
        <f t="array" ref="D297">_xlfn.IFS(
   C297 &lt; 18, "Under 18",
   C297 &lt;= 24, "18-24",
   C297 &lt;= 34, "25-34",
   C297 &lt;= 44, "35-44",
   C297 &lt;= 54, "45-54",
   C297 &lt;= 64, "55-64",
   TRUE, "65+"
)</f>
        <v>25-34</v>
      </c>
      <c r="E297" s="1">
        <f>_xlfn.MINIFS(
   Sales_Performance[Date],
   Sales_Performance[Customer ID],
   A297
)</f>
        <v>44962</v>
      </c>
      <c r="F297" t="str">
        <f>IF(
   COUNTIF(Sales_Performance[Customer ID], A297) = 1,
   "One-Time Customer",
   "Repeat Customer"
)</f>
        <v>Repeat Customer</v>
      </c>
    </row>
    <row r="298" spans="1:6" x14ac:dyDescent="0.35">
      <c r="A298" t="s">
        <v>1147</v>
      </c>
      <c r="B298" t="str">
        <f>VLOOKUP(A298,Sales_Performance[[Customer ID]:[Total Amount]],2,0)</f>
        <v>Female</v>
      </c>
      <c r="C298">
        <f>_xlfn.XLOOKUP(A298,Sales_Performance[Customer ID],Sales_Performance[Age],0)</f>
        <v>55</v>
      </c>
      <c r="D298" t="str" cm="1">
        <f t="array" ref="D298">_xlfn.IFS(
   C298 &lt; 18, "Under 18",
   C298 &lt;= 24, "18-24",
   C298 &lt;= 34, "25-34",
   C298 &lt;= 44, "35-44",
   C298 &lt;= 54, "45-54",
   C298 &lt;= 64, "55-64",
   TRUE, "65+"
)</f>
        <v>55-64</v>
      </c>
      <c r="E298" s="1">
        <f>_xlfn.MINIFS(
   Sales_Performance[Date],
   Sales_Performance[Customer ID],
   A298
)</f>
        <v>44990</v>
      </c>
      <c r="F298" t="str">
        <f>IF(
   COUNTIF(Sales_Performance[Customer ID], A298) = 1,
   "One-Time Customer",
   "Repeat Customer"
)</f>
        <v>Repeat Customer</v>
      </c>
    </row>
    <row r="299" spans="1:6" x14ac:dyDescent="0.35">
      <c r="A299" t="s">
        <v>338</v>
      </c>
      <c r="B299" t="str">
        <f>VLOOKUP(A299,Sales_Performance[[Customer ID]:[Total Amount]],2,0)</f>
        <v>Female</v>
      </c>
      <c r="C299">
        <f>_xlfn.XLOOKUP(A299,Sales_Performance[Customer ID],Sales_Performance[Age],0)</f>
        <v>23</v>
      </c>
      <c r="D299" t="str" cm="1">
        <f t="array" ref="D299">_xlfn.IFS(
   C299 &lt; 18, "Under 18",
   C299 &lt;= 24, "18-24",
   C299 &lt;= 34, "25-34",
   C299 &lt;= 44, "35-44",
   C299 &lt;= 54, "45-54",
   C299 &lt;= 64, "55-64",
   TRUE, "65+"
)</f>
        <v>18-24</v>
      </c>
      <c r="E299" s="1">
        <f>_xlfn.MINIFS(
   Sales_Performance[Date],
   Sales_Performance[Customer ID],
   A299
)</f>
        <v>44988</v>
      </c>
      <c r="F299" t="str">
        <f>IF(
   COUNTIF(Sales_Performance[Customer ID], A299) = 1,
   "One-Time Customer",
   "Repeat Customer"
)</f>
        <v>Repeat Customer</v>
      </c>
    </row>
    <row r="300" spans="1:6" x14ac:dyDescent="0.35">
      <c r="A300" t="s">
        <v>595</v>
      </c>
      <c r="B300" t="str">
        <f>VLOOKUP(A300,Sales_Performance[[Customer ID]:[Total Amount]],2,0)</f>
        <v>Female</v>
      </c>
      <c r="C300">
        <f>_xlfn.XLOOKUP(A300,Sales_Performance[Customer ID],Sales_Performance[Age],0)</f>
        <v>26</v>
      </c>
      <c r="D300" t="str" cm="1">
        <f t="array" ref="D300">_xlfn.IFS(
   C300 &lt; 18, "Under 18",
   C300 &lt;= 24, "18-24",
   C300 &lt;= 34, "25-34",
   C300 &lt;= 44, "35-44",
   C300 &lt;= 54, "45-54",
   C300 &lt;= 64, "55-64",
   TRUE, "65+"
)</f>
        <v>25-34</v>
      </c>
      <c r="E300" s="1">
        <f>_xlfn.MINIFS(
   Sales_Performance[Date],
   Sales_Performance[Customer ID],
   A300
)</f>
        <v>45073</v>
      </c>
      <c r="F300" t="str">
        <f>IF(
   COUNTIF(Sales_Performance[Customer ID], A300) = 1,
   "One-Time Customer",
   "Repeat Customer"
)</f>
        <v>Repeat Customer</v>
      </c>
    </row>
    <row r="301" spans="1:6" x14ac:dyDescent="0.35">
      <c r="A301" t="s">
        <v>979</v>
      </c>
      <c r="B301" t="str">
        <f>VLOOKUP(A301,Sales_Performance[[Customer ID]:[Total Amount]],2,0)</f>
        <v>Female</v>
      </c>
      <c r="C301">
        <f>_xlfn.XLOOKUP(A301,Sales_Performance[Customer ID],Sales_Performance[Age],0)</f>
        <v>60</v>
      </c>
      <c r="D301" t="str" cm="1">
        <f t="array" ref="D301">_xlfn.IFS(
   C301 &lt; 18, "Under 18",
   C301 &lt;= 24, "18-24",
   C301 &lt;= 34, "25-34",
   C301 &lt;= 44, "35-44",
   C301 &lt;= 54, "45-54",
   C301 &lt;= 64, "55-64",
   TRUE, "65+"
)</f>
        <v>55-64</v>
      </c>
      <c r="E301" s="1">
        <f>_xlfn.MINIFS(
   Sales_Performance[Date],
   Sales_Performance[Customer ID],
   A301
)</f>
        <v>44986</v>
      </c>
      <c r="F301" t="str">
        <f>IF(
   COUNTIF(Sales_Performance[Customer ID], A301) = 1,
   "One-Time Customer",
   "Repeat Customer"
)</f>
        <v>One-Time Customer</v>
      </c>
    </row>
    <row r="302" spans="1:6" x14ac:dyDescent="0.35">
      <c r="A302" t="s">
        <v>614</v>
      </c>
      <c r="B302" t="str">
        <f>VLOOKUP(A302,Sales_Performance[[Customer ID]:[Total Amount]],2,0)</f>
        <v>Female</v>
      </c>
      <c r="C302">
        <f>_xlfn.XLOOKUP(A302,Sales_Performance[Customer ID],Sales_Performance[Age],0)</f>
        <v>33</v>
      </c>
      <c r="D302" t="str" cm="1">
        <f t="array" ref="D302">_xlfn.IFS(
   C302 &lt; 18, "Under 18",
   C302 &lt;= 24, "18-24",
   C302 &lt;= 34, "25-34",
   C302 &lt;= 44, "35-44",
   C302 &lt;= 54, "45-54",
   C302 &lt;= 64, "55-64",
   TRUE, "65+"
)</f>
        <v>25-34</v>
      </c>
      <c r="E302" s="1">
        <f>_xlfn.MINIFS(
   Sales_Performance[Date],
   Sales_Performance[Customer ID],
   A302
)</f>
        <v>45086</v>
      </c>
      <c r="F302" t="str">
        <f>IF(
   COUNTIF(Sales_Performance[Customer ID], A302) = 1,
   "One-Time Customer",
   "Repeat Customer"
)</f>
        <v>Repeat Customer</v>
      </c>
    </row>
    <row r="303" spans="1:6" x14ac:dyDescent="0.35">
      <c r="A303" t="s">
        <v>992</v>
      </c>
      <c r="B303" t="str">
        <f>VLOOKUP(A303,Sales_Performance[[Customer ID]:[Total Amount]],2,0)</f>
        <v>Male</v>
      </c>
      <c r="C303">
        <f>_xlfn.XLOOKUP(A303,Sales_Performance[Customer ID],Sales_Performance[Age],0)</f>
        <v>40</v>
      </c>
      <c r="D303" t="str" cm="1">
        <f t="array" ref="D303">_xlfn.IFS(
   C303 &lt; 18, "Under 18",
   C303 &lt;= 24, "18-24",
   C303 &lt;= 34, "25-34",
   C303 &lt;= 44, "35-44",
   C303 &lt;= 54, "45-54",
   C303 &lt;= 64, "55-64",
   TRUE, "65+"
)</f>
        <v>35-44</v>
      </c>
      <c r="E303" s="1">
        <f>_xlfn.MINIFS(
   Sales_Performance[Date],
   Sales_Performance[Customer ID],
   A303
)</f>
        <v>45203</v>
      </c>
      <c r="F303" t="str">
        <f>IF(
   COUNTIF(Sales_Performance[Customer ID], A303) = 1,
   "One-Time Customer",
   "Repeat Customer"
)</f>
        <v>One-Time Customer</v>
      </c>
    </row>
    <row r="304" spans="1:6" x14ac:dyDescent="0.35">
      <c r="A304" t="s">
        <v>806</v>
      </c>
      <c r="B304" t="str">
        <f>VLOOKUP(A304,Sales_Performance[[Customer ID]:[Total Amount]],2,0)</f>
        <v>Male</v>
      </c>
      <c r="C304">
        <f>_xlfn.XLOOKUP(A304,Sales_Performance[Customer ID],Sales_Performance[Age],0)</f>
        <v>64</v>
      </c>
      <c r="D304" t="str" cm="1">
        <f t="array" ref="D304">_xlfn.IFS(
   C304 &lt; 18, "Under 18",
   C304 &lt;= 24, "18-24",
   C304 &lt;= 34, "25-34",
   C304 &lt;= 44, "35-44",
   C304 &lt;= 54, "45-54",
   C304 &lt;= 64, "55-64",
   TRUE, "65+"
)</f>
        <v>55-64</v>
      </c>
      <c r="E304" s="1">
        <f>_xlfn.MINIFS(
   Sales_Performance[Date],
   Sales_Performance[Customer ID],
   A304
)</f>
        <v>44961</v>
      </c>
      <c r="F304" t="str">
        <f>IF(
   COUNTIF(Sales_Performance[Customer ID], A304) = 1,
   "One-Time Customer",
   "Repeat Customer"
)</f>
        <v>Repeat Customer</v>
      </c>
    </row>
    <row r="305" spans="1:6" x14ac:dyDescent="0.35">
      <c r="A305" t="s">
        <v>176</v>
      </c>
      <c r="B305" t="str">
        <f>VLOOKUP(A305,Sales_Performance[[Customer ID]:[Total Amount]],2,0)</f>
        <v>Female</v>
      </c>
      <c r="C305">
        <f>_xlfn.XLOOKUP(A305,Sales_Performance[Customer ID],Sales_Performance[Age],0)</f>
        <v>58</v>
      </c>
      <c r="D305" t="str" cm="1">
        <f t="array" ref="D305">_xlfn.IFS(
   C305 &lt; 18, "Under 18",
   C305 &lt;= 24, "18-24",
   C305 &lt;= 34, "25-34",
   C305 &lt;= 44, "35-44",
   C305 &lt;= 54, "45-54",
   C305 &lt;= 64, "55-64",
   TRUE, "65+"
)</f>
        <v>55-64</v>
      </c>
      <c r="E305" s="1">
        <f>_xlfn.MINIFS(
   Sales_Performance[Date],
   Sales_Performance[Customer ID],
   A305
)</f>
        <v>44932</v>
      </c>
      <c r="F305" t="str">
        <f>IF(
   COUNTIF(Sales_Performance[Customer ID], A305) = 1,
   "One-Time Customer",
   "Repeat Customer"
)</f>
        <v>Repeat Customer</v>
      </c>
    </row>
    <row r="306" spans="1:6" x14ac:dyDescent="0.35">
      <c r="A306" t="s">
        <v>679</v>
      </c>
      <c r="B306" t="str">
        <f>VLOOKUP(A306,Sales_Performance[[Customer ID]:[Total Amount]],2,0)</f>
        <v>Male</v>
      </c>
      <c r="C306">
        <f>_xlfn.XLOOKUP(A306,Sales_Performance[Customer ID],Sales_Performance[Age],0)</f>
        <v>57</v>
      </c>
      <c r="D306" t="str" cm="1">
        <f t="array" ref="D306">_xlfn.IFS(
   C306 &lt; 18, "Under 18",
   C306 &lt;= 24, "18-24",
   C306 &lt;= 34, "25-34",
   C306 &lt;= 44, "35-44",
   C306 &lt;= 54, "45-54",
   C306 &lt;= 64, "55-64",
   TRUE, "65+"
)</f>
        <v>55-64</v>
      </c>
      <c r="E306" s="1">
        <f>_xlfn.MINIFS(
   Sales_Performance[Date],
   Sales_Performance[Customer ID],
   A306
)</f>
        <v>45079</v>
      </c>
      <c r="F306" t="str">
        <f>IF(
   COUNTIF(Sales_Performance[Customer ID], A306) = 1,
   "One-Time Customer",
   "Repeat Customer"
)</f>
        <v>One-Time Customer</v>
      </c>
    </row>
    <row r="307" spans="1:6" x14ac:dyDescent="0.35">
      <c r="A307" t="s">
        <v>719</v>
      </c>
      <c r="B307" t="str">
        <f>VLOOKUP(A307,Sales_Performance[[Customer ID]:[Total Amount]],2,0)</f>
        <v>Male</v>
      </c>
      <c r="C307">
        <f>_xlfn.XLOOKUP(A307,Sales_Performance[Customer ID],Sales_Performance[Age],0)</f>
        <v>51</v>
      </c>
      <c r="D307" t="str" cm="1">
        <f t="array" ref="D307">_xlfn.IFS(
   C307 &lt; 18, "Under 18",
   C307 &lt;= 24, "18-24",
   C307 &lt;= 34, "25-34",
   C307 &lt;= 44, "35-44",
   C307 &lt;= 54, "45-54",
   C307 &lt;= 64, "55-64",
   TRUE, "65+"
)</f>
        <v>45-54</v>
      </c>
      <c r="E307" s="1">
        <f>_xlfn.MINIFS(
   Sales_Performance[Date],
   Sales_Performance[Customer ID],
   A307
)</f>
        <v>45008</v>
      </c>
      <c r="F307" t="str">
        <f>IF(
   COUNTIF(Sales_Performance[Customer ID], A307) = 1,
   "One-Time Customer",
   "Repeat Customer"
)</f>
        <v>Repeat Customer</v>
      </c>
    </row>
    <row r="308" spans="1:6" x14ac:dyDescent="0.35">
      <c r="A308" t="s">
        <v>55</v>
      </c>
      <c r="B308" t="str">
        <f>VLOOKUP(A308,Sales_Performance[[Customer ID]:[Total Amount]],2,0)</f>
        <v>Male</v>
      </c>
      <c r="C308">
        <f>_xlfn.XLOOKUP(A308,Sales_Performance[Customer ID],Sales_Performance[Age],0)</f>
        <v>46</v>
      </c>
      <c r="D308" t="str" cm="1">
        <f t="array" ref="D308">_xlfn.IFS(
   C308 &lt; 18, "Under 18",
   C308 &lt;= 24, "18-24",
   C308 &lt;= 34, "25-34",
   C308 &lt;= 44, "35-44",
   C308 &lt;= 54, "45-54",
   C308 &lt;= 64, "55-64",
   TRUE, "65+"
)</f>
        <v>45-54</v>
      </c>
      <c r="E308" s="1">
        <f>_xlfn.MINIFS(
   Sales_Performance[Date],
   Sales_Performance[Customer ID],
   A308
)</f>
        <v>45104</v>
      </c>
      <c r="F308" t="str">
        <f>IF(
   COUNTIF(Sales_Performance[Customer ID], A308) = 1,
   "One-Time Customer",
   "Repeat Customer"
)</f>
        <v>Repeat Customer</v>
      </c>
    </row>
    <row r="309" spans="1:6" x14ac:dyDescent="0.35">
      <c r="A309" t="s">
        <v>1338</v>
      </c>
      <c r="B309" t="str">
        <f>VLOOKUP(A309,Sales_Performance[[Customer ID]:[Total Amount]],2,0)</f>
        <v>Female</v>
      </c>
      <c r="C309">
        <f>_xlfn.XLOOKUP(A309,Sales_Performance[Customer ID],Sales_Performance[Age],0)</f>
        <v>31</v>
      </c>
      <c r="D309" t="str" cm="1">
        <f t="array" ref="D309">_xlfn.IFS(
   C309 &lt; 18, "Under 18",
   C309 &lt;= 24, "18-24",
   C309 &lt;= 34, "25-34",
   C309 &lt;= 44, "35-44",
   C309 &lt;= 54, "45-54",
   C309 &lt;= 64, "55-64",
   TRUE, "65+"
)</f>
        <v>25-34</v>
      </c>
      <c r="E309" s="1">
        <f>_xlfn.MINIFS(
   Sales_Performance[Date],
   Sales_Performance[Customer ID],
   A309
)</f>
        <v>45005</v>
      </c>
      <c r="F309" t="str">
        <f>IF(
   COUNTIF(Sales_Performance[Customer ID], A309) = 1,
   "One-Time Customer",
   "Repeat Customer"
)</f>
        <v>Repeat Customer</v>
      </c>
    </row>
    <row r="310" spans="1:6" x14ac:dyDescent="0.35">
      <c r="A310" t="s">
        <v>827</v>
      </c>
      <c r="B310" t="str">
        <f>VLOOKUP(A310,Sales_Performance[[Customer ID]:[Total Amount]],2,0)</f>
        <v>Female</v>
      </c>
      <c r="C310">
        <f>_xlfn.XLOOKUP(A310,Sales_Performance[Customer ID],Sales_Performance[Age],0)</f>
        <v>44</v>
      </c>
      <c r="D310" t="str" cm="1">
        <f t="array" ref="D310">_xlfn.IFS(
   C310 &lt; 18, "Under 18",
   C310 &lt;= 24, "18-24",
   C310 &lt;= 34, "25-34",
   C310 &lt;= 44, "35-44",
   C310 &lt;= 54, "45-54",
   C310 &lt;= 64, "55-64",
   TRUE, "65+"
)</f>
        <v>35-44</v>
      </c>
      <c r="E310" s="1">
        <f>_xlfn.MINIFS(
   Sales_Performance[Date],
   Sales_Performance[Customer ID],
   A310
)</f>
        <v>45116</v>
      </c>
      <c r="F310" t="str">
        <f>IF(
   COUNTIF(Sales_Performance[Customer ID], A310) = 1,
   "One-Time Customer",
   "Repeat Customer"
)</f>
        <v>Repeat Customer</v>
      </c>
    </row>
    <row r="311" spans="1:6" x14ac:dyDescent="0.35">
      <c r="A311" t="s">
        <v>1059</v>
      </c>
      <c r="B311" t="str">
        <f>VLOOKUP(A311,Sales_Performance[[Customer ID]:[Total Amount]],2,0)</f>
        <v>Male</v>
      </c>
      <c r="C311">
        <f>_xlfn.XLOOKUP(A311,Sales_Performance[Customer ID],Sales_Performance[Age],0)</f>
        <v>19</v>
      </c>
      <c r="D311" t="str" cm="1">
        <f t="array" ref="D311">_xlfn.IFS(
   C311 &lt; 18, "Under 18",
   C311 &lt;= 24, "18-24",
   C311 &lt;= 34, "25-34",
   C311 &lt;= 44, "35-44",
   C311 &lt;= 54, "45-54",
   C311 &lt;= 64, "55-64",
   TRUE, "65+"
)</f>
        <v>18-24</v>
      </c>
      <c r="E311" s="1">
        <f>_xlfn.MINIFS(
   Sales_Performance[Date],
   Sales_Performance[Customer ID],
   A311
)</f>
        <v>44931</v>
      </c>
      <c r="F311" t="str">
        <f>IF(
   COUNTIF(Sales_Performance[Customer ID], A311) = 1,
   "One-Time Customer",
   "Repeat Customer"
)</f>
        <v>One-Time Customer</v>
      </c>
    </row>
    <row r="312" spans="1:6" x14ac:dyDescent="0.35">
      <c r="A312" t="s">
        <v>1443</v>
      </c>
      <c r="B312" t="str">
        <f>VLOOKUP(A312,Sales_Performance[[Customer ID]:[Total Amount]],2,0)</f>
        <v>Male</v>
      </c>
      <c r="C312">
        <f>_xlfn.XLOOKUP(A312,Sales_Performance[Customer ID],Sales_Performance[Age],0)</f>
        <v>22</v>
      </c>
      <c r="D312" t="str" cm="1">
        <f t="array" ref="D312">_xlfn.IFS(
   C312 &lt; 18, "Under 18",
   C312 &lt;= 24, "18-24",
   C312 &lt;= 34, "25-34",
   C312 &lt;= 44, "35-44",
   C312 &lt;= 54, "45-54",
   C312 &lt;= 64, "55-64",
   TRUE, "65+"
)</f>
        <v>18-24</v>
      </c>
      <c r="E312" s="1">
        <f>_xlfn.MINIFS(
   Sales_Performance[Date],
   Sales_Performance[Customer ID],
   A312
)</f>
        <v>45152</v>
      </c>
      <c r="F312" t="str">
        <f>IF(
   COUNTIF(Sales_Performance[Customer ID], A312) = 1,
   "One-Time Customer",
   "Repeat Customer"
)</f>
        <v>One-Time Customer</v>
      </c>
    </row>
    <row r="313" spans="1:6" x14ac:dyDescent="0.35">
      <c r="A313" t="s">
        <v>941</v>
      </c>
      <c r="B313" t="str">
        <f>VLOOKUP(A313,Sales_Performance[[Customer ID]:[Total Amount]],2,0)</f>
        <v>Female</v>
      </c>
      <c r="C313">
        <f>_xlfn.XLOOKUP(A313,Sales_Performance[Customer ID],Sales_Performance[Age],0)</f>
        <v>54</v>
      </c>
      <c r="D313" t="str" cm="1">
        <f t="array" ref="D313">_xlfn.IFS(
   C313 &lt; 18, "Under 18",
   C313 &lt;= 24, "18-24",
   C313 &lt;= 34, "25-34",
   C313 &lt;= 44, "35-44",
   C313 &lt;= 54, "45-54",
   C313 &lt;= 64, "55-64",
   TRUE, "65+"
)</f>
        <v>45-54</v>
      </c>
      <c r="E313" s="1">
        <f>_xlfn.MINIFS(
   Sales_Performance[Date],
   Sales_Performance[Customer ID],
   A313
)</f>
        <v>45017</v>
      </c>
      <c r="F313" t="str">
        <f>IF(
   COUNTIF(Sales_Performance[Customer ID], A313) = 1,
   "One-Time Customer",
   "Repeat Customer"
)</f>
        <v>Repeat Customer</v>
      </c>
    </row>
    <row r="314" spans="1:6" x14ac:dyDescent="0.35">
      <c r="A314" t="s">
        <v>732</v>
      </c>
      <c r="B314" t="str">
        <f>VLOOKUP(A314,Sales_Performance[[Customer ID]:[Total Amount]],2,0)</f>
        <v>Female</v>
      </c>
      <c r="C314">
        <f>_xlfn.XLOOKUP(A314,Sales_Performance[Customer ID],Sales_Performance[Age],0)</f>
        <v>26</v>
      </c>
      <c r="D314" t="str" cm="1">
        <f t="array" ref="D314">_xlfn.IFS(
   C314 &lt; 18, "Under 18",
   C314 &lt;= 24, "18-24",
   C314 &lt;= 34, "25-34",
   C314 &lt;= 44, "35-44",
   C314 &lt;= 54, "45-54",
   C314 &lt;= 64, "55-64",
   TRUE, "65+"
)</f>
        <v>25-34</v>
      </c>
      <c r="E314" s="1">
        <f>_xlfn.MINIFS(
   Sales_Performance[Date],
   Sales_Performance[Customer ID],
   A314
)</f>
        <v>45077</v>
      </c>
      <c r="F314" t="str">
        <f>IF(
   COUNTIF(Sales_Performance[Customer ID], A314) = 1,
   "One-Time Customer",
   "Repeat Customer"
)</f>
        <v>One-Time Customer</v>
      </c>
    </row>
    <row r="315" spans="1:6" x14ac:dyDescent="0.35">
      <c r="A315" t="s">
        <v>1211</v>
      </c>
      <c r="B315" t="str">
        <f>VLOOKUP(A315,Sales_Performance[[Customer ID]:[Total Amount]],2,0)</f>
        <v>Male</v>
      </c>
      <c r="C315">
        <f>_xlfn.XLOOKUP(A315,Sales_Performance[Customer ID],Sales_Performance[Age],0)</f>
        <v>23</v>
      </c>
      <c r="D315" t="str" cm="1">
        <f t="array" ref="D315">_xlfn.IFS(
   C315 &lt; 18, "Under 18",
   C315 &lt;= 24, "18-24",
   C315 &lt;= 34, "25-34",
   C315 &lt;= 44, "35-44",
   C315 &lt;= 54, "45-54",
   C315 &lt;= 64, "55-64",
   TRUE, "65+"
)</f>
        <v>18-24</v>
      </c>
      <c r="E315" s="1">
        <f>_xlfn.MINIFS(
   Sales_Performance[Date],
   Sales_Performance[Customer ID],
   A315
)</f>
        <v>45237</v>
      </c>
      <c r="F315" t="str">
        <f>IF(
   COUNTIF(Sales_Performance[Customer ID], A315) = 1,
   "One-Time Customer",
   "Repeat Customer"
)</f>
        <v>Repeat Customer</v>
      </c>
    </row>
    <row r="316" spans="1:6" x14ac:dyDescent="0.35">
      <c r="A316" t="s">
        <v>226</v>
      </c>
      <c r="B316" t="str">
        <f>VLOOKUP(A316,Sales_Performance[[Customer ID]:[Total Amount]],2,0)</f>
        <v>Female</v>
      </c>
      <c r="C316">
        <f>_xlfn.XLOOKUP(A316,Sales_Performance[Customer ID],Sales_Performance[Age],0)</f>
        <v>26</v>
      </c>
      <c r="D316" t="str" cm="1">
        <f t="array" ref="D316">_xlfn.IFS(
   C316 &lt; 18, "Under 18",
   C316 &lt;= 24, "18-24",
   C316 &lt;= 34, "25-34",
   C316 &lt;= 44, "35-44",
   C316 &lt;= 54, "45-54",
   C316 &lt;= 64, "55-64",
   TRUE, "65+"
)</f>
        <v>25-34</v>
      </c>
      <c r="E316" s="1">
        <f>_xlfn.MINIFS(
   Sales_Performance[Date],
   Sales_Performance[Customer ID],
   A316
)</f>
        <v>45200</v>
      </c>
      <c r="F316" t="str">
        <f>IF(
   COUNTIF(Sales_Performance[Customer ID], A316) = 1,
   "One-Time Customer",
   "Repeat Customer"
)</f>
        <v>One-Time Customer</v>
      </c>
    </row>
    <row r="317" spans="1:6" x14ac:dyDescent="0.35">
      <c r="A317" t="s">
        <v>1402</v>
      </c>
      <c r="B317" t="str">
        <f>VLOOKUP(A317,Sales_Performance[[Customer ID]:[Total Amount]],2,0)</f>
        <v>Female</v>
      </c>
      <c r="C317">
        <f>_xlfn.XLOOKUP(A317,Sales_Performance[Customer ID],Sales_Performance[Age],0)</f>
        <v>28</v>
      </c>
      <c r="D317" t="str" cm="1">
        <f t="array" ref="D317">_xlfn.IFS(
   C317 &lt; 18, "Under 18",
   C317 &lt;= 24, "18-24",
   C317 &lt;= 34, "25-34",
   C317 &lt;= 44, "35-44",
   C317 &lt;= 54, "45-54",
   C317 &lt;= 64, "55-64",
   TRUE, "65+"
)</f>
        <v>25-34</v>
      </c>
      <c r="E317" s="1">
        <f>_xlfn.MINIFS(
   Sales_Performance[Date],
   Sales_Performance[Customer ID],
   A317
)</f>
        <v>45214</v>
      </c>
      <c r="F317" t="str">
        <f>IF(
   COUNTIF(Sales_Performance[Customer ID], A317) = 1,
   "One-Time Customer",
   "Repeat Customer"
)</f>
        <v>One-Time Customer</v>
      </c>
    </row>
    <row r="318" spans="1:6" x14ac:dyDescent="0.35">
      <c r="A318" t="s">
        <v>211</v>
      </c>
      <c r="B318" t="str">
        <f>VLOOKUP(A318,Sales_Performance[[Customer ID]:[Total Amount]],2,0)</f>
        <v>Male</v>
      </c>
      <c r="C318">
        <f>_xlfn.XLOOKUP(A318,Sales_Performance[Customer ID],Sales_Performance[Age],0)</f>
        <v>34</v>
      </c>
      <c r="D318" t="str" cm="1">
        <f t="array" ref="D318">_xlfn.IFS(
   C318 &lt; 18, "Under 18",
   C318 &lt;= 24, "18-24",
   C318 &lt;= 34, "25-34",
   C318 &lt;= 44, "35-44",
   C318 &lt;= 54, "45-54",
   C318 &lt;= 64, "55-64",
   TRUE, "65+"
)</f>
        <v>25-34</v>
      </c>
      <c r="E318" s="1">
        <f>_xlfn.MINIFS(
   Sales_Performance[Date],
   Sales_Performance[Customer ID],
   A318
)</f>
        <v>44935</v>
      </c>
      <c r="F318" t="str">
        <f>IF(
   COUNTIF(Sales_Performance[Customer ID], A318) = 1,
   "One-Time Customer",
   "Repeat Customer"
)</f>
        <v>Repeat Customer</v>
      </c>
    </row>
    <row r="319" spans="1:6" x14ac:dyDescent="0.35">
      <c r="A319" t="s">
        <v>232</v>
      </c>
      <c r="B319" t="str">
        <f>VLOOKUP(A319,Sales_Performance[[Customer ID]:[Total Amount]],2,0)</f>
        <v>Male</v>
      </c>
      <c r="C319">
        <f>_xlfn.XLOOKUP(A319,Sales_Performance[Customer ID],Sales_Performance[Age],0)</f>
        <v>42</v>
      </c>
      <c r="D319" t="str" cm="1">
        <f t="array" ref="D319">_xlfn.IFS(
   C319 &lt; 18, "Under 18",
   C319 &lt;= 24, "18-24",
   C319 &lt;= 34, "25-34",
   C319 &lt;= 44, "35-44",
   C319 &lt;= 54, "45-54",
   C319 &lt;= 64, "55-64",
   TRUE, "65+"
)</f>
        <v>35-44</v>
      </c>
      <c r="E319" s="1">
        <f>_xlfn.MINIFS(
   Sales_Performance[Date],
   Sales_Performance[Customer ID],
   A319
)</f>
        <v>45049</v>
      </c>
      <c r="F319" t="str">
        <f>IF(
   COUNTIF(Sales_Performance[Customer ID], A319) = 1,
   "One-Time Customer",
   "Repeat Customer"
)</f>
        <v>Repeat Customer</v>
      </c>
    </row>
    <row r="320" spans="1:6" x14ac:dyDescent="0.35">
      <c r="A320" t="s">
        <v>801</v>
      </c>
      <c r="B320" t="str">
        <f>VLOOKUP(A320,Sales_Performance[[Customer ID]:[Total Amount]],2,0)</f>
        <v>Male</v>
      </c>
      <c r="C320">
        <f>_xlfn.XLOOKUP(A320,Sales_Performance[Customer ID],Sales_Performance[Age],0)</f>
        <v>57</v>
      </c>
      <c r="D320" t="str" cm="1">
        <f t="array" ref="D320">_xlfn.IFS(
   C320 &lt; 18, "Under 18",
   C320 &lt;= 24, "18-24",
   C320 &lt;= 34, "25-34",
   C320 &lt;= 44, "35-44",
   C320 &lt;= 54, "45-54",
   C320 &lt;= 64, "55-64",
   TRUE, "65+"
)</f>
        <v>55-64</v>
      </c>
      <c r="E320" s="1">
        <f>_xlfn.MINIFS(
   Sales_Performance[Date],
   Sales_Performance[Customer ID],
   A320
)</f>
        <v>44936</v>
      </c>
      <c r="F320" t="str">
        <f>IF(
   COUNTIF(Sales_Performance[Customer ID], A320) = 1,
   "One-Time Customer",
   "Repeat Customer"
)</f>
        <v>Repeat Customer</v>
      </c>
    </row>
    <row r="321" spans="1:6" x14ac:dyDescent="0.35">
      <c r="A321" t="s">
        <v>260</v>
      </c>
      <c r="B321" t="str">
        <f>VLOOKUP(A321,Sales_Performance[[Customer ID]:[Total Amount]],2,0)</f>
        <v>Female</v>
      </c>
      <c r="C321">
        <f>_xlfn.XLOOKUP(A321,Sales_Performance[Customer ID],Sales_Performance[Age],0)</f>
        <v>46</v>
      </c>
      <c r="D321" t="str" cm="1">
        <f t="array" ref="D321">_xlfn.IFS(
   C321 &lt; 18, "Under 18",
   C321 &lt;= 24, "18-24",
   C321 &lt;= 34, "25-34",
   C321 &lt;= 44, "35-44",
   C321 &lt;= 54, "45-54",
   C321 &lt;= 64, "55-64",
   TRUE, "65+"
)</f>
        <v>45-54</v>
      </c>
      <c r="E321" s="1">
        <f>_xlfn.MINIFS(
   Sales_Performance[Date],
   Sales_Performance[Customer ID],
   A321
)</f>
        <v>45064</v>
      </c>
      <c r="F321" t="str">
        <f>IF(
   COUNTIF(Sales_Performance[Customer ID], A321) = 1,
   "One-Time Customer",
   "Repeat Customer"
)</f>
        <v>Repeat Customer</v>
      </c>
    </row>
    <row r="322" spans="1:6" x14ac:dyDescent="0.35">
      <c r="A322" t="s">
        <v>761</v>
      </c>
      <c r="B322" t="str">
        <f>VLOOKUP(A322,Sales_Performance[[Customer ID]:[Total Amount]],2,0)</f>
        <v>Female</v>
      </c>
      <c r="C322">
        <f>_xlfn.XLOOKUP(A322,Sales_Performance[Customer ID],Sales_Performance[Age],0)</f>
        <v>61</v>
      </c>
      <c r="D322" t="str" cm="1">
        <f t="array" ref="D322">_xlfn.IFS(
   C322 &lt; 18, "Under 18",
   C322 &lt;= 24, "18-24",
   C322 &lt;= 34, "25-34",
   C322 &lt;= 44, "35-44",
   C322 &lt;= 54, "45-54",
   C322 &lt;= 64, "55-64",
   TRUE, "65+"
)</f>
        <v>55-64</v>
      </c>
      <c r="E322" s="1">
        <f>_xlfn.MINIFS(
   Sales_Performance[Date],
   Sales_Performance[Customer ID],
   A322
)</f>
        <v>44992</v>
      </c>
      <c r="F322" t="str">
        <f>IF(
   COUNTIF(Sales_Performance[Customer ID], A322) = 1,
   "One-Time Customer",
   "Repeat Customer"
)</f>
        <v>Repeat Customer</v>
      </c>
    </row>
    <row r="323" spans="1:6" x14ac:dyDescent="0.35">
      <c r="A323" t="s">
        <v>540</v>
      </c>
      <c r="B323" t="str">
        <f>VLOOKUP(A323,Sales_Performance[[Customer ID]:[Total Amount]],2,0)</f>
        <v>Female</v>
      </c>
      <c r="C323">
        <f>_xlfn.XLOOKUP(A323,Sales_Performance[Customer ID],Sales_Performance[Age],0)</f>
        <v>47</v>
      </c>
      <c r="D323" t="str" cm="1">
        <f t="array" ref="D323">_xlfn.IFS(
   C323 &lt; 18, "Under 18",
   C323 &lt;= 24, "18-24",
   C323 &lt;= 34, "25-34",
   C323 &lt;= 44, "35-44",
   C323 &lt;= 54, "45-54",
   C323 &lt;= 64, "55-64",
   TRUE, "65+"
)</f>
        <v>45-54</v>
      </c>
      <c r="E323" s="1">
        <f>_xlfn.MINIFS(
   Sales_Performance[Date],
   Sales_Performance[Customer ID],
   A323
)</f>
        <v>45044</v>
      </c>
      <c r="F323" t="str">
        <f>IF(
   COUNTIF(Sales_Performance[Customer ID], A323) = 1,
   "One-Time Customer",
   "Repeat Customer"
)</f>
        <v>One-Time Customer</v>
      </c>
    </row>
    <row r="324" spans="1:6" x14ac:dyDescent="0.35">
      <c r="A324" t="s">
        <v>137</v>
      </c>
      <c r="B324" t="str">
        <f>VLOOKUP(A324,Sales_Performance[[Customer ID]:[Total Amount]],2,0)</f>
        <v>Male</v>
      </c>
      <c r="C324">
        <f>_xlfn.XLOOKUP(A324,Sales_Performance[Customer ID],Sales_Performance[Age],0)</f>
        <v>27</v>
      </c>
      <c r="D324" t="str" cm="1">
        <f t="array" ref="D324">_xlfn.IFS(
   C324 &lt; 18, "Under 18",
   C324 &lt;= 24, "18-24",
   C324 &lt;= 34, "25-34",
   C324 &lt;= 44, "35-44",
   C324 &lt;= 54, "45-54",
   C324 &lt;= 64, "55-64",
   TRUE, "65+"
)</f>
        <v>25-34</v>
      </c>
      <c r="E324" s="1">
        <f>_xlfn.MINIFS(
   Sales_Performance[Date],
   Sales_Performance[Customer ID],
   A324
)</f>
        <v>45069</v>
      </c>
      <c r="F324" t="str">
        <f>IF(
   COUNTIF(Sales_Performance[Customer ID], A324) = 1,
   "One-Time Customer",
   "Repeat Customer"
)</f>
        <v>Repeat Customer</v>
      </c>
    </row>
    <row r="325" spans="1:6" x14ac:dyDescent="0.35">
      <c r="A325" t="s">
        <v>1459</v>
      </c>
      <c r="B325" t="str">
        <f>VLOOKUP(A325,Sales_Performance[[Customer ID]:[Total Amount]],2,0)</f>
        <v>Female</v>
      </c>
      <c r="C325">
        <f>_xlfn.XLOOKUP(A325,Sales_Performance[Customer ID],Sales_Performance[Age],0)</f>
        <v>64</v>
      </c>
      <c r="D325" t="str" cm="1">
        <f t="array" ref="D325">_xlfn.IFS(
   C325 &lt; 18, "Under 18",
   C325 &lt;= 24, "18-24",
   C325 &lt;= 34, "25-34",
   C325 &lt;= 44, "35-44",
   C325 &lt;= 54, "45-54",
   C325 &lt;= 64, "55-64",
   TRUE, "65+"
)</f>
        <v>55-64</v>
      </c>
      <c r="E325" s="1">
        <f>_xlfn.MINIFS(
   Sales_Performance[Date],
   Sales_Performance[Customer ID],
   A325
)</f>
        <v>44928</v>
      </c>
      <c r="F325" t="str">
        <f>IF(
   COUNTIF(Sales_Performance[Customer ID], A325) = 1,
   "One-Time Customer",
   "Repeat Customer"
)</f>
        <v>Repeat Customer</v>
      </c>
    </row>
    <row r="326" spans="1:6" x14ac:dyDescent="0.35">
      <c r="A326" t="s">
        <v>125</v>
      </c>
      <c r="B326" t="str">
        <f>VLOOKUP(A326,Sales_Performance[[Customer ID]:[Total Amount]],2,0)</f>
        <v>Female</v>
      </c>
      <c r="C326">
        <f>_xlfn.XLOOKUP(A326,Sales_Performance[Customer ID],Sales_Performance[Age],0)</f>
        <v>37</v>
      </c>
      <c r="D326" t="str" cm="1">
        <f t="array" ref="D326">_xlfn.IFS(
   C326 &lt; 18, "Under 18",
   C326 &lt;= 24, "18-24",
   C326 &lt;= 34, "25-34",
   C326 &lt;= 44, "35-44",
   C326 &lt;= 54, "45-54",
   C326 &lt;= 64, "55-64",
   TRUE, "65+"
)</f>
        <v>35-44</v>
      </c>
      <c r="E326" s="1">
        <f>_xlfn.MINIFS(
   Sales_Performance[Date],
   Sales_Performance[Customer ID],
   A326
)</f>
        <v>45052</v>
      </c>
      <c r="F326" t="str">
        <f>IF(
   COUNTIF(Sales_Performance[Customer ID], A326) = 1,
   "One-Time Customer",
   "Repeat Customer"
)</f>
        <v>Repeat Customer</v>
      </c>
    </row>
    <row r="327" spans="1:6" x14ac:dyDescent="0.35">
      <c r="A327" t="s">
        <v>536</v>
      </c>
      <c r="B327" t="str">
        <f>VLOOKUP(A327,Sales_Performance[[Customer ID]:[Total Amount]],2,0)</f>
        <v>Male</v>
      </c>
      <c r="C327">
        <f>_xlfn.XLOOKUP(A327,Sales_Performance[Customer ID],Sales_Performance[Age],0)</f>
        <v>34</v>
      </c>
      <c r="D327" t="str" cm="1">
        <f t="array" ref="D327">_xlfn.IFS(
   C327 &lt; 18, "Under 18",
   C327 &lt;= 24, "18-24",
   C327 &lt;= 34, "25-34",
   C327 &lt;= 44, "35-44",
   C327 &lt;= 54, "45-54",
   C327 &lt;= 64, "55-64",
   TRUE, "65+"
)</f>
        <v>25-34</v>
      </c>
      <c r="E327" s="1">
        <f>_xlfn.MINIFS(
   Sales_Performance[Date],
   Sales_Performance[Customer ID],
   A327
)</f>
        <v>45120</v>
      </c>
      <c r="F327" t="str">
        <f>IF(
   COUNTIF(Sales_Performance[Customer ID], A327) = 1,
   "One-Time Customer",
   "Repeat Customer"
)</f>
        <v>One-Time Customer</v>
      </c>
    </row>
    <row r="328" spans="1:6" x14ac:dyDescent="0.35">
      <c r="A328" t="s">
        <v>22</v>
      </c>
      <c r="B328" t="str">
        <f>VLOOKUP(A328,Sales_Performance[[Customer ID]:[Total Amount]],2,0)</f>
        <v>Female</v>
      </c>
      <c r="C328">
        <f>_xlfn.XLOOKUP(A328,Sales_Performance[Customer ID],Sales_Performance[Age],0)</f>
        <v>47</v>
      </c>
      <c r="D328" t="str" cm="1">
        <f t="array" ref="D328">_xlfn.IFS(
   C328 &lt; 18, "Under 18",
   C328 &lt;= 24, "18-24",
   C328 &lt;= 34, "25-34",
   C328 &lt;= 44, "35-44",
   C328 &lt;= 54, "45-54",
   C328 &lt;= 64, "55-64",
   TRUE, "65+"
)</f>
        <v>45-54</v>
      </c>
      <c r="E328" s="1">
        <f>_xlfn.MINIFS(
   Sales_Performance[Date],
   Sales_Performance[Customer ID],
   A328
)</f>
        <v>45046</v>
      </c>
      <c r="F328" t="str">
        <f>IF(
   COUNTIF(Sales_Performance[Customer ID], A328) = 1,
   "One-Time Customer",
   "Repeat Customer"
)</f>
        <v>Repeat Customer</v>
      </c>
    </row>
    <row r="329" spans="1:6" x14ac:dyDescent="0.35">
      <c r="A329" t="s">
        <v>926</v>
      </c>
      <c r="B329" t="str">
        <f>VLOOKUP(A329,Sales_Performance[[Customer ID]:[Total Amount]],2,0)</f>
        <v>Female</v>
      </c>
      <c r="C329">
        <f>_xlfn.XLOOKUP(A329,Sales_Performance[Customer ID],Sales_Performance[Age],0)</f>
        <v>55</v>
      </c>
      <c r="D329" t="str" cm="1">
        <f t="array" ref="D329">_xlfn.IFS(
   C329 &lt; 18, "Under 18",
   C329 &lt;= 24, "18-24",
   C329 &lt;= 34, "25-34",
   C329 &lt;= 44, "35-44",
   C329 &lt;= 54, "45-54",
   C329 &lt;= 64, "55-64",
   TRUE, "65+"
)</f>
        <v>55-64</v>
      </c>
      <c r="E329" s="1">
        <f>_xlfn.MINIFS(
   Sales_Performance[Date],
   Sales_Performance[Customer ID],
   A329
)</f>
        <v>44985</v>
      </c>
      <c r="F329" t="str">
        <f>IF(
   COUNTIF(Sales_Performance[Customer ID], A329) = 1,
   "One-Time Customer",
   "Repeat Customer"
)</f>
        <v>Repeat Customer</v>
      </c>
    </row>
    <row r="330" spans="1:6" x14ac:dyDescent="0.35">
      <c r="A330" t="s">
        <v>132</v>
      </c>
      <c r="B330" t="str">
        <f>VLOOKUP(A330,Sales_Performance[[Customer ID]:[Total Amount]],2,0)</f>
        <v>Female</v>
      </c>
      <c r="C330">
        <f>_xlfn.XLOOKUP(A330,Sales_Performance[Customer ID],Sales_Performance[Age],0)</f>
        <v>33</v>
      </c>
      <c r="D330" t="str" cm="1">
        <f t="array" ref="D330">_xlfn.IFS(
   C330 &lt; 18, "Under 18",
   C330 &lt;= 24, "18-24",
   C330 &lt;= 34, "25-34",
   C330 &lt;= 44, "35-44",
   C330 &lt;= 54, "45-54",
   C330 &lt;= 64, "55-64",
   TRUE, "65+"
)</f>
        <v>25-34</v>
      </c>
      <c r="E330" s="1">
        <f>_xlfn.MINIFS(
   Sales_Performance[Date],
   Sales_Performance[Customer ID],
   A330
)</f>
        <v>45010</v>
      </c>
      <c r="F330" t="str">
        <f>IF(
   COUNTIF(Sales_Performance[Customer ID], A330) = 1,
   "One-Time Customer",
   "Repeat Customer"
)</f>
        <v>Repeat Customer</v>
      </c>
    </row>
    <row r="331" spans="1:6" x14ac:dyDescent="0.35">
      <c r="A331" t="s">
        <v>1238</v>
      </c>
      <c r="B331" t="str">
        <f>VLOOKUP(A331,Sales_Performance[[Customer ID]:[Total Amount]],2,0)</f>
        <v>Male</v>
      </c>
      <c r="C331">
        <f>_xlfn.XLOOKUP(A331,Sales_Performance[Customer ID],Sales_Performance[Age],0)</f>
        <v>44</v>
      </c>
      <c r="D331" t="str" cm="1">
        <f t="array" ref="D331">_xlfn.IFS(
   C331 &lt; 18, "Under 18",
   C331 &lt;= 24, "18-24",
   C331 &lt;= 34, "25-34",
   C331 &lt;= 44, "35-44",
   C331 &lt;= 54, "45-54",
   C331 &lt;= 64, "55-64",
   TRUE, "65+"
)</f>
        <v>35-44</v>
      </c>
      <c r="E331" s="1">
        <f>_xlfn.MINIFS(
   Sales_Performance[Date],
   Sales_Performance[Customer ID],
   A331
)</f>
        <v>45005</v>
      </c>
      <c r="F331" t="str">
        <f>IF(
   COUNTIF(Sales_Performance[Customer ID], A331) = 1,
   "One-Time Customer",
   "Repeat Customer"
)</f>
        <v>Repeat Customer</v>
      </c>
    </row>
    <row r="332" spans="1:6" x14ac:dyDescent="0.35">
      <c r="A332" t="s">
        <v>1254</v>
      </c>
      <c r="B332" t="str">
        <f>VLOOKUP(A332,Sales_Performance[[Customer ID]:[Total Amount]],2,0)</f>
        <v>Male</v>
      </c>
      <c r="C332">
        <f>_xlfn.XLOOKUP(A332,Sales_Performance[Customer ID],Sales_Performance[Age],0)</f>
        <v>48</v>
      </c>
      <c r="D332" t="str" cm="1">
        <f t="array" ref="D332">_xlfn.IFS(
   C332 &lt; 18, "Under 18",
   C332 &lt;= 24, "18-24",
   C332 &lt;= 34, "25-34",
   C332 &lt;= 44, "35-44",
   C332 &lt;= 54, "45-54",
   C332 &lt;= 64, "55-64",
   TRUE, "65+"
)</f>
        <v>45-54</v>
      </c>
      <c r="E332" s="1">
        <f>_xlfn.MINIFS(
   Sales_Performance[Date],
   Sales_Performance[Customer ID],
   A332
)</f>
        <v>45222</v>
      </c>
      <c r="F332" t="str">
        <f>IF(
   COUNTIF(Sales_Performance[Customer ID], A332) = 1,
   "One-Time Customer",
   "Repeat Customer"
)</f>
        <v>One-Time Customer</v>
      </c>
    </row>
    <row r="333" spans="1:6" x14ac:dyDescent="0.35">
      <c r="A333" t="s">
        <v>771</v>
      </c>
      <c r="B333" t="str">
        <f>VLOOKUP(A333,Sales_Performance[[Customer ID]:[Total Amount]],2,0)</f>
        <v>Male</v>
      </c>
      <c r="C333">
        <f>_xlfn.XLOOKUP(A333,Sales_Performance[Customer ID],Sales_Performance[Age],0)</f>
        <v>50</v>
      </c>
      <c r="D333" t="str" cm="1">
        <f t="array" ref="D333">_xlfn.IFS(
   C333 &lt; 18, "Under 18",
   C333 &lt;= 24, "18-24",
   C333 &lt;= 34, "25-34",
   C333 &lt;= 44, "35-44",
   C333 &lt;= 54, "45-54",
   C333 &lt;= 64, "55-64",
   TRUE, "65+"
)</f>
        <v>45-54</v>
      </c>
      <c r="E333" s="1">
        <f>_xlfn.MINIFS(
   Sales_Performance[Date],
   Sales_Performance[Customer ID],
   A333
)</f>
        <v>45129</v>
      </c>
      <c r="F333" t="str">
        <f>IF(
   COUNTIF(Sales_Performance[Customer ID], A333) = 1,
   "One-Time Customer",
   "Repeat Customer"
)</f>
        <v>One-Time Customer</v>
      </c>
    </row>
    <row r="334" spans="1:6" x14ac:dyDescent="0.35">
      <c r="A334" t="s">
        <v>409</v>
      </c>
      <c r="B334" t="str">
        <f>VLOOKUP(A334,Sales_Performance[[Customer ID]:[Total Amount]],2,0)</f>
        <v>Female</v>
      </c>
      <c r="C334">
        <f>_xlfn.XLOOKUP(A334,Sales_Performance[Customer ID],Sales_Performance[Age],0)</f>
        <v>64</v>
      </c>
      <c r="D334" t="str" cm="1">
        <f t="array" ref="D334">_xlfn.IFS(
   C334 &lt; 18, "Under 18",
   C334 &lt;= 24, "18-24",
   C334 &lt;= 34, "25-34",
   C334 &lt;= 44, "35-44",
   C334 &lt;= 54, "45-54",
   C334 &lt;= 64, "55-64",
   TRUE, "65+"
)</f>
        <v>55-64</v>
      </c>
      <c r="E334" s="1">
        <f>_xlfn.MINIFS(
   Sales_Performance[Date],
   Sales_Performance[Customer ID],
   A334
)</f>
        <v>45163</v>
      </c>
      <c r="F334" t="str">
        <f>IF(
   COUNTIF(Sales_Performance[Customer ID], A334) = 1,
   "One-Time Customer",
   "Repeat Customer"
)</f>
        <v>One-Time Customer</v>
      </c>
    </row>
    <row r="335" spans="1:6" x14ac:dyDescent="0.35">
      <c r="A335" t="s">
        <v>914</v>
      </c>
      <c r="B335" t="str">
        <f>VLOOKUP(A335,Sales_Performance[[Customer ID]:[Total Amount]],2,0)</f>
        <v>Female</v>
      </c>
      <c r="C335">
        <f>_xlfn.XLOOKUP(A335,Sales_Performance[Customer ID],Sales_Performance[Age],0)</f>
        <v>28</v>
      </c>
      <c r="D335" t="str" cm="1">
        <f t="array" ref="D335">_xlfn.IFS(
   C335 &lt; 18, "Under 18",
   C335 &lt;= 24, "18-24",
   C335 &lt;= 34, "25-34",
   C335 &lt;= 44, "35-44",
   C335 &lt;= 54, "45-54",
   C335 &lt;= 64, "55-64",
   TRUE, "65+"
)</f>
        <v>25-34</v>
      </c>
      <c r="E335" s="1">
        <f>_xlfn.MINIFS(
   Sales_Performance[Date],
   Sales_Performance[Customer ID],
   A335
)</f>
        <v>45107</v>
      </c>
      <c r="F335" t="str">
        <f>IF(
   COUNTIF(Sales_Performance[Customer ID], A335) = 1,
   "One-Time Customer",
   "Repeat Customer"
)</f>
        <v>One-Time Customer</v>
      </c>
    </row>
    <row r="336" spans="1:6" x14ac:dyDescent="0.35">
      <c r="A336" t="s">
        <v>250</v>
      </c>
      <c r="B336" t="str">
        <f>VLOOKUP(A336,Sales_Performance[[Customer ID]:[Total Amount]],2,0)</f>
        <v>Female</v>
      </c>
      <c r="C336">
        <f>_xlfn.XLOOKUP(A336,Sales_Performance[Customer ID],Sales_Performance[Age],0)</f>
        <v>30</v>
      </c>
      <c r="D336" t="str" cm="1">
        <f t="array" ref="D336">_xlfn.IFS(
   C336 &lt; 18, "Under 18",
   C336 &lt;= 24, "18-24",
   C336 &lt;= 34, "25-34",
   C336 &lt;= 44, "35-44",
   C336 &lt;= 54, "45-54",
   C336 &lt;= 64, "55-64",
   TRUE, "65+"
)</f>
        <v>25-34</v>
      </c>
      <c r="E336" s="1">
        <f>_xlfn.MINIFS(
   Sales_Performance[Date],
   Sales_Performance[Customer ID],
   A336
)</f>
        <v>45157</v>
      </c>
      <c r="F336" t="str">
        <f>IF(
   COUNTIF(Sales_Performance[Customer ID], A336) = 1,
   "One-Time Customer",
   "Repeat Customer"
)</f>
        <v>One-Time Customer</v>
      </c>
    </row>
    <row r="337" spans="1:6" x14ac:dyDescent="0.35">
      <c r="A337" t="s">
        <v>959</v>
      </c>
      <c r="B337" t="str">
        <f>VLOOKUP(A337,Sales_Performance[[Customer ID]:[Total Amount]],2,0)</f>
        <v>Female</v>
      </c>
      <c r="C337">
        <f>_xlfn.XLOOKUP(A337,Sales_Performance[Customer ID],Sales_Performance[Age],0)</f>
        <v>30</v>
      </c>
      <c r="D337" t="str" cm="1">
        <f t="array" ref="D337">_xlfn.IFS(
   C337 &lt; 18, "Under 18",
   C337 &lt;= 24, "18-24",
   C337 &lt;= 34, "25-34",
   C337 &lt;= 44, "35-44",
   C337 &lt;= 54, "45-54",
   C337 &lt;= 64, "55-64",
   TRUE, "65+"
)</f>
        <v>25-34</v>
      </c>
      <c r="E337" s="1">
        <f>_xlfn.MINIFS(
   Sales_Performance[Date],
   Sales_Performance[Customer ID],
   A337
)</f>
        <v>45062</v>
      </c>
      <c r="F337" t="str">
        <f>IF(
   COUNTIF(Sales_Performance[Customer ID], A337) = 1,
   "One-Time Customer",
   "Repeat Customer"
)</f>
        <v>One-Time Customer</v>
      </c>
    </row>
    <row r="338" spans="1:6" x14ac:dyDescent="0.35">
      <c r="A338" t="s">
        <v>1168</v>
      </c>
      <c r="B338" t="str">
        <f>VLOOKUP(A338,Sales_Performance[[Customer ID]:[Total Amount]],2,0)</f>
        <v>Male</v>
      </c>
      <c r="C338">
        <f>_xlfn.XLOOKUP(A338,Sales_Performance[Customer ID],Sales_Performance[Age],0)</f>
        <v>18</v>
      </c>
      <c r="D338" t="str" cm="1">
        <f t="array" ref="D338">_xlfn.IFS(
   C338 &lt; 18, "Under 18",
   C338 &lt;= 24, "18-24",
   C338 &lt;= 34, "25-34",
   C338 &lt;= 44, "35-44",
   C338 &lt;= 54, "45-54",
   C338 &lt;= 64, "55-64",
   TRUE, "65+"
)</f>
        <v>18-24</v>
      </c>
      <c r="E338" s="1">
        <f>_xlfn.MINIFS(
   Sales_Performance[Date],
   Sales_Performance[Customer ID],
   A338
)</f>
        <v>45214</v>
      </c>
      <c r="F338" t="str">
        <f>IF(
   COUNTIF(Sales_Performance[Customer ID], A338) = 1,
   "One-Time Customer",
   "Repeat Customer"
)</f>
        <v>Repeat Customer</v>
      </c>
    </row>
    <row r="339" spans="1:6" x14ac:dyDescent="0.35">
      <c r="A339" t="s">
        <v>346</v>
      </c>
      <c r="B339" t="str">
        <f>VLOOKUP(A339,Sales_Performance[[Customer ID]:[Total Amount]],2,0)</f>
        <v>Female</v>
      </c>
      <c r="C339">
        <f>_xlfn.XLOOKUP(A339,Sales_Performance[Customer ID],Sales_Performance[Age],0)</f>
        <v>43</v>
      </c>
      <c r="D339" t="str" cm="1">
        <f t="array" ref="D339">_xlfn.IFS(
   C339 &lt; 18, "Under 18",
   C339 &lt;= 24, "18-24",
   C339 &lt;= 34, "25-34",
   C339 &lt;= 44, "35-44",
   C339 &lt;= 54, "45-54",
   C339 &lt;= 64, "55-64",
   TRUE, "65+"
)</f>
        <v>35-44</v>
      </c>
      <c r="E339" s="1">
        <f>_xlfn.MINIFS(
   Sales_Performance[Date],
   Sales_Performance[Customer ID],
   A339
)</f>
        <v>45039</v>
      </c>
      <c r="F339" t="str">
        <f>IF(
   COUNTIF(Sales_Performance[Customer ID], A339) = 1,
   "One-Time Customer",
   "Repeat Customer"
)</f>
        <v>One-Time Customer</v>
      </c>
    </row>
    <row r="340" spans="1:6" x14ac:dyDescent="0.35">
      <c r="A340" t="s">
        <v>752</v>
      </c>
      <c r="B340" t="str">
        <f>VLOOKUP(A340,Sales_Performance[[Customer ID]:[Total Amount]],2,0)</f>
        <v>Male</v>
      </c>
      <c r="C340">
        <f>_xlfn.XLOOKUP(A340,Sales_Performance[Customer ID],Sales_Performance[Age],0)</f>
        <v>49</v>
      </c>
      <c r="D340" t="str" cm="1">
        <f t="array" ref="D340">_xlfn.IFS(
   C340 &lt; 18, "Under 18",
   C340 &lt;= 24, "18-24",
   C340 &lt;= 34, "25-34",
   C340 &lt;= 44, "35-44",
   C340 &lt;= 54, "45-54",
   C340 &lt;= 64, "55-64",
   TRUE, "65+"
)</f>
        <v>45-54</v>
      </c>
      <c r="E340" s="1">
        <f>_xlfn.MINIFS(
   Sales_Performance[Date],
   Sales_Performance[Customer ID],
   A340
)</f>
        <v>44995</v>
      </c>
      <c r="F340" t="str">
        <f>IF(
   COUNTIF(Sales_Performance[Customer ID], A340) = 1,
   "One-Time Customer",
   "Repeat Customer"
)</f>
        <v>Repeat Customer</v>
      </c>
    </row>
    <row r="341" spans="1:6" x14ac:dyDescent="0.35">
      <c r="A341" t="s">
        <v>1182</v>
      </c>
      <c r="B341" t="str">
        <f>VLOOKUP(A341,Sales_Performance[[Customer ID]:[Total Amount]],2,0)</f>
        <v>Male</v>
      </c>
      <c r="C341">
        <f>_xlfn.XLOOKUP(A341,Sales_Performance[Customer ID],Sales_Performance[Age],0)</f>
        <v>23</v>
      </c>
      <c r="D341" t="str" cm="1">
        <f t="array" ref="D341">_xlfn.IFS(
   C341 &lt; 18, "Under 18",
   C341 &lt;= 24, "18-24",
   C341 &lt;= 34, "25-34",
   C341 &lt;= 44, "35-44",
   C341 &lt;= 54, "45-54",
   C341 &lt;= 64, "55-64",
   TRUE, "65+"
)</f>
        <v>18-24</v>
      </c>
      <c r="E341" s="1">
        <f>_xlfn.MINIFS(
   Sales_Performance[Date],
   Sales_Performance[Customer ID],
   A341
)</f>
        <v>45009</v>
      </c>
      <c r="F341" t="str">
        <f>IF(
   COUNTIF(Sales_Performance[Customer ID], A341) = 1,
   "One-Time Customer",
   "Repeat Customer"
)</f>
        <v>Repeat Customer</v>
      </c>
    </row>
    <row r="342" spans="1:6" x14ac:dyDescent="0.35">
      <c r="A342" t="s">
        <v>1006</v>
      </c>
      <c r="B342" t="str">
        <f>VLOOKUP(A342,Sales_Performance[[Customer ID]:[Total Amount]],2,0)</f>
        <v>Female</v>
      </c>
      <c r="C342">
        <f>_xlfn.XLOOKUP(A342,Sales_Performance[Customer ID],Sales_Performance[Age],0)</f>
        <v>54</v>
      </c>
      <c r="D342" t="str" cm="1">
        <f t="array" ref="D342">_xlfn.IFS(
   C342 &lt; 18, "Under 18",
   C342 &lt;= 24, "18-24",
   C342 &lt;= 34, "25-34",
   C342 &lt;= 44, "35-44",
   C342 &lt;= 54, "45-54",
   C342 &lt;= 64, "55-64",
   TRUE, "65+"
)</f>
        <v>45-54</v>
      </c>
      <c r="E342" s="1">
        <f>_xlfn.MINIFS(
   Sales_Performance[Date],
   Sales_Performance[Customer ID],
   A342
)</f>
        <v>45072</v>
      </c>
      <c r="F342" t="str">
        <f>IF(
   COUNTIF(Sales_Performance[Customer ID], A342) = 1,
   "One-Time Customer",
   "Repeat Customer"
)</f>
        <v>One-Time Customer</v>
      </c>
    </row>
    <row r="343" spans="1:6" x14ac:dyDescent="0.35">
      <c r="A343" t="s">
        <v>896</v>
      </c>
      <c r="B343" t="str">
        <f>VLOOKUP(A343,Sales_Performance[[Customer ID]:[Total Amount]],2,0)</f>
        <v>Female</v>
      </c>
      <c r="C343">
        <f>_xlfn.XLOOKUP(A343,Sales_Performance[Customer ID],Sales_Performance[Age],0)</f>
        <v>30</v>
      </c>
      <c r="D343" t="str" cm="1">
        <f t="array" ref="D343">_xlfn.IFS(
   C343 &lt; 18, "Under 18",
   C343 &lt;= 24, "18-24",
   C343 &lt;= 34, "25-34",
   C343 &lt;= 44, "35-44",
   C343 &lt;= 54, "45-54",
   C343 &lt;= 64, "55-64",
   TRUE, "65+"
)</f>
        <v>25-34</v>
      </c>
      <c r="E343" s="1">
        <f>_xlfn.MINIFS(
   Sales_Performance[Date],
   Sales_Performance[Customer ID],
   A343
)</f>
        <v>45280</v>
      </c>
      <c r="F343" t="str">
        <f>IF(
   COUNTIF(Sales_Performance[Customer ID], A343) = 1,
   "One-Time Customer",
   "Repeat Customer"
)</f>
        <v>Repeat Customer</v>
      </c>
    </row>
    <row r="344" spans="1:6" x14ac:dyDescent="0.35">
      <c r="A344" t="s">
        <v>485</v>
      </c>
      <c r="B344" t="str">
        <f>VLOOKUP(A344,Sales_Performance[[Customer ID]:[Total Amount]],2,0)</f>
        <v>Male</v>
      </c>
      <c r="C344">
        <f>_xlfn.XLOOKUP(A344,Sales_Performance[Customer ID],Sales_Performance[Age],0)</f>
        <v>55</v>
      </c>
      <c r="D344" t="str" cm="1">
        <f t="array" ref="D344">_xlfn.IFS(
   C344 &lt; 18, "Under 18",
   C344 &lt;= 24, "18-24",
   C344 &lt;= 34, "25-34",
   C344 &lt;= 44, "35-44",
   C344 &lt;= 54, "45-54",
   C344 &lt;= 64, "55-64",
   TRUE, "65+"
)</f>
        <v>55-64</v>
      </c>
      <c r="E344" s="1">
        <f>_xlfn.MINIFS(
   Sales_Performance[Date],
   Sales_Performance[Customer ID],
   A344
)</f>
        <v>45292</v>
      </c>
      <c r="F344" t="str">
        <f>IF(
   COUNTIF(Sales_Performance[Customer ID], A344) = 1,
   "One-Time Customer",
   "Repeat Customer"
)</f>
        <v>One-Time Customer</v>
      </c>
    </row>
    <row r="345" spans="1:6" x14ac:dyDescent="0.35">
      <c r="A345" t="s">
        <v>1488</v>
      </c>
      <c r="B345" t="str">
        <f>VLOOKUP(A345,Sales_Performance[[Customer ID]:[Total Amount]],2,0)</f>
        <v>Female</v>
      </c>
      <c r="C345">
        <f>_xlfn.XLOOKUP(A345,Sales_Performance[Customer ID],Sales_Performance[Age],0)</f>
        <v>37</v>
      </c>
      <c r="D345" t="str" cm="1">
        <f t="array" ref="D345">_xlfn.IFS(
   C345 &lt; 18, "Under 18",
   C345 &lt;= 24, "18-24",
   C345 &lt;= 34, "25-34",
   C345 &lt;= 44, "35-44",
   C345 &lt;= 54, "45-54",
   C345 &lt;= 64, "55-64",
   TRUE, "65+"
)</f>
        <v>35-44</v>
      </c>
      <c r="E345" s="1">
        <f>_xlfn.MINIFS(
   Sales_Performance[Date],
   Sales_Performance[Customer ID],
   A345
)</f>
        <v>45049</v>
      </c>
      <c r="F345" t="str">
        <f>IF(
   COUNTIF(Sales_Performance[Customer ID], A345) = 1,
   "One-Time Customer",
   "Repeat Customer"
)</f>
        <v>Repeat Customer</v>
      </c>
    </row>
    <row r="346" spans="1:6" x14ac:dyDescent="0.35">
      <c r="A346" t="s">
        <v>796</v>
      </c>
      <c r="B346" t="str">
        <f>VLOOKUP(A346,Sales_Performance[[Customer ID]:[Total Amount]],2,0)</f>
        <v>Male</v>
      </c>
      <c r="C346">
        <f>_xlfn.XLOOKUP(A346,Sales_Performance[Customer ID],Sales_Performance[Age],0)</f>
        <v>22</v>
      </c>
      <c r="D346" t="str" cm="1">
        <f t="array" ref="D346">_xlfn.IFS(
   C346 &lt; 18, "Under 18",
   C346 &lt;= 24, "18-24",
   C346 &lt;= 34, "25-34",
   C346 &lt;= 44, "35-44",
   C346 &lt;= 54, "45-54",
   C346 &lt;= 64, "55-64",
   TRUE, "65+"
)</f>
        <v>18-24</v>
      </c>
      <c r="E346" s="1">
        <f>_xlfn.MINIFS(
   Sales_Performance[Date],
   Sales_Performance[Customer ID],
   A346
)</f>
        <v>45239</v>
      </c>
      <c r="F346" t="str">
        <f>IF(
   COUNTIF(Sales_Performance[Customer ID], A346) = 1,
   "One-Time Customer",
   "Repeat Customer"
)</f>
        <v>One-Time Customer</v>
      </c>
    </row>
    <row r="347" spans="1:6" x14ac:dyDescent="0.35">
      <c r="A347" t="s">
        <v>43</v>
      </c>
      <c r="B347" t="str">
        <f>VLOOKUP(A347,Sales_Performance[[Customer ID]:[Total Amount]],2,0)</f>
        <v>Male</v>
      </c>
      <c r="C347">
        <f>_xlfn.XLOOKUP(A347,Sales_Performance[Customer ID],Sales_Performance[Age],0)</f>
        <v>41</v>
      </c>
      <c r="D347" t="str" cm="1">
        <f t="array" ref="D347">_xlfn.IFS(
   C347 &lt; 18, "Under 18",
   C347 &lt;= 24, "18-24",
   C347 &lt;= 34, "25-34",
   C347 &lt;= 44, "35-44",
   C347 &lt;= 54, "45-54",
   C347 &lt;= 64, "55-64",
   TRUE, "65+"
)</f>
        <v>35-44</v>
      </c>
      <c r="E347" s="1">
        <f>_xlfn.MINIFS(
   Sales_Performance[Date],
   Sales_Performance[Customer ID],
   A347
)</f>
        <v>45031</v>
      </c>
      <c r="F347" t="str">
        <f>IF(
   COUNTIF(Sales_Performance[Customer ID], A347) = 1,
   "One-Time Customer",
   "Repeat Customer"
)</f>
        <v>Repeat Customer</v>
      </c>
    </row>
    <row r="348" spans="1:6" x14ac:dyDescent="0.35">
      <c r="A348" t="s">
        <v>1496</v>
      </c>
      <c r="B348" t="str">
        <f>VLOOKUP(A348,Sales_Performance[[Customer ID]:[Total Amount]],2,0)</f>
        <v>Male</v>
      </c>
      <c r="C348">
        <f>_xlfn.XLOOKUP(A348,Sales_Performance[Customer ID],Sales_Performance[Age],0)</f>
        <v>54</v>
      </c>
      <c r="D348" t="str" cm="1">
        <f t="array" ref="D348">_xlfn.IFS(
   C348 &lt; 18, "Under 18",
   C348 &lt;= 24, "18-24",
   C348 &lt;= 34, "25-34",
   C348 &lt;= 44, "35-44",
   C348 &lt;= 54, "45-54",
   C348 &lt;= 64, "55-64",
   TRUE, "65+"
)</f>
        <v>45-54</v>
      </c>
      <c r="E348" s="1">
        <f>_xlfn.MINIFS(
   Sales_Performance[Date],
   Sales_Performance[Customer ID],
   A348
)</f>
        <v>45066</v>
      </c>
      <c r="F348" t="str">
        <f>IF(
   COUNTIF(Sales_Performance[Customer ID], A348) = 1,
   "One-Time Customer",
   "Repeat Customer"
)</f>
        <v>One-Time Customer</v>
      </c>
    </row>
    <row r="349" spans="1:6" x14ac:dyDescent="0.35">
      <c r="A349" t="s">
        <v>1414</v>
      </c>
      <c r="B349" t="str">
        <f>VLOOKUP(A349,Sales_Performance[[Customer ID]:[Total Amount]],2,0)</f>
        <v>Male</v>
      </c>
      <c r="C349">
        <f>_xlfn.XLOOKUP(A349,Sales_Performance[Customer ID],Sales_Performance[Age],0)</f>
        <v>56</v>
      </c>
      <c r="D349" t="str" cm="1">
        <f t="array" ref="D349">_xlfn.IFS(
   C349 &lt; 18, "Under 18",
   C349 &lt;= 24, "18-24",
   C349 &lt;= 34, "25-34",
   C349 &lt;= 44, "35-44",
   C349 &lt;= 54, "45-54",
   C349 &lt;= 64, "55-64",
   TRUE, "65+"
)</f>
        <v>55-64</v>
      </c>
      <c r="E349" s="1">
        <f>_xlfn.MINIFS(
   Sales_Performance[Date],
   Sales_Performance[Customer ID],
   A349
)</f>
        <v>45052</v>
      </c>
      <c r="F349" t="str">
        <f>IF(
   COUNTIF(Sales_Performance[Customer ID], A349) = 1,
   "One-Time Customer",
   "Repeat Customer"
)</f>
        <v>One-Time Customer</v>
      </c>
    </row>
    <row r="350" spans="1:6" x14ac:dyDescent="0.35">
      <c r="A350" t="s">
        <v>483</v>
      </c>
      <c r="B350" t="str">
        <f>VLOOKUP(A350,Sales_Performance[[Customer ID]:[Total Amount]],2,0)</f>
        <v>Male</v>
      </c>
      <c r="C350">
        <f>_xlfn.XLOOKUP(A350,Sales_Performance[Customer ID],Sales_Performance[Age],0)</f>
        <v>57</v>
      </c>
      <c r="D350" t="str" cm="1">
        <f t="array" ref="D350">_xlfn.IFS(
   C350 &lt; 18, "Under 18",
   C350 &lt;= 24, "18-24",
   C350 &lt;= 34, "25-34",
   C350 &lt;= 44, "35-44",
   C350 &lt;= 54, "45-54",
   C350 &lt;= 64, "55-64",
   TRUE, "65+"
)</f>
        <v>55-64</v>
      </c>
      <c r="E350" s="1">
        <f>_xlfn.MINIFS(
   Sales_Performance[Date],
   Sales_Performance[Customer ID],
   A350
)</f>
        <v>45028</v>
      </c>
      <c r="F350" t="str">
        <f>IF(
   COUNTIF(Sales_Performance[Customer ID], A350) = 1,
   "One-Time Customer",
   "Repeat Customer"
)</f>
        <v>Repeat Customer</v>
      </c>
    </row>
    <row r="351" spans="1:6" x14ac:dyDescent="0.35">
      <c r="A351" t="s">
        <v>257</v>
      </c>
      <c r="B351" t="str">
        <f>VLOOKUP(A351,Sales_Performance[[Customer ID]:[Total Amount]],2,0)</f>
        <v>Male</v>
      </c>
      <c r="C351">
        <f>_xlfn.XLOOKUP(A351,Sales_Performance[Customer ID],Sales_Performance[Age],0)</f>
        <v>25</v>
      </c>
      <c r="D351" t="str" cm="1">
        <f t="array" ref="D351">_xlfn.IFS(
   C351 &lt; 18, "Under 18",
   C351 &lt;= 24, "18-24",
   C351 &lt;= 34, "25-34",
   C351 &lt;= 44, "35-44",
   C351 &lt;= 54, "45-54",
   C351 &lt;= 64, "55-64",
   TRUE, "65+"
)</f>
        <v>25-34</v>
      </c>
      <c r="E351" s="1">
        <f>_xlfn.MINIFS(
   Sales_Performance[Date],
   Sales_Performance[Customer ID],
   A351
)</f>
        <v>44958</v>
      </c>
      <c r="F351" t="str">
        <f>IF(
   COUNTIF(Sales_Performance[Customer ID], A351) = 1,
   "One-Time Customer",
   "Repeat Customer"
)</f>
        <v>Repeat Customer</v>
      </c>
    </row>
    <row r="352" spans="1:6" x14ac:dyDescent="0.35">
      <c r="A352" t="s">
        <v>629</v>
      </c>
      <c r="B352" t="str">
        <f>VLOOKUP(A352,Sales_Performance[[Customer ID]:[Total Amount]],2,0)</f>
        <v>Female</v>
      </c>
      <c r="C352">
        <f>_xlfn.XLOOKUP(A352,Sales_Performance[Customer ID],Sales_Performance[Age],0)</f>
        <v>49</v>
      </c>
      <c r="D352" t="str" cm="1">
        <f t="array" ref="D352">_xlfn.IFS(
   C352 &lt; 18, "Under 18",
   C352 &lt;= 24, "18-24",
   C352 &lt;= 34, "25-34",
   C352 &lt;= 44, "35-44",
   C352 &lt;= 54, "45-54",
   C352 &lt;= 64, "55-64",
   TRUE, "65+"
)</f>
        <v>45-54</v>
      </c>
      <c r="E352" s="1">
        <f>_xlfn.MINIFS(
   Sales_Performance[Date],
   Sales_Performance[Customer ID],
   A352
)</f>
        <v>45259</v>
      </c>
      <c r="F352" t="str">
        <f>IF(
   COUNTIF(Sales_Performance[Customer ID], A352) = 1,
   "One-Time Customer",
   "Repeat Customer"
)</f>
        <v>One-Time Customer</v>
      </c>
    </row>
    <row r="353" spans="1:6" x14ac:dyDescent="0.35">
      <c r="A353" t="s">
        <v>739</v>
      </c>
      <c r="B353" t="str">
        <f>VLOOKUP(A353,Sales_Performance[[Customer ID]:[Total Amount]],2,0)</f>
        <v>Male</v>
      </c>
      <c r="C353">
        <f>_xlfn.XLOOKUP(A353,Sales_Performance[Customer ID],Sales_Performance[Age],0)</f>
        <v>31</v>
      </c>
      <c r="D353" t="str" cm="1">
        <f t="array" ref="D353">_xlfn.IFS(
   C353 &lt; 18, "Under 18",
   C353 &lt;= 24, "18-24",
   C353 &lt;= 34, "25-34",
   C353 &lt;= 44, "35-44",
   C353 &lt;= 54, "45-54",
   C353 &lt;= 64, "55-64",
   TRUE, "65+"
)</f>
        <v>25-34</v>
      </c>
      <c r="E353" s="1">
        <f>_xlfn.MINIFS(
   Sales_Performance[Date],
   Sales_Performance[Customer ID],
   A353
)</f>
        <v>45053</v>
      </c>
      <c r="F353" t="str">
        <f>IF(
   COUNTIF(Sales_Performance[Customer ID], A353) = 1,
   "One-Time Customer",
   "Repeat Customer"
)</f>
        <v>One-Time Customer</v>
      </c>
    </row>
    <row r="354" spans="1:6" x14ac:dyDescent="0.35">
      <c r="A354" t="s">
        <v>918</v>
      </c>
      <c r="B354" t="str">
        <f>VLOOKUP(A354,Sales_Performance[[Customer ID]:[Total Amount]],2,0)</f>
        <v>Female</v>
      </c>
      <c r="C354">
        <f>_xlfn.XLOOKUP(A354,Sales_Performance[Customer ID],Sales_Performance[Age],0)</f>
        <v>46</v>
      </c>
      <c r="D354" t="str" cm="1">
        <f t="array" ref="D354">_xlfn.IFS(
   C354 &lt; 18, "Under 18",
   C354 &lt;= 24, "18-24",
   C354 &lt;= 34, "25-34",
   C354 &lt;= 44, "35-44",
   C354 &lt;= 54, "45-54",
   C354 &lt;= 64, "55-64",
   TRUE, "65+"
)</f>
        <v>45-54</v>
      </c>
      <c r="E354" s="1">
        <f>_xlfn.MINIFS(
   Sales_Performance[Date],
   Sales_Performance[Customer ID],
   A354
)</f>
        <v>44937</v>
      </c>
      <c r="F354" t="str">
        <f>IF(
   COUNTIF(Sales_Performance[Customer ID], A354) = 1,
   "One-Time Customer",
   "Repeat Customer"
)</f>
        <v>Repeat Customer</v>
      </c>
    </row>
    <row r="355" spans="1:6" x14ac:dyDescent="0.35">
      <c r="A355" t="s">
        <v>35</v>
      </c>
      <c r="B355" t="str">
        <f>VLOOKUP(A355,Sales_Performance[[Customer ID]:[Total Amount]],2,0)</f>
        <v>Male</v>
      </c>
      <c r="C355">
        <f>_xlfn.XLOOKUP(A355,Sales_Performance[Customer ID],Sales_Performance[Age],0)</f>
        <v>64</v>
      </c>
      <c r="D355" t="str" cm="1">
        <f t="array" ref="D355">_xlfn.IFS(
   C355 &lt; 18, "Under 18",
   C355 &lt;= 24, "18-24",
   C355 &lt;= 34, "25-34",
   C355 &lt;= 44, "35-44",
   C355 &lt;= 54, "45-54",
   C355 &lt;= 64, "55-64",
   TRUE, "65+"
)</f>
        <v>55-64</v>
      </c>
      <c r="E355" s="1">
        <f>_xlfn.MINIFS(
   Sales_Performance[Date],
   Sales_Performance[Customer ID],
   A355
)</f>
        <v>44952</v>
      </c>
      <c r="F355" t="str">
        <f>IF(
   COUNTIF(Sales_Performance[Customer ID], A355) = 1,
   "One-Time Customer",
   "Repeat Customer"
)</f>
        <v>Repeat Customer</v>
      </c>
    </row>
    <row r="356" spans="1:6" x14ac:dyDescent="0.35">
      <c r="A356" t="s">
        <v>1392</v>
      </c>
      <c r="B356" t="str">
        <f>VLOOKUP(A356,Sales_Performance[[Customer ID]:[Total Amount]],2,0)</f>
        <v>Female</v>
      </c>
      <c r="C356">
        <f>_xlfn.XLOOKUP(A356,Sales_Performance[Customer ID],Sales_Performance[Age],0)</f>
        <v>46</v>
      </c>
      <c r="D356" t="str" cm="1">
        <f t="array" ref="D356">_xlfn.IFS(
   C356 &lt; 18, "Under 18",
   C356 &lt;= 24, "18-24",
   C356 &lt;= 34, "25-34",
   C356 &lt;= 44, "35-44",
   C356 &lt;= 54, "45-54",
   C356 &lt;= 64, "55-64",
   TRUE, "65+"
)</f>
        <v>45-54</v>
      </c>
      <c r="E356" s="1">
        <f>_xlfn.MINIFS(
   Sales_Performance[Date],
   Sales_Performance[Customer ID],
   A356
)</f>
        <v>44943</v>
      </c>
      <c r="F356" t="str">
        <f>IF(
   COUNTIF(Sales_Performance[Customer ID], A356) = 1,
   "One-Time Customer",
   "Repeat Customer"
)</f>
        <v>Repeat Customer</v>
      </c>
    </row>
    <row r="357" spans="1:6" x14ac:dyDescent="0.35">
      <c r="A357" t="s">
        <v>315</v>
      </c>
      <c r="B357" t="str">
        <f>VLOOKUP(A357,Sales_Performance[[Customer ID]:[Total Amount]],2,0)</f>
        <v>Female</v>
      </c>
      <c r="C357">
        <f>_xlfn.XLOOKUP(A357,Sales_Performance[Customer ID],Sales_Performance[Age],0)</f>
        <v>28</v>
      </c>
      <c r="D357" t="str" cm="1">
        <f t="array" ref="D357">_xlfn.IFS(
   C357 &lt; 18, "Under 18",
   C357 &lt;= 24, "18-24",
   C357 &lt;= 34, "25-34",
   C357 &lt;= 44, "35-44",
   C357 &lt;= 54, "45-54",
   C357 &lt;= 64, "55-64",
   TRUE, "65+"
)</f>
        <v>25-34</v>
      </c>
      <c r="E357" s="1">
        <f>_xlfn.MINIFS(
   Sales_Performance[Date],
   Sales_Performance[Customer ID],
   A357
)</f>
        <v>45002</v>
      </c>
      <c r="F357" t="str">
        <f>IF(
   COUNTIF(Sales_Performance[Customer ID], A357) = 1,
   "One-Time Customer",
   "Repeat Customer"
)</f>
        <v>Repeat Customer</v>
      </c>
    </row>
    <row r="358" spans="1:6" x14ac:dyDescent="0.35">
      <c r="A358" t="s">
        <v>692</v>
      </c>
      <c r="B358" t="str">
        <f>VLOOKUP(A358,Sales_Performance[[Customer ID]:[Total Amount]],2,0)</f>
        <v>Female</v>
      </c>
      <c r="C358">
        <f>_xlfn.XLOOKUP(A358,Sales_Performance[Customer ID],Sales_Performance[Age],0)</f>
        <v>20</v>
      </c>
      <c r="D358" t="str" cm="1">
        <f t="array" ref="D358">_xlfn.IFS(
   C358 &lt; 18, "Under 18",
   C358 &lt;= 24, "18-24",
   C358 &lt;= 34, "25-34",
   C358 &lt;= 44, "35-44",
   C358 &lt;= 54, "45-54",
   C358 &lt;= 64, "55-64",
   TRUE, "65+"
)</f>
        <v>18-24</v>
      </c>
      <c r="E358" s="1">
        <f>_xlfn.MINIFS(
   Sales_Performance[Date],
   Sales_Performance[Customer ID],
   A358
)</f>
        <v>45134</v>
      </c>
      <c r="F358" t="str">
        <f>IF(
   COUNTIF(Sales_Performance[Customer ID], A358) = 1,
   "One-Time Customer",
   "Repeat Customer"
)</f>
        <v>One-Time Customer</v>
      </c>
    </row>
    <row r="359" spans="1:6" x14ac:dyDescent="0.35">
      <c r="A359" t="s">
        <v>829</v>
      </c>
      <c r="B359" t="str">
        <f>VLOOKUP(A359,Sales_Performance[[Customer ID]:[Total Amount]],2,0)</f>
        <v>Male</v>
      </c>
      <c r="C359">
        <f>_xlfn.XLOOKUP(A359,Sales_Performance[Customer ID],Sales_Performance[Age],0)</f>
        <v>31</v>
      </c>
      <c r="D359" t="str" cm="1">
        <f t="array" ref="D359">_xlfn.IFS(
   C359 &lt; 18, "Under 18",
   C359 &lt;= 24, "18-24",
   C359 &lt;= 34, "25-34",
   C359 &lt;= 44, "35-44",
   C359 &lt;= 54, "45-54",
   C359 &lt;= 64, "55-64",
   TRUE, "65+"
)</f>
        <v>25-34</v>
      </c>
      <c r="E359" s="1">
        <f>_xlfn.MINIFS(
   Sales_Performance[Date],
   Sales_Performance[Customer ID],
   A359
)</f>
        <v>45231</v>
      </c>
      <c r="F359" t="str">
        <f>IF(
   COUNTIF(Sales_Performance[Customer ID], A359) = 1,
   "One-Time Customer",
   "Repeat Customer"
)</f>
        <v>One-Time Customer</v>
      </c>
    </row>
    <row r="360" spans="1:6" x14ac:dyDescent="0.35">
      <c r="A360" t="s">
        <v>321</v>
      </c>
      <c r="B360" t="str">
        <f>VLOOKUP(A360,Sales_Performance[[Customer ID]:[Total Amount]],2,0)</f>
        <v>Male</v>
      </c>
      <c r="C360">
        <f>_xlfn.XLOOKUP(A360,Sales_Performance[Customer ID],Sales_Performance[Age],0)</f>
        <v>23</v>
      </c>
      <c r="D360" t="str" cm="1">
        <f t="array" ref="D360">_xlfn.IFS(
   C360 &lt; 18, "Under 18",
   C360 &lt;= 24, "18-24",
   C360 &lt;= 34, "25-34",
   C360 &lt;= 44, "35-44",
   C360 &lt;= 54, "45-54",
   C360 &lt;= 64, "55-64",
   TRUE, "65+"
)</f>
        <v>18-24</v>
      </c>
      <c r="E360" s="1">
        <f>_xlfn.MINIFS(
   Sales_Performance[Date],
   Sales_Performance[Customer ID],
   A360
)</f>
        <v>44971</v>
      </c>
      <c r="F360" t="str">
        <f>IF(
   COUNTIF(Sales_Performance[Customer ID], A360) = 1,
   "One-Time Customer",
   "Repeat Customer"
)</f>
        <v>One-Time Customer</v>
      </c>
    </row>
    <row r="361" spans="1:6" x14ac:dyDescent="0.35">
      <c r="A361" t="s">
        <v>99</v>
      </c>
      <c r="B361" t="str">
        <f>VLOOKUP(A361,Sales_Performance[[Customer ID]:[Total Amount]],2,0)</f>
        <v>Female</v>
      </c>
      <c r="C361">
        <f>_xlfn.XLOOKUP(A361,Sales_Performance[Customer ID],Sales_Performance[Age],0)</f>
        <v>50</v>
      </c>
      <c r="D361" t="str" cm="1">
        <f t="array" ref="D361">_xlfn.IFS(
   C361 &lt; 18, "Under 18",
   C361 &lt;= 24, "18-24",
   C361 &lt;= 34, "25-34",
   C361 &lt;= 44, "35-44",
   C361 &lt;= 54, "45-54",
   C361 &lt;= 64, "55-64",
   TRUE, "65+"
)</f>
        <v>45-54</v>
      </c>
      <c r="E361" s="1">
        <f>_xlfn.MINIFS(
   Sales_Performance[Date],
   Sales_Performance[Customer ID],
   A361
)</f>
        <v>45008</v>
      </c>
      <c r="F361" t="str">
        <f>IF(
   COUNTIF(Sales_Performance[Customer ID], A361) = 1,
   "One-Time Customer",
   "Repeat Customer"
)</f>
        <v>One-Time Customer</v>
      </c>
    </row>
    <row r="362" spans="1:6" x14ac:dyDescent="0.35">
      <c r="A362" t="s">
        <v>491</v>
      </c>
      <c r="B362" t="str">
        <f>VLOOKUP(A362,Sales_Performance[[Customer ID]:[Total Amount]],2,0)</f>
        <v>Female</v>
      </c>
      <c r="C362">
        <f>_xlfn.XLOOKUP(A362,Sales_Performance[Customer ID],Sales_Performance[Age],0)</f>
        <v>61</v>
      </c>
      <c r="D362" t="str" cm="1">
        <f t="array" ref="D362">_xlfn.IFS(
   C362 &lt; 18, "Under 18",
   C362 &lt;= 24, "18-24",
   C362 &lt;= 34, "25-34",
   C362 &lt;= 44, "35-44",
   C362 &lt;= 54, "45-54",
   C362 &lt;= 64, "55-64",
   TRUE, "65+"
)</f>
        <v>55-64</v>
      </c>
      <c r="E362" s="1">
        <f>_xlfn.MINIFS(
   Sales_Performance[Date],
   Sales_Performance[Customer ID],
   A362
)</f>
        <v>45144</v>
      </c>
      <c r="F362" t="str">
        <f>IF(
   COUNTIF(Sales_Performance[Customer ID], A362) = 1,
   "One-Time Customer",
   "Repeat Customer"
)</f>
        <v>One-Time Customer</v>
      </c>
    </row>
    <row r="363" spans="1:6" x14ac:dyDescent="0.35">
      <c r="A363" t="s">
        <v>1115</v>
      </c>
      <c r="B363" t="str">
        <f>VLOOKUP(A363,Sales_Performance[[Customer ID]:[Total Amount]],2,0)</f>
        <v>Female</v>
      </c>
      <c r="C363">
        <f>_xlfn.XLOOKUP(A363,Sales_Performance[Customer ID],Sales_Performance[Age],0)</f>
        <v>51</v>
      </c>
      <c r="D363" t="str" cm="1">
        <f t="array" ref="D363">_xlfn.IFS(
   C363 &lt; 18, "Under 18",
   C363 &lt;= 24, "18-24",
   C363 &lt;= 34, "25-34",
   C363 &lt;= 44, "35-44",
   C363 &lt;= 54, "45-54",
   C363 &lt;= 64, "55-64",
   TRUE, "65+"
)</f>
        <v>45-54</v>
      </c>
      <c r="E363" s="1">
        <f>_xlfn.MINIFS(
   Sales_Performance[Date],
   Sales_Performance[Customer ID],
   A363
)</f>
        <v>45052</v>
      </c>
      <c r="F363" t="str">
        <f>IF(
   COUNTIF(Sales_Performance[Customer ID], A363) = 1,
   "One-Time Customer",
   "Repeat Customer"
)</f>
        <v>One-Time Customer</v>
      </c>
    </row>
    <row r="364" spans="1:6" x14ac:dyDescent="0.35">
      <c r="A364" t="s">
        <v>902</v>
      </c>
      <c r="B364" t="str">
        <f>VLOOKUP(A364,Sales_Performance[[Customer ID]:[Total Amount]],2,0)</f>
        <v>Male</v>
      </c>
      <c r="C364">
        <f>_xlfn.XLOOKUP(A364,Sales_Performance[Customer ID],Sales_Performance[Age],0)</f>
        <v>32</v>
      </c>
      <c r="D364" t="str" cm="1">
        <f t="array" ref="D364">_xlfn.IFS(
   C364 &lt; 18, "Under 18",
   C364 &lt;= 24, "18-24",
   C364 &lt;= 34, "25-34",
   C364 &lt;= 44, "35-44",
   C364 &lt;= 54, "45-54",
   C364 &lt;= 64, "55-64",
   TRUE, "65+"
)</f>
        <v>25-34</v>
      </c>
      <c r="E364" s="1">
        <f>_xlfn.MINIFS(
   Sales_Performance[Date],
   Sales_Performance[Customer ID],
   A364
)</f>
        <v>45050</v>
      </c>
      <c r="F364" t="str">
        <f>IF(
   COUNTIF(Sales_Performance[Customer ID], A364) = 1,
   "One-Time Customer",
   "Repeat Customer"
)</f>
        <v>One-Time Customer</v>
      </c>
    </row>
    <row r="365" spans="1:6" x14ac:dyDescent="0.35">
      <c r="A365" t="s">
        <v>290</v>
      </c>
      <c r="B365" t="str">
        <f>VLOOKUP(A365,Sales_Performance[[Customer ID]:[Total Amount]],2,0)</f>
        <v>Male</v>
      </c>
      <c r="C365">
        <f>_xlfn.XLOOKUP(A365,Sales_Performance[Customer ID],Sales_Performance[Age],0)</f>
        <v>49</v>
      </c>
      <c r="D365" t="str" cm="1">
        <f t="array" ref="D365">_xlfn.IFS(
   C365 &lt; 18, "Under 18",
   C365 &lt;= 24, "18-24",
   C365 &lt;= 34, "25-34",
   C365 &lt;= 44, "35-44",
   C365 &lt;= 54, "45-54",
   C365 &lt;= 64, "55-64",
   TRUE, "65+"
)</f>
        <v>45-54</v>
      </c>
      <c r="E365" s="1">
        <f>_xlfn.MINIFS(
   Sales_Performance[Date],
   Sales_Performance[Customer ID],
   A365
)</f>
        <v>44951</v>
      </c>
      <c r="F365" t="str">
        <f>IF(
   COUNTIF(Sales_Performance[Customer ID], A365) = 1,
   "One-Time Customer",
   "Repeat Customer"
)</f>
        <v>Repeat Customer</v>
      </c>
    </row>
    <row r="366" spans="1:6" x14ac:dyDescent="0.35">
      <c r="A366" t="s">
        <v>1486</v>
      </c>
      <c r="B366" t="str">
        <f>VLOOKUP(A366,Sales_Performance[[Customer ID]:[Total Amount]],2,0)</f>
        <v>Female</v>
      </c>
      <c r="C366">
        <f>_xlfn.XLOOKUP(A366,Sales_Performance[Customer ID],Sales_Performance[Age],0)</f>
        <v>34</v>
      </c>
      <c r="D366" t="str" cm="1">
        <f t="array" ref="D366">_xlfn.IFS(
   C366 &lt; 18, "Under 18",
   C366 &lt;= 24, "18-24",
   C366 &lt;= 34, "25-34",
   C366 &lt;= 44, "35-44",
   C366 &lt;= 54, "45-54",
   C366 &lt;= 64, "55-64",
   TRUE, "65+"
)</f>
        <v>25-34</v>
      </c>
      <c r="E366" s="1">
        <f>_xlfn.MINIFS(
   Sales_Performance[Date],
   Sales_Performance[Customer ID],
   A366
)</f>
        <v>45164</v>
      </c>
      <c r="F366" t="str">
        <f>IF(
   COUNTIF(Sales_Performance[Customer ID], A366) = 1,
   "One-Time Customer",
   "Repeat Customer"
)</f>
        <v>One-Time Customer</v>
      </c>
    </row>
    <row r="367" spans="1:6" x14ac:dyDescent="0.35">
      <c r="A367" t="s">
        <v>487</v>
      </c>
      <c r="B367" t="str">
        <f>VLOOKUP(A367,Sales_Performance[[Customer ID]:[Total Amount]],2,0)</f>
        <v>Male</v>
      </c>
      <c r="C367">
        <f>_xlfn.XLOOKUP(A367,Sales_Performance[Customer ID],Sales_Performance[Age],0)</f>
        <v>40</v>
      </c>
      <c r="D367" t="str" cm="1">
        <f t="array" ref="D367">_xlfn.IFS(
   C367 &lt; 18, "Under 18",
   C367 &lt;= 24, "18-24",
   C367 &lt;= 34, "25-34",
   C367 &lt;= 44, "35-44",
   C367 &lt;= 54, "45-54",
   C367 &lt;= 64, "55-64",
   TRUE, "65+"
)</f>
        <v>35-44</v>
      </c>
      <c r="E367" s="1">
        <f>_xlfn.MINIFS(
   Sales_Performance[Date],
   Sales_Performance[Customer ID],
   A367
)</f>
        <v>45006</v>
      </c>
      <c r="F367" t="str">
        <f>IF(
   COUNTIF(Sales_Performance[Customer ID], A367) = 1,
   "One-Time Customer",
   "Repeat Customer"
)</f>
        <v>Repeat Customer</v>
      </c>
    </row>
    <row r="368" spans="1:6" x14ac:dyDescent="0.35">
      <c r="A368" t="s">
        <v>874</v>
      </c>
      <c r="B368" t="str">
        <f>VLOOKUP(A368,Sales_Performance[[Customer ID]:[Total Amount]],2,0)</f>
        <v>Male</v>
      </c>
      <c r="C368">
        <f>_xlfn.XLOOKUP(A368,Sales_Performance[Customer ID],Sales_Performance[Age],0)</f>
        <v>30</v>
      </c>
      <c r="D368" t="str" cm="1">
        <f t="array" ref="D368">_xlfn.IFS(
   C368 &lt; 18, "Under 18",
   C368 &lt;= 24, "18-24",
   C368 &lt;= 34, "25-34",
   C368 &lt;= 44, "35-44",
   C368 &lt;= 54, "45-54",
   C368 &lt;= 64, "55-64",
   TRUE, "65+"
)</f>
        <v>25-34</v>
      </c>
      <c r="E368" s="1">
        <f>_xlfn.MINIFS(
   Sales_Performance[Date],
   Sales_Performance[Customer ID],
   A368
)</f>
        <v>44930</v>
      </c>
      <c r="F368" t="str">
        <f>IF(
   COUNTIF(Sales_Performance[Customer ID], A368) = 1,
   "One-Time Customer",
   "Repeat Customer"
)</f>
        <v>Repeat Customer</v>
      </c>
    </row>
    <row r="369" spans="1:6" x14ac:dyDescent="0.35">
      <c r="A369" t="s">
        <v>1078</v>
      </c>
      <c r="B369" t="str">
        <f>VLOOKUP(A369,Sales_Performance[[Customer ID]:[Total Amount]],2,0)</f>
        <v>Female</v>
      </c>
      <c r="C369">
        <f>_xlfn.XLOOKUP(A369,Sales_Performance[Customer ID],Sales_Performance[Age],0)</f>
        <v>23</v>
      </c>
      <c r="D369" t="str" cm="1">
        <f t="array" ref="D369">_xlfn.IFS(
   C369 &lt; 18, "Under 18",
   C369 &lt;= 24, "18-24",
   C369 &lt;= 34, "25-34",
   C369 &lt;= 44, "35-44",
   C369 &lt;= 54, "45-54",
   C369 &lt;= 64, "55-64",
   TRUE, "65+"
)</f>
        <v>18-24</v>
      </c>
      <c r="E369" s="1">
        <f>_xlfn.MINIFS(
   Sales_Performance[Date],
   Sales_Performance[Customer ID],
   A369
)</f>
        <v>45065</v>
      </c>
      <c r="F369" t="str">
        <f>IF(
   COUNTIF(Sales_Performance[Customer ID], A369) = 1,
   "One-Time Customer",
   "Repeat Customer"
)</f>
        <v>Repeat Customer</v>
      </c>
    </row>
    <row r="370" spans="1:6" x14ac:dyDescent="0.35">
      <c r="A370" t="s">
        <v>909</v>
      </c>
      <c r="B370" t="str">
        <f>VLOOKUP(A370,Sales_Performance[[Customer ID]:[Total Amount]],2,0)</f>
        <v>Female</v>
      </c>
      <c r="C370">
        <f>_xlfn.XLOOKUP(A370,Sales_Performance[Customer ID],Sales_Performance[Age],0)</f>
        <v>48</v>
      </c>
      <c r="D370" t="str" cm="1">
        <f t="array" ref="D370">_xlfn.IFS(
   C370 &lt; 18, "Under 18",
   C370 &lt;= 24, "18-24",
   C370 &lt;= 34, "25-34",
   C370 &lt;= 44, "35-44",
   C370 &lt;= 54, "45-54",
   C370 &lt;= 64, "55-64",
   TRUE, "65+"
)</f>
        <v>45-54</v>
      </c>
      <c r="E370" s="1">
        <f>_xlfn.MINIFS(
   Sales_Performance[Date],
   Sales_Performance[Customer ID],
   A370
)</f>
        <v>45024</v>
      </c>
      <c r="F370" t="str">
        <f>IF(
   COUNTIF(Sales_Performance[Customer ID], A370) = 1,
   "One-Time Customer",
   "Repeat Customer"
)</f>
        <v>Repeat Customer</v>
      </c>
    </row>
    <row r="371" spans="1:6" x14ac:dyDescent="0.35">
      <c r="A371" t="s">
        <v>571</v>
      </c>
      <c r="B371" t="str">
        <f>VLOOKUP(A371,Sales_Performance[[Customer ID]:[Total Amount]],2,0)</f>
        <v>Female</v>
      </c>
      <c r="C371">
        <f>_xlfn.XLOOKUP(A371,Sales_Performance[Customer ID],Sales_Performance[Age],0)</f>
        <v>63</v>
      </c>
      <c r="D371" t="str" cm="1">
        <f t="array" ref="D371">_xlfn.IFS(
   C371 &lt; 18, "Under 18",
   C371 &lt;= 24, "18-24",
   C371 &lt;= 34, "25-34",
   C371 &lt;= 44, "35-44",
   C371 &lt;= 54, "45-54",
   C371 &lt;= 64, "55-64",
   TRUE, "65+"
)</f>
        <v>55-64</v>
      </c>
      <c r="E371" s="1">
        <f>_xlfn.MINIFS(
   Sales_Performance[Date],
   Sales_Performance[Customer ID],
   A371
)</f>
        <v>45215</v>
      </c>
      <c r="F371" t="str">
        <f>IF(
   COUNTIF(Sales_Performance[Customer ID], A371) = 1,
   "One-Time Customer",
   "Repeat Customer"
)</f>
        <v>Repeat Customer</v>
      </c>
    </row>
    <row r="372" spans="1:6" x14ac:dyDescent="0.35">
      <c r="A372" t="s">
        <v>375</v>
      </c>
      <c r="B372" t="str">
        <f>VLOOKUP(A372,Sales_Performance[[Customer ID]:[Total Amount]],2,0)</f>
        <v>Female</v>
      </c>
      <c r="C372">
        <f>_xlfn.XLOOKUP(A372,Sales_Performance[Customer ID],Sales_Performance[Age],0)</f>
        <v>43</v>
      </c>
      <c r="D372" t="str" cm="1">
        <f t="array" ref="D372">_xlfn.IFS(
   C372 &lt; 18, "Under 18",
   C372 &lt;= 24, "18-24",
   C372 &lt;= 34, "25-34",
   C372 &lt;= 44, "35-44",
   C372 &lt;= 54, "45-54",
   C372 &lt;= 64, "55-64",
   TRUE, "65+"
)</f>
        <v>35-44</v>
      </c>
      <c r="E372" s="1">
        <f>_xlfn.MINIFS(
   Sales_Performance[Date],
   Sales_Performance[Customer ID],
   A372
)</f>
        <v>45058</v>
      </c>
      <c r="F372" t="str">
        <f>IF(
   COUNTIF(Sales_Performance[Customer ID], A372) = 1,
   "One-Time Customer",
   "Repeat Customer"
)</f>
        <v>Repeat Customer</v>
      </c>
    </row>
    <row r="373" spans="1:6" x14ac:dyDescent="0.35">
      <c r="A373" t="s">
        <v>1305</v>
      </c>
      <c r="B373" t="str">
        <f>VLOOKUP(A373,Sales_Performance[[Customer ID]:[Total Amount]],2,0)</f>
        <v>Female</v>
      </c>
      <c r="C373">
        <f>_xlfn.XLOOKUP(A373,Sales_Performance[Customer ID],Sales_Performance[Age],0)</f>
        <v>32</v>
      </c>
      <c r="D373" t="str" cm="1">
        <f t="array" ref="D373">_xlfn.IFS(
   C373 &lt; 18, "Under 18",
   C373 &lt;= 24, "18-24",
   C373 &lt;= 34, "25-34",
   C373 &lt;= 44, "35-44",
   C373 &lt;= 54, "45-54",
   C373 &lt;= 64, "55-64",
   TRUE, "65+"
)</f>
        <v>25-34</v>
      </c>
      <c r="E373" s="1">
        <f>_xlfn.MINIFS(
   Sales_Performance[Date],
   Sales_Performance[Customer ID],
   A373
)</f>
        <v>45002</v>
      </c>
      <c r="F373" t="str">
        <f>IF(
   COUNTIF(Sales_Performance[Customer ID], A373) = 1,
   "One-Time Customer",
   "Repeat Customer"
)</f>
        <v>Repeat Customer</v>
      </c>
    </row>
    <row r="374" spans="1:6" x14ac:dyDescent="0.35">
      <c r="A374" t="s">
        <v>1417</v>
      </c>
      <c r="B374" t="str">
        <f>VLOOKUP(A374,Sales_Performance[[Customer ID]:[Total Amount]],2,0)</f>
        <v>Male</v>
      </c>
      <c r="C374">
        <f>_xlfn.XLOOKUP(A374,Sales_Performance[Customer ID],Sales_Performance[Age],0)</f>
        <v>42</v>
      </c>
      <c r="D374" t="str" cm="1">
        <f t="array" ref="D374">_xlfn.IFS(
   C374 &lt; 18, "Under 18",
   C374 &lt;= 24, "18-24",
   C374 &lt;= 34, "25-34",
   C374 &lt;= 44, "35-44",
   C374 &lt;= 54, "45-54",
   C374 &lt;= 64, "55-64",
   TRUE, "65+"
)</f>
        <v>35-44</v>
      </c>
      <c r="E374" s="1">
        <f>_xlfn.MINIFS(
   Sales_Performance[Date],
   Sales_Performance[Customer ID],
   A374
)</f>
        <v>44994</v>
      </c>
      <c r="F374" t="str">
        <f>IF(
   COUNTIF(Sales_Performance[Customer ID], A374) = 1,
   "One-Time Customer",
   "Repeat Customer"
)</f>
        <v>Repeat Customer</v>
      </c>
    </row>
    <row r="375" spans="1:6" x14ac:dyDescent="0.35">
      <c r="A375" t="s">
        <v>523</v>
      </c>
      <c r="B375" t="str">
        <f>VLOOKUP(A375,Sales_Performance[[Customer ID]:[Total Amount]],2,0)</f>
        <v>Female</v>
      </c>
      <c r="C375">
        <f>_xlfn.XLOOKUP(A375,Sales_Performance[Customer ID],Sales_Performance[Age],0)</f>
        <v>34</v>
      </c>
      <c r="D375" t="str" cm="1">
        <f t="array" ref="D375">_xlfn.IFS(
   C375 &lt; 18, "Under 18",
   C375 &lt;= 24, "18-24",
   C375 &lt;= 34, "25-34",
   C375 &lt;= 44, "35-44",
   C375 &lt;= 54, "45-54",
   C375 &lt;= 64, "55-64",
   TRUE, "65+"
)</f>
        <v>25-34</v>
      </c>
      <c r="E375" s="1">
        <f>_xlfn.MINIFS(
   Sales_Performance[Date],
   Sales_Performance[Customer ID],
   A375
)</f>
        <v>45286</v>
      </c>
      <c r="F375" t="str">
        <f>IF(
   COUNTIF(Sales_Performance[Customer ID], A375) = 1,
   "One-Time Customer",
   "Repeat Customer"
)</f>
        <v>One-Time Customer</v>
      </c>
    </row>
    <row r="376" spans="1:6" x14ac:dyDescent="0.35">
      <c r="A376" t="s">
        <v>835</v>
      </c>
      <c r="B376" t="str">
        <f>VLOOKUP(A376,Sales_Performance[[Customer ID]:[Total Amount]],2,0)</f>
        <v>Female</v>
      </c>
      <c r="C376">
        <f>_xlfn.XLOOKUP(A376,Sales_Performance[Customer ID],Sales_Performance[Age],0)</f>
        <v>22</v>
      </c>
      <c r="D376" t="str" cm="1">
        <f t="array" ref="D376">_xlfn.IFS(
   C376 &lt; 18, "Under 18",
   C376 &lt;= 24, "18-24",
   C376 &lt;= 34, "25-34",
   C376 &lt;= 44, "35-44",
   C376 &lt;= 54, "45-54",
   C376 &lt;= 64, "55-64",
   TRUE, "65+"
)</f>
        <v>18-24</v>
      </c>
      <c r="E376" s="1">
        <f>_xlfn.MINIFS(
   Sales_Performance[Date],
   Sales_Performance[Customer ID],
   A376
)</f>
        <v>45081</v>
      </c>
      <c r="F376" t="str">
        <f>IF(
   COUNTIF(Sales_Performance[Customer ID], A376) = 1,
   "One-Time Customer",
   "Repeat Customer"
)</f>
        <v>Repeat Customer</v>
      </c>
    </row>
    <row r="377" spans="1:6" x14ac:dyDescent="0.35">
      <c r="A377" t="s">
        <v>396</v>
      </c>
      <c r="B377" t="str">
        <f>VLOOKUP(A377,Sales_Performance[[Customer ID]:[Total Amount]],2,0)</f>
        <v>Male</v>
      </c>
      <c r="C377">
        <f>_xlfn.XLOOKUP(A377,Sales_Performance[Customer ID],Sales_Performance[Age],0)</f>
        <v>60</v>
      </c>
      <c r="D377" t="str" cm="1">
        <f t="array" ref="D377">_xlfn.IFS(
   C377 &lt; 18, "Under 18",
   C377 &lt;= 24, "18-24",
   C377 &lt;= 34, "25-34",
   C377 &lt;= 44, "35-44",
   C377 &lt;= 54, "45-54",
   C377 &lt;= 64, "55-64",
   TRUE, "65+"
)</f>
        <v>55-64</v>
      </c>
      <c r="E377" s="1">
        <f>_xlfn.MINIFS(
   Sales_Performance[Date],
   Sales_Performance[Customer ID],
   A377
)</f>
        <v>45053</v>
      </c>
      <c r="F377" t="str">
        <f>IF(
   COUNTIF(Sales_Performance[Customer ID], A377) = 1,
   "One-Time Customer",
   "Repeat Customer"
)</f>
        <v>One-Time Customer</v>
      </c>
    </row>
    <row r="378" spans="1:6" x14ac:dyDescent="0.35">
      <c r="A378" t="s">
        <v>787</v>
      </c>
      <c r="B378" t="str">
        <f>VLOOKUP(A378,Sales_Performance[[Customer ID]:[Total Amount]],2,0)</f>
        <v>Male</v>
      </c>
      <c r="C378">
        <f>_xlfn.XLOOKUP(A378,Sales_Performance[Customer ID],Sales_Performance[Age],0)</f>
        <v>34</v>
      </c>
      <c r="D378" t="str" cm="1">
        <f t="array" ref="D378">_xlfn.IFS(
   C378 &lt; 18, "Under 18",
   C378 &lt;= 24, "18-24",
   C378 &lt;= 34, "25-34",
   C378 &lt;= 44, "35-44",
   C378 &lt;= 54, "45-54",
   C378 &lt;= 64, "55-64",
   TRUE, "65+"
)</f>
        <v>25-34</v>
      </c>
      <c r="E378" s="1">
        <f>_xlfn.MINIFS(
   Sales_Performance[Date],
   Sales_Performance[Customer ID],
   A378
)</f>
        <v>45254</v>
      </c>
      <c r="F378" t="str">
        <f>IF(
   COUNTIF(Sales_Performance[Customer ID], A378) = 1,
   "One-Time Customer",
   "Repeat Customer"
)</f>
        <v>One-Time Customer</v>
      </c>
    </row>
    <row r="379" spans="1:6" x14ac:dyDescent="0.35">
      <c r="A379" t="s">
        <v>744</v>
      </c>
      <c r="B379" t="str">
        <f>VLOOKUP(A379,Sales_Performance[[Customer ID]:[Total Amount]],2,0)</f>
        <v>Female</v>
      </c>
      <c r="C379">
        <f>_xlfn.XLOOKUP(A379,Sales_Performance[Customer ID],Sales_Performance[Age],0)</f>
        <v>41</v>
      </c>
      <c r="D379" t="str" cm="1">
        <f t="array" ref="D379">_xlfn.IFS(
   C379 &lt; 18, "Under 18",
   C379 &lt;= 24, "18-24",
   C379 &lt;= 34, "25-34",
   C379 &lt;= 44, "35-44",
   C379 &lt;= 54, "45-54",
   C379 &lt;= 64, "55-64",
   TRUE, "65+"
)</f>
        <v>35-44</v>
      </c>
      <c r="E379" s="1">
        <f>_xlfn.MINIFS(
   Sales_Performance[Date],
   Sales_Performance[Customer ID],
   A379
)</f>
        <v>45006</v>
      </c>
      <c r="F379" t="str">
        <f>IF(
   COUNTIF(Sales_Performance[Customer ID], A379) = 1,
   "One-Time Customer",
   "Repeat Customer"
)</f>
        <v>One-Time Customer</v>
      </c>
    </row>
    <row r="380" spans="1:6" x14ac:dyDescent="0.35">
      <c r="A380" t="s">
        <v>1073</v>
      </c>
      <c r="B380" t="str">
        <f>VLOOKUP(A380,Sales_Performance[[Customer ID]:[Total Amount]],2,0)</f>
        <v>Female</v>
      </c>
      <c r="C380">
        <f>_xlfn.XLOOKUP(A380,Sales_Performance[Customer ID],Sales_Performance[Age],0)</f>
        <v>56</v>
      </c>
      <c r="D380" t="str" cm="1">
        <f t="array" ref="D380">_xlfn.IFS(
   C380 &lt; 18, "Under 18",
   C380 &lt;= 24, "18-24",
   C380 &lt;= 34, "25-34",
   C380 &lt;= 44, "35-44",
   C380 &lt;= 54, "45-54",
   C380 &lt;= 64, "55-64",
   TRUE, "65+"
)</f>
        <v>55-64</v>
      </c>
      <c r="E380" s="1">
        <f>_xlfn.MINIFS(
   Sales_Performance[Date],
   Sales_Performance[Customer ID],
   A380
)</f>
        <v>45156</v>
      </c>
      <c r="F380" t="str">
        <f>IF(
   COUNTIF(Sales_Performance[Customer ID], A380) = 1,
   "One-Time Customer",
   "Repeat Customer"
)</f>
        <v>One-Time Customer</v>
      </c>
    </row>
    <row r="381" spans="1:6" x14ac:dyDescent="0.35">
      <c r="A381" t="s">
        <v>717</v>
      </c>
      <c r="B381" t="str">
        <f>VLOOKUP(A381,Sales_Performance[[Customer ID]:[Total Amount]],2,0)</f>
        <v>Male</v>
      </c>
      <c r="C381">
        <f>_xlfn.XLOOKUP(A381,Sales_Performance[Customer ID],Sales_Performance[Age],0)</f>
        <v>34</v>
      </c>
      <c r="D381" t="str" cm="1">
        <f t="array" ref="D381">_xlfn.IFS(
   C381 &lt; 18, "Under 18",
   C381 &lt;= 24, "18-24",
   C381 &lt;= 34, "25-34",
   C381 &lt;= 44, "35-44",
   C381 &lt;= 54, "45-54",
   C381 &lt;= 64, "55-64",
   TRUE, "65+"
)</f>
        <v>25-34</v>
      </c>
      <c r="E381" s="1">
        <f>_xlfn.MINIFS(
   Sales_Performance[Date],
   Sales_Performance[Customer ID],
   A381
)</f>
        <v>45167</v>
      </c>
      <c r="F381" t="str">
        <f>IF(
   COUNTIF(Sales_Performance[Customer ID], A381) = 1,
   "One-Time Customer",
   "Repeat Customer"
)</f>
        <v>One-Time Customer</v>
      </c>
    </row>
    <row r="382" spans="1:6" x14ac:dyDescent="0.35">
      <c r="A382" t="s">
        <v>781</v>
      </c>
      <c r="B382" t="str">
        <f>VLOOKUP(A382,Sales_Performance[[Customer ID]:[Total Amount]],2,0)</f>
        <v>Male</v>
      </c>
      <c r="C382">
        <f>_xlfn.XLOOKUP(A382,Sales_Performance[Customer ID],Sales_Performance[Age],0)</f>
        <v>23</v>
      </c>
      <c r="D382" t="str" cm="1">
        <f t="array" ref="D382">_xlfn.IFS(
   C382 &lt; 18, "Under 18",
   C382 &lt;= 24, "18-24",
   C382 &lt;= 34, "25-34",
   C382 &lt;= 44, "35-44",
   C382 &lt;= 54, "45-54",
   C382 &lt;= 64, "55-64",
   TRUE, "65+"
)</f>
        <v>18-24</v>
      </c>
      <c r="E382" s="1">
        <f>_xlfn.MINIFS(
   Sales_Performance[Date],
   Sales_Performance[Customer ID],
   A382
)</f>
        <v>45245</v>
      </c>
      <c r="F382" t="str">
        <f>IF(
   COUNTIF(Sales_Performance[Customer ID], A382) = 1,
   "One-Time Customer",
   "Repeat Customer"
)</f>
        <v>One-Time Customer</v>
      </c>
    </row>
    <row r="383" spans="1:6" x14ac:dyDescent="0.35">
      <c r="A383" t="s">
        <v>939</v>
      </c>
      <c r="B383" t="str">
        <f>VLOOKUP(A383,Sales_Performance[[Customer ID]:[Total Amount]],2,0)</f>
        <v>Female</v>
      </c>
      <c r="C383">
        <f>_xlfn.XLOOKUP(A383,Sales_Performance[Customer ID],Sales_Performance[Age],0)</f>
        <v>23</v>
      </c>
      <c r="D383" t="str" cm="1">
        <f t="array" ref="D383">_xlfn.IFS(
   C383 &lt; 18, "Under 18",
   C383 &lt;= 24, "18-24",
   C383 &lt;= 34, "25-34",
   C383 &lt;= 44, "35-44",
   C383 &lt;= 54, "45-54",
   C383 &lt;= 64, "55-64",
   TRUE, "65+"
)</f>
        <v>18-24</v>
      </c>
      <c r="E383" s="1">
        <f>_xlfn.MINIFS(
   Sales_Performance[Date],
   Sales_Performance[Customer ID],
   A383
)</f>
        <v>44957</v>
      </c>
      <c r="F383" t="str">
        <f>IF(
   COUNTIF(Sales_Performance[Customer ID], A383) = 1,
   "One-Time Customer",
   "Repeat Customer"
)</f>
        <v>Repeat Customer</v>
      </c>
    </row>
    <row r="384" spans="1:6" x14ac:dyDescent="0.35">
      <c r="A384" t="s">
        <v>386</v>
      </c>
      <c r="B384" t="str">
        <f>VLOOKUP(A384,Sales_Performance[[Customer ID]:[Total Amount]],2,0)</f>
        <v>Male</v>
      </c>
      <c r="C384">
        <f>_xlfn.XLOOKUP(A384,Sales_Performance[Customer ID],Sales_Performance[Age],0)</f>
        <v>53</v>
      </c>
      <c r="D384" t="str" cm="1">
        <f t="array" ref="D384">_xlfn.IFS(
   C384 &lt; 18, "Under 18",
   C384 &lt;= 24, "18-24",
   C384 &lt;= 34, "25-34",
   C384 &lt;= 44, "35-44",
   C384 &lt;= 54, "45-54",
   C384 &lt;= 64, "55-64",
   TRUE, "65+"
)</f>
        <v>45-54</v>
      </c>
      <c r="E384" s="1">
        <f>_xlfn.MINIFS(
   Sales_Performance[Date],
   Sales_Performance[Customer ID],
   A384
)</f>
        <v>44974</v>
      </c>
      <c r="F384" t="str">
        <f>IF(
   COUNTIF(Sales_Performance[Customer ID], A384) = 1,
   "One-Time Customer",
   "Repeat Customer"
)</f>
        <v>Repeat Customer</v>
      </c>
    </row>
    <row r="385" spans="1:6" x14ac:dyDescent="0.35">
      <c r="A385" t="s">
        <v>725</v>
      </c>
      <c r="B385" t="str">
        <f>VLOOKUP(A385,Sales_Performance[[Customer ID]:[Total Amount]],2,0)</f>
        <v>Male</v>
      </c>
      <c r="C385">
        <f>_xlfn.XLOOKUP(A385,Sales_Performance[Customer ID],Sales_Performance[Age],0)</f>
        <v>48</v>
      </c>
      <c r="D385" t="str" cm="1">
        <f t="array" ref="D385">_xlfn.IFS(
   C385 &lt; 18, "Under 18",
   C385 &lt;= 24, "18-24",
   C385 &lt;= 34, "25-34",
   C385 &lt;= 44, "35-44",
   C385 &lt;= 54, "45-54",
   C385 &lt;= 64, "55-64",
   TRUE, "65+"
)</f>
        <v>45-54</v>
      </c>
      <c r="E385" s="1">
        <f>_xlfn.MINIFS(
   Sales_Performance[Date],
   Sales_Performance[Customer ID],
   A385
)</f>
        <v>45024</v>
      </c>
      <c r="F385" t="str">
        <f>IF(
   COUNTIF(Sales_Performance[Customer ID], A385) = 1,
   "One-Time Customer",
   "Repeat Customer"
)</f>
        <v>Repeat Customer</v>
      </c>
    </row>
    <row r="386" spans="1:6" x14ac:dyDescent="0.35">
      <c r="A386" t="s">
        <v>1009</v>
      </c>
      <c r="B386" t="str">
        <f>VLOOKUP(A386,Sales_Performance[[Customer ID]:[Total Amount]],2,0)</f>
        <v>Male</v>
      </c>
      <c r="C386">
        <f>_xlfn.XLOOKUP(A386,Sales_Performance[Customer ID],Sales_Performance[Age],0)</f>
        <v>35</v>
      </c>
      <c r="D386" t="str" cm="1">
        <f t="array" ref="D386">_xlfn.IFS(
   C386 &lt; 18, "Under 18",
   C386 &lt;= 24, "18-24",
   C386 &lt;= 34, "25-34",
   C386 &lt;= 44, "35-44",
   C386 &lt;= 54, "45-54",
   C386 &lt;= 64, "55-64",
   TRUE, "65+"
)</f>
        <v>35-44</v>
      </c>
      <c r="E386" s="1">
        <f>_xlfn.MINIFS(
   Sales_Performance[Date],
   Sales_Performance[Customer ID],
   A386
)</f>
        <v>45039</v>
      </c>
      <c r="F386" t="str">
        <f>IF(
   COUNTIF(Sales_Performance[Customer ID], A386) = 1,
   "One-Time Customer",
   "Repeat Customer"
)</f>
        <v>Repeat Customer</v>
      </c>
    </row>
    <row r="387" spans="1:6" x14ac:dyDescent="0.35">
      <c r="A387" t="s">
        <v>623</v>
      </c>
      <c r="B387" t="str">
        <f>VLOOKUP(A387,Sales_Performance[[Customer ID]:[Total Amount]],2,0)</f>
        <v>Female</v>
      </c>
      <c r="C387">
        <f>_xlfn.XLOOKUP(A387,Sales_Performance[Customer ID],Sales_Performance[Age],0)</f>
        <v>42</v>
      </c>
      <c r="D387" t="str" cm="1">
        <f t="array" ref="D387">_xlfn.IFS(
   C387 &lt; 18, "Under 18",
   C387 &lt;= 24, "18-24",
   C387 &lt;= 34, "25-34",
   C387 &lt;= 44, "35-44",
   C387 &lt;= 54, "45-54",
   C387 &lt;= 64, "55-64",
   TRUE, "65+"
)</f>
        <v>35-44</v>
      </c>
      <c r="E387" s="1">
        <f>_xlfn.MINIFS(
   Sales_Performance[Date],
   Sales_Performance[Customer ID],
   A387
)</f>
        <v>44947</v>
      </c>
      <c r="F387" t="str">
        <f>IF(
   COUNTIF(Sales_Performance[Customer ID], A387) = 1,
   "One-Time Customer",
   "Repeat Customer"
)</f>
        <v>One-Time Customer</v>
      </c>
    </row>
    <row r="388" spans="1:6" x14ac:dyDescent="0.35">
      <c r="A388" t="s">
        <v>620</v>
      </c>
      <c r="B388" t="str">
        <f>VLOOKUP(A388,Sales_Performance[[Customer ID]:[Total Amount]],2,0)</f>
        <v>Male</v>
      </c>
      <c r="C388">
        <f>_xlfn.XLOOKUP(A388,Sales_Performance[Customer ID],Sales_Performance[Age],0)</f>
        <v>26</v>
      </c>
      <c r="D388" t="str" cm="1">
        <f t="array" ref="D388">_xlfn.IFS(
   C388 &lt; 18, "Under 18",
   C388 &lt;= 24, "18-24",
   C388 &lt;= 34, "25-34",
   C388 &lt;= 44, "35-44",
   C388 &lt;= 54, "45-54",
   C388 &lt;= 64, "55-64",
   TRUE, "65+"
)</f>
        <v>25-34</v>
      </c>
      <c r="E388" s="1">
        <f>_xlfn.MINIFS(
   Sales_Performance[Date],
   Sales_Performance[Customer ID],
   A388
)</f>
        <v>44946</v>
      </c>
      <c r="F388" t="str">
        <f>IF(
   COUNTIF(Sales_Performance[Customer ID], A388) = 1,
   "One-Time Customer",
   "Repeat Customer"
)</f>
        <v>Repeat Customer</v>
      </c>
    </row>
    <row r="389" spans="1:6" x14ac:dyDescent="0.35">
      <c r="A389" t="s">
        <v>342</v>
      </c>
      <c r="B389" t="str">
        <f>VLOOKUP(A389,Sales_Performance[[Customer ID]:[Total Amount]],2,0)</f>
        <v>Female</v>
      </c>
      <c r="C389">
        <f>_xlfn.XLOOKUP(A389,Sales_Performance[Customer ID],Sales_Performance[Age],0)</f>
        <v>43</v>
      </c>
      <c r="D389" t="str" cm="1">
        <f t="array" ref="D389">_xlfn.IFS(
   C389 &lt; 18, "Under 18",
   C389 &lt;= 24, "18-24",
   C389 &lt;= 34, "25-34",
   C389 &lt;= 44, "35-44",
   C389 &lt;= 54, "45-54",
   C389 &lt;= 64, "55-64",
   TRUE, "65+"
)</f>
        <v>35-44</v>
      </c>
      <c r="E389" s="1">
        <f>_xlfn.MINIFS(
   Sales_Performance[Date],
   Sales_Performance[Customer ID],
   A389
)</f>
        <v>45082</v>
      </c>
      <c r="F389" t="str">
        <f>IF(
   COUNTIF(Sales_Performance[Customer ID], A389) = 1,
   "One-Time Customer",
   "Repeat Customer"
)</f>
        <v>Repeat Customer</v>
      </c>
    </row>
    <row r="390" spans="1:6" x14ac:dyDescent="0.35">
      <c r="A390" t="s">
        <v>626</v>
      </c>
      <c r="B390" t="str">
        <f>VLOOKUP(A390,Sales_Performance[[Customer ID]:[Total Amount]],2,0)</f>
        <v>Female</v>
      </c>
      <c r="C390">
        <f>_xlfn.XLOOKUP(A390,Sales_Performance[Customer ID],Sales_Performance[Age],0)</f>
        <v>42</v>
      </c>
      <c r="D390" t="str" cm="1">
        <f t="array" ref="D390">_xlfn.IFS(
   C390 &lt; 18, "Under 18",
   C390 &lt;= 24, "18-24",
   C390 &lt;= 34, "25-34",
   C390 &lt;= 44, "35-44",
   C390 &lt;= 54, "45-54",
   C390 &lt;= 64, "55-64",
   TRUE, "65+"
)</f>
        <v>35-44</v>
      </c>
      <c r="E390" s="1">
        <f>_xlfn.MINIFS(
   Sales_Performance[Date],
   Sales_Performance[Customer ID],
   A390
)</f>
        <v>44942</v>
      </c>
      <c r="F390" t="str">
        <f>IF(
   COUNTIF(Sales_Performance[Customer ID], A390) = 1,
   "One-Time Customer",
   "Repeat Customer"
)</f>
        <v>Repeat Customer</v>
      </c>
    </row>
    <row r="391" spans="1:6" x14ac:dyDescent="0.35">
      <c r="A391" t="s">
        <v>1475</v>
      </c>
      <c r="B391" t="str">
        <f>VLOOKUP(A391,Sales_Performance[[Customer ID]:[Total Amount]],2,0)</f>
        <v>Female</v>
      </c>
      <c r="C391">
        <f>_xlfn.XLOOKUP(A391,Sales_Performance[Customer ID],Sales_Performance[Age],0)</f>
        <v>28</v>
      </c>
      <c r="D391" t="str" cm="1">
        <f t="array" ref="D391">_xlfn.IFS(
   C391 &lt; 18, "Under 18",
   C391 &lt;= 24, "18-24",
   C391 &lt;= 34, "25-34",
   C391 &lt;= 44, "35-44",
   C391 &lt;= 54, "45-54",
   C391 &lt;= 64, "55-64",
   TRUE, "65+"
)</f>
        <v>25-34</v>
      </c>
      <c r="E391" s="1">
        <f>_xlfn.MINIFS(
   Sales_Performance[Date],
   Sales_Performance[Customer ID],
   A391
)</f>
        <v>45252</v>
      </c>
      <c r="F391" t="str">
        <f>IF(
   COUNTIF(Sales_Performance[Customer ID], A391) = 1,
   "One-Time Customer",
   "Repeat Customer"
)</f>
        <v>One-Time Customer</v>
      </c>
    </row>
    <row r="392" spans="1:6" x14ac:dyDescent="0.35">
      <c r="A392" t="s">
        <v>825</v>
      </c>
      <c r="B392" t="str">
        <f>VLOOKUP(A392,Sales_Performance[[Customer ID]:[Total Amount]],2,0)</f>
        <v>Female</v>
      </c>
      <c r="C392">
        <f>_xlfn.XLOOKUP(A392,Sales_Performance[Customer ID],Sales_Performance[Age],0)</f>
        <v>19</v>
      </c>
      <c r="D392" t="str" cm="1">
        <f t="array" ref="D392">_xlfn.IFS(
   C392 &lt; 18, "Under 18",
   C392 &lt;= 24, "18-24",
   C392 &lt;= 34, "25-34",
   C392 &lt;= 44, "35-44",
   C392 &lt;= 54, "45-54",
   C392 &lt;= 64, "55-64",
   TRUE, "65+"
)</f>
        <v>18-24</v>
      </c>
      <c r="E392" s="1">
        <f>_xlfn.MINIFS(
   Sales_Performance[Date],
   Sales_Performance[Customer ID],
   A392
)</f>
        <v>44978</v>
      </c>
      <c r="F392" t="str">
        <f>IF(
   COUNTIF(Sales_Performance[Customer ID], A392) = 1,
   "One-Time Customer",
   "Repeat Customer"
)</f>
        <v>Repeat Customer</v>
      </c>
    </row>
    <row r="393" spans="1:6" x14ac:dyDescent="0.35">
      <c r="A393" t="s">
        <v>1346</v>
      </c>
      <c r="B393" t="str">
        <f>VLOOKUP(A393,Sales_Performance[[Customer ID]:[Total Amount]],2,0)</f>
        <v>Male</v>
      </c>
      <c r="C393">
        <f>_xlfn.XLOOKUP(A393,Sales_Performance[Customer ID],Sales_Performance[Age],0)</f>
        <v>30</v>
      </c>
      <c r="D393" t="str" cm="1">
        <f t="array" ref="D393">_xlfn.IFS(
   C393 &lt; 18, "Under 18",
   C393 &lt;= 24, "18-24",
   C393 &lt;= 34, "25-34",
   C393 &lt;= 44, "35-44",
   C393 &lt;= 54, "45-54",
   C393 &lt;= 64, "55-64",
   TRUE, "65+"
)</f>
        <v>25-34</v>
      </c>
      <c r="E393" s="1">
        <f>_xlfn.MINIFS(
   Sales_Performance[Date],
   Sales_Performance[Customer ID],
   A393
)</f>
        <v>45222</v>
      </c>
      <c r="F393" t="str">
        <f>IF(
   COUNTIF(Sales_Performance[Customer ID], A393) = 1,
   "One-Time Customer",
   "Repeat Customer"
)</f>
        <v>One-Time Customer</v>
      </c>
    </row>
    <row r="394" spans="1:6" x14ac:dyDescent="0.35">
      <c r="A394" t="s">
        <v>857</v>
      </c>
      <c r="B394" t="str">
        <f>VLOOKUP(A394,Sales_Performance[[Customer ID]:[Total Amount]],2,0)</f>
        <v>Female</v>
      </c>
      <c r="C394">
        <f>_xlfn.XLOOKUP(A394,Sales_Performance[Customer ID],Sales_Performance[Age],0)</f>
        <v>55</v>
      </c>
      <c r="D394" t="str" cm="1">
        <f t="array" ref="D394">_xlfn.IFS(
   C394 &lt; 18, "Under 18",
   C394 &lt;= 24, "18-24",
   C394 &lt;= 34, "25-34",
   C394 &lt;= 44, "35-44",
   C394 &lt;= 54, "45-54",
   C394 &lt;= 64, "55-64",
   TRUE, "65+"
)</f>
        <v>55-64</v>
      </c>
      <c r="E394" s="1">
        <f>_xlfn.MINIFS(
   Sales_Performance[Date],
   Sales_Performance[Customer ID],
   A394
)</f>
        <v>45061</v>
      </c>
      <c r="F394" t="str">
        <f>IF(
   COUNTIF(Sales_Performance[Customer ID], A394) = 1,
   "One-Time Customer",
   "Repeat Customer"
)</f>
        <v>One-Time Customer</v>
      </c>
    </row>
    <row r="395" spans="1:6" x14ac:dyDescent="0.35">
      <c r="A395" t="s">
        <v>220</v>
      </c>
      <c r="B395" t="str">
        <f>VLOOKUP(A395,Sales_Performance[[Customer ID]:[Total Amount]],2,0)</f>
        <v>Male</v>
      </c>
      <c r="C395">
        <f>_xlfn.XLOOKUP(A395,Sales_Performance[Customer ID],Sales_Performance[Age],0)</f>
        <v>50</v>
      </c>
      <c r="D395" t="str" cm="1">
        <f t="array" ref="D395">_xlfn.IFS(
   C395 &lt; 18, "Under 18",
   C395 &lt;= 24, "18-24",
   C395 &lt;= 34, "25-34",
   C395 &lt;= 44, "35-44",
   C395 &lt;= 54, "45-54",
   C395 &lt;= 64, "55-64",
   TRUE, "65+"
)</f>
        <v>45-54</v>
      </c>
      <c r="E395" s="1">
        <f>_xlfn.MINIFS(
   Sales_Performance[Date],
   Sales_Performance[Customer ID],
   A395
)</f>
        <v>45048</v>
      </c>
      <c r="F395" t="str">
        <f>IF(
   COUNTIF(Sales_Performance[Customer ID], A395) = 1,
   "One-Time Customer",
   "Repeat Customer"
)</f>
        <v>Repeat Customer</v>
      </c>
    </row>
    <row r="396" spans="1:6" x14ac:dyDescent="0.35">
      <c r="A396" t="s">
        <v>241</v>
      </c>
      <c r="B396" t="str">
        <f>VLOOKUP(A396,Sales_Performance[[Customer ID]:[Total Amount]],2,0)</f>
        <v>Male</v>
      </c>
      <c r="C396">
        <f>_xlfn.XLOOKUP(A396,Sales_Performance[Customer ID],Sales_Performance[Age],0)</f>
        <v>22</v>
      </c>
      <c r="D396" t="str" cm="1">
        <f t="array" ref="D396">_xlfn.IFS(
   C396 &lt; 18, "Under 18",
   C396 &lt;= 24, "18-24",
   C396 &lt;= 34, "25-34",
   C396 &lt;= 44, "35-44",
   C396 &lt;= 54, "45-54",
   C396 &lt;= 64, "55-64",
   TRUE, "65+"
)</f>
        <v>18-24</v>
      </c>
      <c r="E396" s="1">
        <f>_xlfn.MINIFS(
   Sales_Performance[Date],
   Sales_Performance[Customer ID],
   A396
)</f>
        <v>44974</v>
      </c>
      <c r="F396" t="str">
        <f>IF(
   COUNTIF(Sales_Performance[Customer ID], A396) = 1,
   "One-Time Customer",
   "Repeat Customer"
)</f>
        <v>Repeat Customer</v>
      </c>
    </row>
    <row r="397" spans="1:6" x14ac:dyDescent="0.35">
      <c r="A397" t="s">
        <v>307</v>
      </c>
      <c r="B397" t="str">
        <f>VLOOKUP(A397,Sales_Performance[[Customer ID]:[Total Amount]],2,0)</f>
        <v>Female</v>
      </c>
      <c r="C397">
        <f>_xlfn.XLOOKUP(A397,Sales_Performance[Customer ID],Sales_Performance[Age],0)</f>
        <v>43</v>
      </c>
      <c r="D397" t="str" cm="1">
        <f t="array" ref="D397">_xlfn.IFS(
   C397 &lt; 18, "Under 18",
   C397 &lt;= 24, "18-24",
   C397 &lt;= 34, "25-34",
   C397 &lt;= 44, "35-44",
   C397 &lt;= 54, "45-54",
   C397 &lt;= 64, "55-64",
   TRUE, "65+"
)</f>
        <v>35-44</v>
      </c>
      <c r="E397" s="1">
        <f>_xlfn.MINIFS(
   Sales_Performance[Date],
   Sales_Performance[Customer ID],
   A397
)</f>
        <v>45145</v>
      </c>
      <c r="F397" t="str">
        <f>IF(
   COUNTIF(Sales_Performance[Customer ID], A397) = 1,
   "One-Time Customer",
   "Repeat Customer"
)</f>
        <v>One-Time Customer</v>
      </c>
    </row>
    <row r="398" spans="1:6" x14ac:dyDescent="0.35">
      <c r="A398" t="s">
        <v>1492</v>
      </c>
      <c r="B398" t="str">
        <f>VLOOKUP(A398,Sales_Performance[[Customer ID]:[Total Amount]],2,0)</f>
        <v>Female</v>
      </c>
      <c r="C398">
        <f>_xlfn.XLOOKUP(A398,Sales_Performance[Customer ID],Sales_Performance[Age],0)</f>
        <v>64</v>
      </c>
      <c r="D398" t="str" cm="1">
        <f t="array" ref="D398">_xlfn.IFS(
   C398 &lt; 18, "Under 18",
   C398 &lt;= 24, "18-24",
   C398 &lt;= 34, "25-34",
   C398 &lt;= 44, "35-44",
   C398 &lt;= 54, "45-54",
   C398 &lt;= 64, "55-64",
   TRUE, "65+"
)</f>
        <v>55-64</v>
      </c>
      <c r="E398" s="1">
        <f>_xlfn.MINIFS(
   Sales_Performance[Date],
   Sales_Performance[Customer ID],
   A398
)</f>
        <v>45270</v>
      </c>
      <c r="F398" t="str">
        <f>IF(
   COUNTIF(Sales_Performance[Customer ID], A398) = 1,
   "One-Time Customer",
   "Repeat Customer"
)</f>
        <v>One-Time Customer</v>
      </c>
    </row>
    <row r="399" spans="1:6" x14ac:dyDescent="0.35">
      <c r="A399" t="s">
        <v>404</v>
      </c>
      <c r="B399" t="str">
        <f>VLOOKUP(A399,Sales_Performance[[Customer ID]:[Total Amount]],2,0)</f>
        <v>Female</v>
      </c>
      <c r="C399">
        <f>_xlfn.XLOOKUP(A399,Sales_Performance[Customer ID],Sales_Performance[Age],0)</f>
        <v>42</v>
      </c>
      <c r="D399" t="str" cm="1">
        <f t="array" ref="D399">_xlfn.IFS(
   C399 &lt; 18, "Under 18",
   C399 &lt;= 24, "18-24",
   C399 &lt;= 34, "25-34",
   C399 &lt;= 44, "35-44",
   C399 &lt;= 54, "45-54",
   C399 &lt;= 64, "55-64",
   TRUE, "65+"
)</f>
        <v>35-44</v>
      </c>
      <c r="E399" s="1">
        <f>_xlfn.MINIFS(
   Sales_Performance[Date],
   Sales_Performance[Customer ID],
   A399
)</f>
        <v>45156</v>
      </c>
      <c r="F399" t="str">
        <f>IF(
   COUNTIF(Sales_Performance[Customer ID], A399) = 1,
   "One-Time Customer",
   "Repeat Customer"
)</f>
        <v>Repeat Customer</v>
      </c>
    </row>
    <row r="400" spans="1:6" x14ac:dyDescent="0.35">
      <c r="A400" t="s">
        <v>1419</v>
      </c>
      <c r="B400" t="str">
        <f>VLOOKUP(A400,Sales_Performance[[Customer ID]:[Total Amount]],2,0)</f>
        <v>Male</v>
      </c>
      <c r="C400">
        <f>_xlfn.XLOOKUP(A400,Sales_Performance[Customer ID],Sales_Performance[Age],0)</f>
        <v>22</v>
      </c>
      <c r="D400" t="str" cm="1">
        <f t="array" ref="D400">_xlfn.IFS(
   C400 &lt; 18, "Under 18",
   C400 &lt;= 24, "18-24",
   C400 &lt;= 34, "25-34",
   C400 &lt;= 44, "35-44",
   C400 &lt;= 54, "45-54",
   C400 &lt;= 64, "55-64",
   TRUE, "65+"
)</f>
        <v>18-24</v>
      </c>
      <c r="E400" s="1">
        <f>_xlfn.MINIFS(
   Sales_Performance[Date],
   Sales_Performance[Customer ID],
   A400
)</f>
        <v>44963</v>
      </c>
      <c r="F400" t="str">
        <f>IF(
   COUNTIF(Sales_Performance[Customer ID], A400) = 1,
   "One-Time Customer",
   "Repeat Customer"
)</f>
        <v>Repeat Customer</v>
      </c>
    </row>
    <row r="401" spans="1:6" x14ac:dyDescent="0.35">
      <c r="A401" t="s">
        <v>859</v>
      </c>
      <c r="B401" t="str">
        <f>VLOOKUP(A401,Sales_Performance[[Customer ID]:[Total Amount]],2,0)</f>
        <v>Male</v>
      </c>
      <c r="C401">
        <f>_xlfn.XLOOKUP(A401,Sales_Performance[Customer ID],Sales_Performance[Age],0)</f>
        <v>37</v>
      </c>
      <c r="D401" t="str" cm="1">
        <f t="array" ref="D401">_xlfn.IFS(
   C401 &lt; 18, "Under 18",
   C401 &lt;= 24, "18-24",
   C401 &lt;= 34, "25-34",
   C401 &lt;= 44, "35-44",
   C401 &lt;= 54, "45-54",
   C401 &lt;= 64, "55-64",
   TRUE, "65+"
)</f>
        <v>35-44</v>
      </c>
      <c r="E401" s="1">
        <f>_xlfn.MINIFS(
   Sales_Performance[Date],
   Sales_Performance[Customer ID],
   A401
)</f>
        <v>45047</v>
      </c>
      <c r="F401" t="str">
        <f>IF(
   COUNTIF(Sales_Performance[Customer ID], A401) = 1,
   "One-Time Customer",
   "Repeat Customer"
)</f>
        <v>Repeat Customer</v>
      </c>
    </row>
    <row r="402" spans="1:6" x14ac:dyDescent="0.35">
      <c r="A402" t="s">
        <v>1362</v>
      </c>
      <c r="B402" t="str">
        <f>VLOOKUP(A402,Sales_Performance[[Customer ID]:[Total Amount]],2,0)</f>
        <v>Male</v>
      </c>
      <c r="C402">
        <f>_xlfn.XLOOKUP(A402,Sales_Performance[Customer ID],Sales_Performance[Age],0)</f>
        <v>52</v>
      </c>
      <c r="D402" t="str" cm="1">
        <f t="array" ref="D402">_xlfn.IFS(
   C402 &lt; 18, "Under 18",
   C402 &lt;= 24, "18-24",
   C402 &lt;= 34, "25-34",
   C402 &lt;= 44, "35-44",
   C402 &lt;= 54, "45-54",
   C402 &lt;= 64, "55-64",
   TRUE, "65+"
)</f>
        <v>45-54</v>
      </c>
      <c r="E402" s="1">
        <f>_xlfn.MINIFS(
   Sales_Performance[Date],
   Sales_Performance[Customer ID],
   A402
)</f>
        <v>44962</v>
      </c>
      <c r="F402" t="str">
        <f>IF(
   COUNTIF(Sales_Performance[Customer ID], A402) = 1,
   "One-Time Customer",
   "Repeat Customer"
)</f>
        <v>One-Time Customer</v>
      </c>
    </row>
    <row r="403" spans="1:6" x14ac:dyDescent="0.35">
      <c r="A403" t="s">
        <v>390</v>
      </c>
      <c r="B403" t="str">
        <f>VLOOKUP(A403,Sales_Performance[[Customer ID]:[Total Amount]],2,0)</f>
        <v>Male</v>
      </c>
      <c r="C403">
        <f>_xlfn.XLOOKUP(A403,Sales_Performance[Customer ID],Sales_Performance[Age],0)</f>
        <v>52</v>
      </c>
      <c r="D403" t="str" cm="1">
        <f t="array" ref="D403">_xlfn.IFS(
   C403 &lt; 18, "Under 18",
   C403 &lt;= 24, "18-24",
   C403 &lt;= 34, "25-34",
   C403 &lt;= 44, "35-44",
   C403 &lt;= 54, "45-54",
   C403 &lt;= 64, "55-64",
   TRUE, "65+"
)</f>
        <v>45-54</v>
      </c>
      <c r="E403" s="1">
        <f>_xlfn.MINIFS(
   Sales_Performance[Date],
   Sales_Performance[Customer ID],
   A403
)</f>
        <v>45174</v>
      </c>
      <c r="F403" t="str">
        <f>IF(
   COUNTIF(Sales_Performance[Customer ID], A403) = 1,
   "One-Time Customer",
   "Repeat Customer"
)</f>
        <v>One-Time Customer</v>
      </c>
    </row>
    <row r="404" spans="1:6" x14ac:dyDescent="0.35">
      <c r="A404" t="s">
        <v>861</v>
      </c>
      <c r="B404" t="str">
        <f>VLOOKUP(A404,Sales_Performance[[Customer ID]:[Total Amount]],2,0)</f>
        <v>Male</v>
      </c>
      <c r="C404">
        <f>_xlfn.XLOOKUP(A404,Sales_Performance[Customer ID],Sales_Performance[Age],0)</f>
        <v>64</v>
      </c>
      <c r="D404" t="str" cm="1">
        <f t="array" ref="D404">_xlfn.IFS(
   C404 &lt; 18, "Under 18",
   C404 &lt;= 24, "18-24",
   C404 &lt;= 34, "25-34",
   C404 &lt;= 44, "35-44",
   C404 &lt;= 54, "45-54",
   C404 &lt;= 64, "55-64",
   TRUE, "65+"
)</f>
        <v>55-64</v>
      </c>
      <c r="E404" s="1">
        <f>_xlfn.MINIFS(
   Sales_Performance[Date],
   Sales_Performance[Customer ID],
   A404
)</f>
        <v>45007</v>
      </c>
      <c r="F404" t="str">
        <f>IF(
   COUNTIF(Sales_Performance[Customer ID], A404) = 1,
   "One-Time Customer",
   "Repeat Customer"
)</f>
        <v>Repeat Customer</v>
      </c>
    </row>
    <row r="405" spans="1:6" x14ac:dyDescent="0.35">
      <c r="A405" t="s">
        <v>985</v>
      </c>
      <c r="B405" t="str">
        <f>VLOOKUP(A405,Sales_Performance[[Customer ID]:[Total Amount]],2,0)</f>
        <v>Female</v>
      </c>
      <c r="C405">
        <f>_xlfn.XLOOKUP(A405,Sales_Performance[Customer ID],Sales_Performance[Age],0)</f>
        <v>34</v>
      </c>
      <c r="D405" t="str" cm="1">
        <f t="array" ref="D405">_xlfn.IFS(
   C405 &lt; 18, "Under 18",
   C405 &lt;= 24, "18-24",
   C405 &lt;= 34, "25-34",
   C405 &lt;= 44, "35-44",
   C405 &lt;= 54, "45-54",
   C405 &lt;= 64, "55-64",
   TRUE, "65+"
)</f>
        <v>25-34</v>
      </c>
      <c r="E405" s="1">
        <f>_xlfn.MINIFS(
   Sales_Performance[Date],
   Sales_Performance[Customer ID],
   A405
)</f>
        <v>45088</v>
      </c>
      <c r="F405" t="str">
        <f>IF(
   COUNTIF(Sales_Performance[Customer ID], A405) = 1,
   "One-Time Customer",
   "Repeat Customer"
)</f>
        <v>One-Time Customer</v>
      </c>
    </row>
    <row r="406" spans="1:6" x14ac:dyDescent="0.35">
      <c r="A406" t="s">
        <v>1068</v>
      </c>
      <c r="B406" t="str">
        <f>VLOOKUP(A406,Sales_Performance[[Customer ID]:[Total Amount]],2,0)</f>
        <v>Female</v>
      </c>
      <c r="C406">
        <f>_xlfn.XLOOKUP(A406,Sales_Performance[Customer ID],Sales_Performance[Age],0)</f>
        <v>44</v>
      </c>
      <c r="D406" t="str" cm="1">
        <f t="array" ref="D406">_xlfn.IFS(
   C406 &lt; 18, "Under 18",
   C406 &lt;= 24, "18-24",
   C406 &lt;= 34, "25-34",
   C406 &lt;= 44, "35-44",
   C406 &lt;= 54, "45-54",
   C406 &lt;= 64, "55-64",
   TRUE, "65+"
)</f>
        <v>35-44</v>
      </c>
      <c r="E406" s="1">
        <f>_xlfn.MINIFS(
   Sales_Performance[Date],
   Sales_Performance[Customer ID],
   A406
)</f>
        <v>44984</v>
      </c>
      <c r="F406" t="str">
        <f>IF(
   COUNTIF(Sales_Performance[Customer ID], A406) = 1,
   "One-Time Customer",
   "Repeat Customer"
)</f>
        <v>Repeat Customer</v>
      </c>
    </row>
    <row r="407" spans="1:6" x14ac:dyDescent="0.35">
      <c r="A407" t="s">
        <v>283</v>
      </c>
      <c r="B407" t="str">
        <f>VLOOKUP(A407,Sales_Performance[[Customer ID]:[Total Amount]],2,0)</f>
        <v>Female</v>
      </c>
      <c r="C407">
        <f>_xlfn.XLOOKUP(A407,Sales_Performance[Customer ID],Sales_Performance[Age],0)</f>
        <v>59</v>
      </c>
      <c r="D407" t="str" cm="1">
        <f t="array" ref="D407">_xlfn.IFS(
   C407 &lt; 18, "Under 18",
   C407 &lt;= 24, "18-24",
   C407 &lt;= 34, "25-34",
   C407 &lt;= 44, "35-44",
   C407 &lt;= 54, "45-54",
   C407 &lt;= 64, "55-64",
   TRUE, "65+"
)</f>
        <v>55-64</v>
      </c>
      <c r="E407" s="1">
        <f>_xlfn.MINIFS(
   Sales_Performance[Date],
   Sales_Performance[Customer ID],
   A407
)</f>
        <v>45044</v>
      </c>
      <c r="F407" t="str">
        <f>IF(
   COUNTIF(Sales_Performance[Customer ID], A407) = 1,
   "One-Time Customer",
   "Repeat Customer"
)</f>
        <v>One-Time Customer</v>
      </c>
    </row>
    <row r="408" spans="1:6" x14ac:dyDescent="0.35">
      <c r="A408" t="s">
        <v>86</v>
      </c>
      <c r="B408" t="str">
        <f>VLOOKUP(A408,Sales_Performance[[Customer ID]:[Total Amount]],2,0)</f>
        <v>Female</v>
      </c>
      <c r="C408">
        <f>_xlfn.XLOOKUP(A408,Sales_Performance[Customer ID],Sales_Performance[Age],0)</f>
        <v>46</v>
      </c>
      <c r="D408" t="str" cm="1">
        <f t="array" ref="D408">_xlfn.IFS(
   C408 &lt; 18, "Under 18",
   C408 &lt;= 24, "18-24",
   C408 &lt;= 34, "25-34",
   C408 &lt;= 44, "35-44",
   C408 &lt;= 54, "45-54",
   C408 &lt;= 64, "55-64",
   TRUE, "65+"
)</f>
        <v>45-54</v>
      </c>
      <c r="E408" s="1">
        <f>_xlfn.MINIFS(
   Sales_Performance[Date],
   Sales_Performance[Customer ID],
   A408
)</f>
        <v>45146</v>
      </c>
      <c r="F408" t="str">
        <f>IF(
   COUNTIF(Sales_Performance[Customer ID], A408) = 1,
   "One-Time Customer",
   "Repeat Customer"
)</f>
        <v>Repeat Customer</v>
      </c>
    </row>
    <row r="409" spans="1:6" x14ac:dyDescent="0.35">
      <c r="A409" t="s">
        <v>154</v>
      </c>
      <c r="B409" t="str">
        <f>VLOOKUP(A409,Sales_Performance[[Customer ID]:[Total Amount]],2,0)</f>
        <v>Male</v>
      </c>
      <c r="C409">
        <f>_xlfn.XLOOKUP(A409,Sales_Performance[Customer ID],Sales_Performance[Age],0)</f>
        <v>57</v>
      </c>
      <c r="D409" t="str" cm="1">
        <f t="array" ref="D409">_xlfn.IFS(
   C409 &lt; 18, "Under 18",
   C409 &lt;= 24, "18-24",
   C409 &lt;= 34, "25-34",
   C409 &lt;= 44, "35-44",
   C409 &lt;= 54, "45-54",
   C409 &lt;= 64, "55-64",
   TRUE, "65+"
)</f>
        <v>55-64</v>
      </c>
      <c r="E409" s="1">
        <f>_xlfn.MINIFS(
   Sales_Performance[Date],
   Sales_Performance[Customer ID],
   A409
)</f>
        <v>45121</v>
      </c>
      <c r="F409" t="str">
        <f>IF(
   COUNTIF(Sales_Performance[Customer ID], A409) = 1,
   "One-Time Customer",
   "Repeat Customer"
)</f>
        <v>Repeat Customer</v>
      </c>
    </row>
    <row r="410" spans="1:6" x14ac:dyDescent="0.35">
      <c r="A410" t="s">
        <v>1075</v>
      </c>
      <c r="B410" t="str">
        <f>VLOOKUP(A410,Sales_Performance[[Customer ID]:[Total Amount]],2,0)</f>
        <v>Female</v>
      </c>
      <c r="C410">
        <f>_xlfn.XLOOKUP(A410,Sales_Performance[Customer ID],Sales_Performance[Age],0)</f>
        <v>22</v>
      </c>
      <c r="D410" t="str" cm="1">
        <f t="array" ref="D410">_xlfn.IFS(
   C410 &lt; 18, "Under 18",
   C410 &lt;= 24, "18-24",
   C410 &lt;= 34, "25-34",
   C410 &lt;= 44, "35-44",
   C410 &lt;= 54, "45-54",
   C410 &lt;= 64, "55-64",
   TRUE, "65+"
)</f>
        <v>18-24</v>
      </c>
      <c r="E410" s="1">
        <f>_xlfn.MINIFS(
   Sales_Performance[Date],
   Sales_Performance[Customer ID],
   A410
)</f>
        <v>45034</v>
      </c>
      <c r="F410" t="str">
        <f>IF(
   COUNTIF(Sales_Performance[Customer ID], A410) = 1,
   "One-Time Customer",
   "Repeat Customer"
)</f>
        <v>Repeat Customer</v>
      </c>
    </row>
    <row r="411" spans="1:6" x14ac:dyDescent="0.35">
      <c r="A411" t="s">
        <v>196</v>
      </c>
      <c r="B411" t="str">
        <f>VLOOKUP(A411,Sales_Performance[[Customer ID]:[Total Amount]],2,0)</f>
        <v>Male</v>
      </c>
      <c r="C411">
        <f>_xlfn.XLOOKUP(A411,Sales_Performance[Customer ID],Sales_Performance[Age],0)</f>
        <v>33</v>
      </c>
      <c r="D411" t="str" cm="1">
        <f t="array" ref="D411">_xlfn.IFS(
   C411 &lt; 18, "Under 18",
   C411 &lt;= 24, "18-24",
   C411 &lt;= 34, "25-34",
   C411 &lt;= 44, "35-44",
   C411 &lt;= 54, "45-54",
   C411 &lt;= 64, "55-64",
   TRUE, "65+"
)</f>
        <v>25-34</v>
      </c>
      <c r="E411" s="1">
        <f>_xlfn.MINIFS(
   Sales_Performance[Date],
   Sales_Performance[Customer ID],
   A411
)</f>
        <v>45226</v>
      </c>
      <c r="F411" t="str">
        <f>IF(
   COUNTIF(Sales_Performance[Customer ID], A411) = 1,
   "One-Time Customer",
   "Repeat Customer"
)</f>
        <v>Repeat Customer</v>
      </c>
    </row>
    <row r="412" spans="1:6" x14ac:dyDescent="0.35">
      <c r="A412" t="s">
        <v>747</v>
      </c>
      <c r="B412" t="str">
        <f>VLOOKUP(A412,Sales_Performance[[Customer ID]:[Total Amount]],2,0)</f>
        <v>Female</v>
      </c>
      <c r="C412">
        <f>_xlfn.XLOOKUP(A412,Sales_Performance[Customer ID],Sales_Performance[Age],0)</f>
        <v>18</v>
      </c>
      <c r="D412" t="str" cm="1">
        <f t="array" ref="D412">_xlfn.IFS(
   C412 &lt; 18, "Under 18",
   C412 &lt;= 24, "18-24",
   C412 &lt;= 34, "25-34",
   C412 &lt;= 44, "35-44",
   C412 &lt;= 54, "45-54",
   C412 &lt;= 64, "55-64",
   TRUE, "65+"
)</f>
        <v>18-24</v>
      </c>
      <c r="E412" s="1">
        <f>_xlfn.MINIFS(
   Sales_Performance[Date],
   Sales_Performance[Customer ID],
   A412
)</f>
        <v>45069</v>
      </c>
      <c r="F412" t="str">
        <f>IF(
   COUNTIF(Sales_Performance[Customer ID], A412) = 1,
   "One-Time Customer",
   "Repeat Customer"
)</f>
        <v>One-Time Customer</v>
      </c>
    </row>
    <row r="413" spans="1:6" x14ac:dyDescent="0.35">
      <c r="A413" t="s">
        <v>1314</v>
      </c>
      <c r="B413" t="str">
        <f>VLOOKUP(A413,Sales_Performance[[Customer ID]:[Total Amount]],2,0)</f>
        <v>Male</v>
      </c>
      <c r="C413">
        <f>_xlfn.XLOOKUP(A413,Sales_Performance[Customer ID],Sales_Performance[Age],0)</f>
        <v>45</v>
      </c>
      <c r="D413" t="str" cm="1">
        <f t="array" ref="D413">_xlfn.IFS(
   C413 &lt; 18, "Under 18",
   C413 &lt;= 24, "18-24",
   C413 &lt;= 34, "25-34",
   C413 &lt;= 44, "35-44",
   C413 &lt;= 54, "45-54",
   C413 &lt;= 64, "55-64",
   TRUE, "65+"
)</f>
        <v>45-54</v>
      </c>
      <c r="E413" s="1">
        <f>_xlfn.MINIFS(
   Sales_Performance[Date],
   Sales_Performance[Customer ID],
   A413
)</f>
        <v>45264</v>
      </c>
      <c r="F413" t="str">
        <f>IF(
   COUNTIF(Sales_Performance[Customer ID], A413) = 1,
   "One-Time Customer",
   "Repeat Customer"
)</f>
        <v>One-Time Customer</v>
      </c>
    </row>
    <row r="414" spans="1:6" x14ac:dyDescent="0.35">
      <c r="A414" t="s">
        <v>656</v>
      </c>
      <c r="B414" t="str">
        <f>VLOOKUP(A414,Sales_Performance[[Customer ID]:[Total Amount]],2,0)</f>
        <v>Male</v>
      </c>
      <c r="C414">
        <f>_xlfn.XLOOKUP(A414,Sales_Performance[Customer ID],Sales_Performance[Age],0)</f>
        <v>21</v>
      </c>
      <c r="D414" t="str" cm="1">
        <f t="array" ref="D414">_xlfn.IFS(
   C414 &lt; 18, "Under 18",
   C414 &lt;= 24, "18-24",
   C414 &lt;= 34, "25-34",
   C414 &lt;= 44, "35-44",
   C414 &lt;= 54, "45-54",
   C414 &lt;= 64, "55-64",
   TRUE, "65+"
)</f>
        <v>18-24</v>
      </c>
      <c r="E414" s="1">
        <f>_xlfn.MINIFS(
   Sales_Performance[Date],
   Sales_Performance[Customer ID],
   A414
)</f>
        <v>45231</v>
      </c>
      <c r="F414" t="str">
        <f>IF(
   COUNTIF(Sales_Performance[Customer ID], A414) = 1,
   "One-Time Customer",
   "Repeat Customer"
)</f>
        <v>One-Time Customer</v>
      </c>
    </row>
    <row r="415" spans="1:6" x14ac:dyDescent="0.35">
      <c r="A415" t="s">
        <v>1368</v>
      </c>
      <c r="B415" t="str">
        <f>VLOOKUP(A415,Sales_Performance[[Customer ID]:[Total Amount]],2,0)</f>
        <v>Male</v>
      </c>
      <c r="C415">
        <f>_xlfn.XLOOKUP(A415,Sales_Performance[Customer ID],Sales_Performance[Age],0)</f>
        <v>48</v>
      </c>
      <c r="D415" t="str" cm="1">
        <f t="array" ref="D415">_xlfn.IFS(
   C415 &lt; 18, "Under 18",
   C415 &lt;= 24, "18-24",
   C415 &lt;= 34, "25-34",
   C415 &lt;= 44, "35-44",
   C415 &lt;= 54, "45-54",
   C415 &lt;= 64, "55-64",
   TRUE, "65+"
)</f>
        <v>45-54</v>
      </c>
      <c r="E415" s="1">
        <f>_xlfn.MINIFS(
   Sales_Performance[Date],
   Sales_Performance[Customer ID],
   A415
)</f>
        <v>45280</v>
      </c>
      <c r="F415" t="str">
        <f>IF(
   COUNTIF(Sales_Performance[Customer ID], A415) = 1,
   "One-Time Customer",
   "Repeat Customer"
)</f>
        <v>One-Time Customer</v>
      </c>
    </row>
    <row r="416" spans="1:6" x14ac:dyDescent="0.35">
      <c r="A416" t="s">
        <v>1090</v>
      </c>
      <c r="B416" t="str">
        <f>VLOOKUP(A416,Sales_Performance[[Customer ID]:[Total Amount]],2,0)</f>
        <v>Male</v>
      </c>
      <c r="C416">
        <f>_xlfn.XLOOKUP(A416,Sales_Performance[Customer ID],Sales_Performance[Age],0)</f>
        <v>29</v>
      </c>
      <c r="D416" t="str" cm="1">
        <f t="array" ref="D416">_xlfn.IFS(
   C416 &lt; 18, "Under 18",
   C416 &lt;= 24, "18-24",
   C416 &lt;= 34, "25-34",
   C416 &lt;= 44, "35-44",
   C416 &lt;= 54, "45-54",
   C416 &lt;= 64, "55-64",
   TRUE, "65+"
)</f>
        <v>25-34</v>
      </c>
      <c r="E416" s="1">
        <f>_xlfn.MINIFS(
   Sales_Performance[Date],
   Sales_Performance[Customer ID],
   A416
)</f>
        <v>45269</v>
      </c>
      <c r="F416" t="str">
        <f>IF(
   COUNTIF(Sales_Performance[Customer ID], A416) = 1,
   "One-Time Customer",
   "Repeat Customer"
)</f>
        <v>One-Time Customer</v>
      </c>
    </row>
    <row r="417" spans="1:6" x14ac:dyDescent="0.35">
      <c r="A417" t="s">
        <v>349</v>
      </c>
      <c r="B417" t="str">
        <f>VLOOKUP(A417,Sales_Performance[[Customer ID]:[Total Amount]],2,0)</f>
        <v>Male</v>
      </c>
      <c r="C417">
        <f>_xlfn.XLOOKUP(A417,Sales_Performance[Customer ID],Sales_Performance[Age],0)</f>
        <v>60</v>
      </c>
      <c r="D417" t="str" cm="1">
        <f t="array" ref="D417">_xlfn.IFS(
   C417 &lt; 18, "Under 18",
   C417 &lt;= 24, "18-24",
   C417 &lt;= 34, "25-34",
   C417 &lt;= 44, "35-44",
   C417 &lt;= 54, "45-54",
   C417 &lt;= 64, "55-64",
   TRUE, "65+"
)</f>
        <v>55-64</v>
      </c>
      <c r="E417" s="1">
        <f>_xlfn.MINIFS(
   Sales_Performance[Date],
   Sales_Performance[Customer ID],
   A417
)</f>
        <v>45007</v>
      </c>
      <c r="F417" t="str">
        <f>IF(
   COUNTIF(Sales_Performance[Customer ID], A417) = 1,
   "One-Time Customer",
   "Repeat Customer"
)</f>
        <v>One-Time Customer</v>
      </c>
    </row>
    <row r="418" spans="1:6" x14ac:dyDescent="0.35">
      <c r="A418" t="s">
        <v>111</v>
      </c>
      <c r="B418" t="str">
        <f>VLOOKUP(A418,Sales_Performance[[Customer ID]:[Total Amount]],2,0)</f>
        <v>Male</v>
      </c>
      <c r="C418">
        <f>_xlfn.XLOOKUP(A418,Sales_Performance[Customer ID],Sales_Performance[Age],0)</f>
        <v>38</v>
      </c>
      <c r="D418" t="str" cm="1">
        <f t="array" ref="D418">_xlfn.IFS(
   C418 &lt; 18, "Under 18",
   C418 &lt;= 24, "18-24",
   C418 &lt;= 34, "25-34",
   C418 &lt;= 44, "35-44",
   C418 &lt;= 54, "45-54",
   C418 &lt;= 64, "55-64",
   TRUE, "65+"
)</f>
        <v>35-44</v>
      </c>
      <c r="E418" s="1">
        <f>_xlfn.MINIFS(
   Sales_Performance[Date],
   Sales_Performance[Customer ID],
   A418
)</f>
        <v>45096</v>
      </c>
      <c r="F418" t="str">
        <f>IF(
   COUNTIF(Sales_Performance[Customer ID], A418) = 1,
   "One-Time Customer",
   "Repeat Customer"
)</f>
        <v>One-Time Customer</v>
      </c>
    </row>
    <row r="419" spans="1:6" x14ac:dyDescent="0.35">
      <c r="A419" t="s">
        <v>142</v>
      </c>
      <c r="B419" t="str">
        <f>VLOOKUP(A419,Sales_Performance[[Customer ID]:[Total Amount]],2,0)</f>
        <v>Female</v>
      </c>
      <c r="C419">
        <f>_xlfn.XLOOKUP(A419,Sales_Performance[Customer ID],Sales_Performance[Age],0)</f>
        <v>56</v>
      </c>
      <c r="D419" t="str" cm="1">
        <f t="array" ref="D419">_xlfn.IFS(
   C419 &lt; 18, "Under 18",
   C419 &lt;= 24, "18-24",
   C419 &lt;= 34, "25-34",
   C419 &lt;= 44, "35-44",
   C419 &lt;= 54, "45-54",
   C419 &lt;= 64, "55-64",
   TRUE, "65+"
)</f>
        <v>55-64</v>
      </c>
      <c r="E419" s="1">
        <f>_xlfn.MINIFS(
   Sales_Performance[Date],
   Sales_Performance[Customer ID],
   A419
)</f>
        <v>44952</v>
      </c>
      <c r="F419" t="str">
        <f>IF(
   COUNTIF(Sales_Performance[Customer ID], A419) = 1,
   "One-Time Customer",
   "Repeat Customer"
)</f>
        <v>One-Time Customer</v>
      </c>
    </row>
    <row r="420" spans="1:6" x14ac:dyDescent="0.35">
      <c r="A420" t="s">
        <v>1248</v>
      </c>
      <c r="B420" t="str">
        <f>VLOOKUP(A420,Sales_Performance[[Customer ID]:[Total Amount]],2,0)</f>
        <v>Male</v>
      </c>
      <c r="C420">
        <f>_xlfn.XLOOKUP(A420,Sales_Performance[Customer ID],Sales_Performance[Age],0)</f>
        <v>39</v>
      </c>
      <c r="D420" t="str" cm="1">
        <f t="array" ref="D420">_xlfn.IFS(
   C420 &lt; 18, "Under 18",
   C420 &lt;= 24, "18-24",
   C420 &lt;= 34, "25-34",
   C420 &lt;= 44, "35-44",
   C420 &lt;= 54, "45-54",
   C420 &lt;= 64, "55-64",
   TRUE, "65+"
)</f>
        <v>35-44</v>
      </c>
      <c r="E420" s="1">
        <f>_xlfn.MINIFS(
   Sales_Performance[Date],
   Sales_Performance[Customer ID],
   A420
)</f>
        <v>45106</v>
      </c>
      <c r="F420" t="str">
        <f>IF(
   COUNTIF(Sales_Performance[Customer ID], A420) = 1,
   "One-Time Customer",
   "Repeat Customer"
)</f>
        <v>Repeat Customer</v>
      </c>
    </row>
    <row r="421" spans="1:6" x14ac:dyDescent="0.35">
      <c r="A421" t="s">
        <v>41</v>
      </c>
      <c r="B421" t="str">
        <f>VLOOKUP(A421,Sales_Performance[[Customer ID]:[Total Amount]],2,0)</f>
        <v>Male</v>
      </c>
      <c r="C421">
        <f>_xlfn.XLOOKUP(A421,Sales_Performance[Customer ID],Sales_Performance[Age],0)</f>
        <v>21</v>
      </c>
      <c r="D421" t="str" cm="1">
        <f t="array" ref="D421">_xlfn.IFS(
   C421 &lt; 18, "Under 18",
   C421 &lt;= 24, "18-24",
   C421 &lt;= 34, "25-34",
   C421 &lt;= 44, "35-44",
   C421 &lt;= 54, "45-54",
   C421 &lt;= 64, "55-64",
   TRUE, "65+"
)</f>
        <v>18-24</v>
      </c>
      <c r="E421" s="1">
        <f>_xlfn.MINIFS(
   Sales_Performance[Date],
   Sales_Performance[Customer ID],
   A421
)</f>
        <v>45050</v>
      </c>
      <c r="F421" t="str">
        <f>IF(
   COUNTIF(Sales_Performance[Customer ID], A421) = 1,
   "One-Time Customer",
   "Repeat Customer"
)</f>
        <v>Repeat Customer</v>
      </c>
    </row>
    <row r="422" spans="1:6" x14ac:dyDescent="0.35">
      <c r="A422" t="s">
        <v>402</v>
      </c>
      <c r="B422" t="str">
        <f>VLOOKUP(A422,Sales_Performance[[Customer ID]:[Total Amount]],2,0)</f>
        <v>Female</v>
      </c>
      <c r="C422">
        <f>_xlfn.XLOOKUP(A422,Sales_Performance[Customer ID],Sales_Performance[Age],0)</f>
        <v>62</v>
      </c>
      <c r="D422" t="str" cm="1">
        <f t="array" ref="D422">_xlfn.IFS(
   C422 &lt; 18, "Under 18",
   C422 &lt;= 24, "18-24",
   C422 &lt;= 34, "25-34",
   C422 &lt;= 44, "35-44",
   C422 &lt;= 54, "45-54",
   C422 &lt;= 64, "55-64",
   TRUE, "65+"
)</f>
        <v>55-64</v>
      </c>
      <c r="E422" s="1">
        <f>_xlfn.MINIFS(
   Sales_Performance[Date],
   Sales_Performance[Customer ID],
   A422
)</f>
        <v>45080</v>
      </c>
      <c r="F422" t="str">
        <f>IF(
   COUNTIF(Sales_Performance[Customer ID], A422) = 1,
   "One-Time Customer",
   "Repeat Customer"
)</f>
        <v>Repeat Customer</v>
      </c>
    </row>
    <row r="423" spans="1:6" x14ac:dyDescent="0.35">
      <c r="A423" t="s">
        <v>920</v>
      </c>
      <c r="B423" t="str">
        <f>VLOOKUP(A423,Sales_Performance[[Customer ID]:[Total Amount]],2,0)</f>
        <v>Male</v>
      </c>
      <c r="C423">
        <f>_xlfn.XLOOKUP(A423,Sales_Performance[Customer ID],Sales_Performance[Age],0)</f>
        <v>21</v>
      </c>
      <c r="D423" t="str" cm="1">
        <f t="array" ref="D423">_xlfn.IFS(
   C423 &lt; 18, "Under 18",
   C423 &lt;= 24, "18-24",
   C423 &lt;= 34, "25-34",
   C423 &lt;= 44, "35-44",
   C423 &lt;= 54, "45-54",
   C423 &lt;= 64, "55-64",
   TRUE, "65+"
)</f>
        <v>18-24</v>
      </c>
      <c r="E423" s="1">
        <f>_xlfn.MINIFS(
   Sales_Performance[Date],
   Sales_Performance[Customer ID],
   A423
)</f>
        <v>45068</v>
      </c>
      <c r="F423" t="str">
        <f>IF(
   COUNTIF(Sales_Performance[Customer ID], A423) = 1,
   "One-Time Customer",
   "Repeat Customer"
)</f>
        <v>One-Time Customer</v>
      </c>
    </row>
    <row r="424" spans="1:6" x14ac:dyDescent="0.35">
      <c r="A424" t="s">
        <v>847</v>
      </c>
      <c r="B424" t="str">
        <f>VLOOKUP(A424,Sales_Performance[[Customer ID]:[Total Amount]],2,0)</f>
        <v>Male</v>
      </c>
      <c r="C424">
        <f>_xlfn.XLOOKUP(A424,Sales_Performance[Customer ID],Sales_Performance[Age],0)</f>
        <v>25</v>
      </c>
      <c r="D424" t="str" cm="1">
        <f t="array" ref="D424">_xlfn.IFS(
   C424 &lt; 18, "Under 18",
   C424 &lt;= 24, "18-24",
   C424 &lt;= 34, "25-34",
   C424 &lt;= 44, "35-44",
   C424 &lt;= 54, "45-54",
   C424 &lt;= 64, "55-64",
   TRUE, "65+"
)</f>
        <v>25-34</v>
      </c>
      <c r="E424" s="1">
        <f>_xlfn.MINIFS(
   Sales_Performance[Date],
   Sales_Performance[Customer ID],
   A424
)</f>
        <v>45065</v>
      </c>
      <c r="F424" t="str">
        <f>IF(
   COUNTIF(Sales_Performance[Customer ID], A424) = 1,
   "One-Time Customer",
   "Repeat Customer"
)</f>
        <v>Repeat Customer</v>
      </c>
    </row>
    <row r="425" spans="1:6" x14ac:dyDescent="0.35">
      <c r="A425" t="s">
        <v>545</v>
      </c>
      <c r="B425" t="str">
        <f>VLOOKUP(A425,Sales_Performance[[Customer ID]:[Total Amount]],2,0)</f>
        <v>Male</v>
      </c>
      <c r="C425">
        <f>_xlfn.XLOOKUP(A425,Sales_Performance[Customer ID],Sales_Performance[Age],0)</f>
        <v>43</v>
      </c>
      <c r="D425" t="str" cm="1">
        <f t="array" ref="D425">_xlfn.IFS(
   C425 &lt; 18, "Under 18",
   C425 &lt;= 24, "18-24",
   C425 &lt;= 34, "25-34",
   C425 &lt;= 44, "35-44",
   C425 &lt;= 54, "45-54",
   C425 &lt;= 64, "55-64",
   TRUE, "65+"
)</f>
        <v>35-44</v>
      </c>
      <c r="E425" s="1">
        <f>_xlfn.MINIFS(
   Sales_Performance[Date],
   Sales_Performance[Customer ID],
   A425
)</f>
        <v>45024</v>
      </c>
      <c r="F425" t="str">
        <f>IF(
   COUNTIF(Sales_Performance[Customer ID], A425) = 1,
   "One-Time Customer",
   "Repeat Customer"
)</f>
        <v>One-Time Customer</v>
      </c>
    </row>
    <row r="426" spans="1:6" x14ac:dyDescent="0.35">
      <c r="A426" t="s">
        <v>1127</v>
      </c>
      <c r="B426" t="str">
        <f>VLOOKUP(A426,Sales_Performance[[Customer ID]:[Total Amount]],2,0)</f>
        <v>Male</v>
      </c>
      <c r="C426">
        <f>_xlfn.XLOOKUP(A426,Sales_Performance[Customer ID],Sales_Performance[Age],0)</f>
        <v>62</v>
      </c>
      <c r="D426" t="str" cm="1">
        <f t="array" ref="D426">_xlfn.IFS(
   C426 &lt; 18, "Under 18",
   C426 &lt;= 24, "18-24",
   C426 &lt;= 34, "25-34",
   C426 &lt;= 44, "35-44",
   C426 &lt;= 54, "45-54",
   C426 &lt;= 64, "55-64",
   TRUE, "65+"
)</f>
        <v>55-64</v>
      </c>
      <c r="E426" s="1">
        <f>_xlfn.MINIFS(
   Sales_Performance[Date],
   Sales_Performance[Customer ID],
   A426
)</f>
        <v>45043</v>
      </c>
      <c r="F426" t="str">
        <f>IF(
   COUNTIF(Sales_Performance[Customer ID], A426) = 1,
   "One-Time Customer",
   "Repeat Customer"
)</f>
        <v>Repeat Customer</v>
      </c>
    </row>
    <row r="427" spans="1:6" x14ac:dyDescent="0.35">
      <c r="A427" t="s">
        <v>1150</v>
      </c>
      <c r="B427" t="str">
        <f>VLOOKUP(A427,Sales_Performance[[Customer ID]:[Total Amount]],2,0)</f>
        <v>Male</v>
      </c>
      <c r="C427">
        <f>_xlfn.XLOOKUP(A427,Sales_Performance[Customer ID],Sales_Performance[Age],0)</f>
        <v>62</v>
      </c>
      <c r="D427" t="str" cm="1">
        <f t="array" ref="D427">_xlfn.IFS(
   C427 &lt; 18, "Under 18",
   C427 &lt;= 24, "18-24",
   C427 &lt;= 34, "25-34",
   C427 &lt;= 44, "35-44",
   C427 &lt;= 54, "45-54",
   C427 &lt;= 64, "55-64",
   TRUE, "65+"
)</f>
        <v>55-64</v>
      </c>
      <c r="E427" s="1">
        <f>_xlfn.MINIFS(
   Sales_Performance[Date],
   Sales_Performance[Customer ID],
   A427
)</f>
        <v>45062</v>
      </c>
      <c r="F427" t="str">
        <f>IF(
   COUNTIF(Sales_Performance[Customer ID], A427) = 1,
   "One-Time Customer",
   "Repeat Customer"
)</f>
        <v>One-Time Customer</v>
      </c>
    </row>
    <row r="428" spans="1:6" x14ac:dyDescent="0.35">
      <c r="A428" t="s">
        <v>145</v>
      </c>
      <c r="B428" t="str">
        <f>VLOOKUP(A428,Sales_Performance[[Customer ID]:[Total Amount]],2,0)</f>
        <v>Male</v>
      </c>
      <c r="C428">
        <f>_xlfn.XLOOKUP(A428,Sales_Performance[Customer ID],Sales_Performance[Age],0)</f>
        <v>34</v>
      </c>
      <c r="D428" t="str" cm="1">
        <f t="array" ref="D428">_xlfn.IFS(
   C428 &lt; 18, "Under 18",
   C428 &lt;= 24, "18-24",
   C428 &lt;= 34, "25-34",
   C428 &lt;= 44, "35-44",
   C428 &lt;= 54, "45-54",
   C428 &lt;= 64, "55-64",
   TRUE, "65+"
)</f>
        <v>25-34</v>
      </c>
      <c r="E428" s="1">
        <f>_xlfn.MINIFS(
   Sales_Performance[Date],
   Sales_Performance[Customer ID],
   A428
)</f>
        <v>45034</v>
      </c>
      <c r="F428" t="str">
        <f>IF(
   COUNTIF(Sales_Performance[Customer ID], A428) = 1,
   "One-Time Customer",
   "Repeat Customer"
)</f>
        <v>One-Time Customer</v>
      </c>
    </row>
    <row r="429" spans="1:6" x14ac:dyDescent="0.35">
      <c r="A429" t="s">
        <v>134</v>
      </c>
      <c r="B429" t="str">
        <f>VLOOKUP(A429,Sales_Performance[[Customer ID]:[Total Amount]],2,0)</f>
        <v>Male</v>
      </c>
      <c r="C429">
        <f>_xlfn.XLOOKUP(A429,Sales_Performance[Customer ID],Sales_Performance[Age],0)</f>
        <v>45</v>
      </c>
      <c r="D429" t="str" cm="1">
        <f t="array" ref="D429">_xlfn.IFS(
   C429 &lt; 18, "Under 18",
   C429 &lt;= 24, "18-24",
   C429 &lt;= 34, "25-34",
   C429 &lt;= 44, "35-44",
   C429 &lt;= 54, "45-54",
   C429 &lt;= 64, "55-64",
   TRUE, "65+"
)</f>
        <v>45-54</v>
      </c>
      <c r="E429" s="1">
        <f>_xlfn.MINIFS(
   Sales_Performance[Date],
   Sales_Performance[Customer ID],
   A429
)</f>
        <v>45169</v>
      </c>
      <c r="F429" t="str">
        <f>IF(
   COUNTIF(Sales_Performance[Customer ID], A429) = 1,
   "One-Time Customer",
   "Repeat Customer"
)</f>
        <v>Repeat Customer</v>
      </c>
    </row>
    <row r="430" spans="1:6" x14ac:dyDescent="0.35">
      <c r="A430" t="s">
        <v>28</v>
      </c>
      <c r="B430" t="str">
        <f>VLOOKUP(A430,Sales_Performance[[Customer ID]:[Total Amount]],2,0)</f>
        <v>Male</v>
      </c>
      <c r="C430">
        <f>_xlfn.XLOOKUP(A430,Sales_Performance[Customer ID],Sales_Performance[Age],0)</f>
        <v>29</v>
      </c>
      <c r="D430" t="str" cm="1">
        <f t="array" ref="D430">_xlfn.IFS(
   C430 &lt; 18, "Under 18",
   C430 &lt;= 24, "18-24",
   C430 &lt;= 34, "25-34",
   C430 &lt;= 44, "35-44",
   C430 &lt;= 54, "45-54",
   C430 &lt;= 64, "55-64",
   TRUE, "65+"
)</f>
        <v>25-34</v>
      </c>
      <c r="E430" s="1">
        <f>_xlfn.MINIFS(
   Sales_Performance[Date],
   Sales_Performance[Customer ID],
   A430
)</f>
        <v>44953</v>
      </c>
      <c r="F430" t="str">
        <f>IF(
   COUNTIF(Sales_Performance[Customer ID], A430) = 1,
   "One-Time Customer",
   "Repeat Customer"
)</f>
        <v>Repeat Customer</v>
      </c>
    </row>
    <row r="431" spans="1:6" x14ac:dyDescent="0.35">
      <c r="A431" t="s">
        <v>1057</v>
      </c>
      <c r="B431" t="str">
        <f>VLOOKUP(A431,Sales_Performance[[Customer ID]:[Total Amount]],2,0)</f>
        <v>Female</v>
      </c>
      <c r="C431">
        <f>_xlfn.XLOOKUP(A431,Sales_Performance[Customer ID],Sales_Performance[Age],0)</f>
        <v>61</v>
      </c>
      <c r="D431" t="str" cm="1">
        <f t="array" ref="D431">_xlfn.IFS(
   C431 &lt; 18, "Under 18",
   C431 &lt;= 24, "18-24",
   C431 &lt;= 34, "25-34",
   C431 &lt;= 44, "35-44",
   C431 &lt;= 54, "45-54",
   C431 &lt;= 64, "55-64",
   TRUE, "65+"
)</f>
        <v>55-64</v>
      </c>
      <c r="E431" s="1">
        <f>_xlfn.MINIFS(
   Sales_Performance[Date],
   Sales_Performance[Customer ID],
   A431
)</f>
        <v>44952</v>
      </c>
      <c r="F431" t="str">
        <f>IF(
   COUNTIF(Sales_Performance[Customer ID], A431) = 1,
   "One-Time Customer",
   "Repeat Customer"
)</f>
        <v>Repeat Customer</v>
      </c>
    </row>
    <row r="432" spans="1:6" x14ac:dyDescent="0.35">
      <c r="A432" t="s">
        <v>1320</v>
      </c>
      <c r="B432" t="str">
        <f>VLOOKUP(A432,Sales_Performance[[Customer ID]:[Total Amount]],2,0)</f>
        <v>Male</v>
      </c>
      <c r="C432">
        <f>_xlfn.XLOOKUP(A432,Sales_Performance[Customer ID],Sales_Performance[Age],0)</f>
        <v>20</v>
      </c>
      <c r="D432" t="str" cm="1">
        <f t="array" ref="D432">_xlfn.IFS(
   C432 &lt; 18, "Under 18",
   C432 &lt;= 24, "18-24",
   C432 &lt;= 34, "25-34",
   C432 &lt;= 44, "35-44",
   C432 &lt;= 54, "45-54",
   C432 &lt;= 64, "55-64",
   TRUE, "65+"
)</f>
        <v>18-24</v>
      </c>
      <c r="E432" s="1">
        <f>_xlfn.MINIFS(
   Sales_Performance[Date],
   Sales_Performance[Customer ID],
   A432
)</f>
        <v>45059</v>
      </c>
      <c r="F432" t="str">
        <f>IF(
   COUNTIF(Sales_Performance[Customer ID], A432) = 1,
   "One-Time Customer",
   "Repeat Customer"
)</f>
        <v>Repeat Customer</v>
      </c>
    </row>
    <row r="433" spans="1:6" x14ac:dyDescent="0.35">
      <c r="A433" t="s">
        <v>460</v>
      </c>
      <c r="B433" t="str">
        <f>VLOOKUP(A433,Sales_Performance[[Customer ID]:[Total Amount]],2,0)</f>
        <v>Male</v>
      </c>
      <c r="C433">
        <f>_xlfn.XLOOKUP(A433,Sales_Performance[Customer ID],Sales_Performance[Age],0)</f>
        <v>51</v>
      </c>
      <c r="D433" t="str" cm="1">
        <f t="array" ref="D433">_xlfn.IFS(
   C433 &lt; 18, "Under 18",
   C433 &lt;= 24, "18-24",
   C433 &lt;= 34, "25-34",
   C433 &lt;= 44, "35-44",
   C433 &lt;= 54, "45-54",
   C433 &lt;= 64, "55-64",
   TRUE, "65+"
)</f>
        <v>45-54</v>
      </c>
      <c r="E433" s="1">
        <f>_xlfn.MINIFS(
   Sales_Performance[Date],
   Sales_Performance[Customer ID],
   A433
)</f>
        <v>45003</v>
      </c>
      <c r="F433" t="str">
        <f>IF(
   COUNTIF(Sales_Performance[Customer ID], A433) = 1,
   "One-Time Customer",
   "Repeat Customer"
)</f>
        <v>One-Time Customer</v>
      </c>
    </row>
    <row r="434" spans="1:6" x14ac:dyDescent="0.35">
      <c r="A434" t="s">
        <v>1161</v>
      </c>
      <c r="B434" t="str">
        <f>VLOOKUP(A434,Sales_Performance[[Customer ID]:[Total Amount]],2,0)</f>
        <v>Female</v>
      </c>
      <c r="C434">
        <f>_xlfn.XLOOKUP(A434,Sales_Performance[Customer ID],Sales_Performance[Age],0)</f>
        <v>62</v>
      </c>
      <c r="D434" t="str" cm="1">
        <f t="array" ref="D434">_xlfn.IFS(
   C434 &lt; 18, "Under 18",
   C434 &lt;= 24, "18-24",
   C434 &lt;= 34, "25-34",
   C434 &lt;= 44, "35-44",
   C434 &lt;= 54, "45-54",
   C434 &lt;= 64, "55-64",
   TRUE, "65+"
)</f>
        <v>55-64</v>
      </c>
      <c r="E434" s="1">
        <f>_xlfn.MINIFS(
   Sales_Performance[Date],
   Sales_Performance[Customer ID],
   A434
)</f>
        <v>45059</v>
      </c>
      <c r="F434" t="str">
        <f>IF(
   COUNTIF(Sales_Performance[Customer ID], A434) = 1,
   "One-Time Customer",
   "Repeat Customer"
)</f>
        <v>One-Time Customer</v>
      </c>
    </row>
    <row r="435" spans="1:6" x14ac:dyDescent="0.35">
      <c r="A435" t="s">
        <v>469</v>
      </c>
      <c r="B435" t="str">
        <f>VLOOKUP(A435,Sales_Performance[[Customer ID]:[Total Amount]],2,0)</f>
        <v>Female</v>
      </c>
      <c r="C435">
        <f>_xlfn.XLOOKUP(A435,Sales_Performance[Customer ID],Sales_Performance[Age],0)</f>
        <v>20</v>
      </c>
      <c r="D435" t="str" cm="1">
        <f t="array" ref="D435">_xlfn.IFS(
   C435 &lt; 18, "Under 18",
   C435 &lt;= 24, "18-24",
   C435 &lt;= 34, "25-34",
   C435 &lt;= 44, "35-44",
   C435 &lt;= 54, "45-54",
   C435 &lt;= 64, "55-64",
   TRUE, "65+"
)</f>
        <v>18-24</v>
      </c>
      <c r="E435" s="1">
        <f>_xlfn.MINIFS(
   Sales_Performance[Date],
   Sales_Performance[Customer ID],
   A435
)</f>
        <v>45107</v>
      </c>
      <c r="F435" t="str">
        <f>IF(
   COUNTIF(Sales_Performance[Customer ID], A435) = 1,
   "One-Time Customer",
   "Repeat Customer"
)</f>
        <v>One-Time Customer</v>
      </c>
    </row>
    <row r="436" spans="1:6" x14ac:dyDescent="0.35">
      <c r="A436" t="s">
        <v>1256</v>
      </c>
      <c r="B436" t="str">
        <f>VLOOKUP(A436,Sales_Performance[[Customer ID]:[Total Amount]],2,0)</f>
        <v>Male</v>
      </c>
      <c r="C436">
        <f>_xlfn.XLOOKUP(A436,Sales_Performance[Customer ID],Sales_Performance[Age],0)</f>
        <v>32</v>
      </c>
      <c r="D436" t="str" cm="1">
        <f t="array" ref="D436">_xlfn.IFS(
   C436 &lt; 18, "Under 18",
   C436 &lt;= 24, "18-24",
   C436 &lt;= 34, "25-34",
   C436 &lt;= 44, "35-44",
   C436 &lt;= 54, "45-54",
   C436 &lt;= 64, "55-64",
   TRUE, "65+"
)</f>
        <v>25-34</v>
      </c>
      <c r="E436" s="1">
        <f>_xlfn.MINIFS(
   Sales_Performance[Date],
   Sales_Performance[Customer ID],
   A436
)</f>
        <v>45177</v>
      </c>
      <c r="F436" t="str">
        <f>IF(
   COUNTIF(Sales_Performance[Customer ID], A436) = 1,
   "One-Time Customer",
   "Repeat Customer"
)</f>
        <v>One-Time Customer</v>
      </c>
    </row>
    <row r="437" spans="1:6" x14ac:dyDescent="0.35">
      <c r="A437" t="s">
        <v>1027</v>
      </c>
      <c r="B437" t="str">
        <f>VLOOKUP(A437,Sales_Performance[[Customer ID]:[Total Amount]],2,0)</f>
        <v>Female</v>
      </c>
      <c r="C437">
        <f>_xlfn.XLOOKUP(A437,Sales_Performance[Customer ID],Sales_Performance[Age],0)</f>
        <v>43</v>
      </c>
      <c r="D437" t="str" cm="1">
        <f t="array" ref="D437">_xlfn.IFS(
   C437 &lt; 18, "Under 18",
   C437 &lt;= 24, "18-24",
   C437 &lt;= 34, "25-34",
   C437 &lt;= 44, "35-44",
   C437 &lt;= 54, "45-54",
   C437 &lt;= 64, "55-64",
   TRUE, "65+"
)</f>
        <v>35-44</v>
      </c>
      <c r="E437" s="1">
        <f>_xlfn.MINIFS(
   Sales_Performance[Date],
   Sales_Performance[Customer ID],
   A437
)</f>
        <v>44978</v>
      </c>
      <c r="F437" t="str">
        <f>IF(
   COUNTIF(Sales_Performance[Customer ID], A437) = 1,
   "One-Time Customer",
   "Repeat Customer"
)</f>
        <v>Repeat Customer</v>
      </c>
    </row>
    <row r="438" spans="1:6" x14ac:dyDescent="0.35">
      <c r="A438" t="s">
        <v>1132</v>
      </c>
      <c r="B438" t="str">
        <f>VLOOKUP(A438,Sales_Performance[[Customer ID]:[Total Amount]],2,0)</f>
        <v>Female</v>
      </c>
      <c r="C438">
        <f>_xlfn.XLOOKUP(A438,Sales_Performance[Customer ID],Sales_Performance[Age],0)</f>
        <v>50</v>
      </c>
      <c r="D438" t="str" cm="1">
        <f t="array" ref="D438">_xlfn.IFS(
   C438 &lt; 18, "Under 18",
   C438 &lt;= 24, "18-24",
   C438 &lt;= 34, "25-34",
   C438 &lt;= 44, "35-44",
   C438 &lt;= 54, "45-54",
   C438 &lt;= 64, "55-64",
   TRUE, "65+"
)</f>
        <v>45-54</v>
      </c>
      <c r="E438" s="1">
        <f>_xlfn.MINIFS(
   Sales_Performance[Date],
   Sales_Performance[Customer ID],
   A438
)</f>
        <v>45142</v>
      </c>
      <c r="F438" t="str">
        <f>IF(
   COUNTIF(Sales_Performance[Customer ID], A438) = 1,
   "One-Time Customer",
   "Repeat Customer"
)</f>
        <v>One-Time Customer</v>
      </c>
    </row>
    <row r="439" spans="1:6" x14ac:dyDescent="0.35">
      <c r="A439" t="s">
        <v>696</v>
      </c>
      <c r="B439" t="str">
        <f>VLOOKUP(A439,Sales_Performance[[Customer ID]:[Total Amount]],2,0)</f>
        <v>Female</v>
      </c>
      <c r="C439">
        <f>_xlfn.XLOOKUP(A439,Sales_Performance[Customer ID],Sales_Performance[Age],0)</f>
        <v>39</v>
      </c>
      <c r="D439" t="str" cm="1">
        <f t="array" ref="D439">_xlfn.IFS(
   C439 &lt; 18, "Under 18",
   C439 &lt;= 24, "18-24",
   C439 &lt;= 34, "25-34",
   C439 &lt;= 44, "35-44",
   C439 &lt;= 54, "45-54",
   C439 &lt;= 64, "55-64",
   TRUE, "65+"
)</f>
        <v>35-44</v>
      </c>
      <c r="E439" s="1">
        <f>_xlfn.MINIFS(
   Sales_Performance[Date],
   Sales_Performance[Customer ID],
   A439
)</f>
        <v>44965</v>
      </c>
      <c r="F439" t="str">
        <f>IF(
   COUNTIF(Sales_Performance[Customer ID], A439) = 1,
   "One-Time Customer",
   "Repeat Customer"
)</f>
        <v>Repeat Customer</v>
      </c>
    </row>
    <row r="440" spans="1:6" x14ac:dyDescent="0.35">
      <c r="A440" t="s">
        <v>336</v>
      </c>
      <c r="B440" t="str">
        <f>VLOOKUP(A440,Sales_Performance[[Customer ID]:[Total Amount]],2,0)</f>
        <v>Female</v>
      </c>
      <c r="C440">
        <f>_xlfn.XLOOKUP(A440,Sales_Performance[Customer ID],Sales_Performance[Age],0)</f>
        <v>40</v>
      </c>
      <c r="D440" t="str" cm="1">
        <f t="array" ref="D440">_xlfn.IFS(
   C440 &lt; 18, "Under 18",
   C440 &lt;= 24, "18-24",
   C440 &lt;= 34, "25-34",
   C440 &lt;= 44, "35-44",
   C440 &lt;= 54, "45-54",
   C440 &lt;= 64, "55-64",
   TRUE, "65+"
)</f>
        <v>35-44</v>
      </c>
      <c r="E440" s="1">
        <f>_xlfn.MINIFS(
   Sales_Performance[Date],
   Sales_Performance[Customer ID],
   A440
)</f>
        <v>45057</v>
      </c>
      <c r="F440" t="str">
        <f>IF(
   COUNTIF(Sales_Performance[Customer ID], A440) = 1,
   "One-Time Customer",
   "Repeat Customer"
)</f>
        <v>One-Time Customer</v>
      </c>
    </row>
    <row r="441" spans="1:6" x14ac:dyDescent="0.35">
      <c r="A441" t="s">
        <v>1274</v>
      </c>
      <c r="B441" t="str">
        <f>VLOOKUP(A441,Sales_Performance[[Customer ID]:[Total Amount]],2,0)</f>
        <v>Female</v>
      </c>
      <c r="C441">
        <f>_xlfn.XLOOKUP(A441,Sales_Performance[Customer ID],Sales_Performance[Age],0)</f>
        <v>51</v>
      </c>
      <c r="D441" t="str" cm="1">
        <f t="array" ref="D441">_xlfn.IFS(
   C441 &lt; 18, "Under 18",
   C441 &lt;= 24, "18-24",
   C441 &lt;= 34, "25-34",
   C441 &lt;= 44, "35-44",
   C441 &lt;= 54, "45-54",
   C441 &lt;= 64, "55-64",
   TRUE, "65+"
)</f>
        <v>45-54</v>
      </c>
      <c r="E441" s="1">
        <f>_xlfn.MINIFS(
   Sales_Performance[Date],
   Sales_Performance[Customer ID],
   A441
)</f>
        <v>45053</v>
      </c>
      <c r="F441" t="str">
        <f>IF(
   COUNTIF(Sales_Performance[Customer ID], A441) = 1,
   "One-Time Customer",
   "Repeat Customer"
)</f>
        <v>One-Time Customer</v>
      </c>
    </row>
    <row r="442" spans="1:6" x14ac:dyDescent="0.35">
      <c r="A442" t="s">
        <v>1464</v>
      </c>
      <c r="B442" t="str">
        <f>VLOOKUP(A442,Sales_Performance[[Customer ID]:[Total Amount]],2,0)</f>
        <v>Male</v>
      </c>
      <c r="C442">
        <f>_xlfn.XLOOKUP(A442,Sales_Performance[Customer ID],Sales_Performance[Age],0)</f>
        <v>46</v>
      </c>
      <c r="D442" t="str" cm="1">
        <f t="array" ref="D442">_xlfn.IFS(
   C442 &lt; 18, "Under 18",
   C442 &lt;= 24, "18-24",
   C442 &lt;= 34, "25-34",
   C442 &lt;= 44, "35-44",
   C442 &lt;= 54, "45-54",
   C442 &lt;= 64, "55-64",
   TRUE, "65+"
)</f>
        <v>45-54</v>
      </c>
      <c r="E442" s="1">
        <f>_xlfn.MINIFS(
   Sales_Performance[Date],
   Sales_Performance[Customer ID],
   A442
)</f>
        <v>44927</v>
      </c>
      <c r="F442" t="str">
        <f>IF(
   COUNTIF(Sales_Performance[Customer ID], A442) = 1,
   "One-Time Customer",
   "Repeat Customer"
)</f>
        <v>One-Time Customer</v>
      </c>
    </row>
    <row r="443" spans="1:6" x14ac:dyDescent="0.35">
      <c r="A443" t="s">
        <v>271</v>
      </c>
      <c r="B443" t="str">
        <f>VLOOKUP(A443,Sales_Performance[[Customer ID]:[Total Amount]],2,0)</f>
        <v>Male</v>
      </c>
      <c r="C443">
        <f>_xlfn.XLOOKUP(A443,Sales_Performance[Customer ID],Sales_Performance[Age],0)</f>
        <v>23</v>
      </c>
      <c r="D443" t="str" cm="1">
        <f t="array" ref="D443">_xlfn.IFS(
   C443 &lt; 18, "Under 18",
   C443 &lt;= 24, "18-24",
   C443 &lt;= 34, "25-34",
   C443 &lt;= 44, "35-44",
   C443 &lt;= 54, "45-54",
   C443 &lt;= 64, "55-64",
   TRUE, "65+"
)</f>
        <v>18-24</v>
      </c>
      <c r="E443" s="1">
        <f>_xlfn.MINIFS(
   Sales_Performance[Date],
   Sales_Performance[Customer ID],
   A443
)</f>
        <v>45286</v>
      </c>
      <c r="F443" t="str">
        <f>IF(
   COUNTIF(Sales_Performance[Customer ID], A443) = 1,
   "One-Time Customer",
   "Repeat Customer"
)</f>
        <v>One-Time Customer</v>
      </c>
    </row>
    <row r="444" spans="1:6" x14ac:dyDescent="0.35">
      <c r="A444" t="s">
        <v>377</v>
      </c>
      <c r="B444" t="str">
        <f>VLOOKUP(A444,Sales_Performance[[Customer ID]:[Total Amount]],2,0)</f>
        <v>Male</v>
      </c>
      <c r="C444">
        <f>_xlfn.XLOOKUP(A444,Sales_Performance[Customer ID],Sales_Performance[Age],0)</f>
        <v>26</v>
      </c>
      <c r="D444" t="str" cm="1">
        <f t="array" ref="D444">_xlfn.IFS(
   C444 &lt; 18, "Under 18",
   C444 &lt;= 24, "18-24",
   C444 &lt;= 34, "25-34",
   C444 &lt;= 44, "35-44",
   C444 &lt;= 54, "45-54",
   C444 &lt;= 64, "55-64",
   TRUE, "65+"
)</f>
        <v>25-34</v>
      </c>
      <c r="E444" s="1">
        <f>_xlfn.MINIFS(
   Sales_Performance[Date],
   Sales_Performance[Customer ID],
   A444
)</f>
        <v>44994</v>
      </c>
      <c r="F444" t="str">
        <f>IF(
   COUNTIF(Sales_Performance[Customer ID], A444) = 1,
   "One-Time Customer",
   "Repeat Customer"
)</f>
        <v>Repeat Customer</v>
      </c>
    </row>
    <row r="445" spans="1:6" x14ac:dyDescent="0.35">
      <c r="A445" t="s">
        <v>480</v>
      </c>
      <c r="B445" t="str">
        <f>VLOOKUP(A445,Sales_Performance[[Customer ID]:[Total Amount]],2,0)</f>
        <v>Male</v>
      </c>
      <c r="C445">
        <f>_xlfn.XLOOKUP(A445,Sales_Performance[Customer ID],Sales_Performance[Age],0)</f>
        <v>57</v>
      </c>
      <c r="D445" t="str" cm="1">
        <f t="array" ref="D445">_xlfn.IFS(
   C445 &lt; 18, "Under 18",
   C445 &lt;= 24, "18-24",
   C445 &lt;= 34, "25-34",
   C445 &lt;= 44, "35-44",
   C445 &lt;= 54, "45-54",
   C445 &lt;= 64, "55-64",
   TRUE, "65+"
)</f>
        <v>55-64</v>
      </c>
      <c r="E445" s="1">
        <f>_xlfn.MINIFS(
   Sales_Performance[Date],
   Sales_Performance[Customer ID],
   A445
)</f>
        <v>45206</v>
      </c>
      <c r="F445" t="str">
        <f>IF(
   COUNTIF(Sales_Performance[Customer ID], A445) = 1,
   "One-Time Customer",
   "Repeat Customer"
)</f>
        <v>One-Time Customer</v>
      </c>
    </row>
    <row r="446" spans="1:6" x14ac:dyDescent="0.35">
      <c r="A446" t="s">
        <v>504</v>
      </c>
      <c r="B446" t="str">
        <f>VLOOKUP(A446,Sales_Performance[[Customer ID]:[Total Amount]],2,0)</f>
        <v>Female</v>
      </c>
      <c r="C446">
        <f>_xlfn.XLOOKUP(A446,Sales_Performance[Customer ID],Sales_Performance[Age],0)</f>
        <v>57</v>
      </c>
      <c r="D446" t="str" cm="1">
        <f t="array" ref="D446">_xlfn.IFS(
   C446 &lt; 18, "Under 18",
   C446 &lt;= 24, "18-24",
   C446 &lt;= 34, "25-34",
   C446 &lt;= 44, "35-44",
   C446 &lt;= 54, "45-54",
   C446 &lt;= 64, "55-64",
   TRUE, "65+"
)</f>
        <v>55-64</v>
      </c>
      <c r="E446" s="1">
        <f>_xlfn.MINIFS(
   Sales_Performance[Date],
   Sales_Performance[Customer ID],
   A446
)</f>
        <v>45063</v>
      </c>
      <c r="F446" t="str">
        <f>IF(
   COUNTIF(Sales_Performance[Customer ID], A446) = 1,
   "One-Time Customer",
   "Repeat Customer"
)</f>
        <v>Repeat Customer</v>
      </c>
    </row>
    <row r="447" spans="1:6" x14ac:dyDescent="0.35">
      <c r="A447" t="s">
        <v>1033</v>
      </c>
      <c r="B447" t="str">
        <f>VLOOKUP(A447,Sales_Performance[[Customer ID]:[Total Amount]],2,0)</f>
        <v>Male</v>
      </c>
      <c r="C447">
        <f>_xlfn.XLOOKUP(A447,Sales_Performance[Customer ID],Sales_Performance[Age],0)</f>
        <v>62</v>
      </c>
      <c r="D447" t="str" cm="1">
        <f t="array" ref="D447">_xlfn.IFS(
   C447 &lt; 18, "Under 18",
   C447 &lt;= 24, "18-24",
   C447 &lt;= 34, "25-34",
   C447 &lt;= 44, "35-44",
   C447 &lt;= 54, "45-54",
   C447 &lt;= 64, "55-64",
   TRUE, "65+"
)</f>
        <v>55-64</v>
      </c>
      <c r="E447" s="1">
        <f>_xlfn.MINIFS(
   Sales_Performance[Date],
   Sales_Performance[Customer ID],
   A447
)</f>
        <v>45054</v>
      </c>
      <c r="F447" t="str">
        <f>IF(
   COUNTIF(Sales_Performance[Customer ID], A447) = 1,
   "One-Time Customer",
   "Repeat Customer"
)</f>
        <v>One-Time Customer</v>
      </c>
    </row>
    <row r="448" spans="1:6" x14ac:dyDescent="0.35">
      <c r="A448" t="s">
        <v>107</v>
      </c>
      <c r="B448" t="str">
        <f>VLOOKUP(A448,Sales_Performance[[Customer ID]:[Total Amount]],2,0)</f>
        <v>Male</v>
      </c>
      <c r="C448">
        <f>_xlfn.XLOOKUP(A448,Sales_Performance[Customer ID],Sales_Performance[Age],0)</f>
        <v>63</v>
      </c>
      <c r="D448" t="str" cm="1">
        <f t="array" ref="D448">_xlfn.IFS(
   C448 &lt; 18, "Under 18",
   C448 &lt;= 24, "18-24",
   C448 &lt;= 34, "25-34",
   C448 &lt;= 44, "35-44",
   C448 &lt;= 54, "45-54",
   C448 &lt;= 64, "55-64",
   TRUE, "65+"
)</f>
        <v>55-64</v>
      </c>
      <c r="E448" s="1">
        <f>_xlfn.MINIFS(
   Sales_Performance[Date],
   Sales_Performance[Customer ID],
   A448
)</f>
        <v>45273</v>
      </c>
      <c r="F448" t="str">
        <f>IF(
   COUNTIF(Sales_Performance[Customer ID], A448) = 1,
   "One-Time Customer",
   "Repeat Customer"
)</f>
        <v>One-Time Customer</v>
      </c>
    </row>
    <row r="449" spans="1:6" x14ac:dyDescent="0.35">
      <c r="A449" t="s">
        <v>549</v>
      </c>
      <c r="B449" t="str">
        <f>VLOOKUP(A449,Sales_Performance[[Customer ID]:[Total Amount]],2,0)</f>
        <v>Female</v>
      </c>
      <c r="C449">
        <f>_xlfn.XLOOKUP(A449,Sales_Performance[Customer ID],Sales_Performance[Age],0)</f>
        <v>46</v>
      </c>
      <c r="D449" t="str" cm="1">
        <f t="array" ref="D449">_xlfn.IFS(
   C449 &lt; 18, "Under 18",
   C449 &lt;= 24, "18-24",
   C449 &lt;= 34, "25-34",
   C449 &lt;= 44, "35-44",
   C449 &lt;= 54, "45-54",
   C449 &lt;= 64, "55-64",
   TRUE, "65+"
)</f>
        <v>45-54</v>
      </c>
      <c r="E449" s="1">
        <f>_xlfn.MINIFS(
   Sales_Performance[Date],
   Sales_Performance[Customer ID],
   A449
)</f>
        <v>45268</v>
      </c>
      <c r="F449" t="str">
        <f>IF(
   COUNTIF(Sales_Performance[Customer ID], A449) = 1,
   "One-Time Customer",
   "Repeat Customer"
)</f>
        <v>One-Time Customer</v>
      </c>
    </row>
    <row r="450" spans="1:6" x14ac:dyDescent="0.35">
      <c r="A450" t="s">
        <v>114</v>
      </c>
      <c r="B450" t="str">
        <f>VLOOKUP(A450,Sales_Performance[[Customer ID]:[Total Amount]],2,0)</f>
        <v>Female</v>
      </c>
      <c r="C450">
        <f>_xlfn.XLOOKUP(A450,Sales_Performance[Customer ID],Sales_Performance[Age],0)</f>
        <v>27</v>
      </c>
      <c r="D450" t="str" cm="1">
        <f t="array" ref="D450">_xlfn.IFS(
   C450 &lt; 18, "Under 18",
   C450 &lt;= 24, "18-24",
   C450 &lt;= 34, "25-34",
   C450 &lt;= 44, "35-44",
   C450 &lt;= 54, "45-54",
   C450 &lt;= 64, "55-64",
   TRUE, "65+"
)</f>
        <v>25-34</v>
      </c>
      <c r="E450" s="1">
        <f>_xlfn.MINIFS(
   Sales_Performance[Date],
   Sales_Performance[Customer ID],
   A450
)</f>
        <v>44988</v>
      </c>
      <c r="F450" t="str">
        <f>IF(
   COUNTIF(Sales_Performance[Customer ID], A450) = 1,
   "One-Time Customer",
   "Repeat Customer"
)</f>
        <v>Repeat Customer</v>
      </c>
    </row>
    <row r="451" spans="1:6" x14ac:dyDescent="0.35">
      <c r="A451" t="s">
        <v>96</v>
      </c>
      <c r="B451" t="str">
        <f>VLOOKUP(A451,Sales_Performance[[Customer ID]:[Total Amount]],2,0)</f>
        <v>Male</v>
      </c>
      <c r="C451">
        <f>_xlfn.XLOOKUP(A451,Sales_Performance[Customer ID],Sales_Performance[Age],0)</f>
        <v>61</v>
      </c>
      <c r="D451" t="str" cm="1">
        <f t="array" ref="D451">_xlfn.IFS(
   C451 &lt; 18, "Under 18",
   C451 &lt;= 24, "18-24",
   C451 &lt;= 34, "25-34",
   C451 &lt;= 44, "35-44",
   C451 &lt;= 54, "45-54",
   C451 &lt;= 64, "55-64",
   TRUE, "65+"
)</f>
        <v>55-64</v>
      </c>
      <c r="E451" s="1">
        <f>_xlfn.MINIFS(
   Sales_Performance[Date],
   Sales_Performance[Customer ID],
   A451
)</f>
        <v>45065</v>
      </c>
      <c r="F451" t="str">
        <f>IF(
   COUNTIF(Sales_Performance[Customer ID], A451) = 1,
   "One-Time Customer",
   "Repeat Customer"
)</f>
        <v>One-Time Customer</v>
      </c>
    </row>
    <row r="452" spans="1:6" x14ac:dyDescent="0.35">
      <c r="A452" t="s">
        <v>517</v>
      </c>
      <c r="B452" t="str">
        <f>VLOOKUP(A452,Sales_Performance[[Customer ID]:[Total Amount]],2,0)</f>
        <v>Male</v>
      </c>
      <c r="C452">
        <f>_xlfn.XLOOKUP(A452,Sales_Performance[Customer ID],Sales_Performance[Age],0)</f>
        <v>51</v>
      </c>
      <c r="D452" t="str" cm="1">
        <f t="array" ref="D452">_xlfn.IFS(
   C452 &lt; 18, "Under 18",
   C452 &lt;= 24, "18-24",
   C452 &lt;= 34, "25-34",
   C452 &lt;= 44, "35-44",
   C452 &lt;= 54, "45-54",
   C452 &lt;= 64, "55-64",
   TRUE, "65+"
)</f>
        <v>45-54</v>
      </c>
      <c r="E452" s="1">
        <f>_xlfn.MINIFS(
   Sales_Performance[Date],
   Sales_Performance[Customer ID],
   A452
)</f>
        <v>44959</v>
      </c>
      <c r="F452" t="str">
        <f>IF(
   COUNTIF(Sales_Performance[Customer ID], A452) = 1,
   "One-Time Customer",
   "Repeat Customer"
)</f>
        <v>One-Time Customer</v>
      </c>
    </row>
    <row r="453" spans="1:6" x14ac:dyDescent="0.35">
      <c r="A453" t="s">
        <v>1329</v>
      </c>
      <c r="B453" t="str">
        <f>VLOOKUP(A453,Sales_Performance[[Customer ID]:[Total Amount]],2,0)</f>
        <v>Male</v>
      </c>
      <c r="C453">
        <f>_xlfn.XLOOKUP(A453,Sales_Performance[Customer ID],Sales_Performance[Age],0)</f>
        <v>28</v>
      </c>
      <c r="D453" t="str" cm="1">
        <f t="array" ref="D453">_xlfn.IFS(
   C453 &lt; 18, "Under 18",
   C453 &lt;= 24, "18-24",
   C453 &lt;= 34, "25-34",
   C453 &lt;= 44, "35-44",
   C453 &lt;= 54, "45-54",
   C453 &lt;= 64, "55-64",
   TRUE, "65+"
)</f>
        <v>25-34</v>
      </c>
      <c r="E453" s="1">
        <f>_xlfn.MINIFS(
   Sales_Performance[Date],
   Sales_Performance[Customer ID],
   A453
)</f>
        <v>44952</v>
      </c>
      <c r="F453" t="str">
        <f>IF(
   COUNTIF(Sales_Performance[Customer ID], A453) = 1,
   "One-Time Customer",
   "Repeat Customer"
)</f>
        <v>One-Time Customer</v>
      </c>
    </row>
    <row r="454" spans="1:6" x14ac:dyDescent="0.35">
      <c r="A454" t="s">
        <v>465</v>
      </c>
      <c r="B454" t="str">
        <f>VLOOKUP(A454,Sales_Performance[[Customer ID]:[Total Amount]],2,0)</f>
        <v>Female</v>
      </c>
      <c r="C454">
        <f>_xlfn.XLOOKUP(A454,Sales_Performance[Customer ID],Sales_Performance[Age],0)</f>
        <v>43</v>
      </c>
      <c r="D454" t="str" cm="1">
        <f t="array" ref="D454">_xlfn.IFS(
   C454 &lt; 18, "Under 18",
   C454 &lt;= 24, "18-24",
   C454 &lt;= 34, "25-34",
   C454 &lt;= 44, "35-44",
   C454 &lt;= 54, "45-54",
   C454 &lt;= 64, "55-64",
   TRUE, "65+"
)</f>
        <v>35-44</v>
      </c>
      <c r="E454" s="1">
        <f>_xlfn.MINIFS(
   Sales_Performance[Date],
   Sales_Performance[Customer ID],
   A454
)</f>
        <v>45223</v>
      </c>
      <c r="F454" t="str">
        <f>IF(
   COUNTIF(Sales_Performance[Customer ID], A454) = 1,
   "One-Time Customer",
   "Repeat Customer"
)</f>
        <v>One-Time Customer</v>
      </c>
    </row>
    <row r="455" spans="1:6" x14ac:dyDescent="0.35">
      <c r="A455" t="s">
        <v>937</v>
      </c>
      <c r="B455" t="str">
        <f>VLOOKUP(A455,Sales_Performance[[Customer ID]:[Total Amount]],2,0)</f>
        <v>Female</v>
      </c>
      <c r="C455">
        <f>_xlfn.XLOOKUP(A455,Sales_Performance[Customer ID],Sales_Performance[Age],0)</f>
        <v>19</v>
      </c>
      <c r="D455" t="str" cm="1">
        <f t="array" ref="D455">_xlfn.IFS(
   C455 &lt; 18, "Under 18",
   C455 &lt;= 24, "18-24",
   C455 &lt;= 34, "25-34",
   C455 &lt;= 44, "35-44",
   C455 &lt;= 54, "45-54",
   C455 &lt;= 64, "55-64",
   TRUE, "65+"
)</f>
        <v>18-24</v>
      </c>
      <c r="E455" s="1">
        <f>_xlfn.MINIFS(
   Sales_Performance[Date],
   Sales_Performance[Customer ID],
   A455
)</f>
        <v>44928</v>
      </c>
      <c r="F455" t="str">
        <f>IF(
   COUNTIF(Sales_Performance[Customer ID], A455) = 1,
   "One-Time Customer",
   "Repeat Customer"
)</f>
        <v>One-Time Customer</v>
      </c>
    </row>
    <row r="456" spans="1:6" x14ac:dyDescent="0.35">
      <c r="A456" t="s">
        <v>554</v>
      </c>
      <c r="B456" t="str">
        <f>VLOOKUP(A456,Sales_Performance[[Customer ID]:[Total Amount]],2,0)</f>
        <v>Male</v>
      </c>
      <c r="C456">
        <f>_xlfn.XLOOKUP(A456,Sales_Performance[Customer ID],Sales_Performance[Age],0)</f>
        <v>62</v>
      </c>
      <c r="D456" t="str" cm="1">
        <f t="array" ref="D456">_xlfn.IFS(
   C456 &lt; 18, "Under 18",
   C456 &lt;= 24, "18-24",
   C456 &lt;= 34, "25-34",
   C456 &lt;= 44, "35-44",
   C456 &lt;= 54, "45-54",
   C456 &lt;= 64, "55-64",
   TRUE, "65+"
)</f>
        <v>55-64</v>
      </c>
      <c r="E456" s="1">
        <f>_xlfn.MINIFS(
   Sales_Performance[Date],
   Sales_Performance[Customer ID],
   A456
)</f>
        <v>45089</v>
      </c>
      <c r="F456" t="str">
        <f>IF(
   COUNTIF(Sales_Performance[Customer ID], A456) = 1,
   "One-Time Customer",
   "Repeat Customer"
)</f>
        <v>Repeat Customer</v>
      </c>
    </row>
    <row r="457" spans="1:6" x14ac:dyDescent="0.35">
      <c r="A457" t="s">
        <v>1312</v>
      </c>
      <c r="B457" t="str">
        <f>VLOOKUP(A457,Sales_Performance[[Customer ID]:[Total Amount]],2,0)</f>
        <v>Male</v>
      </c>
      <c r="C457">
        <f>_xlfn.XLOOKUP(A457,Sales_Performance[Customer ID],Sales_Performance[Age],0)</f>
        <v>42</v>
      </c>
      <c r="D457" t="str" cm="1">
        <f t="array" ref="D457">_xlfn.IFS(
   C457 &lt; 18, "Under 18",
   C457 &lt;= 24, "18-24",
   C457 &lt;= 34, "25-34",
   C457 &lt;= 44, "35-44",
   C457 &lt;= 54, "45-54",
   C457 &lt;= 64, "55-64",
   TRUE, "65+"
)</f>
        <v>35-44</v>
      </c>
      <c r="E457" s="1">
        <f>_xlfn.MINIFS(
   Sales_Performance[Date],
   Sales_Performance[Customer ID],
   A457
)</f>
        <v>45153</v>
      </c>
      <c r="F457" t="str">
        <f>IF(
   COUNTIF(Sales_Performance[Customer ID], A457) = 1,
   "One-Time Customer",
   "Repeat Customer"
)</f>
        <v>One-Time Customer</v>
      </c>
    </row>
    <row r="458" spans="1:6" x14ac:dyDescent="0.35">
      <c r="A458" t="s">
        <v>1165</v>
      </c>
      <c r="B458" t="str">
        <f>VLOOKUP(A458,Sales_Performance[[Customer ID]:[Total Amount]],2,0)</f>
        <v>Female</v>
      </c>
      <c r="C458">
        <f>_xlfn.XLOOKUP(A458,Sales_Performance[Customer ID],Sales_Performance[Age],0)</f>
        <v>33</v>
      </c>
      <c r="D458" t="str" cm="1">
        <f t="array" ref="D458">_xlfn.IFS(
   C458 &lt; 18, "Under 18",
   C458 &lt;= 24, "18-24",
   C458 &lt;= 34, "25-34",
   C458 &lt;= 44, "35-44",
   C458 &lt;= 54, "45-54",
   C458 &lt;= 64, "55-64",
   TRUE, "65+"
)</f>
        <v>25-34</v>
      </c>
      <c r="E458" s="1">
        <f>_xlfn.MINIFS(
   Sales_Performance[Date],
   Sales_Performance[Customer ID],
   A458
)</f>
        <v>45264</v>
      </c>
      <c r="F458" t="str">
        <f>IF(
   COUNTIF(Sales_Performance[Customer ID], A458) = 1,
   "One-Time Customer",
   "Repeat Customer"
)</f>
        <v>One-Time Customer</v>
      </c>
    </row>
    <row r="459" spans="1:6" x14ac:dyDescent="0.35">
      <c r="A459" t="s">
        <v>1439</v>
      </c>
      <c r="B459" t="str">
        <f>VLOOKUP(A459,Sales_Performance[[Customer ID]:[Total Amount]],2,0)</f>
        <v>Female</v>
      </c>
      <c r="C459">
        <f>_xlfn.XLOOKUP(A459,Sales_Performance[Customer ID],Sales_Performance[Age],0)</f>
        <v>37</v>
      </c>
      <c r="D459" t="str" cm="1">
        <f t="array" ref="D459">_xlfn.IFS(
   C459 &lt; 18, "Under 18",
   C459 &lt;= 24, "18-24",
   C459 &lt;= 34, "25-34",
   C459 &lt;= 44, "35-44",
   C459 &lt;= 54, "45-54",
   C459 &lt;= 64, "55-64",
   TRUE, "65+"
)</f>
        <v>35-44</v>
      </c>
      <c r="E459" s="1">
        <f>_xlfn.MINIFS(
   Sales_Performance[Date],
   Sales_Performance[Customer ID],
   A459
)</f>
        <v>45099</v>
      </c>
      <c r="F459" t="str">
        <f>IF(
   COUNTIF(Sales_Performance[Customer ID], A459) = 1,
   "One-Time Customer",
   "Repeat Customer"
)</f>
        <v>Repeat Customer</v>
      </c>
    </row>
    <row r="460" spans="1:6" x14ac:dyDescent="0.35">
      <c r="A460" t="s">
        <v>334</v>
      </c>
      <c r="B460" t="str">
        <f>VLOOKUP(A460,Sales_Performance[[Customer ID]:[Total Amount]],2,0)</f>
        <v>Female</v>
      </c>
      <c r="C460">
        <f>_xlfn.XLOOKUP(A460,Sales_Performance[Customer ID],Sales_Performance[Age],0)</f>
        <v>19</v>
      </c>
      <c r="D460" t="str" cm="1">
        <f t="array" ref="D460">_xlfn.IFS(
   C460 &lt; 18, "Under 18",
   C460 &lt;= 24, "18-24",
   C460 &lt;= 34, "25-34",
   C460 &lt;= 44, "35-44",
   C460 &lt;= 54, "45-54",
   C460 &lt;= 64, "55-64",
   TRUE, "65+"
)</f>
        <v>18-24</v>
      </c>
      <c r="E460" s="1">
        <f>_xlfn.MINIFS(
   Sales_Performance[Date],
   Sales_Performance[Customer ID],
   A460
)</f>
        <v>44939</v>
      </c>
      <c r="F460" t="str">
        <f>IF(
   COUNTIF(Sales_Performance[Customer ID], A460) = 1,
   "One-Time Customer",
   "Repeat Customer"
)</f>
        <v>Repeat Customer</v>
      </c>
    </row>
    <row r="461" spans="1:6" x14ac:dyDescent="0.35">
      <c r="A461" t="s">
        <v>768</v>
      </c>
      <c r="B461" t="str">
        <f>VLOOKUP(A461,Sales_Performance[[Customer ID]:[Total Amount]],2,0)</f>
        <v>Male</v>
      </c>
      <c r="C461">
        <f>_xlfn.XLOOKUP(A461,Sales_Performance[Customer ID],Sales_Performance[Age],0)</f>
        <v>43</v>
      </c>
      <c r="D461" t="str" cm="1">
        <f t="array" ref="D461">_xlfn.IFS(
   C461 &lt; 18, "Under 18",
   C461 &lt;= 24, "18-24",
   C461 &lt;= 34, "25-34",
   C461 &lt;= 44, "35-44",
   C461 &lt;= 54, "45-54",
   C461 &lt;= 64, "55-64",
   TRUE, "65+"
)</f>
        <v>35-44</v>
      </c>
      <c r="E461" s="1">
        <f>_xlfn.MINIFS(
   Sales_Performance[Date],
   Sales_Performance[Customer ID],
   A461
)</f>
        <v>44992</v>
      </c>
      <c r="F461" t="str">
        <f>IF(
   COUNTIF(Sales_Performance[Customer ID], A461) = 1,
   "One-Time Customer",
   "Repeat Customer"
)</f>
        <v>Repeat Customer</v>
      </c>
    </row>
    <row r="462" spans="1:6" x14ac:dyDescent="0.35">
      <c r="A462" t="s">
        <v>551</v>
      </c>
      <c r="B462" t="str">
        <f>VLOOKUP(A462,Sales_Performance[[Customer ID]:[Total Amount]],2,0)</f>
        <v>Male</v>
      </c>
      <c r="C462">
        <f>_xlfn.XLOOKUP(A462,Sales_Performance[Customer ID],Sales_Performance[Age],0)</f>
        <v>62</v>
      </c>
      <c r="D462" t="str" cm="1">
        <f t="array" ref="D462">_xlfn.IFS(
   C462 &lt; 18, "Under 18",
   C462 &lt;= 24, "18-24",
   C462 &lt;= 34, "25-34",
   C462 &lt;= 44, "35-44",
   C462 &lt;= 54, "45-54",
   C462 &lt;= 64, "55-64",
   TRUE, "65+"
)</f>
        <v>55-64</v>
      </c>
      <c r="E462" s="1">
        <f>_xlfn.MINIFS(
   Sales_Performance[Date],
   Sales_Performance[Customer ID],
   A462
)</f>
        <v>45165</v>
      </c>
      <c r="F462" t="str">
        <f>IF(
   COUNTIF(Sales_Performance[Customer ID], A462) = 1,
   "One-Time Customer",
   "Repeat Customer"
)</f>
        <v>One-Time Customer</v>
      </c>
    </row>
    <row r="463" spans="1:6" x14ac:dyDescent="0.35">
      <c r="A463" t="s">
        <v>344</v>
      </c>
      <c r="B463" t="str">
        <f>VLOOKUP(A463,Sales_Performance[[Customer ID]:[Total Amount]],2,0)</f>
        <v>Female</v>
      </c>
      <c r="C463">
        <f>_xlfn.XLOOKUP(A463,Sales_Performance[Customer ID],Sales_Performance[Age],0)</f>
        <v>36</v>
      </c>
      <c r="D463" t="str" cm="1">
        <f t="array" ref="D463">_xlfn.IFS(
   C463 &lt; 18, "Under 18",
   C463 &lt;= 24, "18-24",
   C463 &lt;= 34, "25-34",
   C463 &lt;= 44, "35-44",
   C463 &lt;= 54, "45-54",
   C463 &lt;= 64, "55-64",
   TRUE, "65+"
)</f>
        <v>35-44</v>
      </c>
      <c r="E463" s="1">
        <f>_xlfn.MINIFS(
   Sales_Performance[Date],
   Sales_Performance[Customer ID],
   A463
)</f>
        <v>45028</v>
      </c>
      <c r="F463" t="str">
        <f>IF(
   COUNTIF(Sales_Performance[Customer ID], A463) = 1,
   "One-Time Customer",
   "Repeat Customer"
)</f>
        <v>Repeat Customer</v>
      </c>
    </row>
    <row r="464" spans="1:6" x14ac:dyDescent="0.35">
      <c r="A464" t="s">
        <v>109</v>
      </c>
      <c r="B464" t="str">
        <f>VLOOKUP(A464,Sales_Performance[[Customer ID]:[Total Amount]],2,0)</f>
        <v>Male</v>
      </c>
      <c r="C464">
        <f>_xlfn.XLOOKUP(A464,Sales_Performance[Customer ID],Sales_Performance[Age],0)</f>
        <v>21</v>
      </c>
      <c r="D464" t="str" cm="1">
        <f t="array" ref="D464">_xlfn.IFS(
   C464 &lt; 18, "Under 18",
   C464 &lt;= 24, "18-24",
   C464 &lt;= 34, "25-34",
   C464 &lt;= 44, "35-44",
   C464 &lt;= 54, "45-54",
   C464 &lt;= 64, "55-64",
   TRUE, "65+"
)</f>
        <v>18-24</v>
      </c>
      <c r="E464" s="1">
        <f>_xlfn.MINIFS(
   Sales_Performance[Date],
   Sales_Performance[Customer ID],
   A464
)</f>
        <v>44978</v>
      </c>
      <c r="F464" t="str">
        <f>IF(
   COUNTIF(Sales_Performance[Customer ID], A464) = 1,
   "One-Time Customer",
   "Repeat Customer"
)</f>
        <v>One-Time Customer</v>
      </c>
    </row>
    <row r="465" spans="1:6" x14ac:dyDescent="0.35">
      <c r="A465" t="s">
        <v>998</v>
      </c>
      <c r="B465" t="str">
        <f>VLOOKUP(A465,Sales_Performance[[Customer ID]:[Total Amount]],2,0)</f>
        <v>Male</v>
      </c>
      <c r="C465">
        <f>_xlfn.XLOOKUP(A465,Sales_Performance[Customer ID],Sales_Performance[Age],0)</f>
        <v>56</v>
      </c>
      <c r="D465" t="str" cm="1">
        <f t="array" ref="D465">_xlfn.IFS(
   C465 &lt; 18, "Under 18",
   C465 &lt;= 24, "18-24",
   C465 &lt;= 34, "25-34",
   C465 &lt;= 44, "35-44",
   C465 &lt;= 54, "45-54",
   C465 &lt;= 64, "55-64",
   TRUE, "65+"
)</f>
        <v>55-64</v>
      </c>
      <c r="E465" s="1">
        <f>_xlfn.MINIFS(
   Sales_Performance[Date],
   Sales_Performance[Customer ID],
   A465
)</f>
        <v>45202</v>
      </c>
      <c r="F465" t="str">
        <f>IF(
   COUNTIF(Sales_Performance[Customer ID], A465) = 1,
   "One-Time Customer",
   "Repeat Customer"
)</f>
        <v>One-Time Customer</v>
      </c>
    </row>
    <row r="466" spans="1:6" x14ac:dyDescent="0.35">
      <c r="A466" t="s">
        <v>1233</v>
      </c>
      <c r="B466" t="str">
        <f>VLOOKUP(A466,Sales_Performance[[Customer ID]:[Total Amount]],2,0)</f>
        <v>Female</v>
      </c>
      <c r="C466">
        <f>_xlfn.XLOOKUP(A466,Sales_Performance[Customer ID],Sales_Performance[Age],0)</f>
        <v>54</v>
      </c>
      <c r="D466" t="str" cm="1">
        <f t="array" ref="D466">_xlfn.IFS(
   C466 &lt; 18, "Under 18",
   C466 &lt;= 24, "18-24",
   C466 &lt;= 34, "25-34",
   C466 &lt;= 44, "35-44",
   C466 &lt;= 54, "45-54",
   C466 &lt;= 64, "55-64",
   TRUE, "65+"
)</f>
        <v>45-54</v>
      </c>
      <c r="E466" s="1">
        <f>_xlfn.MINIFS(
   Sales_Performance[Date],
   Sales_Performance[Customer ID],
   A466
)</f>
        <v>44962</v>
      </c>
      <c r="F466" t="str">
        <f>IF(
   COUNTIF(Sales_Performance[Customer ID], A466) = 1,
   "One-Time Customer",
   "Repeat Customer"
)</f>
        <v>One-Time Customer</v>
      </c>
    </row>
    <row r="467" spans="1:6" x14ac:dyDescent="0.35">
      <c r="A467" t="s">
        <v>775</v>
      </c>
      <c r="B467" t="str">
        <f>VLOOKUP(A467,Sales_Performance[[Customer ID]:[Total Amount]],2,0)</f>
        <v>Male</v>
      </c>
      <c r="C467">
        <f>_xlfn.XLOOKUP(A467,Sales_Performance[Customer ID],Sales_Performance[Age],0)</f>
        <v>54</v>
      </c>
      <c r="D467" t="str" cm="1">
        <f t="array" ref="D467">_xlfn.IFS(
   C467 &lt; 18, "Under 18",
   C467 &lt;= 24, "18-24",
   C467 &lt;= 34, "25-34",
   C467 &lt;= 44, "35-44",
   C467 &lt;= 54, "45-54",
   C467 &lt;= 64, "55-64",
   TRUE, "65+"
)</f>
        <v>45-54</v>
      </c>
      <c r="E467" s="1">
        <f>_xlfn.MINIFS(
   Sales_Performance[Date],
   Sales_Performance[Customer ID],
   A467
)</f>
        <v>45062</v>
      </c>
      <c r="F467" t="str">
        <f>IF(
   COUNTIF(Sales_Performance[Customer ID], A467) = 1,
   "One-Time Customer",
   "Repeat Customer"
)</f>
        <v>Repeat Customer</v>
      </c>
    </row>
    <row r="468" spans="1:6" x14ac:dyDescent="0.35">
      <c r="A468" t="s">
        <v>496</v>
      </c>
      <c r="B468" t="str">
        <f>VLOOKUP(A468,Sales_Performance[[Customer ID]:[Total Amount]],2,0)</f>
        <v>Male</v>
      </c>
      <c r="C468">
        <f>_xlfn.XLOOKUP(A468,Sales_Performance[Customer ID],Sales_Performance[Age],0)</f>
        <v>53</v>
      </c>
      <c r="D468" t="str" cm="1">
        <f t="array" ref="D468">_xlfn.IFS(
   C468 &lt; 18, "Under 18",
   C468 &lt;= 24, "18-24",
   C468 &lt;= 34, "25-34",
   C468 &lt;= 44, "35-44",
   C468 &lt;= 54, "45-54",
   C468 &lt;= 64, "55-64",
   TRUE, "65+"
)</f>
        <v>45-54</v>
      </c>
      <c r="E468" s="1">
        <f>_xlfn.MINIFS(
   Sales_Performance[Date],
   Sales_Performance[Customer ID],
   A468
)</f>
        <v>44981</v>
      </c>
      <c r="F468" t="str">
        <f>IF(
   COUNTIF(Sales_Performance[Customer ID], A468) = 1,
   "One-Time Customer",
   "Repeat Customer"
)</f>
        <v>Repeat Customer</v>
      </c>
    </row>
    <row r="469" spans="1:6" x14ac:dyDescent="0.35">
      <c r="A469" t="s">
        <v>244</v>
      </c>
      <c r="B469" t="str">
        <f>VLOOKUP(A469,Sales_Performance[[Customer ID]:[Total Amount]],2,0)</f>
        <v>Male</v>
      </c>
      <c r="C469">
        <f>_xlfn.XLOOKUP(A469,Sales_Performance[Customer ID],Sales_Performance[Age],0)</f>
        <v>61</v>
      </c>
      <c r="D469" t="str" cm="1">
        <f t="array" ref="D469">_xlfn.IFS(
   C469 &lt; 18, "Under 18",
   C469 &lt;= 24, "18-24",
   C469 &lt;= 34, "25-34",
   C469 &lt;= 44, "35-44",
   C469 &lt;= 54, "45-54",
   C469 &lt;= 64, "55-64",
   TRUE, "65+"
)</f>
        <v>55-64</v>
      </c>
      <c r="E469" s="1">
        <f>_xlfn.MINIFS(
   Sales_Performance[Date],
   Sales_Performance[Customer ID],
   A469
)</f>
        <v>45142</v>
      </c>
      <c r="F469" t="str">
        <f>IF(
   COUNTIF(Sales_Performance[Customer ID], A469) = 1,
   "One-Time Customer",
   "Repeat Customer"
)</f>
        <v>One-Time Customer</v>
      </c>
    </row>
    <row r="470" spans="1:6" x14ac:dyDescent="0.35">
      <c r="A470" t="s">
        <v>1327</v>
      </c>
      <c r="B470" t="str">
        <f>VLOOKUP(A470,Sales_Performance[[Customer ID]:[Total Amount]],2,0)</f>
        <v>Female</v>
      </c>
      <c r="C470">
        <f>_xlfn.XLOOKUP(A470,Sales_Performance[Customer ID],Sales_Performance[Age],0)</f>
        <v>63</v>
      </c>
      <c r="D470" t="str" cm="1">
        <f t="array" ref="D470">_xlfn.IFS(
   C470 &lt; 18, "Under 18",
   C470 &lt;= 24, "18-24",
   C470 &lt;= 34, "25-34",
   C470 &lt;= 44, "35-44",
   C470 &lt;= 54, "45-54",
   C470 &lt;= 64, "55-64",
   TRUE, "65+"
)</f>
        <v>55-64</v>
      </c>
      <c r="E470" s="1">
        <f>_xlfn.MINIFS(
   Sales_Performance[Date],
   Sales_Performance[Customer ID],
   A470
)</f>
        <v>44970</v>
      </c>
      <c r="F470" t="str">
        <f>IF(
   COUNTIF(Sales_Performance[Customer ID], A470) = 1,
   "One-Time Customer",
   "Repeat Customer"
)</f>
        <v>One-Time Customer</v>
      </c>
    </row>
    <row r="471" spans="1:6" x14ac:dyDescent="0.35">
      <c r="A471" t="s">
        <v>1243</v>
      </c>
      <c r="B471" t="str">
        <f>VLOOKUP(A471,Sales_Performance[[Customer ID]:[Total Amount]],2,0)</f>
        <v>Male</v>
      </c>
      <c r="C471">
        <f>_xlfn.XLOOKUP(A471,Sales_Performance[Customer ID],Sales_Performance[Age],0)</f>
        <v>45</v>
      </c>
      <c r="D471" t="str" cm="1">
        <f t="array" ref="D471">_xlfn.IFS(
   C471 &lt; 18, "Under 18",
   C471 &lt;= 24, "18-24",
   C471 &lt;= 34, "25-34",
   C471 &lt;= 44, "35-44",
   C471 &lt;= 54, "45-54",
   C471 &lt;= 64, "55-64",
   TRUE, "65+"
)</f>
        <v>45-54</v>
      </c>
      <c r="E471" s="1">
        <f>_xlfn.MINIFS(
   Sales_Performance[Date],
   Sales_Performance[Customer ID],
   A471
)</f>
        <v>45099</v>
      </c>
      <c r="F471" t="str">
        <f>IF(
   COUNTIF(Sales_Performance[Customer ID], A471) = 1,
   "One-Time Customer",
   "Repeat Customer"
)</f>
        <v>One-Time Customer</v>
      </c>
    </row>
    <row r="472" spans="1:6" x14ac:dyDescent="0.35">
      <c r="A472" t="s">
        <v>1228</v>
      </c>
      <c r="B472" t="str">
        <f>VLOOKUP(A472,Sales_Performance[[Customer ID]:[Total Amount]],2,0)</f>
        <v>Female</v>
      </c>
      <c r="C472">
        <f>_xlfn.XLOOKUP(A472,Sales_Performance[Customer ID],Sales_Performance[Age],0)</f>
        <v>18</v>
      </c>
      <c r="D472" t="str" cm="1">
        <f t="array" ref="D472">_xlfn.IFS(
   C472 &lt; 18, "Under 18",
   C472 &lt;= 24, "18-24",
   C472 &lt;= 34, "25-34",
   C472 &lt;= 44, "35-44",
   C472 &lt;= 54, "45-54",
   C472 &lt;= 64, "55-64",
   TRUE, "65+"
)</f>
        <v>18-24</v>
      </c>
      <c r="E472" s="1">
        <f>_xlfn.MINIFS(
   Sales_Performance[Date],
   Sales_Performance[Customer ID],
   A472
)</f>
        <v>45081</v>
      </c>
      <c r="F472" t="str">
        <f>IF(
   COUNTIF(Sales_Performance[Customer ID], A472) = 1,
   "One-Time Customer",
   "Repeat Customer"
)</f>
        <v>One-Time Customer</v>
      </c>
    </row>
    <row r="473" spans="1:6" x14ac:dyDescent="0.35">
      <c r="A473" t="s">
        <v>877</v>
      </c>
      <c r="B473" t="str">
        <f>VLOOKUP(A473,Sales_Performance[[Customer ID]:[Total Amount]],2,0)</f>
        <v>Male</v>
      </c>
      <c r="C473">
        <f>_xlfn.XLOOKUP(A473,Sales_Performance[Customer ID],Sales_Performance[Age],0)</f>
        <v>34</v>
      </c>
      <c r="D473" t="str" cm="1">
        <f t="array" ref="D473">_xlfn.IFS(
   C473 &lt; 18, "Under 18",
   C473 &lt;= 24, "18-24",
   C473 &lt;= 34, "25-34",
   C473 &lt;= 44, "35-44",
   C473 &lt;= 54, "45-54",
   C473 &lt;= 64, "55-64",
   TRUE, "65+"
)</f>
        <v>25-34</v>
      </c>
      <c r="E473" s="1">
        <f>_xlfn.MINIFS(
   Sales_Performance[Date],
   Sales_Performance[Customer ID],
   A473
)</f>
        <v>44985</v>
      </c>
      <c r="F473" t="str">
        <f>IF(
   COUNTIF(Sales_Performance[Customer ID], A473) = 1,
   "One-Time Customer",
   "Repeat Customer"
)</f>
        <v>One-Time Customer</v>
      </c>
    </row>
    <row r="474" spans="1:6" x14ac:dyDescent="0.35">
      <c r="A474" t="s">
        <v>382</v>
      </c>
      <c r="B474" t="str">
        <f>VLOOKUP(A474,Sales_Performance[[Customer ID]:[Total Amount]],2,0)</f>
        <v>Female</v>
      </c>
      <c r="C474">
        <f>_xlfn.XLOOKUP(A474,Sales_Performance[Customer ID],Sales_Performance[Age],0)</f>
        <v>58</v>
      </c>
      <c r="D474" t="str" cm="1">
        <f t="array" ref="D474">_xlfn.IFS(
   C474 &lt; 18, "Under 18",
   C474 &lt;= 24, "18-24",
   C474 &lt;= 34, "25-34",
   C474 &lt;= 44, "35-44",
   C474 &lt;= 54, "45-54",
   C474 &lt;= 64, "55-64",
   TRUE, "65+"
)</f>
        <v>55-64</v>
      </c>
      <c r="E474" s="1">
        <f>_xlfn.MINIFS(
   Sales_Performance[Date],
   Sales_Performance[Customer ID],
   A474
)</f>
        <v>45135</v>
      </c>
      <c r="F474" t="str">
        <f>IF(
   COUNTIF(Sales_Performance[Customer ID], A474) = 1,
   "One-Time Customer",
   "Repeat Customer"
)</f>
        <v>One-Time Customer</v>
      </c>
    </row>
    <row r="475" spans="1:6" x14ac:dyDescent="0.35">
      <c r="A475" t="s">
        <v>1043</v>
      </c>
      <c r="B475" t="str">
        <f>VLOOKUP(A475,Sales_Performance[[Customer ID]:[Total Amount]],2,0)</f>
        <v>Male</v>
      </c>
      <c r="C475">
        <f>_xlfn.XLOOKUP(A475,Sales_Performance[Customer ID],Sales_Performance[Age],0)</f>
        <v>19</v>
      </c>
      <c r="D475" t="str" cm="1">
        <f t="array" ref="D475">_xlfn.IFS(
   C475 &lt; 18, "Under 18",
   C475 &lt;= 24, "18-24",
   C475 &lt;= 34, "25-34",
   C475 &lt;= 44, "35-44",
   C475 &lt;= 54, "45-54",
   C475 &lt;= 64, "55-64",
   TRUE, "65+"
)</f>
        <v>18-24</v>
      </c>
      <c r="E475" s="1">
        <f>_xlfn.MINIFS(
   Sales_Performance[Date],
   Sales_Performance[Customer ID],
   A475
)</f>
        <v>45242</v>
      </c>
      <c r="F475" t="str">
        <f>IF(
   COUNTIF(Sales_Performance[Customer ID], A475) = 1,
   "One-Time Customer",
   "Repeat Customer"
)</f>
        <v>One-Time Customer</v>
      </c>
    </row>
    <row r="476" spans="1:6" x14ac:dyDescent="0.35">
      <c r="A476" t="s">
        <v>373</v>
      </c>
      <c r="B476" t="str">
        <f>VLOOKUP(A476,Sales_Performance[[Customer ID]:[Total Amount]],2,0)</f>
        <v>Male</v>
      </c>
      <c r="C476">
        <f>_xlfn.XLOOKUP(A476,Sales_Performance[Customer ID],Sales_Performance[Age],0)</f>
        <v>21</v>
      </c>
      <c r="D476" t="str" cm="1">
        <f t="array" ref="D476">_xlfn.IFS(
   C476 &lt; 18, "Under 18",
   C476 &lt;= 24, "18-24",
   C476 &lt;= 34, "25-34",
   C476 &lt;= 44, "35-44",
   C476 &lt;= 54, "45-54",
   C476 &lt;= 64, "55-64",
   TRUE, "65+"
)</f>
        <v>18-24</v>
      </c>
      <c r="E476" s="1">
        <f>_xlfn.MINIFS(
   Sales_Performance[Date],
   Sales_Performance[Customer ID],
   A476
)</f>
        <v>45143</v>
      </c>
      <c r="F476" t="str">
        <f>IF(
   COUNTIF(Sales_Performance[Customer ID], A476) = 1,
   "One-Time Customer",
   "Repeat Customer"
)</f>
        <v>One-Time Customer</v>
      </c>
    </row>
    <row r="477" spans="1:6" x14ac:dyDescent="0.35">
      <c r="A477" t="s">
        <v>1389</v>
      </c>
      <c r="B477" t="str">
        <f>VLOOKUP(A477,Sales_Performance[[Customer ID]:[Total Amount]],2,0)</f>
        <v>Male</v>
      </c>
      <c r="C477">
        <f>_xlfn.XLOOKUP(A477,Sales_Performance[Customer ID],Sales_Performance[Age],0)</f>
        <v>54</v>
      </c>
      <c r="D477" t="str" cm="1">
        <f t="array" ref="D477">_xlfn.IFS(
   C477 &lt; 18, "Under 18",
   C477 &lt;= 24, "18-24",
   C477 &lt;= 34, "25-34",
   C477 &lt;= 44, "35-44",
   C477 &lt;= 54, "45-54",
   C477 &lt;= 64, "55-64",
   TRUE, "65+"
)</f>
        <v>45-54</v>
      </c>
      <c r="E477" s="1">
        <f>_xlfn.MINIFS(
   Sales_Performance[Date],
   Sales_Performance[Customer ID],
   A477
)</f>
        <v>44977</v>
      </c>
      <c r="F477" t="str">
        <f>IF(
   COUNTIF(Sales_Performance[Customer ID], A477) = 1,
   "One-Time Customer",
   "Repeat Customer"
)</f>
        <v>Repeat Customer</v>
      </c>
    </row>
    <row r="478" spans="1:6" x14ac:dyDescent="0.35">
      <c r="A478" t="s">
        <v>577</v>
      </c>
      <c r="B478" t="str">
        <f>VLOOKUP(A478,Sales_Performance[[Customer ID]:[Total Amount]],2,0)</f>
        <v>Female</v>
      </c>
      <c r="C478">
        <f>_xlfn.XLOOKUP(A478,Sales_Performance[Customer ID],Sales_Performance[Age],0)</f>
        <v>47</v>
      </c>
      <c r="D478" t="str" cm="1">
        <f t="array" ref="D478">_xlfn.IFS(
   C478 &lt; 18, "Under 18",
   C478 &lt;= 24, "18-24",
   C478 &lt;= 34, "25-34",
   C478 &lt;= 44, "35-44",
   C478 &lt;= 54, "45-54",
   C478 &lt;= 64, "55-64",
   TRUE, "65+"
)</f>
        <v>45-54</v>
      </c>
      <c r="E478" s="1">
        <f>_xlfn.MINIFS(
   Sales_Performance[Date],
   Sales_Performance[Customer ID],
   A478
)</f>
        <v>45278</v>
      </c>
      <c r="F478" t="str">
        <f>IF(
   COUNTIF(Sales_Performance[Customer ID], A478) = 1,
   "One-Time Customer",
   "Repeat Customer"
)</f>
        <v>One-Time Customer</v>
      </c>
    </row>
    <row r="479" spans="1:6" x14ac:dyDescent="0.35">
      <c r="A479" t="s">
        <v>1430</v>
      </c>
      <c r="B479" t="str">
        <f>VLOOKUP(A479,Sales_Performance[[Customer ID]:[Total Amount]],2,0)</f>
        <v>Female</v>
      </c>
      <c r="C479">
        <f>_xlfn.XLOOKUP(A479,Sales_Performance[Customer ID],Sales_Performance[Age],0)</f>
        <v>20</v>
      </c>
      <c r="D479" t="str" cm="1">
        <f t="array" ref="D479">_xlfn.IFS(
   C479 &lt; 18, "Under 18",
   C479 &lt;= 24, "18-24",
   C479 &lt;= 34, "25-34",
   C479 &lt;= 44, "35-44",
   C479 &lt;= 54, "45-54",
   C479 &lt;= 64, "55-64",
   TRUE, "65+"
)</f>
        <v>18-24</v>
      </c>
      <c r="E479" s="1">
        <f>_xlfn.MINIFS(
   Sales_Performance[Date],
   Sales_Performance[Customer ID],
   A479
)</f>
        <v>44954</v>
      </c>
      <c r="F479" t="str">
        <f>IF(
   COUNTIF(Sales_Performance[Customer ID], A479) = 1,
   "One-Time Customer",
   "Repeat Customer"
)</f>
        <v>One-Time Customer</v>
      </c>
    </row>
    <row r="480" spans="1:6" x14ac:dyDescent="0.35">
      <c r="A480" t="s">
        <v>694</v>
      </c>
      <c r="B480" t="str">
        <f>VLOOKUP(A480,Sales_Performance[[Customer ID]:[Total Amount]],2,0)</f>
        <v>Female</v>
      </c>
      <c r="C480">
        <f>_xlfn.XLOOKUP(A480,Sales_Performance[Customer ID],Sales_Performance[Age],0)</f>
        <v>26</v>
      </c>
      <c r="D480" t="str" cm="1">
        <f t="array" ref="D480">_xlfn.IFS(
   C480 &lt; 18, "Under 18",
   C480 &lt;= 24, "18-24",
   C480 &lt;= 34, "25-34",
   C480 &lt;= 44, "35-44",
   C480 &lt;= 54, "45-54",
   C480 &lt;= 64, "55-64",
   TRUE, "65+"
)</f>
        <v>25-34</v>
      </c>
      <c r="E480" s="1">
        <f>_xlfn.MINIFS(
   Sales_Performance[Date],
   Sales_Performance[Customer ID],
   A480
)</f>
        <v>45185</v>
      </c>
      <c r="F480" t="str">
        <f>IF(
   COUNTIF(Sales_Performance[Customer ID], A480) = 1,
   "One-Time Customer",
   "Repeat Customer"
)</f>
        <v>One-Time Customer</v>
      </c>
    </row>
    <row r="481" spans="1:6" x14ac:dyDescent="0.35">
      <c r="A481" t="s">
        <v>140</v>
      </c>
      <c r="B481" t="str">
        <f>VLOOKUP(A481,Sales_Performance[[Customer ID]:[Total Amount]],2,0)</f>
        <v>Female</v>
      </c>
      <c r="C481">
        <f>_xlfn.XLOOKUP(A481,Sales_Performance[Customer ID],Sales_Performance[Age],0)</f>
        <v>57</v>
      </c>
      <c r="D481" t="str" cm="1">
        <f t="array" ref="D481">_xlfn.IFS(
   C481 &lt; 18, "Under 18",
   C481 &lt;= 24, "18-24",
   C481 &lt;= 34, "25-34",
   C481 &lt;= 44, "35-44",
   C481 &lt;= 54, "45-54",
   C481 &lt;= 64, "55-64",
   TRUE, "65+"
)</f>
        <v>55-64</v>
      </c>
      <c r="E481" s="1">
        <f>_xlfn.MINIFS(
   Sales_Performance[Date],
   Sales_Performance[Customer ID],
   A481
)</f>
        <v>45159</v>
      </c>
      <c r="F481" t="str">
        <f>IF(
   COUNTIF(Sales_Performance[Customer ID], A481) = 1,
   "One-Time Customer",
   "Repeat Customer"
)</f>
        <v>One-Time Customer</v>
      </c>
    </row>
    <row r="482" spans="1:6" x14ac:dyDescent="0.35">
      <c r="A482" t="s">
        <v>1266</v>
      </c>
      <c r="B482" t="str">
        <f>VLOOKUP(A482,Sales_Performance[[Customer ID]:[Total Amount]],2,0)</f>
        <v>Female</v>
      </c>
      <c r="C482">
        <f>_xlfn.XLOOKUP(A482,Sales_Performance[Customer ID],Sales_Performance[Age],0)</f>
        <v>41</v>
      </c>
      <c r="D482" t="str" cm="1">
        <f t="array" ref="D482">_xlfn.IFS(
   C482 &lt; 18, "Under 18",
   C482 &lt;= 24, "18-24",
   C482 &lt;= 34, "25-34",
   C482 &lt;= 44, "35-44",
   C482 &lt;= 54, "45-54",
   C482 &lt;= 64, "55-64",
   TRUE, "65+"
)</f>
        <v>35-44</v>
      </c>
      <c r="E482" s="1">
        <f>_xlfn.MINIFS(
   Sales_Performance[Date],
   Sales_Performance[Customer ID],
   A482
)</f>
        <v>45043</v>
      </c>
      <c r="F482" t="str">
        <f>IF(
   COUNTIF(Sales_Performance[Customer ID], A482) = 1,
   "One-Time Customer",
   "Repeat Customer"
)</f>
        <v>Repeat Customer</v>
      </c>
    </row>
    <row r="483" spans="1:6" x14ac:dyDescent="0.35">
      <c r="A483" t="s">
        <v>455</v>
      </c>
      <c r="B483" t="str">
        <f>VLOOKUP(A483,Sales_Performance[[Customer ID]:[Total Amount]],2,0)</f>
        <v>Male</v>
      </c>
      <c r="C483">
        <f>_xlfn.XLOOKUP(A483,Sales_Performance[Customer ID],Sales_Performance[Age],0)</f>
        <v>43</v>
      </c>
      <c r="D483" t="str" cm="1">
        <f t="array" ref="D483">_xlfn.IFS(
   C483 &lt; 18, "Under 18",
   C483 &lt;= 24, "18-24",
   C483 &lt;= 34, "25-34",
   C483 &lt;= 44, "35-44",
   C483 &lt;= 54, "45-54",
   C483 &lt;= 64, "55-64",
   TRUE, "65+"
)</f>
        <v>35-44</v>
      </c>
      <c r="E483" s="1">
        <f>_xlfn.MINIFS(
   Sales_Performance[Date],
   Sales_Performance[Customer ID],
   A483
)</f>
        <v>45086</v>
      </c>
      <c r="F483" t="str">
        <f>IF(
   COUNTIF(Sales_Performance[Customer ID], A483) = 1,
   "One-Time Customer",
   "Repeat Customer"
)</f>
        <v>One-Time Customer</v>
      </c>
    </row>
    <row r="484" spans="1:6" x14ac:dyDescent="0.35">
      <c r="A484" t="s">
        <v>1276</v>
      </c>
      <c r="B484" t="str">
        <f>VLOOKUP(A484,Sales_Performance[[Customer ID]:[Total Amount]],2,0)</f>
        <v>Male</v>
      </c>
      <c r="C484">
        <f>_xlfn.XLOOKUP(A484,Sales_Performance[Customer ID],Sales_Performance[Age],0)</f>
        <v>37</v>
      </c>
      <c r="D484" t="str" cm="1">
        <f t="array" ref="D484">_xlfn.IFS(
   C484 &lt; 18, "Under 18",
   C484 &lt;= 24, "18-24",
   C484 &lt;= 34, "25-34",
   C484 &lt;= 44, "35-44",
   C484 &lt;= 54, "45-54",
   C484 &lt;= 64, "55-64",
   TRUE, "65+"
)</f>
        <v>35-44</v>
      </c>
      <c r="E484" s="1">
        <f>_xlfn.MINIFS(
   Sales_Performance[Date],
   Sales_Performance[Customer ID],
   A484
)</f>
        <v>45131</v>
      </c>
      <c r="F484" t="str">
        <f>IF(
   COUNTIF(Sales_Performance[Customer ID], A484) = 1,
   "One-Time Customer",
   "Repeat Customer"
)</f>
        <v>One-Time Customer</v>
      </c>
    </row>
    <row r="485" spans="1:6" x14ac:dyDescent="0.35">
      <c r="A485" t="s">
        <v>684</v>
      </c>
      <c r="B485" t="str">
        <f>VLOOKUP(A485,Sales_Performance[[Customer ID]:[Total Amount]],2,0)</f>
        <v>Male</v>
      </c>
      <c r="C485">
        <f>_xlfn.XLOOKUP(A485,Sales_Performance[Customer ID],Sales_Performance[Age],0)</f>
        <v>54</v>
      </c>
      <c r="D485" t="str" cm="1">
        <f t="array" ref="D485">_xlfn.IFS(
   C485 &lt; 18, "Under 18",
   C485 &lt;= 24, "18-24",
   C485 &lt;= 34, "25-34",
   C485 &lt;= 44, "35-44",
   C485 &lt;= 54, "45-54",
   C485 &lt;= 64, "55-64",
   TRUE, "65+"
)</f>
        <v>45-54</v>
      </c>
      <c r="E485" s="1">
        <f>_xlfn.MINIFS(
   Sales_Performance[Date],
   Sales_Performance[Customer ID],
   A485
)</f>
        <v>45228</v>
      </c>
      <c r="F485" t="str">
        <f>IF(
   COUNTIF(Sales_Performance[Customer ID], A485) = 1,
   "One-Time Customer",
   "Repeat Customer"
)</f>
        <v>Repeat Customer</v>
      </c>
    </row>
    <row r="486" spans="1:6" x14ac:dyDescent="0.35">
      <c r="A486" t="s">
        <v>1111</v>
      </c>
      <c r="B486" t="str">
        <f>VLOOKUP(A486,Sales_Performance[[Customer ID]:[Total Amount]],2,0)</f>
        <v>Female</v>
      </c>
      <c r="C486">
        <f>_xlfn.XLOOKUP(A486,Sales_Performance[Customer ID],Sales_Performance[Age],0)</f>
        <v>62</v>
      </c>
      <c r="D486" t="str" cm="1">
        <f t="array" ref="D486">_xlfn.IFS(
   C486 &lt; 18, "Under 18",
   C486 &lt;= 24, "18-24",
   C486 &lt;= 34, "25-34",
   C486 &lt;= 44, "35-44",
   C486 &lt;= 54, "45-54",
   C486 &lt;= 64, "55-64",
   TRUE, "65+"
)</f>
        <v>55-64</v>
      </c>
      <c r="E486" s="1">
        <f>_xlfn.MINIFS(
   Sales_Performance[Date],
   Sales_Performance[Customer ID],
   A486
)</f>
        <v>45192</v>
      </c>
      <c r="F486" t="str">
        <f>IF(
   COUNTIF(Sales_Performance[Customer ID], A486) = 1,
   "One-Time Customer",
   "Repeat Customer"
)</f>
        <v>Repeat Customer</v>
      </c>
    </row>
    <row r="487" spans="1:6" x14ac:dyDescent="0.35">
      <c r="A487" t="s">
        <v>286</v>
      </c>
      <c r="B487" t="str">
        <f>VLOOKUP(A487,Sales_Performance[[Customer ID]:[Total Amount]],2,0)</f>
        <v>Male</v>
      </c>
      <c r="C487">
        <f>_xlfn.XLOOKUP(A487,Sales_Performance[Customer ID],Sales_Performance[Age],0)</f>
        <v>30</v>
      </c>
      <c r="D487" t="str" cm="1">
        <f t="array" ref="D487">_xlfn.IFS(
   C487 &lt; 18, "Under 18",
   C487 &lt;= 24, "18-24",
   C487 &lt;= 34, "25-34",
   C487 &lt;= 44, "35-44",
   C487 &lt;= 54, "45-54",
   C487 &lt;= 64, "55-64",
   TRUE, "65+"
)</f>
        <v>25-34</v>
      </c>
      <c r="E487" s="1">
        <f>_xlfn.MINIFS(
   Sales_Performance[Date],
   Sales_Performance[Customer ID],
   A487
)</f>
        <v>44970</v>
      </c>
      <c r="F487" t="str">
        <f>IF(
   COUNTIF(Sales_Performance[Customer ID], A487) = 1,
   "One-Time Customer",
   "Repeat Customer"
)</f>
        <v>One-Time Customer</v>
      </c>
    </row>
    <row r="488" spans="1:6" x14ac:dyDescent="0.35">
      <c r="A488" t="s">
        <v>438</v>
      </c>
      <c r="B488" t="str">
        <f>VLOOKUP(A488,Sales_Performance[[Customer ID]:[Total Amount]],2,0)</f>
        <v>Female</v>
      </c>
      <c r="C488">
        <f>_xlfn.XLOOKUP(A488,Sales_Performance[Customer ID],Sales_Performance[Age],0)</f>
        <v>41</v>
      </c>
      <c r="D488" t="str" cm="1">
        <f t="array" ref="D488">_xlfn.IFS(
   C488 &lt; 18, "Under 18",
   C488 &lt;= 24, "18-24",
   C488 &lt;= 34, "25-34",
   C488 &lt;= 44, "35-44",
   C488 &lt;= 54, "45-54",
   C488 &lt;= 64, "55-64",
   TRUE, "65+"
)</f>
        <v>35-44</v>
      </c>
      <c r="E488" s="1">
        <f>_xlfn.MINIFS(
   Sales_Performance[Date],
   Sales_Performance[Customer ID],
   A488
)</f>
        <v>45211</v>
      </c>
      <c r="F488" t="str">
        <f>IF(
   COUNTIF(Sales_Performance[Customer ID], A488) = 1,
   "One-Time Customer",
   "Repeat Customer"
)</f>
        <v>One-Time Customer</v>
      </c>
    </row>
    <row r="489" spans="1:6" x14ac:dyDescent="0.35">
      <c r="A489" t="s">
        <v>32</v>
      </c>
      <c r="B489" t="str">
        <f>VLOOKUP(A489,Sales_Performance[[Customer ID]:[Total Amount]],2,0)</f>
        <v>Male</v>
      </c>
      <c r="C489">
        <f>_xlfn.XLOOKUP(A489,Sales_Performance[Customer ID],Sales_Performance[Age],0)</f>
        <v>29</v>
      </c>
      <c r="D489" t="str" cm="1">
        <f t="array" ref="D489">_xlfn.IFS(
   C489 &lt; 18, "Under 18",
   C489 &lt;= 24, "18-24",
   C489 &lt;= 34, "25-34",
   C489 &lt;= 44, "35-44",
   C489 &lt;= 54, "45-54",
   C489 &lt;= 64, "55-64",
   TRUE, "65+"
)</f>
        <v>25-34</v>
      </c>
      <c r="E489" s="1">
        <f>_xlfn.MINIFS(
   Sales_Performance[Date],
   Sales_Performance[Customer ID],
   A489
)</f>
        <v>45159</v>
      </c>
      <c r="F489" t="str">
        <f>IF(
   COUNTIF(Sales_Performance[Customer ID], A489) = 1,
   "One-Time Customer",
   "Repeat Customer"
)</f>
        <v>One-Time Customer</v>
      </c>
    </row>
    <row r="490" spans="1:6" x14ac:dyDescent="0.35">
      <c r="A490" t="s">
        <v>1435</v>
      </c>
      <c r="B490" t="str">
        <f>VLOOKUP(A490,Sales_Performance[[Customer ID]:[Total Amount]],2,0)</f>
        <v>Female</v>
      </c>
      <c r="C490">
        <f>_xlfn.XLOOKUP(A490,Sales_Performance[Customer ID],Sales_Performance[Age],0)</f>
        <v>32</v>
      </c>
      <c r="D490" t="str" cm="1">
        <f t="array" ref="D490">_xlfn.IFS(
   C490 &lt; 18, "Under 18",
   C490 &lt;= 24, "18-24",
   C490 &lt;= 34, "25-34",
   C490 &lt;= 44, "35-44",
   C490 &lt;= 54, "45-54",
   C490 &lt;= 64, "55-64",
   TRUE, "65+"
)</f>
        <v>25-34</v>
      </c>
      <c r="E490" s="1">
        <f>_xlfn.MINIFS(
   Sales_Performance[Date],
   Sales_Performance[Customer ID],
   A490
)</f>
        <v>45199</v>
      </c>
      <c r="F490" t="str">
        <f>IF(
   COUNTIF(Sales_Performance[Customer ID], A490) = 1,
   "One-Time Customer",
   "Repeat Customer"
)</f>
        <v>One-Time Customer</v>
      </c>
    </row>
    <row r="491" spans="1:6" x14ac:dyDescent="0.35">
      <c r="A491" t="s">
        <v>1298</v>
      </c>
      <c r="B491" t="str">
        <f>VLOOKUP(A491,Sales_Performance[[Customer ID]:[Total Amount]],2,0)</f>
        <v>Female</v>
      </c>
      <c r="C491">
        <f>_xlfn.XLOOKUP(A491,Sales_Performance[Customer ID],Sales_Performance[Age],0)</f>
        <v>30</v>
      </c>
      <c r="D491" t="str" cm="1">
        <f t="array" ref="D491">_xlfn.IFS(
   C491 &lt; 18, "Under 18",
   C491 &lt;= 24, "18-24",
   C491 &lt;= 34, "25-34",
   C491 &lt;= 44, "35-44",
   C491 &lt;= 54, "45-54",
   C491 &lt;= 64, "55-64",
   TRUE, "65+"
)</f>
        <v>25-34</v>
      </c>
      <c r="E491" s="1">
        <f>_xlfn.MINIFS(
   Sales_Performance[Date],
   Sales_Performance[Customer ID],
   A491
)</f>
        <v>45228</v>
      </c>
      <c r="F491" t="str">
        <f>IF(
   COUNTIF(Sales_Performance[Customer ID], A491) = 1,
   "One-Time Customer",
   "Repeat Customer"
)</f>
        <v>One-Time Customer</v>
      </c>
    </row>
    <row r="492" spans="1:6" x14ac:dyDescent="0.35">
      <c r="A492" t="s">
        <v>955</v>
      </c>
      <c r="B492" t="str">
        <f>VLOOKUP(A492,Sales_Performance[[Customer ID]:[Total Amount]],2,0)</f>
        <v>Male</v>
      </c>
      <c r="C492">
        <f>_xlfn.XLOOKUP(A492,Sales_Performance[Customer ID],Sales_Performance[Age],0)</f>
        <v>58</v>
      </c>
      <c r="D492" t="str" cm="1">
        <f t="array" ref="D492">_xlfn.IFS(
   C492 &lt; 18, "Under 18",
   C492 &lt;= 24, "18-24",
   C492 &lt;= 34, "25-34",
   C492 &lt;= 44, "35-44",
   C492 &lt;= 54, "45-54",
   C492 &lt;= 64, "55-64",
   TRUE, "65+"
)</f>
        <v>55-64</v>
      </c>
      <c r="E492" s="1">
        <f>_xlfn.MINIFS(
   Sales_Performance[Date],
   Sales_Performance[Customer ID],
   A492
)</f>
        <v>45018</v>
      </c>
      <c r="F492" t="str">
        <f>IF(
   COUNTIF(Sales_Performance[Customer ID], A492) = 1,
   "One-Time Customer",
   "Repeat Customer"
)</f>
        <v>One-Time Customer</v>
      </c>
    </row>
    <row r="493" spans="1:6" x14ac:dyDescent="0.35">
      <c r="A493" t="s">
        <v>1269</v>
      </c>
      <c r="B493" t="str">
        <f>VLOOKUP(A493,Sales_Performance[[Customer ID]:[Total Amount]],2,0)</f>
        <v>Male</v>
      </c>
      <c r="C493">
        <f>_xlfn.XLOOKUP(A493,Sales_Performance[Customer ID],Sales_Performance[Age],0)</f>
        <v>59</v>
      </c>
      <c r="D493" t="str" cm="1">
        <f t="array" ref="D493">_xlfn.IFS(
   C493 &lt; 18, "Under 18",
   C493 &lt;= 24, "18-24",
   C493 &lt;= 34, "25-34",
   C493 &lt;= 44, "35-44",
   C493 &lt;= 54, "45-54",
   C493 &lt;= 64, "55-64",
   TRUE, "65+"
)</f>
        <v>55-64</v>
      </c>
      <c r="E493" s="1">
        <f>_xlfn.MINIFS(
   Sales_Performance[Date],
   Sales_Performance[Customer ID],
   A493
)</f>
        <v>44968</v>
      </c>
      <c r="F493" t="str">
        <f>IF(
   COUNTIF(Sales_Performance[Customer ID], A493) = 1,
   "One-Time Customer",
   "Repeat Customer"
)</f>
        <v>One-Time Customer</v>
      </c>
    </row>
    <row r="494" spans="1:6" x14ac:dyDescent="0.35">
      <c r="A494" t="s">
        <v>599</v>
      </c>
      <c r="B494" t="str">
        <f>VLOOKUP(A494,Sales_Performance[[Customer ID]:[Total Amount]],2,0)</f>
        <v>Female</v>
      </c>
      <c r="C494">
        <f>_xlfn.XLOOKUP(A494,Sales_Performance[Customer ID],Sales_Performance[Age],0)</f>
        <v>64</v>
      </c>
      <c r="D494" t="str" cm="1">
        <f t="array" ref="D494">_xlfn.IFS(
   C494 &lt; 18, "Under 18",
   C494 &lt;= 24, "18-24",
   C494 &lt;= 34, "25-34",
   C494 &lt;= 44, "35-44",
   C494 &lt;= 54, "45-54",
   C494 &lt;= 64, "55-64",
   TRUE, "65+"
)</f>
        <v>55-64</v>
      </c>
      <c r="E494" s="1">
        <f>_xlfn.MINIFS(
   Sales_Performance[Date],
   Sales_Performance[Customer ID],
   A494
)</f>
        <v>44986</v>
      </c>
      <c r="F494" t="str">
        <f>IF(
   COUNTIF(Sales_Performance[Customer ID], A494) = 1,
   "One-Time Customer",
   "Repeat Customer"
)</f>
        <v>One-Time Customer</v>
      </c>
    </row>
    <row r="495" spans="1:6" x14ac:dyDescent="0.35">
      <c r="A495" t="s">
        <v>590</v>
      </c>
      <c r="B495" t="str">
        <f>VLOOKUP(A495,Sales_Performance[[Customer ID]:[Total Amount]],2,0)</f>
        <v>Male</v>
      </c>
      <c r="C495">
        <f>_xlfn.XLOOKUP(A495,Sales_Performance[Customer ID],Sales_Performance[Age],0)</f>
        <v>18</v>
      </c>
      <c r="D495" t="str" cm="1">
        <f t="array" ref="D495">_xlfn.IFS(
   C495 &lt; 18, "Under 18",
   C495 &lt;= 24, "18-24",
   C495 &lt;= 34, "25-34",
   C495 &lt;= 44, "35-44",
   C495 &lt;= 54, "45-54",
   C495 &lt;= 64, "55-64",
   TRUE, "65+"
)</f>
        <v>18-24</v>
      </c>
      <c r="E495" s="1">
        <f>_xlfn.MINIFS(
   Sales_Performance[Date],
   Sales_Performance[Customer ID],
   A495
)</f>
        <v>45186</v>
      </c>
      <c r="F495" t="str">
        <f>IF(
   COUNTIF(Sales_Performance[Customer ID], A495) = 1,
   "One-Time Customer",
   "Repeat Customer"
)</f>
        <v>One-Time Customer</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588B1-E061-470C-8B7B-A2676877395D}">
  <dimension ref="A1:H367"/>
  <sheetViews>
    <sheetView zoomScale="80" zoomScaleNormal="80" workbookViewId="0">
      <selection activeCell="D4" sqref="D4"/>
    </sheetView>
  </sheetViews>
  <sheetFormatPr defaultRowHeight="14.5" x14ac:dyDescent="0.35"/>
  <cols>
    <col min="1" max="1" width="13.08984375" style="1" customWidth="1"/>
    <col min="2" max="2" width="8.26953125" customWidth="1"/>
    <col min="3" max="3" width="21.54296875" style="1" customWidth="1"/>
    <col min="4" max="4" width="10" customWidth="1"/>
    <col min="5" max="5" width="15" style="4" bestFit="1" customWidth="1"/>
    <col min="6" max="6" width="11.7265625" customWidth="1"/>
    <col min="7" max="7" width="14.36328125" style="5" customWidth="1"/>
    <col min="8" max="8" width="15.08984375" customWidth="1"/>
  </cols>
  <sheetData>
    <row r="1" spans="1:8" x14ac:dyDescent="0.35">
      <c r="A1" s="1" t="s">
        <v>1</v>
      </c>
      <c r="B1" t="s">
        <v>1513</v>
      </c>
      <c r="C1" s="1" t="s">
        <v>1526</v>
      </c>
      <c r="D1" t="s">
        <v>1514</v>
      </c>
      <c r="E1" s="4" t="s">
        <v>1517</v>
      </c>
      <c r="F1" t="s">
        <v>1515</v>
      </c>
      <c r="G1" s="5" t="s">
        <v>1518</v>
      </c>
      <c r="H1" t="s">
        <v>1516</v>
      </c>
    </row>
    <row r="2" spans="1:8" x14ac:dyDescent="0.35">
      <c r="A2" s="1">
        <f>MIN(Sales_Performance[Date])</f>
        <v>44927</v>
      </c>
      <c r="B2">
        <f>YEAR(A2)</f>
        <v>2023</v>
      </c>
      <c r="C2" s="1">
        <f>DATE(
  YEAR(Calendar_Table[[#This Row],[Date]]),
  MONTH(Calendar_Table[[#This Row],[Date]]),
  1
)</f>
        <v>44927</v>
      </c>
      <c r="D2">
        <f t="shared" ref="D2:D65" si="0">MONTH(A2)</f>
        <v>1</v>
      </c>
      <c r="E2" s="4" t="str">
        <f>TEXT(Calendar_Table[[#This Row],[Date]],"mmmm")</f>
        <v>January</v>
      </c>
      <c r="F2">
        <f t="shared" ref="F2:F65" si="1">WEEKDAY(A2,2)</f>
        <v>7</v>
      </c>
      <c r="G2" s="5" t="str">
        <f>TEXT(Calendar_Table[[#This Row],[Date]],"dddd")</f>
        <v>Sunday</v>
      </c>
      <c r="H2" t="str">
        <f>IF(
   OR(
      F2=6,
      F2=7,
   ),
   "Weekend",
   "Weekday"
)</f>
        <v>Weekend</v>
      </c>
    </row>
    <row r="3" spans="1:8" x14ac:dyDescent="0.35">
      <c r="A3" s="1">
        <f>IF(
  A2+1&gt;MAX(Sales_Performance[Date]),
 "",
  A2+1
)</f>
        <v>44928</v>
      </c>
      <c r="B3">
        <f t="shared" ref="B3:B66" si="2">YEAR(A3)</f>
        <v>2023</v>
      </c>
      <c r="C3" s="1">
        <f>DATE(
  YEAR(Calendar_Table[[#This Row],[Date]]),
  MONTH(Calendar_Table[[#This Row],[Date]]),
  1
)</f>
        <v>44927</v>
      </c>
      <c r="D3">
        <f t="shared" si="0"/>
        <v>1</v>
      </c>
      <c r="E3" s="4" t="str">
        <f>TEXT(Calendar_Table[[#This Row],[Date]],"mmmm")</f>
        <v>January</v>
      </c>
      <c r="F3">
        <f t="shared" si="1"/>
        <v>1</v>
      </c>
      <c r="G3" s="5" t="str">
        <f>TEXT(Calendar_Table[[#This Row],[Date]],"dddd")</f>
        <v>Monday</v>
      </c>
      <c r="H3" t="str">
        <f t="shared" ref="H3:H66" si="3">IF(
   OR(
      F3=6,
      F3=7,
   ),
   "Weekend",
   "Weekday"
)</f>
        <v>Weekday</v>
      </c>
    </row>
    <row r="4" spans="1:8" x14ac:dyDescent="0.35">
      <c r="A4" s="1">
        <f>IF(
  A3+1&gt;MAX(Sales_Performance[Date]),
 "",
  A3+1
)</f>
        <v>44929</v>
      </c>
      <c r="B4">
        <f t="shared" si="2"/>
        <v>2023</v>
      </c>
      <c r="C4" s="1">
        <f>DATE(
  YEAR(Calendar_Table[[#This Row],[Date]]),
  MONTH(Calendar_Table[[#This Row],[Date]]),
  1
)</f>
        <v>44927</v>
      </c>
      <c r="D4">
        <f t="shared" si="0"/>
        <v>1</v>
      </c>
      <c r="E4" s="4" t="str">
        <f>TEXT(Calendar_Table[[#This Row],[Date]],"mmmm")</f>
        <v>January</v>
      </c>
      <c r="F4">
        <f t="shared" si="1"/>
        <v>2</v>
      </c>
      <c r="G4" s="5" t="str">
        <f>TEXT(Calendar_Table[[#This Row],[Date]],"dddd")</f>
        <v>Tuesday</v>
      </c>
      <c r="H4" t="str">
        <f t="shared" si="3"/>
        <v>Weekday</v>
      </c>
    </row>
    <row r="5" spans="1:8" x14ac:dyDescent="0.35">
      <c r="A5" s="1">
        <f>IF(
  A4+1&gt;MAX(Sales_Performance[Date]),
 "",
  A4+1
)</f>
        <v>44930</v>
      </c>
      <c r="B5">
        <f t="shared" si="2"/>
        <v>2023</v>
      </c>
      <c r="C5" s="1">
        <f>DATE(
  YEAR(Calendar_Table[[#This Row],[Date]]),
  MONTH(Calendar_Table[[#This Row],[Date]]),
  1
)</f>
        <v>44927</v>
      </c>
      <c r="D5">
        <f t="shared" si="0"/>
        <v>1</v>
      </c>
      <c r="E5" s="4" t="str">
        <f>TEXT(Calendar_Table[[#This Row],[Date]],"mmmm")</f>
        <v>January</v>
      </c>
      <c r="F5">
        <f t="shared" si="1"/>
        <v>3</v>
      </c>
      <c r="G5" s="5" t="str">
        <f>TEXT(Calendar_Table[[#This Row],[Date]],"dddd")</f>
        <v>Wednesday</v>
      </c>
      <c r="H5" t="str">
        <f t="shared" si="3"/>
        <v>Weekday</v>
      </c>
    </row>
    <row r="6" spans="1:8" x14ac:dyDescent="0.35">
      <c r="A6" s="1">
        <f>IF(
  A5+1&gt;MAX(Sales_Performance[Date]),
 "",
  A5+1
)</f>
        <v>44931</v>
      </c>
      <c r="B6">
        <f t="shared" si="2"/>
        <v>2023</v>
      </c>
      <c r="C6" s="1">
        <f>DATE(
  YEAR(Calendar_Table[[#This Row],[Date]]),
  MONTH(Calendar_Table[[#This Row],[Date]]),
  1
)</f>
        <v>44927</v>
      </c>
      <c r="D6">
        <f t="shared" si="0"/>
        <v>1</v>
      </c>
      <c r="E6" s="4" t="str">
        <f>TEXT(Calendar_Table[[#This Row],[Date]],"mmmm")</f>
        <v>January</v>
      </c>
      <c r="F6">
        <f t="shared" si="1"/>
        <v>4</v>
      </c>
      <c r="G6" s="5" t="str">
        <f>TEXT(Calendar_Table[[#This Row],[Date]],"dddd")</f>
        <v>Thursday</v>
      </c>
      <c r="H6" t="str">
        <f t="shared" si="3"/>
        <v>Weekday</v>
      </c>
    </row>
    <row r="7" spans="1:8" x14ac:dyDescent="0.35">
      <c r="A7" s="1">
        <f>IF(
  A6+1&gt;MAX(Sales_Performance[Date]),
 "",
  A6+1
)</f>
        <v>44932</v>
      </c>
      <c r="B7">
        <f t="shared" si="2"/>
        <v>2023</v>
      </c>
      <c r="C7" s="1">
        <f>DATE(
  YEAR(Calendar_Table[[#This Row],[Date]]),
  MONTH(Calendar_Table[[#This Row],[Date]]),
  1
)</f>
        <v>44927</v>
      </c>
      <c r="D7">
        <f t="shared" si="0"/>
        <v>1</v>
      </c>
      <c r="E7" s="4" t="str">
        <f>TEXT(Calendar_Table[[#This Row],[Date]],"mmmm")</f>
        <v>January</v>
      </c>
      <c r="F7">
        <f t="shared" si="1"/>
        <v>5</v>
      </c>
      <c r="G7" s="5" t="str">
        <f>TEXT(Calendar_Table[[#This Row],[Date]],"dddd")</f>
        <v>Friday</v>
      </c>
      <c r="H7" t="str">
        <f t="shared" si="3"/>
        <v>Weekday</v>
      </c>
    </row>
    <row r="8" spans="1:8" x14ac:dyDescent="0.35">
      <c r="A8" s="1">
        <f>IF(
  A7+1&gt;MAX(Sales_Performance[Date]),
 "",
  A7+1
)</f>
        <v>44933</v>
      </c>
      <c r="B8">
        <f t="shared" si="2"/>
        <v>2023</v>
      </c>
      <c r="C8" s="1">
        <f>DATE(
  YEAR(Calendar_Table[[#This Row],[Date]]),
  MONTH(Calendar_Table[[#This Row],[Date]]),
  1
)</f>
        <v>44927</v>
      </c>
      <c r="D8">
        <f t="shared" si="0"/>
        <v>1</v>
      </c>
      <c r="E8" s="4" t="str">
        <f>TEXT(Calendar_Table[[#This Row],[Date]],"mmmm")</f>
        <v>January</v>
      </c>
      <c r="F8">
        <f t="shared" si="1"/>
        <v>6</v>
      </c>
      <c r="G8" s="5" t="str">
        <f>TEXT(Calendar_Table[[#This Row],[Date]],"dddd")</f>
        <v>Saturday</v>
      </c>
      <c r="H8" t="str">
        <f t="shared" si="3"/>
        <v>Weekend</v>
      </c>
    </row>
    <row r="9" spans="1:8" x14ac:dyDescent="0.35">
      <c r="A9" s="1">
        <f>IF(
  A8+1&gt;MAX(Sales_Performance[Date]),
 "",
  A8+1
)</f>
        <v>44934</v>
      </c>
      <c r="B9">
        <f t="shared" si="2"/>
        <v>2023</v>
      </c>
      <c r="C9" s="1">
        <f>DATE(
  YEAR(Calendar_Table[[#This Row],[Date]]),
  MONTH(Calendar_Table[[#This Row],[Date]]),
  1
)</f>
        <v>44927</v>
      </c>
      <c r="D9">
        <f t="shared" si="0"/>
        <v>1</v>
      </c>
      <c r="E9" s="4" t="str">
        <f>TEXT(Calendar_Table[[#This Row],[Date]],"mmmm")</f>
        <v>January</v>
      </c>
      <c r="F9">
        <f t="shared" si="1"/>
        <v>7</v>
      </c>
      <c r="G9" s="5" t="str">
        <f>TEXT(Calendar_Table[[#This Row],[Date]],"dddd")</f>
        <v>Sunday</v>
      </c>
      <c r="H9" t="str">
        <f t="shared" si="3"/>
        <v>Weekend</v>
      </c>
    </row>
    <row r="10" spans="1:8" x14ac:dyDescent="0.35">
      <c r="A10" s="1">
        <f>IF(
  A9+1&gt;MAX(Sales_Performance[Date]),
 "",
  A9+1
)</f>
        <v>44935</v>
      </c>
      <c r="B10">
        <f t="shared" si="2"/>
        <v>2023</v>
      </c>
      <c r="C10" s="1">
        <f>DATE(
  YEAR(Calendar_Table[[#This Row],[Date]]),
  MONTH(Calendar_Table[[#This Row],[Date]]),
  1
)</f>
        <v>44927</v>
      </c>
      <c r="D10">
        <f t="shared" si="0"/>
        <v>1</v>
      </c>
      <c r="E10" s="4" t="str">
        <f>TEXT(Calendar_Table[[#This Row],[Date]],"mmmm")</f>
        <v>January</v>
      </c>
      <c r="F10">
        <f t="shared" si="1"/>
        <v>1</v>
      </c>
      <c r="G10" s="5" t="str">
        <f>TEXT(Calendar_Table[[#This Row],[Date]],"dddd")</f>
        <v>Monday</v>
      </c>
      <c r="H10" t="str">
        <f t="shared" si="3"/>
        <v>Weekday</v>
      </c>
    </row>
    <row r="11" spans="1:8" x14ac:dyDescent="0.35">
      <c r="A11" s="1">
        <f>IF(
  A10+1&gt;MAX(Sales_Performance[Date]),
 "",
  A10+1
)</f>
        <v>44936</v>
      </c>
      <c r="B11">
        <f t="shared" si="2"/>
        <v>2023</v>
      </c>
      <c r="C11" s="1">
        <f>DATE(
  YEAR(Calendar_Table[[#This Row],[Date]]),
  MONTH(Calendar_Table[[#This Row],[Date]]),
  1
)</f>
        <v>44927</v>
      </c>
      <c r="D11">
        <f t="shared" si="0"/>
        <v>1</v>
      </c>
      <c r="E11" s="4" t="str">
        <f>TEXT(Calendar_Table[[#This Row],[Date]],"mmmm")</f>
        <v>January</v>
      </c>
      <c r="F11">
        <f t="shared" si="1"/>
        <v>2</v>
      </c>
      <c r="G11" s="5" t="str">
        <f>TEXT(Calendar_Table[[#This Row],[Date]],"dddd")</f>
        <v>Tuesday</v>
      </c>
      <c r="H11" t="str">
        <f t="shared" si="3"/>
        <v>Weekday</v>
      </c>
    </row>
    <row r="12" spans="1:8" x14ac:dyDescent="0.35">
      <c r="A12" s="1">
        <f>IF(
  A11+1&gt;MAX(Sales_Performance[Date]),
 "",
  A11+1
)</f>
        <v>44937</v>
      </c>
      <c r="B12">
        <f t="shared" si="2"/>
        <v>2023</v>
      </c>
      <c r="C12" s="1">
        <f>DATE(
  YEAR(Calendar_Table[[#This Row],[Date]]),
  MONTH(Calendar_Table[[#This Row],[Date]]),
  1
)</f>
        <v>44927</v>
      </c>
      <c r="D12">
        <f t="shared" si="0"/>
        <v>1</v>
      </c>
      <c r="E12" s="4" t="str">
        <f>TEXT(Calendar_Table[[#This Row],[Date]],"mmmm")</f>
        <v>January</v>
      </c>
      <c r="F12">
        <f t="shared" si="1"/>
        <v>3</v>
      </c>
      <c r="G12" s="5" t="str">
        <f>TEXT(Calendar_Table[[#This Row],[Date]],"dddd")</f>
        <v>Wednesday</v>
      </c>
      <c r="H12" t="str">
        <f t="shared" si="3"/>
        <v>Weekday</v>
      </c>
    </row>
    <row r="13" spans="1:8" x14ac:dyDescent="0.35">
      <c r="A13" s="1">
        <f>IF(
  A12+1&gt;MAX(Sales_Performance[Date]),
 "",
  A12+1
)</f>
        <v>44938</v>
      </c>
      <c r="B13">
        <f t="shared" si="2"/>
        <v>2023</v>
      </c>
      <c r="C13" s="1">
        <f>DATE(
  YEAR(Calendar_Table[[#This Row],[Date]]),
  MONTH(Calendar_Table[[#This Row],[Date]]),
  1
)</f>
        <v>44927</v>
      </c>
      <c r="D13">
        <f t="shared" si="0"/>
        <v>1</v>
      </c>
      <c r="E13" s="4" t="str">
        <f>TEXT(Calendar_Table[[#This Row],[Date]],"mmmm")</f>
        <v>January</v>
      </c>
      <c r="F13">
        <f t="shared" si="1"/>
        <v>4</v>
      </c>
      <c r="G13" s="5" t="str">
        <f>TEXT(Calendar_Table[[#This Row],[Date]],"dddd")</f>
        <v>Thursday</v>
      </c>
      <c r="H13" t="str">
        <f t="shared" si="3"/>
        <v>Weekday</v>
      </c>
    </row>
    <row r="14" spans="1:8" x14ac:dyDescent="0.35">
      <c r="A14" s="1">
        <f>IF(
  A13+1&gt;MAX(Sales_Performance[Date]),
 "",
  A13+1
)</f>
        <v>44939</v>
      </c>
      <c r="B14">
        <f t="shared" si="2"/>
        <v>2023</v>
      </c>
      <c r="C14" s="1">
        <f>DATE(
  YEAR(Calendar_Table[[#This Row],[Date]]),
  MONTH(Calendar_Table[[#This Row],[Date]]),
  1
)</f>
        <v>44927</v>
      </c>
      <c r="D14">
        <f t="shared" si="0"/>
        <v>1</v>
      </c>
      <c r="E14" s="4" t="str">
        <f>TEXT(Calendar_Table[[#This Row],[Date]],"mmmm")</f>
        <v>January</v>
      </c>
      <c r="F14">
        <f t="shared" si="1"/>
        <v>5</v>
      </c>
      <c r="G14" s="5" t="str">
        <f>TEXT(Calendar_Table[[#This Row],[Date]],"dddd")</f>
        <v>Friday</v>
      </c>
      <c r="H14" t="str">
        <f t="shared" si="3"/>
        <v>Weekday</v>
      </c>
    </row>
    <row r="15" spans="1:8" x14ac:dyDescent="0.35">
      <c r="A15" s="1">
        <f>IF(
  A14+1&gt;MAX(Sales_Performance[Date]),
 "",
  A14+1
)</f>
        <v>44940</v>
      </c>
      <c r="B15">
        <f t="shared" si="2"/>
        <v>2023</v>
      </c>
      <c r="C15" s="1">
        <f>DATE(
  YEAR(Calendar_Table[[#This Row],[Date]]),
  MONTH(Calendar_Table[[#This Row],[Date]]),
  1
)</f>
        <v>44927</v>
      </c>
      <c r="D15">
        <f t="shared" si="0"/>
        <v>1</v>
      </c>
      <c r="E15" s="4" t="str">
        <f>TEXT(Calendar_Table[[#This Row],[Date]],"mmmm")</f>
        <v>January</v>
      </c>
      <c r="F15">
        <f t="shared" si="1"/>
        <v>6</v>
      </c>
      <c r="G15" s="5" t="str">
        <f>TEXT(Calendar_Table[[#This Row],[Date]],"dddd")</f>
        <v>Saturday</v>
      </c>
      <c r="H15" t="str">
        <f t="shared" si="3"/>
        <v>Weekend</v>
      </c>
    </row>
    <row r="16" spans="1:8" x14ac:dyDescent="0.35">
      <c r="A16" s="1">
        <f>IF(
  A15+1&gt;MAX(Sales_Performance[Date]),
 "",
  A15+1
)</f>
        <v>44941</v>
      </c>
      <c r="B16">
        <f t="shared" si="2"/>
        <v>2023</v>
      </c>
      <c r="C16" s="1">
        <f>DATE(
  YEAR(Calendar_Table[[#This Row],[Date]]),
  MONTH(Calendar_Table[[#This Row],[Date]]),
  1
)</f>
        <v>44927</v>
      </c>
      <c r="D16">
        <f t="shared" si="0"/>
        <v>1</v>
      </c>
      <c r="E16" s="4" t="str">
        <f>TEXT(Calendar_Table[[#This Row],[Date]],"mmmm")</f>
        <v>January</v>
      </c>
      <c r="F16">
        <f t="shared" si="1"/>
        <v>7</v>
      </c>
      <c r="G16" s="5" t="str">
        <f>TEXT(Calendar_Table[[#This Row],[Date]],"dddd")</f>
        <v>Sunday</v>
      </c>
      <c r="H16" t="str">
        <f t="shared" si="3"/>
        <v>Weekend</v>
      </c>
    </row>
    <row r="17" spans="1:8" x14ac:dyDescent="0.35">
      <c r="A17" s="1">
        <f>IF(
  A16+1&gt;MAX(Sales_Performance[Date]),
 "",
  A16+1
)</f>
        <v>44942</v>
      </c>
      <c r="B17">
        <f t="shared" si="2"/>
        <v>2023</v>
      </c>
      <c r="C17" s="1">
        <f>DATE(
  YEAR(Calendar_Table[[#This Row],[Date]]),
  MONTH(Calendar_Table[[#This Row],[Date]]),
  1
)</f>
        <v>44927</v>
      </c>
      <c r="D17">
        <f t="shared" si="0"/>
        <v>1</v>
      </c>
      <c r="E17" s="4" t="str">
        <f>TEXT(Calendar_Table[[#This Row],[Date]],"mmmm")</f>
        <v>January</v>
      </c>
      <c r="F17">
        <f t="shared" si="1"/>
        <v>1</v>
      </c>
      <c r="G17" s="5" t="str">
        <f>TEXT(Calendar_Table[[#This Row],[Date]],"dddd")</f>
        <v>Monday</v>
      </c>
      <c r="H17" t="str">
        <f t="shared" si="3"/>
        <v>Weekday</v>
      </c>
    </row>
    <row r="18" spans="1:8" x14ac:dyDescent="0.35">
      <c r="A18" s="1">
        <f>IF(
  A17+1&gt;MAX(Sales_Performance[Date]),
 "",
  A17+1
)</f>
        <v>44943</v>
      </c>
      <c r="B18">
        <f t="shared" si="2"/>
        <v>2023</v>
      </c>
      <c r="C18" s="1">
        <f>DATE(
  YEAR(Calendar_Table[[#This Row],[Date]]),
  MONTH(Calendar_Table[[#This Row],[Date]]),
  1
)</f>
        <v>44927</v>
      </c>
      <c r="D18">
        <f t="shared" si="0"/>
        <v>1</v>
      </c>
      <c r="E18" s="4" t="str">
        <f>TEXT(Calendar_Table[[#This Row],[Date]],"mmmm")</f>
        <v>January</v>
      </c>
      <c r="F18">
        <f t="shared" si="1"/>
        <v>2</v>
      </c>
      <c r="G18" s="5" t="str">
        <f>TEXT(Calendar_Table[[#This Row],[Date]],"dddd")</f>
        <v>Tuesday</v>
      </c>
      <c r="H18" t="str">
        <f t="shared" si="3"/>
        <v>Weekday</v>
      </c>
    </row>
    <row r="19" spans="1:8" x14ac:dyDescent="0.35">
      <c r="A19" s="1">
        <f>IF(
  A18+1&gt;MAX(Sales_Performance[Date]),
 "",
  A18+1
)</f>
        <v>44944</v>
      </c>
      <c r="B19">
        <f t="shared" si="2"/>
        <v>2023</v>
      </c>
      <c r="C19" s="1">
        <f>DATE(
  YEAR(Calendar_Table[[#This Row],[Date]]),
  MONTH(Calendar_Table[[#This Row],[Date]]),
  1
)</f>
        <v>44927</v>
      </c>
      <c r="D19">
        <f t="shared" si="0"/>
        <v>1</v>
      </c>
      <c r="E19" s="4" t="str">
        <f>TEXT(Calendar_Table[[#This Row],[Date]],"mmmm")</f>
        <v>January</v>
      </c>
      <c r="F19">
        <f t="shared" si="1"/>
        <v>3</v>
      </c>
      <c r="G19" s="5" t="str">
        <f>TEXT(Calendar_Table[[#This Row],[Date]],"dddd")</f>
        <v>Wednesday</v>
      </c>
      <c r="H19" t="str">
        <f t="shared" si="3"/>
        <v>Weekday</v>
      </c>
    </row>
    <row r="20" spans="1:8" x14ac:dyDescent="0.35">
      <c r="A20" s="1">
        <f>IF(
  A19+1&gt;MAX(Sales_Performance[Date]),
 "",
  A19+1
)</f>
        <v>44945</v>
      </c>
      <c r="B20">
        <f t="shared" si="2"/>
        <v>2023</v>
      </c>
      <c r="C20" s="1">
        <f>DATE(
  YEAR(Calendar_Table[[#This Row],[Date]]),
  MONTH(Calendar_Table[[#This Row],[Date]]),
  1
)</f>
        <v>44927</v>
      </c>
      <c r="D20">
        <f t="shared" si="0"/>
        <v>1</v>
      </c>
      <c r="E20" s="4" t="str">
        <f>TEXT(Calendar_Table[[#This Row],[Date]],"mmmm")</f>
        <v>January</v>
      </c>
      <c r="F20">
        <f t="shared" si="1"/>
        <v>4</v>
      </c>
      <c r="G20" s="5" t="str">
        <f>TEXT(Calendar_Table[[#This Row],[Date]],"dddd")</f>
        <v>Thursday</v>
      </c>
      <c r="H20" t="str">
        <f t="shared" si="3"/>
        <v>Weekday</v>
      </c>
    </row>
    <row r="21" spans="1:8" x14ac:dyDescent="0.35">
      <c r="A21" s="1">
        <f>IF(
  A20+1&gt;MAX(Sales_Performance[Date]),
 "",
  A20+1
)</f>
        <v>44946</v>
      </c>
      <c r="B21">
        <f t="shared" si="2"/>
        <v>2023</v>
      </c>
      <c r="C21" s="1">
        <f>DATE(
  YEAR(Calendar_Table[[#This Row],[Date]]),
  MONTH(Calendar_Table[[#This Row],[Date]]),
  1
)</f>
        <v>44927</v>
      </c>
      <c r="D21">
        <f t="shared" si="0"/>
        <v>1</v>
      </c>
      <c r="E21" s="4" t="str">
        <f>TEXT(Calendar_Table[[#This Row],[Date]],"mmmm")</f>
        <v>January</v>
      </c>
      <c r="F21">
        <f t="shared" si="1"/>
        <v>5</v>
      </c>
      <c r="G21" s="5" t="str">
        <f>TEXT(Calendar_Table[[#This Row],[Date]],"dddd")</f>
        <v>Friday</v>
      </c>
      <c r="H21" t="str">
        <f t="shared" si="3"/>
        <v>Weekday</v>
      </c>
    </row>
    <row r="22" spans="1:8" x14ac:dyDescent="0.35">
      <c r="A22" s="1">
        <f>IF(
  A21+1&gt;MAX(Sales_Performance[Date]),
 "",
  A21+1
)</f>
        <v>44947</v>
      </c>
      <c r="B22">
        <f t="shared" si="2"/>
        <v>2023</v>
      </c>
      <c r="C22" s="1">
        <f>DATE(
  YEAR(Calendar_Table[[#This Row],[Date]]),
  MONTH(Calendar_Table[[#This Row],[Date]]),
  1
)</f>
        <v>44927</v>
      </c>
      <c r="D22">
        <f t="shared" si="0"/>
        <v>1</v>
      </c>
      <c r="E22" s="4" t="str">
        <f>TEXT(Calendar_Table[[#This Row],[Date]],"mmmm")</f>
        <v>January</v>
      </c>
      <c r="F22">
        <f t="shared" si="1"/>
        <v>6</v>
      </c>
      <c r="G22" s="5" t="str">
        <f>TEXT(Calendar_Table[[#This Row],[Date]],"dddd")</f>
        <v>Saturday</v>
      </c>
      <c r="H22" t="str">
        <f t="shared" si="3"/>
        <v>Weekend</v>
      </c>
    </row>
    <row r="23" spans="1:8" x14ac:dyDescent="0.35">
      <c r="A23" s="1">
        <f>IF(
  A22+1&gt;MAX(Sales_Performance[Date]),
 "",
  A22+1
)</f>
        <v>44948</v>
      </c>
      <c r="B23">
        <f t="shared" si="2"/>
        <v>2023</v>
      </c>
      <c r="C23" s="1">
        <f>DATE(
  YEAR(Calendar_Table[[#This Row],[Date]]),
  MONTH(Calendar_Table[[#This Row],[Date]]),
  1
)</f>
        <v>44927</v>
      </c>
      <c r="D23">
        <f t="shared" si="0"/>
        <v>1</v>
      </c>
      <c r="E23" s="4" t="str">
        <f>TEXT(Calendar_Table[[#This Row],[Date]],"mmmm")</f>
        <v>January</v>
      </c>
      <c r="F23">
        <f t="shared" si="1"/>
        <v>7</v>
      </c>
      <c r="G23" s="5" t="str">
        <f>TEXT(Calendar_Table[[#This Row],[Date]],"dddd")</f>
        <v>Sunday</v>
      </c>
      <c r="H23" t="str">
        <f t="shared" si="3"/>
        <v>Weekend</v>
      </c>
    </row>
    <row r="24" spans="1:8" x14ac:dyDescent="0.35">
      <c r="A24" s="1">
        <f>IF(
  A23+1&gt;MAX(Sales_Performance[Date]),
 "",
  A23+1
)</f>
        <v>44949</v>
      </c>
      <c r="B24">
        <f t="shared" si="2"/>
        <v>2023</v>
      </c>
      <c r="C24" s="1">
        <f>DATE(
  YEAR(Calendar_Table[[#This Row],[Date]]),
  MONTH(Calendar_Table[[#This Row],[Date]]),
  1
)</f>
        <v>44927</v>
      </c>
      <c r="D24">
        <f t="shared" si="0"/>
        <v>1</v>
      </c>
      <c r="E24" s="4" t="str">
        <f>TEXT(Calendar_Table[[#This Row],[Date]],"mmmm")</f>
        <v>January</v>
      </c>
      <c r="F24">
        <f t="shared" si="1"/>
        <v>1</v>
      </c>
      <c r="G24" s="5" t="str">
        <f>TEXT(Calendar_Table[[#This Row],[Date]],"dddd")</f>
        <v>Monday</v>
      </c>
      <c r="H24" t="str">
        <f t="shared" si="3"/>
        <v>Weekday</v>
      </c>
    </row>
    <row r="25" spans="1:8" x14ac:dyDescent="0.35">
      <c r="A25" s="1">
        <f>IF(
  A24+1&gt;MAX(Sales_Performance[Date]),
 "",
  A24+1
)</f>
        <v>44950</v>
      </c>
      <c r="B25">
        <f t="shared" si="2"/>
        <v>2023</v>
      </c>
      <c r="C25" s="1">
        <f>DATE(
  YEAR(Calendar_Table[[#This Row],[Date]]),
  MONTH(Calendar_Table[[#This Row],[Date]]),
  1
)</f>
        <v>44927</v>
      </c>
      <c r="D25">
        <f t="shared" si="0"/>
        <v>1</v>
      </c>
      <c r="E25" s="4" t="str">
        <f>TEXT(Calendar_Table[[#This Row],[Date]],"mmmm")</f>
        <v>January</v>
      </c>
      <c r="F25">
        <f t="shared" si="1"/>
        <v>2</v>
      </c>
      <c r="G25" s="5" t="str">
        <f>TEXT(Calendar_Table[[#This Row],[Date]],"dddd")</f>
        <v>Tuesday</v>
      </c>
      <c r="H25" t="str">
        <f t="shared" si="3"/>
        <v>Weekday</v>
      </c>
    </row>
    <row r="26" spans="1:8" x14ac:dyDescent="0.35">
      <c r="A26" s="1">
        <f>IF(
  A25+1&gt;MAX(Sales_Performance[Date]),
 "",
  A25+1
)</f>
        <v>44951</v>
      </c>
      <c r="B26">
        <f t="shared" si="2"/>
        <v>2023</v>
      </c>
      <c r="C26" s="1">
        <f>DATE(
  YEAR(Calendar_Table[[#This Row],[Date]]),
  MONTH(Calendar_Table[[#This Row],[Date]]),
  1
)</f>
        <v>44927</v>
      </c>
      <c r="D26">
        <f t="shared" si="0"/>
        <v>1</v>
      </c>
      <c r="E26" s="4" t="str">
        <f>TEXT(Calendar_Table[[#This Row],[Date]],"mmmm")</f>
        <v>January</v>
      </c>
      <c r="F26">
        <f t="shared" si="1"/>
        <v>3</v>
      </c>
      <c r="G26" s="5" t="str">
        <f>TEXT(Calendar_Table[[#This Row],[Date]],"dddd")</f>
        <v>Wednesday</v>
      </c>
      <c r="H26" t="str">
        <f t="shared" si="3"/>
        <v>Weekday</v>
      </c>
    </row>
    <row r="27" spans="1:8" x14ac:dyDescent="0.35">
      <c r="A27" s="1">
        <f>IF(
  A26+1&gt;MAX(Sales_Performance[Date]),
 "",
  A26+1
)</f>
        <v>44952</v>
      </c>
      <c r="B27">
        <f t="shared" si="2"/>
        <v>2023</v>
      </c>
      <c r="C27" s="1">
        <f>DATE(
  YEAR(Calendar_Table[[#This Row],[Date]]),
  MONTH(Calendar_Table[[#This Row],[Date]]),
  1
)</f>
        <v>44927</v>
      </c>
      <c r="D27">
        <f t="shared" si="0"/>
        <v>1</v>
      </c>
      <c r="E27" s="4" t="str">
        <f>TEXT(Calendar_Table[[#This Row],[Date]],"mmmm")</f>
        <v>January</v>
      </c>
      <c r="F27">
        <f t="shared" si="1"/>
        <v>4</v>
      </c>
      <c r="G27" s="5" t="str">
        <f>TEXT(Calendar_Table[[#This Row],[Date]],"dddd")</f>
        <v>Thursday</v>
      </c>
      <c r="H27" t="str">
        <f t="shared" si="3"/>
        <v>Weekday</v>
      </c>
    </row>
    <row r="28" spans="1:8" x14ac:dyDescent="0.35">
      <c r="A28" s="1">
        <f>IF(
  A27+1&gt;MAX(Sales_Performance[Date]),
 "",
  A27+1
)</f>
        <v>44953</v>
      </c>
      <c r="B28">
        <f t="shared" si="2"/>
        <v>2023</v>
      </c>
      <c r="C28" s="1">
        <f>DATE(
  YEAR(Calendar_Table[[#This Row],[Date]]),
  MONTH(Calendar_Table[[#This Row],[Date]]),
  1
)</f>
        <v>44927</v>
      </c>
      <c r="D28">
        <f t="shared" si="0"/>
        <v>1</v>
      </c>
      <c r="E28" s="4" t="str">
        <f>TEXT(Calendar_Table[[#This Row],[Date]],"mmmm")</f>
        <v>January</v>
      </c>
      <c r="F28">
        <f t="shared" si="1"/>
        <v>5</v>
      </c>
      <c r="G28" s="5" t="str">
        <f>TEXT(Calendar_Table[[#This Row],[Date]],"dddd")</f>
        <v>Friday</v>
      </c>
      <c r="H28" t="str">
        <f t="shared" si="3"/>
        <v>Weekday</v>
      </c>
    </row>
    <row r="29" spans="1:8" x14ac:dyDescent="0.35">
      <c r="A29" s="1">
        <f>IF(
  A28+1&gt;MAX(Sales_Performance[Date]),
 "",
  A28+1
)</f>
        <v>44954</v>
      </c>
      <c r="B29">
        <f t="shared" si="2"/>
        <v>2023</v>
      </c>
      <c r="C29" s="1">
        <f>DATE(
  YEAR(Calendar_Table[[#This Row],[Date]]),
  MONTH(Calendar_Table[[#This Row],[Date]]),
  1
)</f>
        <v>44927</v>
      </c>
      <c r="D29">
        <f t="shared" si="0"/>
        <v>1</v>
      </c>
      <c r="E29" s="4" t="str">
        <f>TEXT(Calendar_Table[[#This Row],[Date]],"mmmm")</f>
        <v>January</v>
      </c>
      <c r="F29">
        <f t="shared" si="1"/>
        <v>6</v>
      </c>
      <c r="G29" s="5" t="str">
        <f>TEXT(Calendar_Table[[#This Row],[Date]],"dddd")</f>
        <v>Saturday</v>
      </c>
      <c r="H29" t="str">
        <f t="shared" si="3"/>
        <v>Weekend</v>
      </c>
    </row>
    <row r="30" spans="1:8" x14ac:dyDescent="0.35">
      <c r="A30" s="1">
        <f>IF(
  A29+1&gt;MAX(Sales_Performance[Date]),
 "",
  A29+1
)</f>
        <v>44955</v>
      </c>
      <c r="B30">
        <f t="shared" si="2"/>
        <v>2023</v>
      </c>
      <c r="C30" s="1">
        <f>DATE(
  YEAR(Calendar_Table[[#This Row],[Date]]),
  MONTH(Calendar_Table[[#This Row],[Date]]),
  1
)</f>
        <v>44927</v>
      </c>
      <c r="D30">
        <f t="shared" si="0"/>
        <v>1</v>
      </c>
      <c r="E30" s="4" t="str">
        <f>TEXT(Calendar_Table[[#This Row],[Date]],"mmmm")</f>
        <v>January</v>
      </c>
      <c r="F30">
        <f t="shared" si="1"/>
        <v>7</v>
      </c>
      <c r="G30" s="5" t="str">
        <f>TEXT(Calendar_Table[[#This Row],[Date]],"dddd")</f>
        <v>Sunday</v>
      </c>
      <c r="H30" t="str">
        <f t="shared" si="3"/>
        <v>Weekend</v>
      </c>
    </row>
    <row r="31" spans="1:8" x14ac:dyDescent="0.35">
      <c r="A31" s="1">
        <f>IF(
  A30+1&gt;MAX(Sales_Performance[Date]),
 "",
  A30+1
)</f>
        <v>44956</v>
      </c>
      <c r="B31">
        <f t="shared" si="2"/>
        <v>2023</v>
      </c>
      <c r="C31" s="1">
        <f>DATE(
  YEAR(Calendar_Table[[#This Row],[Date]]),
  MONTH(Calendar_Table[[#This Row],[Date]]),
  1
)</f>
        <v>44927</v>
      </c>
      <c r="D31">
        <f t="shared" si="0"/>
        <v>1</v>
      </c>
      <c r="E31" s="4" t="str">
        <f>TEXT(Calendar_Table[[#This Row],[Date]],"mmmm")</f>
        <v>January</v>
      </c>
      <c r="F31">
        <f t="shared" si="1"/>
        <v>1</v>
      </c>
      <c r="G31" s="5" t="str">
        <f>TEXT(Calendar_Table[[#This Row],[Date]],"dddd")</f>
        <v>Monday</v>
      </c>
      <c r="H31" t="str">
        <f t="shared" si="3"/>
        <v>Weekday</v>
      </c>
    </row>
    <row r="32" spans="1:8" x14ac:dyDescent="0.35">
      <c r="A32" s="1">
        <f>IF(
  A31+1&gt;MAX(Sales_Performance[Date]),
 "",
  A31+1
)</f>
        <v>44957</v>
      </c>
      <c r="B32">
        <f t="shared" si="2"/>
        <v>2023</v>
      </c>
      <c r="C32" s="1">
        <f>DATE(
  YEAR(Calendar_Table[[#This Row],[Date]]),
  MONTH(Calendar_Table[[#This Row],[Date]]),
  1
)</f>
        <v>44927</v>
      </c>
      <c r="D32">
        <f t="shared" si="0"/>
        <v>1</v>
      </c>
      <c r="E32" s="4" t="str">
        <f>TEXT(Calendar_Table[[#This Row],[Date]],"mmmm")</f>
        <v>January</v>
      </c>
      <c r="F32">
        <f t="shared" si="1"/>
        <v>2</v>
      </c>
      <c r="G32" s="5" t="str">
        <f>TEXT(Calendar_Table[[#This Row],[Date]],"dddd")</f>
        <v>Tuesday</v>
      </c>
      <c r="H32" t="str">
        <f t="shared" si="3"/>
        <v>Weekday</v>
      </c>
    </row>
    <row r="33" spans="1:8" x14ac:dyDescent="0.35">
      <c r="A33" s="1">
        <f>IF(
  A32+1&gt;MAX(Sales_Performance[Date]),
 "",
  A32+1
)</f>
        <v>44958</v>
      </c>
      <c r="B33">
        <f t="shared" si="2"/>
        <v>2023</v>
      </c>
      <c r="C33" s="1">
        <f>DATE(
  YEAR(Calendar_Table[[#This Row],[Date]]),
  MONTH(Calendar_Table[[#This Row],[Date]]),
  1
)</f>
        <v>44958</v>
      </c>
      <c r="D33">
        <f t="shared" si="0"/>
        <v>2</v>
      </c>
      <c r="E33" s="4" t="str">
        <f>TEXT(Calendar_Table[[#This Row],[Date]],"mmmm")</f>
        <v>February</v>
      </c>
      <c r="F33">
        <f t="shared" si="1"/>
        <v>3</v>
      </c>
      <c r="G33" s="5" t="str">
        <f>TEXT(Calendar_Table[[#This Row],[Date]],"dddd")</f>
        <v>Wednesday</v>
      </c>
      <c r="H33" t="str">
        <f t="shared" si="3"/>
        <v>Weekday</v>
      </c>
    </row>
    <row r="34" spans="1:8" x14ac:dyDescent="0.35">
      <c r="A34" s="1">
        <f>IF(
  A33+1&gt;MAX(Sales_Performance[Date]),
 "",
  A33+1
)</f>
        <v>44959</v>
      </c>
      <c r="B34">
        <f t="shared" si="2"/>
        <v>2023</v>
      </c>
      <c r="C34" s="1">
        <f>DATE(
  YEAR(Calendar_Table[[#This Row],[Date]]),
  MONTH(Calendar_Table[[#This Row],[Date]]),
  1
)</f>
        <v>44958</v>
      </c>
      <c r="D34">
        <f t="shared" si="0"/>
        <v>2</v>
      </c>
      <c r="E34" s="4" t="str">
        <f>TEXT(Calendar_Table[[#This Row],[Date]],"mmmm")</f>
        <v>February</v>
      </c>
      <c r="F34">
        <f t="shared" si="1"/>
        <v>4</v>
      </c>
      <c r="G34" s="5" t="str">
        <f>TEXT(Calendar_Table[[#This Row],[Date]],"dddd")</f>
        <v>Thursday</v>
      </c>
      <c r="H34" t="str">
        <f t="shared" si="3"/>
        <v>Weekday</v>
      </c>
    </row>
    <row r="35" spans="1:8" x14ac:dyDescent="0.35">
      <c r="A35" s="1">
        <f>IF(
  A34+1&gt;MAX(Sales_Performance[Date]),
 "",
  A34+1
)</f>
        <v>44960</v>
      </c>
      <c r="B35">
        <f t="shared" si="2"/>
        <v>2023</v>
      </c>
      <c r="C35" s="1">
        <f>DATE(
  YEAR(Calendar_Table[[#This Row],[Date]]),
  MONTH(Calendar_Table[[#This Row],[Date]]),
  1
)</f>
        <v>44958</v>
      </c>
      <c r="D35">
        <f t="shared" si="0"/>
        <v>2</v>
      </c>
      <c r="E35" s="4" t="str">
        <f>TEXT(Calendar_Table[[#This Row],[Date]],"mmmm")</f>
        <v>February</v>
      </c>
      <c r="F35">
        <f t="shared" si="1"/>
        <v>5</v>
      </c>
      <c r="G35" s="5" t="str">
        <f>TEXT(Calendar_Table[[#This Row],[Date]],"dddd")</f>
        <v>Friday</v>
      </c>
      <c r="H35" t="str">
        <f t="shared" si="3"/>
        <v>Weekday</v>
      </c>
    </row>
    <row r="36" spans="1:8" x14ac:dyDescent="0.35">
      <c r="A36" s="1">
        <f>IF(
  A35+1&gt;MAX(Sales_Performance[Date]),
 "",
  A35+1
)</f>
        <v>44961</v>
      </c>
      <c r="B36">
        <f t="shared" si="2"/>
        <v>2023</v>
      </c>
      <c r="C36" s="1">
        <f>DATE(
  YEAR(Calendar_Table[[#This Row],[Date]]),
  MONTH(Calendar_Table[[#This Row],[Date]]),
  1
)</f>
        <v>44958</v>
      </c>
      <c r="D36">
        <f t="shared" si="0"/>
        <v>2</v>
      </c>
      <c r="E36" s="4" t="str">
        <f>TEXT(Calendar_Table[[#This Row],[Date]],"mmmm")</f>
        <v>February</v>
      </c>
      <c r="F36">
        <f t="shared" si="1"/>
        <v>6</v>
      </c>
      <c r="G36" s="5" t="str">
        <f>TEXT(Calendar_Table[[#This Row],[Date]],"dddd")</f>
        <v>Saturday</v>
      </c>
      <c r="H36" t="str">
        <f t="shared" si="3"/>
        <v>Weekend</v>
      </c>
    </row>
    <row r="37" spans="1:8" x14ac:dyDescent="0.35">
      <c r="A37" s="1">
        <f>IF(
  A36+1&gt;MAX(Sales_Performance[Date]),
 "",
  A36+1
)</f>
        <v>44962</v>
      </c>
      <c r="B37">
        <f t="shared" si="2"/>
        <v>2023</v>
      </c>
      <c r="C37" s="1">
        <f>DATE(
  YEAR(Calendar_Table[[#This Row],[Date]]),
  MONTH(Calendar_Table[[#This Row],[Date]]),
  1
)</f>
        <v>44958</v>
      </c>
      <c r="D37">
        <f t="shared" si="0"/>
        <v>2</v>
      </c>
      <c r="E37" s="4" t="str">
        <f>TEXT(Calendar_Table[[#This Row],[Date]],"mmmm")</f>
        <v>February</v>
      </c>
      <c r="F37">
        <f t="shared" si="1"/>
        <v>7</v>
      </c>
      <c r="G37" s="5" t="str">
        <f>TEXT(Calendar_Table[[#This Row],[Date]],"dddd")</f>
        <v>Sunday</v>
      </c>
      <c r="H37" t="str">
        <f t="shared" si="3"/>
        <v>Weekend</v>
      </c>
    </row>
    <row r="38" spans="1:8" x14ac:dyDescent="0.35">
      <c r="A38" s="1">
        <f>IF(
  A37+1&gt;MAX(Sales_Performance[Date]),
 "",
  A37+1
)</f>
        <v>44963</v>
      </c>
      <c r="B38">
        <f t="shared" si="2"/>
        <v>2023</v>
      </c>
      <c r="C38" s="1">
        <f>DATE(
  YEAR(Calendar_Table[[#This Row],[Date]]),
  MONTH(Calendar_Table[[#This Row],[Date]]),
  1
)</f>
        <v>44958</v>
      </c>
      <c r="D38">
        <f t="shared" si="0"/>
        <v>2</v>
      </c>
      <c r="E38" s="4" t="str">
        <f>TEXT(Calendar_Table[[#This Row],[Date]],"mmmm")</f>
        <v>February</v>
      </c>
      <c r="F38">
        <f t="shared" si="1"/>
        <v>1</v>
      </c>
      <c r="G38" s="5" t="str">
        <f>TEXT(Calendar_Table[[#This Row],[Date]],"dddd")</f>
        <v>Monday</v>
      </c>
      <c r="H38" t="str">
        <f t="shared" si="3"/>
        <v>Weekday</v>
      </c>
    </row>
    <row r="39" spans="1:8" x14ac:dyDescent="0.35">
      <c r="A39" s="1">
        <f>IF(
  A38+1&gt;MAX(Sales_Performance[Date]),
 "",
  A38+1
)</f>
        <v>44964</v>
      </c>
      <c r="B39">
        <f t="shared" si="2"/>
        <v>2023</v>
      </c>
      <c r="C39" s="1">
        <f>DATE(
  YEAR(Calendar_Table[[#This Row],[Date]]),
  MONTH(Calendar_Table[[#This Row],[Date]]),
  1
)</f>
        <v>44958</v>
      </c>
      <c r="D39">
        <f t="shared" si="0"/>
        <v>2</v>
      </c>
      <c r="E39" s="4" t="str">
        <f>TEXT(Calendar_Table[[#This Row],[Date]],"mmmm")</f>
        <v>February</v>
      </c>
      <c r="F39">
        <f t="shared" si="1"/>
        <v>2</v>
      </c>
      <c r="G39" s="5" t="str">
        <f>TEXT(Calendar_Table[[#This Row],[Date]],"dddd")</f>
        <v>Tuesday</v>
      </c>
      <c r="H39" t="str">
        <f t="shared" si="3"/>
        <v>Weekday</v>
      </c>
    </row>
    <row r="40" spans="1:8" x14ac:dyDescent="0.35">
      <c r="A40" s="1">
        <f>IF(
  A39+1&gt;MAX(Sales_Performance[Date]),
 "",
  A39+1
)</f>
        <v>44965</v>
      </c>
      <c r="B40">
        <f t="shared" si="2"/>
        <v>2023</v>
      </c>
      <c r="C40" s="1">
        <f>DATE(
  YEAR(Calendar_Table[[#This Row],[Date]]),
  MONTH(Calendar_Table[[#This Row],[Date]]),
  1
)</f>
        <v>44958</v>
      </c>
      <c r="D40">
        <f t="shared" si="0"/>
        <v>2</v>
      </c>
      <c r="E40" s="4" t="str">
        <f>TEXT(Calendar_Table[[#This Row],[Date]],"mmmm")</f>
        <v>February</v>
      </c>
      <c r="F40">
        <f t="shared" si="1"/>
        <v>3</v>
      </c>
      <c r="G40" s="5" t="str">
        <f>TEXT(Calendar_Table[[#This Row],[Date]],"dddd")</f>
        <v>Wednesday</v>
      </c>
      <c r="H40" t="str">
        <f t="shared" si="3"/>
        <v>Weekday</v>
      </c>
    </row>
    <row r="41" spans="1:8" x14ac:dyDescent="0.35">
      <c r="A41" s="1">
        <f>IF(
  A40+1&gt;MAX(Sales_Performance[Date]),
 "",
  A40+1
)</f>
        <v>44966</v>
      </c>
      <c r="B41">
        <f t="shared" si="2"/>
        <v>2023</v>
      </c>
      <c r="C41" s="1">
        <f>DATE(
  YEAR(Calendar_Table[[#This Row],[Date]]),
  MONTH(Calendar_Table[[#This Row],[Date]]),
  1
)</f>
        <v>44958</v>
      </c>
      <c r="D41">
        <f t="shared" si="0"/>
        <v>2</v>
      </c>
      <c r="E41" s="4" t="str">
        <f>TEXT(Calendar_Table[[#This Row],[Date]],"mmmm")</f>
        <v>February</v>
      </c>
      <c r="F41">
        <f t="shared" si="1"/>
        <v>4</v>
      </c>
      <c r="G41" s="5" t="str">
        <f>TEXT(Calendar_Table[[#This Row],[Date]],"dddd")</f>
        <v>Thursday</v>
      </c>
      <c r="H41" t="str">
        <f t="shared" si="3"/>
        <v>Weekday</v>
      </c>
    </row>
    <row r="42" spans="1:8" x14ac:dyDescent="0.35">
      <c r="A42" s="1">
        <f>IF(
  A41+1&gt;MAX(Sales_Performance[Date]),
 "",
  A41+1
)</f>
        <v>44967</v>
      </c>
      <c r="B42">
        <f t="shared" si="2"/>
        <v>2023</v>
      </c>
      <c r="C42" s="1">
        <f>DATE(
  YEAR(Calendar_Table[[#This Row],[Date]]),
  MONTH(Calendar_Table[[#This Row],[Date]]),
  1
)</f>
        <v>44958</v>
      </c>
      <c r="D42">
        <f t="shared" si="0"/>
        <v>2</v>
      </c>
      <c r="E42" s="4" t="str">
        <f>TEXT(Calendar_Table[[#This Row],[Date]],"mmmm")</f>
        <v>February</v>
      </c>
      <c r="F42">
        <f t="shared" si="1"/>
        <v>5</v>
      </c>
      <c r="G42" s="5" t="str">
        <f>TEXT(Calendar_Table[[#This Row],[Date]],"dddd")</f>
        <v>Friday</v>
      </c>
      <c r="H42" t="str">
        <f t="shared" si="3"/>
        <v>Weekday</v>
      </c>
    </row>
    <row r="43" spans="1:8" x14ac:dyDescent="0.35">
      <c r="A43" s="1">
        <f>IF(
  A42+1&gt;MAX(Sales_Performance[Date]),
 "",
  A42+1
)</f>
        <v>44968</v>
      </c>
      <c r="B43">
        <f t="shared" si="2"/>
        <v>2023</v>
      </c>
      <c r="C43" s="1">
        <f>DATE(
  YEAR(Calendar_Table[[#This Row],[Date]]),
  MONTH(Calendar_Table[[#This Row],[Date]]),
  1
)</f>
        <v>44958</v>
      </c>
      <c r="D43">
        <f t="shared" si="0"/>
        <v>2</v>
      </c>
      <c r="E43" s="4" t="str">
        <f>TEXT(Calendar_Table[[#This Row],[Date]],"mmmm")</f>
        <v>February</v>
      </c>
      <c r="F43">
        <f t="shared" si="1"/>
        <v>6</v>
      </c>
      <c r="G43" s="5" t="str">
        <f>TEXT(Calendar_Table[[#This Row],[Date]],"dddd")</f>
        <v>Saturday</v>
      </c>
      <c r="H43" t="str">
        <f t="shared" si="3"/>
        <v>Weekend</v>
      </c>
    </row>
    <row r="44" spans="1:8" x14ac:dyDescent="0.35">
      <c r="A44" s="1">
        <f>IF(
  A43+1&gt;MAX(Sales_Performance[Date]),
 "",
  A43+1
)</f>
        <v>44969</v>
      </c>
      <c r="B44">
        <f t="shared" si="2"/>
        <v>2023</v>
      </c>
      <c r="C44" s="1">
        <f>DATE(
  YEAR(Calendar_Table[[#This Row],[Date]]),
  MONTH(Calendar_Table[[#This Row],[Date]]),
  1
)</f>
        <v>44958</v>
      </c>
      <c r="D44">
        <f t="shared" si="0"/>
        <v>2</v>
      </c>
      <c r="E44" s="4" t="str">
        <f>TEXT(Calendar_Table[[#This Row],[Date]],"mmmm")</f>
        <v>February</v>
      </c>
      <c r="F44">
        <f t="shared" si="1"/>
        <v>7</v>
      </c>
      <c r="G44" s="5" t="str">
        <f>TEXT(Calendar_Table[[#This Row],[Date]],"dddd")</f>
        <v>Sunday</v>
      </c>
      <c r="H44" t="str">
        <f t="shared" si="3"/>
        <v>Weekend</v>
      </c>
    </row>
    <row r="45" spans="1:8" x14ac:dyDescent="0.35">
      <c r="A45" s="1">
        <f>IF(
  A44+1&gt;MAX(Sales_Performance[Date]),
 "",
  A44+1
)</f>
        <v>44970</v>
      </c>
      <c r="B45">
        <f t="shared" si="2"/>
        <v>2023</v>
      </c>
      <c r="C45" s="1">
        <f>DATE(
  YEAR(Calendar_Table[[#This Row],[Date]]),
  MONTH(Calendar_Table[[#This Row],[Date]]),
  1
)</f>
        <v>44958</v>
      </c>
      <c r="D45">
        <f t="shared" si="0"/>
        <v>2</v>
      </c>
      <c r="E45" s="4" t="str">
        <f>TEXT(Calendar_Table[[#This Row],[Date]],"mmmm")</f>
        <v>February</v>
      </c>
      <c r="F45">
        <f t="shared" si="1"/>
        <v>1</v>
      </c>
      <c r="G45" s="5" t="str">
        <f>TEXT(Calendar_Table[[#This Row],[Date]],"dddd")</f>
        <v>Monday</v>
      </c>
      <c r="H45" t="str">
        <f t="shared" si="3"/>
        <v>Weekday</v>
      </c>
    </row>
    <row r="46" spans="1:8" x14ac:dyDescent="0.35">
      <c r="A46" s="1">
        <f>IF(
  A45+1&gt;MAX(Sales_Performance[Date]),
 "",
  A45+1
)</f>
        <v>44971</v>
      </c>
      <c r="B46">
        <f t="shared" si="2"/>
        <v>2023</v>
      </c>
      <c r="C46" s="1">
        <f>DATE(
  YEAR(Calendar_Table[[#This Row],[Date]]),
  MONTH(Calendar_Table[[#This Row],[Date]]),
  1
)</f>
        <v>44958</v>
      </c>
      <c r="D46">
        <f t="shared" si="0"/>
        <v>2</v>
      </c>
      <c r="E46" s="4" t="str">
        <f>TEXT(Calendar_Table[[#This Row],[Date]],"mmmm")</f>
        <v>February</v>
      </c>
      <c r="F46">
        <f t="shared" si="1"/>
        <v>2</v>
      </c>
      <c r="G46" s="5" t="str">
        <f>TEXT(Calendar_Table[[#This Row],[Date]],"dddd")</f>
        <v>Tuesday</v>
      </c>
      <c r="H46" t="str">
        <f t="shared" si="3"/>
        <v>Weekday</v>
      </c>
    </row>
    <row r="47" spans="1:8" x14ac:dyDescent="0.35">
      <c r="A47" s="1">
        <f>IF(
  A46+1&gt;MAX(Sales_Performance[Date]),
 "",
  A46+1
)</f>
        <v>44972</v>
      </c>
      <c r="B47">
        <f t="shared" si="2"/>
        <v>2023</v>
      </c>
      <c r="C47" s="1">
        <f>DATE(
  YEAR(Calendar_Table[[#This Row],[Date]]),
  MONTH(Calendar_Table[[#This Row],[Date]]),
  1
)</f>
        <v>44958</v>
      </c>
      <c r="D47">
        <f t="shared" si="0"/>
        <v>2</v>
      </c>
      <c r="E47" s="4" t="str">
        <f>TEXT(Calendar_Table[[#This Row],[Date]],"mmmm")</f>
        <v>February</v>
      </c>
      <c r="F47">
        <f t="shared" si="1"/>
        <v>3</v>
      </c>
      <c r="G47" s="5" t="str">
        <f>TEXT(Calendar_Table[[#This Row],[Date]],"dddd")</f>
        <v>Wednesday</v>
      </c>
      <c r="H47" t="str">
        <f t="shared" si="3"/>
        <v>Weekday</v>
      </c>
    </row>
    <row r="48" spans="1:8" x14ac:dyDescent="0.35">
      <c r="A48" s="1">
        <f>IF(
  A47+1&gt;MAX(Sales_Performance[Date]),
 "",
  A47+1
)</f>
        <v>44973</v>
      </c>
      <c r="B48">
        <f t="shared" si="2"/>
        <v>2023</v>
      </c>
      <c r="C48" s="1">
        <f>DATE(
  YEAR(Calendar_Table[[#This Row],[Date]]),
  MONTH(Calendar_Table[[#This Row],[Date]]),
  1
)</f>
        <v>44958</v>
      </c>
      <c r="D48">
        <f t="shared" si="0"/>
        <v>2</v>
      </c>
      <c r="E48" s="4" t="str">
        <f>TEXT(Calendar_Table[[#This Row],[Date]],"mmmm")</f>
        <v>February</v>
      </c>
      <c r="F48">
        <f t="shared" si="1"/>
        <v>4</v>
      </c>
      <c r="G48" s="5" t="str">
        <f>TEXT(Calendar_Table[[#This Row],[Date]],"dddd")</f>
        <v>Thursday</v>
      </c>
      <c r="H48" t="str">
        <f t="shared" si="3"/>
        <v>Weekday</v>
      </c>
    </row>
    <row r="49" spans="1:8" x14ac:dyDescent="0.35">
      <c r="A49" s="1">
        <f>IF(
  A48+1&gt;MAX(Sales_Performance[Date]),
 "",
  A48+1
)</f>
        <v>44974</v>
      </c>
      <c r="B49">
        <f t="shared" si="2"/>
        <v>2023</v>
      </c>
      <c r="C49" s="1">
        <f>DATE(
  YEAR(Calendar_Table[[#This Row],[Date]]),
  MONTH(Calendar_Table[[#This Row],[Date]]),
  1
)</f>
        <v>44958</v>
      </c>
      <c r="D49">
        <f t="shared" si="0"/>
        <v>2</v>
      </c>
      <c r="E49" s="4" t="str">
        <f>TEXT(Calendar_Table[[#This Row],[Date]],"mmmm")</f>
        <v>February</v>
      </c>
      <c r="F49">
        <f t="shared" si="1"/>
        <v>5</v>
      </c>
      <c r="G49" s="5" t="str">
        <f>TEXT(Calendar_Table[[#This Row],[Date]],"dddd")</f>
        <v>Friday</v>
      </c>
      <c r="H49" t="str">
        <f t="shared" si="3"/>
        <v>Weekday</v>
      </c>
    </row>
    <row r="50" spans="1:8" x14ac:dyDescent="0.35">
      <c r="A50" s="1">
        <f>IF(
  A49+1&gt;MAX(Sales_Performance[Date]),
 "",
  A49+1
)</f>
        <v>44975</v>
      </c>
      <c r="B50">
        <f t="shared" si="2"/>
        <v>2023</v>
      </c>
      <c r="C50" s="1">
        <f>DATE(
  YEAR(Calendar_Table[[#This Row],[Date]]),
  MONTH(Calendar_Table[[#This Row],[Date]]),
  1
)</f>
        <v>44958</v>
      </c>
      <c r="D50">
        <f t="shared" si="0"/>
        <v>2</v>
      </c>
      <c r="E50" s="4" t="str">
        <f>TEXT(Calendar_Table[[#This Row],[Date]],"mmmm")</f>
        <v>February</v>
      </c>
      <c r="F50">
        <f t="shared" si="1"/>
        <v>6</v>
      </c>
      <c r="G50" s="5" t="str">
        <f>TEXT(Calendar_Table[[#This Row],[Date]],"dddd")</f>
        <v>Saturday</v>
      </c>
      <c r="H50" t="str">
        <f t="shared" si="3"/>
        <v>Weekend</v>
      </c>
    </row>
    <row r="51" spans="1:8" x14ac:dyDescent="0.35">
      <c r="A51" s="1">
        <f>IF(
  A50+1&gt;MAX(Sales_Performance[Date]),
 "",
  A50+1
)</f>
        <v>44976</v>
      </c>
      <c r="B51">
        <f t="shared" si="2"/>
        <v>2023</v>
      </c>
      <c r="C51" s="1">
        <f>DATE(
  YEAR(Calendar_Table[[#This Row],[Date]]),
  MONTH(Calendar_Table[[#This Row],[Date]]),
  1
)</f>
        <v>44958</v>
      </c>
      <c r="D51">
        <f t="shared" si="0"/>
        <v>2</v>
      </c>
      <c r="E51" s="4" t="str">
        <f>TEXT(Calendar_Table[[#This Row],[Date]],"mmmm")</f>
        <v>February</v>
      </c>
      <c r="F51">
        <f t="shared" si="1"/>
        <v>7</v>
      </c>
      <c r="G51" s="5" t="str">
        <f>TEXT(Calendar_Table[[#This Row],[Date]],"dddd")</f>
        <v>Sunday</v>
      </c>
      <c r="H51" t="str">
        <f t="shared" si="3"/>
        <v>Weekend</v>
      </c>
    </row>
    <row r="52" spans="1:8" x14ac:dyDescent="0.35">
      <c r="A52" s="1">
        <f>IF(
  A51+1&gt;MAX(Sales_Performance[Date]),
 "",
  A51+1
)</f>
        <v>44977</v>
      </c>
      <c r="B52">
        <f t="shared" si="2"/>
        <v>2023</v>
      </c>
      <c r="C52" s="1">
        <f>DATE(
  YEAR(Calendar_Table[[#This Row],[Date]]),
  MONTH(Calendar_Table[[#This Row],[Date]]),
  1
)</f>
        <v>44958</v>
      </c>
      <c r="D52">
        <f t="shared" si="0"/>
        <v>2</v>
      </c>
      <c r="E52" s="4" t="str">
        <f>TEXT(Calendar_Table[[#This Row],[Date]],"mmmm")</f>
        <v>February</v>
      </c>
      <c r="F52">
        <f t="shared" si="1"/>
        <v>1</v>
      </c>
      <c r="G52" s="5" t="str">
        <f>TEXT(Calendar_Table[[#This Row],[Date]],"dddd")</f>
        <v>Monday</v>
      </c>
      <c r="H52" t="str">
        <f t="shared" si="3"/>
        <v>Weekday</v>
      </c>
    </row>
    <row r="53" spans="1:8" x14ac:dyDescent="0.35">
      <c r="A53" s="1">
        <f>IF(
  A52+1&gt;MAX(Sales_Performance[Date]),
 "",
  A52+1
)</f>
        <v>44978</v>
      </c>
      <c r="B53">
        <f t="shared" si="2"/>
        <v>2023</v>
      </c>
      <c r="C53" s="1">
        <f>DATE(
  YEAR(Calendar_Table[[#This Row],[Date]]),
  MONTH(Calendar_Table[[#This Row],[Date]]),
  1
)</f>
        <v>44958</v>
      </c>
      <c r="D53">
        <f t="shared" si="0"/>
        <v>2</v>
      </c>
      <c r="E53" s="4" t="str">
        <f>TEXT(Calendar_Table[[#This Row],[Date]],"mmmm")</f>
        <v>February</v>
      </c>
      <c r="F53">
        <f t="shared" si="1"/>
        <v>2</v>
      </c>
      <c r="G53" s="5" t="str">
        <f>TEXT(Calendar_Table[[#This Row],[Date]],"dddd")</f>
        <v>Tuesday</v>
      </c>
      <c r="H53" t="str">
        <f t="shared" si="3"/>
        <v>Weekday</v>
      </c>
    </row>
    <row r="54" spans="1:8" x14ac:dyDescent="0.35">
      <c r="A54" s="1">
        <f>IF(
  A53+1&gt;MAX(Sales_Performance[Date]),
 "",
  A53+1
)</f>
        <v>44979</v>
      </c>
      <c r="B54">
        <f t="shared" si="2"/>
        <v>2023</v>
      </c>
      <c r="C54" s="1">
        <f>DATE(
  YEAR(Calendar_Table[[#This Row],[Date]]),
  MONTH(Calendar_Table[[#This Row],[Date]]),
  1
)</f>
        <v>44958</v>
      </c>
      <c r="D54">
        <f t="shared" si="0"/>
        <v>2</v>
      </c>
      <c r="E54" s="4" t="str">
        <f>TEXT(Calendar_Table[[#This Row],[Date]],"mmmm")</f>
        <v>February</v>
      </c>
      <c r="F54">
        <f t="shared" si="1"/>
        <v>3</v>
      </c>
      <c r="G54" s="5" t="str">
        <f>TEXT(Calendar_Table[[#This Row],[Date]],"dddd")</f>
        <v>Wednesday</v>
      </c>
      <c r="H54" t="str">
        <f t="shared" si="3"/>
        <v>Weekday</v>
      </c>
    </row>
    <row r="55" spans="1:8" x14ac:dyDescent="0.35">
      <c r="A55" s="1">
        <f>IF(
  A54+1&gt;MAX(Sales_Performance[Date]),
 "",
  A54+1
)</f>
        <v>44980</v>
      </c>
      <c r="B55">
        <f t="shared" si="2"/>
        <v>2023</v>
      </c>
      <c r="C55" s="1">
        <f>DATE(
  YEAR(Calendar_Table[[#This Row],[Date]]),
  MONTH(Calendar_Table[[#This Row],[Date]]),
  1
)</f>
        <v>44958</v>
      </c>
      <c r="D55">
        <f t="shared" si="0"/>
        <v>2</v>
      </c>
      <c r="E55" s="4" t="str">
        <f>TEXT(Calendar_Table[[#This Row],[Date]],"mmmm")</f>
        <v>February</v>
      </c>
      <c r="F55">
        <f t="shared" si="1"/>
        <v>4</v>
      </c>
      <c r="G55" s="5" t="str">
        <f>TEXT(Calendar_Table[[#This Row],[Date]],"dddd")</f>
        <v>Thursday</v>
      </c>
      <c r="H55" t="str">
        <f t="shared" si="3"/>
        <v>Weekday</v>
      </c>
    </row>
    <row r="56" spans="1:8" x14ac:dyDescent="0.35">
      <c r="A56" s="1">
        <f>IF(
  A55+1&gt;MAX(Sales_Performance[Date]),
 "",
  A55+1
)</f>
        <v>44981</v>
      </c>
      <c r="B56">
        <f t="shared" si="2"/>
        <v>2023</v>
      </c>
      <c r="C56" s="1">
        <f>DATE(
  YEAR(Calendar_Table[[#This Row],[Date]]),
  MONTH(Calendar_Table[[#This Row],[Date]]),
  1
)</f>
        <v>44958</v>
      </c>
      <c r="D56">
        <f t="shared" si="0"/>
        <v>2</v>
      </c>
      <c r="E56" s="4" t="str">
        <f>TEXT(Calendar_Table[[#This Row],[Date]],"mmmm")</f>
        <v>February</v>
      </c>
      <c r="F56">
        <f t="shared" si="1"/>
        <v>5</v>
      </c>
      <c r="G56" s="5" t="str">
        <f>TEXT(Calendar_Table[[#This Row],[Date]],"dddd")</f>
        <v>Friday</v>
      </c>
      <c r="H56" t="str">
        <f t="shared" si="3"/>
        <v>Weekday</v>
      </c>
    </row>
    <row r="57" spans="1:8" x14ac:dyDescent="0.35">
      <c r="A57" s="1">
        <f>IF(
  A56+1&gt;MAX(Sales_Performance[Date]),
 "",
  A56+1
)</f>
        <v>44982</v>
      </c>
      <c r="B57">
        <f t="shared" si="2"/>
        <v>2023</v>
      </c>
      <c r="C57" s="1">
        <f>DATE(
  YEAR(Calendar_Table[[#This Row],[Date]]),
  MONTH(Calendar_Table[[#This Row],[Date]]),
  1
)</f>
        <v>44958</v>
      </c>
      <c r="D57">
        <f t="shared" si="0"/>
        <v>2</v>
      </c>
      <c r="E57" s="4" t="str">
        <f>TEXT(Calendar_Table[[#This Row],[Date]],"mmmm")</f>
        <v>February</v>
      </c>
      <c r="F57">
        <f t="shared" si="1"/>
        <v>6</v>
      </c>
      <c r="G57" s="5" t="str">
        <f>TEXT(Calendar_Table[[#This Row],[Date]],"dddd")</f>
        <v>Saturday</v>
      </c>
      <c r="H57" t="str">
        <f t="shared" si="3"/>
        <v>Weekend</v>
      </c>
    </row>
    <row r="58" spans="1:8" x14ac:dyDescent="0.35">
      <c r="A58" s="1">
        <f>IF(
  A57+1&gt;MAX(Sales_Performance[Date]),
 "",
  A57+1
)</f>
        <v>44983</v>
      </c>
      <c r="B58">
        <f t="shared" si="2"/>
        <v>2023</v>
      </c>
      <c r="C58" s="1">
        <f>DATE(
  YEAR(Calendar_Table[[#This Row],[Date]]),
  MONTH(Calendar_Table[[#This Row],[Date]]),
  1
)</f>
        <v>44958</v>
      </c>
      <c r="D58">
        <f t="shared" si="0"/>
        <v>2</v>
      </c>
      <c r="E58" s="4" t="str">
        <f>TEXT(Calendar_Table[[#This Row],[Date]],"mmmm")</f>
        <v>February</v>
      </c>
      <c r="F58">
        <f t="shared" si="1"/>
        <v>7</v>
      </c>
      <c r="G58" s="5" t="str">
        <f>TEXT(Calendar_Table[[#This Row],[Date]],"dddd")</f>
        <v>Sunday</v>
      </c>
      <c r="H58" t="str">
        <f t="shared" si="3"/>
        <v>Weekend</v>
      </c>
    </row>
    <row r="59" spans="1:8" x14ac:dyDescent="0.35">
      <c r="A59" s="1">
        <f>IF(
  A58+1&gt;MAX(Sales_Performance[Date]),
 "",
  A58+1
)</f>
        <v>44984</v>
      </c>
      <c r="B59">
        <f t="shared" si="2"/>
        <v>2023</v>
      </c>
      <c r="C59" s="1">
        <f>DATE(
  YEAR(Calendar_Table[[#This Row],[Date]]),
  MONTH(Calendar_Table[[#This Row],[Date]]),
  1
)</f>
        <v>44958</v>
      </c>
      <c r="D59">
        <f t="shared" si="0"/>
        <v>2</v>
      </c>
      <c r="E59" s="4" t="str">
        <f>TEXT(Calendar_Table[[#This Row],[Date]],"mmmm")</f>
        <v>February</v>
      </c>
      <c r="F59">
        <f t="shared" si="1"/>
        <v>1</v>
      </c>
      <c r="G59" s="5" t="str">
        <f>TEXT(Calendar_Table[[#This Row],[Date]],"dddd")</f>
        <v>Monday</v>
      </c>
      <c r="H59" t="str">
        <f t="shared" si="3"/>
        <v>Weekday</v>
      </c>
    </row>
    <row r="60" spans="1:8" x14ac:dyDescent="0.35">
      <c r="A60" s="1">
        <f>IF(
  A59+1&gt;MAX(Sales_Performance[Date]),
 "",
  A59+1
)</f>
        <v>44985</v>
      </c>
      <c r="B60">
        <f t="shared" si="2"/>
        <v>2023</v>
      </c>
      <c r="C60" s="1">
        <f>DATE(
  YEAR(Calendar_Table[[#This Row],[Date]]),
  MONTH(Calendar_Table[[#This Row],[Date]]),
  1
)</f>
        <v>44958</v>
      </c>
      <c r="D60">
        <f t="shared" si="0"/>
        <v>2</v>
      </c>
      <c r="E60" s="4" t="str">
        <f>TEXT(Calendar_Table[[#This Row],[Date]],"mmmm")</f>
        <v>February</v>
      </c>
      <c r="F60">
        <f t="shared" si="1"/>
        <v>2</v>
      </c>
      <c r="G60" s="5" t="str">
        <f>TEXT(Calendar_Table[[#This Row],[Date]],"dddd")</f>
        <v>Tuesday</v>
      </c>
      <c r="H60" t="str">
        <f t="shared" si="3"/>
        <v>Weekday</v>
      </c>
    </row>
    <row r="61" spans="1:8" x14ac:dyDescent="0.35">
      <c r="A61" s="1">
        <f>IF(
  A60+1&gt;MAX(Sales_Performance[Date]),
 "",
  A60+1
)</f>
        <v>44986</v>
      </c>
      <c r="B61">
        <f t="shared" si="2"/>
        <v>2023</v>
      </c>
      <c r="C61" s="1">
        <f>DATE(
  YEAR(Calendar_Table[[#This Row],[Date]]),
  MONTH(Calendar_Table[[#This Row],[Date]]),
  1
)</f>
        <v>44986</v>
      </c>
      <c r="D61">
        <f t="shared" si="0"/>
        <v>3</v>
      </c>
      <c r="E61" s="4" t="str">
        <f>TEXT(Calendar_Table[[#This Row],[Date]],"mmmm")</f>
        <v>March</v>
      </c>
      <c r="F61">
        <f t="shared" si="1"/>
        <v>3</v>
      </c>
      <c r="G61" s="5" t="str">
        <f>TEXT(Calendar_Table[[#This Row],[Date]],"dddd")</f>
        <v>Wednesday</v>
      </c>
      <c r="H61" t="str">
        <f t="shared" si="3"/>
        <v>Weekday</v>
      </c>
    </row>
    <row r="62" spans="1:8" x14ac:dyDescent="0.35">
      <c r="A62" s="1">
        <f>IF(
  A61+1&gt;MAX(Sales_Performance[Date]),
 "",
  A61+1
)</f>
        <v>44987</v>
      </c>
      <c r="B62">
        <f t="shared" si="2"/>
        <v>2023</v>
      </c>
      <c r="C62" s="1">
        <f>DATE(
  YEAR(Calendar_Table[[#This Row],[Date]]),
  MONTH(Calendar_Table[[#This Row],[Date]]),
  1
)</f>
        <v>44986</v>
      </c>
      <c r="D62">
        <f t="shared" si="0"/>
        <v>3</v>
      </c>
      <c r="E62" s="4" t="str">
        <f>TEXT(Calendar_Table[[#This Row],[Date]],"mmmm")</f>
        <v>March</v>
      </c>
      <c r="F62">
        <f t="shared" si="1"/>
        <v>4</v>
      </c>
      <c r="G62" s="5" t="str">
        <f>TEXT(Calendar_Table[[#This Row],[Date]],"dddd")</f>
        <v>Thursday</v>
      </c>
      <c r="H62" t="str">
        <f t="shared" si="3"/>
        <v>Weekday</v>
      </c>
    </row>
    <row r="63" spans="1:8" x14ac:dyDescent="0.35">
      <c r="A63" s="1">
        <f>IF(
  A62+1&gt;MAX(Sales_Performance[Date]),
 "",
  A62+1
)</f>
        <v>44988</v>
      </c>
      <c r="B63">
        <f t="shared" si="2"/>
        <v>2023</v>
      </c>
      <c r="C63" s="1">
        <f>DATE(
  YEAR(Calendar_Table[[#This Row],[Date]]),
  MONTH(Calendar_Table[[#This Row],[Date]]),
  1
)</f>
        <v>44986</v>
      </c>
      <c r="D63">
        <f t="shared" si="0"/>
        <v>3</v>
      </c>
      <c r="E63" s="4" t="str">
        <f>TEXT(Calendar_Table[[#This Row],[Date]],"mmmm")</f>
        <v>March</v>
      </c>
      <c r="F63">
        <f t="shared" si="1"/>
        <v>5</v>
      </c>
      <c r="G63" s="5" t="str">
        <f>TEXT(Calendar_Table[[#This Row],[Date]],"dddd")</f>
        <v>Friday</v>
      </c>
      <c r="H63" t="str">
        <f t="shared" si="3"/>
        <v>Weekday</v>
      </c>
    </row>
    <row r="64" spans="1:8" x14ac:dyDescent="0.35">
      <c r="A64" s="1">
        <f>IF(
  A63+1&gt;MAX(Sales_Performance[Date]),
 "",
  A63+1
)</f>
        <v>44989</v>
      </c>
      <c r="B64">
        <f t="shared" si="2"/>
        <v>2023</v>
      </c>
      <c r="C64" s="1">
        <f>DATE(
  YEAR(Calendar_Table[[#This Row],[Date]]),
  MONTH(Calendar_Table[[#This Row],[Date]]),
  1
)</f>
        <v>44986</v>
      </c>
      <c r="D64">
        <f t="shared" si="0"/>
        <v>3</v>
      </c>
      <c r="E64" s="4" t="str">
        <f>TEXT(Calendar_Table[[#This Row],[Date]],"mmmm")</f>
        <v>March</v>
      </c>
      <c r="F64">
        <f t="shared" si="1"/>
        <v>6</v>
      </c>
      <c r="G64" s="5" t="str">
        <f>TEXT(Calendar_Table[[#This Row],[Date]],"dddd")</f>
        <v>Saturday</v>
      </c>
      <c r="H64" t="str">
        <f t="shared" si="3"/>
        <v>Weekend</v>
      </c>
    </row>
    <row r="65" spans="1:8" x14ac:dyDescent="0.35">
      <c r="A65" s="1">
        <f>IF(
  A64+1&gt;MAX(Sales_Performance[Date]),
 "",
  A64+1
)</f>
        <v>44990</v>
      </c>
      <c r="B65">
        <f t="shared" si="2"/>
        <v>2023</v>
      </c>
      <c r="C65" s="1">
        <f>DATE(
  YEAR(Calendar_Table[[#This Row],[Date]]),
  MONTH(Calendar_Table[[#This Row],[Date]]),
  1
)</f>
        <v>44986</v>
      </c>
      <c r="D65">
        <f t="shared" si="0"/>
        <v>3</v>
      </c>
      <c r="E65" s="4" t="str">
        <f>TEXT(Calendar_Table[[#This Row],[Date]],"mmmm")</f>
        <v>March</v>
      </c>
      <c r="F65">
        <f t="shared" si="1"/>
        <v>7</v>
      </c>
      <c r="G65" s="5" t="str">
        <f>TEXT(Calendar_Table[[#This Row],[Date]],"dddd")</f>
        <v>Sunday</v>
      </c>
      <c r="H65" t="str">
        <f t="shared" si="3"/>
        <v>Weekend</v>
      </c>
    </row>
    <row r="66" spans="1:8" x14ac:dyDescent="0.35">
      <c r="A66" s="1">
        <f>IF(
  A65+1&gt;MAX(Sales_Performance[Date]),
 "",
  A65+1
)</f>
        <v>44991</v>
      </c>
      <c r="B66">
        <f t="shared" si="2"/>
        <v>2023</v>
      </c>
      <c r="C66" s="1">
        <f>DATE(
  YEAR(Calendar_Table[[#This Row],[Date]]),
  MONTH(Calendar_Table[[#This Row],[Date]]),
  1
)</f>
        <v>44986</v>
      </c>
      <c r="D66">
        <f t="shared" ref="D66:D129" si="4">MONTH(A66)</f>
        <v>3</v>
      </c>
      <c r="E66" s="4" t="str">
        <f>TEXT(Calendar_Table[[#This Row],[Date]],"mmmm")</f>
        <v>March</v>
      </c>
      <c r="F66">
        <f t="shared" ref="F66:F129" si="5">WEEKDAY(A66,2)</f>
        <v>1</v>
      </c>
      <c r="G66" s="5" t="str">
        <f>TEXT(Calendar_Table[[#This Row],[Date]],"dddd")</f>
        <v>Monday</v>
      </c>
      <c r="H66" t="str">
        <f t="shared" si="3"/>
        <v>Weekday</v>
      </c>
    </row>
    <row r="67" spans="1:8" x14ac:dyDescent="0.35">
      <c r="A67" s="1">
        <f>IF(
  A66+1&gt;MAX(Sales_Performance[Date]),
 "",
  A66+1
)</f>
        <v>44992</v>
      </c>
      <c r="B67">
        <f t="shared" ref="B67:B130" si="6">YEAR(A67)</f>
        <v>2023</v>
      </c>
      <c r="C67" s="1">
        <f>DATE(
  YEAR(Calendar_Table[[#This Row],[Date]]),
  MONTH(Calendar_Table[[#This Row],[Date]]),
  1
)</f>
        <v>44986</v>
      </c>
      <c r="D67">
        <f t="shared" si="4"/>
        <v>3</v>
      </c>
      <c r="E67" s="4" t="str">
        <f>TEXT(Calendar_Table[[#This Row],[Date]],"mmmm")</f>
        <v>March</v>
      </c>
      <c r="F67">
        <f t="shared" si="5"/>
        <v>2</v>
      </c>
      <c r="G67" s="5" t="str">
        <f>TEXT(Calendar_Table[[#This Row],[Date]],"dddd")</f>
        <v>Tuesday</v>
      </c>
      <c r="H67" t="str">
        <f t="shared" ref="H67:H130" si="7">IF(
   OR(
      F67=6,
      F67=7,
   ),
   "Weekend",
   "Weekday"
)</f>
        <v>Weekday</v>
      </c>
    </row>
    <row r="68" spans="1:8" x14ac:dyDescent="0.35">
      <c r="A68" s="1">
        <f>IF(
  A67+1&gt;MAX(Sales_Performance[Date]),
 "",
  A67+1
)</f>
        <v>44993</v>
      </c>
      <c r="B68">
        <f t="shared" si="6"/>
        <v>2023</v>
      </c>
      <c r="C68" s="1">
        <f>DATE(
  YEAR(Calendar_Table[[#This Row],[Date]]),
  MONTH(Calendar_Table[[#This Row],[Date]]),
  1
)</f>
        <v>44986</v>
      </c>
      <c r="D68">
        <f t="shared" si="4"/>
        <v>3</v>
      </c>
      <c r="E68" s="4" t="str">
        <f>TEXT(Calendar_Table[[#This Row],[Date]],"mmmm")</f>
        <v>March</v>
      </c>
      <c r="F68">
        <f t="shared" si="5"/>
        <v>3</v>
      </c>
      <c r="G68" s="5" t="str">
        <f>TEXT(Calendar_Table[[#This Row],[Date]],"dddd")</f>
        <v>Wednesday</v>
      </c>
      <c r="H68" t="str">
        <f t="shared" si="7"/>
        <v>Weekday</v>
      </c>
    </row>
    <row r="69" spans="1:8" x14ac:dyDescent="0.35">
      <c r="A69" s="1">
        <f>IF(
  A68+1&gt;MAX(Sales_Performance[Date]),
 "",
  A68+1
)</f>
        <v>44994</v>
      </c>
      <c r="B69">
        <f t="shared" si="6"/>
        <v>2023</v>
      </c>
      <c r="C69" s="1">
        <f>DATE(
  YEAR(Calendar_Table[[#This Row],[Date]]),
  MONTH(Calendar_Table[[#This Row],[Date]]),
  1
)</f>
        <v>44986</v>
      </c>
      <c r="D69">
        <f t="shared" si="4"/>
        <v>3</v>
      </c>
      <c r="E69" s="4" t="str">
        <f>TEXT(Calendar_Table[[#This Row],[Date]],"mmmm")</f>
        <v>March</v>
      </c>
      <c r="F69">
        <f t="shared" si="5"/>
        <v>4</v>
      </c>
      <c r="G69" s="5" t="str">
        <f>TEXT(Calendar_Table[[#This Row],[Date]],"dddd")</f>
        <v>Thursday</v>
      </c>
      <c r="H69" t="str">
        <f t="shared" si="7"/>
        <v>Weekday</v>
      </c>
    </row>
    <row r="70" spans="1:8" x14ac:dyDescent="0.35">
      <c r="A70" s="1">
        <f>IF(
  A69+1&gt;MAX(Sales_Performance[Date]),
 "",
  A69+1
)</f>
        <v>44995</v>
      </c>
      <c r="B70">
        <f t="shared" si="6"/>
        <v>2023</v>
      </c>
      <c r="C70" s="1">
        <f>DATE(
  YEAR(Calendar_Table[[#This Row],[Date]]),
  MONTH(Calendar_Table[[#This Row],[Date]]),
  1
)</f>
        <v>44986</v>
      </c>
      <c r="D70">
        <f t="shared" si="4"/>
        <v>3</v>
      </c>
      <c r="E70" s="4" t="str">
        <f>TEXT(Calendar_Table[[#This Row],[Date]],"mmmm")</f>
        <v>March</v>
      </c>
      <c r="F70">
        <f t="shared" si="5"/>
        <v>5</v>
      </c>
      <c r="G70" s="5" t="str">
        <f>TEXT(Calendar_Table[[#This Row],[Date]],"dddd")</f>
        <v>Friday</v>
      </c>
      <c r="H70" t="str">
        <f t="shared" si="7"/>
        <v>Weekday</v>
      </c>
    </row>
    <row r="71" spans="1:8" x14ac:dyDescent="0.35">
      <c r="A71" s="1">
        <f>IF(
  A70+1&gt;MAX(Sales_Performance[Date]),
 "",
  A70+1
)</f>
        <v>44996</v>
      </c>
      <c r="B71">
        <f t="shared" si="6"/>
        <v>2023</v>
      </c>
      <c r="C71" s="1">
        <f>DATE(
  YEAR(Calendar_Table[[#This Row],[Date]]),
  MONTH(Calendar_Table[[#This Row],[Date]]),
  1
)</f>
        <v>44986</v>
      </c>
      <c r="D71">
        <f t="shared" si="4"/>
        <v>3</v>
      </c>
      <c r="E71" s="4" t="str">
        <f>TEXT(Calendar_Table[[#This Row],[Date]],"mmmm")</f>
        <v>March</v>
      </c>
      <c r="F71">
        <f t="shared" si="5"/>
        <v>6</v>
      </c>
      <c r="G71" s="5" t="str">
        <f>TEXT(Calendar_Table[[#This Row],[Date]],"dddd")</f>
        <v>Saturday</v>
      </c>
      <c r="H71" t="str">
        <f t="shared" si="7"/>
        <v>Weekend</v>
      </c>
    </row>
    <row r="72" spans="1:8" x14ac:dyDescent="0.35">
      <c r="A72" s="1">
        <f>IF(
  A71+1&gt;MAX(Sales_Performance[Date]),
 "",
  A71+1
)</f>
        <v>44997</v>
      </c>
      <c r="B72">
        <f t="shared" si="6"/>
        <v>2023</v>
      </c>
      <c r="C72" s="1">
        <f>DATE(
  YEAR(Calendar_Table[[#This Row],[Date]]),
  MONTH(Calendar_Table[[#This Row],[Date]]),
  1
)</f>
        <v>44986</v>
      </c>
      <c r="D72">
        <f t="shared" si="4"/>
        <v>3</v>
      </c>
      <c r="E72" s="4" t="str">
        <f>TEXT(Calendar_Table[[#This Row],[Date]],"mmmm")</f>
        <v>March</v>
      </c>
      <c r="F72">
        <f t="shared" si="5"/>
        <v>7</v>
      </c>
      <c r="G72" s="5" t="str">
        <f>TEXT(Calendar_Table[[#This Row],[Date]],"dddd")</f>
        <v>Sunday</v>
      </c>
      <c r="H72" t="str">
        <f t="shared" si="7"/>
        <v>Weekend</v>
      </c>
    </row>
    <row r="73" spans="1:8" x14ac:dyDescent="0.35">
      <c r="A73" s="1">
        <f>IF(
  A72+1&gt;MAX(Sales_Performance[Date]),
 "",
  A72+1
)</f>
        <v>44998</v>
      </c>
      <c r="B73">
        <f t="shared" si="6"/>
        <v>2023</v>
      </c>
      <c r="C73" s="1">
        <f>DATE(
  YEAR(Calendar_Table[[#This Row],[Date]]),
  MONTH(Calendar_Table[[#This Row],[Date]]),
  1
)</f>
        <v>44986</v>
      </c>
      <c r="D73">
        <f t="shared" si="4"/>
        <v>3</v>
      </c>
      <c r="E73" s="4" t="str">
        <f>TEXT(Calendar_Table[[#This Row],[Date]],"mmmm")</f>
        <v>March</v>
      </c>
      <c r="F73">
        <f t="shared" si="5"/>
        <v>1</v>
      </c>
      <c r="G73" s="5" t="str">
        <f>TEXT(Calendar_Table[[#This Row],[Date]],"dddd")</f>
        <v>Monday</v>
      </c>
      <c r="H73" t="str">
        <f t="shared" si="7"/>
        <v>Weekday</v>
      </c>
    </row>
    <row r="74" spans="1:8" x14ac:dyDescent="0.35">
      <c r="A74" s="1">
        <f>IF(
  A73+1&gt;MAX(Sales_Performance[Date]),
 "",
  A73+1
)</f>
        <v>44999</v>
      </c>
      <c r="B74">
        <f t="shared" si="6"/>
        <v>2023</v>
      </c>
      <c r="C74" s="1">
        <f>DATE(
  YEAR(Calendar_Table[[#This Row],[Date]]),
  MONTH(Calendar_Table[[#This Row],[Date]]),
  1
)</f>
        <v>44986</v>
      </c>
      <c r="D74">
        <f t="shared" si="4"/>
        <v>3</v>
      </c>
      <c r="E74" s="4" t="str">
        <f>TEXT(Calendar_Table[[#This Row],[Date]],"mmmm")</f>
        <v>March</v>
      </c>
      <c r="F74">
        <f t="shared" si="5"/>
        <v>2</v>
      </c>
      <c r="G74" s="5" t="str">
        <f>TEXT(Calendar_Table[[#This Row],[Date]],"dddd")</f>
        <v>Tuesday</v>
      </c>
      <c r="H74" t="str">
        <f t="shared" si="7"/>
        <v>Weekday</v>
      </c>
    </row>
    <row r="75" spans="1:8" x14ac:dyDescent="0.35">
      <c r="A75" s="1">
        <f>IF(
  A74+1&gt;MAX(Sales_Performance[Date]),
 "",
  A74+1
)</f>
        <v>45000</v>
      </c>
      <c r="B75">
        <f t="shared" si="6"/>
        <v>2023</v>
      </c>
      <c r="C75" s="1">
        <f>DATE(
  YEAR(Calendar_Table[[#This Row],[Date]]),
  MONTH(Calendar_Table[[#This Row],[Date]]),
  1
)</f>
        <v>44986</v>
      </c>
      <c r="D75">
        <f t="shared" si="4"/>
        <v>3</v>
      </c>
      <c r="E75" s="4" t="str">
        <f>TEXT(Calendar_Table[[#This Row],[Date]],"mmmm")</f>
        <v>March</v>
      </c>
      <c r="F75">
        <f t="shared" si="5"/>
        <v>3</v>
      </c>
      <c r="G75" s="5" t="str">
        <f>TEXT(Calendar_Table[[#This Row],[Date]],"dddd")</f>
        <v>Wednesday</v>
      </c>
      <c r="H75" t="str">
        <f t="shared" si="7"/>
        <v>Weekday</v>
      </c>
    </row>
    <row r="76" spans="1:8" x14ac:dyDescent="0.35">
      <c r="A76" s="1">
        <f>IF(
  A75+1&gt;MAX(Sales_Performance[Date]),
 "",
  A75+1
)</f>
        <v>45001</v>
      </c>
      <c r="B76">
        <f t="shared" si="6"/>
        <v>2023</v>
      </c>
      <c r="C76" s="1">
        <f>DATE(
  YEAR(Calendar_Table[[#This Row],[Date]]),
  MONTH(Calendar_Table[[#This Row],[Date]]),
  1
)</f>
        <v>44986</v>
      </c>
      <c r="D76">
        <f t="shared" si="4"/>
        <v>3</v>
      </c>
      <c r="E76" s="4" t="str">
        <f>TEXT(Calendar_Table[[#This Row],[Date]],"mmmm")</f>
        <v>March</v>
      </c>
      <c r="F76">
        <f t="shared" si="5"/>
        <v>4</v>
      </c>
      <c r="G76" s="5" t="str">
        <f>TEXT(Calendar_Table[[#This Row],[Date]],"dddd")</f>
        <v>Thursday</v>
      </c>
      <c r="H76" t="str">
        <f t="shared" si="7"/>
        <v>Weekday</v>
      </c>
    </row>
    <row r="77" spans="1:8" x14ac:dyDescent="0.35">
      <c r="A77" s="1">
        <f>IF(
  A76+1&gt;MAX(Sales_Performance[Date]),
 "",
  A76+1
)</f>
        <v>45002</v>
      </c>
      <c r="B77">
        <f t="shared" si="6"/>
        <v>2023</v>
      </c>
      <c r="C77" s="1">
        <f>DATE(
  YEAR(Calendar_Table[[#This Row],[Date]]),
  MONTH(Calendar_Table[[#This Row],[Date]]),
  1
)</f>
        <v>44986</v>
      </c>
      <c r="D77">
        <f t="shared" si="4"/>
        <v>3</v>
      </c>
      <c r="E77" s="4" t="str">
        <f>TEXT(Calendar_Table[[#This Row],[Date]],"mmmm")</f>
        <v>March</v>
      </c>
      <c r="F77">
        <f t="shared" si="5"/>
        <v>5</v>
      </c>
      <c r="G77" s="5" t="str">
        <f>TEXT(Calendar_Table[[#This Row],[Date]],"dddd")</f>
        <v>Friday</v>
      </c>
      <c r="H77" t="str">
        <f t="shared" si="7"/>
        <v>Weekday</v>
      </c>
    </row>
    <row r="78" spans="1:8" x14ac:dyDescent="0.35">
      <c r="A78" s="1">
        <f>IF(
  A77+1&gt;MAX(Sales_Performance[Date]),
 "",
  A77+1
)</f>
        <v>45003</v>
      </c>
      <c r="B78">
        <f t="shared" si="6"/>
        <v>2023</v>
      </c>
      <c r="C78" s="1">
        <f>DATE(
  YEAR(Calendar_Table[[#This Row],[Date]]),
  MONTH(Calendar_Table[[#This Row],[Date]]),
  1
)</f>
        <v>44986</v>
      </c>
      <c r="D78">
        <f t="shared" si="4"/>
        <v>3</v>
      </c>
      <c r="E78" s="4" t="str">
        <f>TEXT(Calendar_Table[[#This Row],[Date]],"mmmm")</f>
        <v>March</v>
      </c>
      <c r="F78">
        <f t="shared" si="5"/>
        <v>6</v>
      </c>
      <c r="G78" s="5" t="str">
        <f>TEXT(Calendar_Table[[#This Row],[Date]],"dddd")</f>
        <v>Saturday</v>
      </c>
      <c r="H78" t="str">
        <f t="shared" si="7"/>
        <v>Weekend</v>
      </c>
    </row>
    <row r="79" spans="1:8" x14ac:dyDescent="0.35">
      <c r="A79" s="1">
        <f>IF(
  A78+1&gt;MAX(Sales_Performance[Date]),
 "",
  A78+1
)</f>
        <v>45004</v>
      </c>
      <c r="B79">
        <f t="shared" si="6"/>
        <v>2023</v>
      </c>
      <c r="C79" s="1">
        <f>DATE(
  YEAR(Calendar_Table[[#This Row],[Date]]),
  MONTH(Calendar_Table[[#This Row],[Date]]),
  1
)</f>
        <v>44986</v>
      </c>
      <c r="D79">
        <f t="shared" si="4"/>
        <v>3</v>
      </c>
      <c r="E79" s="4" t="str">
        <f>TEXT(Calendar_Table[[#This Row],[Date]],"mmmm")</f>
        <v>March</v>
      </c>
      <c r="F79">
        <f t="shared" si="5"/>
        <v>7</v>
      </c>
      <c r="G79" s="5" t="str">
        <f>TEXT(Calendar_Table[[#This Row],[Date]],"dddd")</f>
        <v>Sunday</v>
      </c>
      <c r="H79" t="str">
        <f t="shared" si="7"/>
        <v>Weekend</v>
      </c>
    </row>
    <row r="80" spans="1:8" x14ac:dyDescent="0.35">
      <c r="A80" s="1">
        <f>IF(
  A79+1&gt;MAX(Sales_Performance[Date]),
 "",
  A79+1
)</f>
        <v>45005</v>
      </c>
      <c r="B80">
        <f t="shared" si="6"/>
        <v>2023</v>
      </c>
      <c r="C80" s="1">
        <f>DATE(
  YEAR(Calendar_Table[[#This Row],[Date]]),
  MONTH(Calendar_Table[[#This Row],[Date]]),
  1
)</f>
        <v>44986</v>
      </c>
      <c r="D80">
        <f t="shared" si="4"/>
        <v>3</v>
      </c>
      <c r="E80" s="4" t="str">
        <f>TEXT(Calendar_Table[[#This Row],[Date]],"mmmm")</f>
        <v>March</v>
      </c>
      <c r="F80">
        <f t="shared" si="5"/>
        <v>1</v>
      </c>
      <c r="G80" s="5" t="str">
        <f>TEXT(Calendar_Table[[#This Row],[Date]],"dddd")</f>
        <v>Monday</v>
      </c>
      <c r="H80" t="str">
        <f t="shared" si="7"/>
        <v>Weekday</v>
      </c>
    </row>
    <row r="81" spans="1:8" x14ac:dyDescent="0.35">
      <c r="A81" s="1">
        <f>IF(
  A80+1&gt;MAX(Sales_Performance[Date]),
 "",
  A80+1
)</f>
        <v>45006</v>
      </c>
      <c r="B81">
        <f t="shared" si="6"/>
        <v>2023</v>
      </c>
      <c r="C81" s="1">
        <f>DATE(
  YEAR(Calendar_Table[[#This Row],[Date]]),
  MONTH(Calendar_Table[[#This Row],[Date]]),
  1
)</f>
        <v>44986</v>
      </c>
      <c r="D81">
        <f t="shared" si="4"/>
        <v>3</v>
      </c>
      <c r="E81" s="4" t="str">
        <f>TEXT(Calendar_Table[[#This Row],[Date]],"mmmm")</f>
        <v>March</v>
      </c>
      <c r="F81">
        <f t="shared" si="5"/>
        <v>2</v>
      </c>
      <c r="G81" s="5" t="str">
        <f>TEXT(Calendar_Table[[#This Row],[Date]],"dddd")</f>
        <v>Tuesday</v>
      </c>
      <c r="H81" t="str">
        <f t="shared" si="7"/>
        <v>Weekday</v>
      </c>
    </row>
    <row r="82" spans="1:8" x14ac:dyDescent="0.35">
      <c r="A82" s="1">
        <f>IF(
  A81+1&gt;MAX(Sales_Performance[Date]),
 "",
  A81+1
)</f>
        <v>45007</v>
      </c>
      <c r="B82">
        <f t="shared" si="6"/>
        <v>2023</v>
      </c>
      <c r="C82" s="1">
        <f>DATE(
  YEAR(Calendar_Table[[#This Row],[Date]]),
  MONTH(Calendar_Table[[#This Row],[Date]]),
  1
)</f>
        <v>44986</v>
      </c>
      <c r="D82">
        <f t="shared" si="4"/>
        <v>3</v>
      </c>
      <c r="E82" s="4" t="str">
        <f>TEXT(Calendar_Table[[#This Row],[Date]],"mmmm")</f>
        <v>March</v>
      </c>
      <c r="F82">
        <f t="shared" si="5"/>
        <v>3</v>
      </c>
      <c r="G82" s="5" t="str">
        <f>TEXT(Calendar_Table[[#This Row],[Date]],"dddd")</f>
        <v>Wednesday</v>
      </c>
      <c r="H82" t="str">
        <f t="shared" si="7"/>
        <v>Weekday</v>
      </c>
    </row>
    <row r="83" spans="1:8" x14ac:dyDescent="0.35">
      <c r="A83" s="1">
        <f>IF(
  A82+1&gt;MAX(Sales_Performance[Date]),
 "",
  A82+1
)</f>
        <v>45008</v>
      </c>
      <c r="B83">
        <f t="shared" si="6"/>
        <v>2023</v>
      </c>
      <c r="C83" s="1">
        <f>DATE(
  YEAR(Calendar_Table[[#This Row],[Date]]),
  MONTH(Calendar_Table[[#This Row],[Date]]),
  1
)</f>
        <v>44986</v>
      </c>
      <c r="D83">
        <f t="shared" si="4"/>
        <v>3</v>
      </c>
      <c r="E83" s="4" t="str">
        <f>TEXT(Calendar_Table[[#This Row],[Date]],"mmmm")</f>
        <v>March</v>
      </c>
      <c r="F83">
        <f t="shared" si="5"/>
        <v>4</v>
      </c>
      <c r="G83" s="5" t="str">
        <f>TEXT(Calendar_Table[[#This Row],[Date]],"dddd")</f>
        <v>Thursday</v>
      </c>
      <c r="H83" t="str">
        <f t="shared" si="7"/>
        <v>Weekday</v>
      </c>
    </row>
    <row r="84" spans="1:8" x14ac:dyDescent="0.35">
      <c r="A84" s="1">
        <f>IF(
  A83+1&gt;MAX(Sales_Performance[Date]),
 "",
  A83+1
)</f>
        <v>45009</v>
      </c>
      <c r="B84">
        <f t="shared" si="6"/>
        <v>2023</v>
      </c>
      <c r="C84" s="1">
        <f>DATE(
  YEAR(Calendar_Table[[#This Row],[Date]]),
  MONTH(Calendar_Table[[#This Row],[Date]]),
  1
)</f>
        <v>44986</v>
      </c>
      <c r="D84">
        <f t="shared" si="4"/>
        <v>3</v>
      </c>
      <c r="E84" s="4" t="str">
        <f>TEXT(Calendar_Table[[#This Row],[Date]],"mmmm")</f>
        <v>March</v>
      </c>
      <c r="F84">
        <f t="shared" si="5"/>
        <v>5</v>
      </c>
      <c r="G84" s="5" t="str">
        <f>TEXT(Calendar_Table[[#This Row],[Date]],"dddd")</f>
        <v>Friday</v>
      </c>
      <c r="H84" t="str">
        <f t="shared" si="7"/>
        <v>Weekday</v>
      </c>
    </row>
    <row r="85" spans="1:8" x14ac:dyDescent="0.35">
      <c r="A85" s="1">
        <f>IF(
  A84+1&gt;MAX(Sales_Performance[Date]),
 "",
  A84+1
)</f>
        <v>45010</v>
      </c>
      <c r="B85">
        <f t="shared" si="6"/>
        <v>2023</v>
      </c>
      <c r="C85" s="1">
        <f>DATE(
  YEAR(Calendar_Table[[#This Row],[Date]]),
  MONTH(Calendar_Table[[#This Row],[Date]]),
  1
)</f>
        <v>44986</v>
      </c>
      <c r="D85">
        <f t="shared" si="4"/>
        <v>3</v>
      </c>
      <c r="E85" s="4" t="str">
        <f>TEXT(Calendar_Table[[#This Row],[Date]],"mmmm")</f>
        <v>March</v>
      </c>
      <c r="F85">
        <f t="shared" si="5"/>
        <v>6</v>
      </c>
      <c r="G85" s="5" t="str">
        <f>TEXT(Calendar_Table[[#This Row],[Date]],"dddd")</f>
        <v>Saturday</v>
      </c>
      <c r="H85" t="str">
        <f t="shared" si="7"/>
        <v>Weekend</v>
      </c>
    </row>
    <row r="86" spans="1:8" x14ac:dyDescent="0.35">
      <c r="A86" s="1">
        <f>IF(
  A85+1&gt;MAX(Sales_Performance[Date]),
 "",
  A85+1
)</f>
        <v>45011</v>
      </c>
      <c r="B86">
        <f t="shared" si="6"/>
        <v>2023</v>
      </c>
      <c r="C86" s="1">
        <f>DATE(
  YEAR(Calendar_Table[[#This Row],[Date]]),
  MONTH(Calendar_Table[[#This Row],[Date]]),
  1
)</f>
        <v>44986</v>
      </c>
      <c r="D86">
        <f t="shared" si="4"/>
        <v>3</v>
      </c>
      <c r="E86" s="4" t="str">
        <f>TEXT(Calendar_Table[[#This Row],[Date]],"mmmm")</f>
        <v>March</v>
      </c>
      <c r="F86">
        <f t="shared" si="5"/>
        <v>7</v>
      </c>
      <c r="G86" s="5" t="str">
        <f>TEXT(Calendar_Table[[#This Row],[Date]],"dddd")</f>
        <v>Sunday</v>
      </c>
      <c r="H86" t="str">
        <f t="shared" si="7"/>
        <v>Weekend</v>
      </c>
    </row>
    <row r="87" spans="1:8" x14ac:dyDescent="0.35">
      <c r="A87" s="1">
        <f>IF(
  A86+1&gt;MAX(Sales_Performance[Date]),
 "",
  A86+1
)</f>
        <v>45012</v>
      </c>
      <c r="B87">
        <f t="shared" si="6"/>
        <v>2023</v>
      </c>
      <c r="C87" s="1">
        <f>DATE(
  YEAR(Calendar_Table[[#This Row],[Date]]),
  MONTH(Calendar_Table[[#This Row],[Date]]),
  1
)</f>
        <v>44986</v>
      </c>
      <c r="D87">
        <f t="shared" si="4"/>
        <v>3</v>
      </c>
      <c r="E87" s="4" t="str">
        <f>TEXT(Calendar_Table[[#This Row],[Date]],"mmmm")</f>
        <v>March</v>
      </c>
      <c r="F87">
        <f t="shared" si="5"/>
        <v>1</v>
      </c>
      <c r="G87" s="5" t="str">
        <f>TEXT(Calendar_Table[[#This Row],[Date]],"dddd")</f>
        <v>Monday</v>
      </c>
      <c r="H87" t="str">
        <f t="shared" si="7"/>
        <v>Weekday</v>
      </c>
    </row>
    <row r="88" spans="1:8" x14ac:dyDescent="0.35">
      <c r="A88" s="1">
        <f>IF(
  A87+1&gt;MAX(Sales_Performance[Date]),
 "",
  A87+1
)</f>
        <v>45013</v>
      </c>
      <c r="B88">
        <f t="shared" si="6"/>
        <v>2023</v>
      </c>
      <c r="C88" s="1">
        <f>DATE(
  YEAR(Calendar_Table[[#This Row],[Date]]),
  MONTH(Calendar_Table[[#This Row],[Date]]),
  1
)</f>
        <v>44986</v>
      </c>
      <c r="D88">
        <f t="shared" si="4"/>
        <v>3</v>
      </c>
      <c r="E88" s="4" t="str">
        <f>TEXT(Calendar_Table[[#This Row],[Date]],"mmmm")</f>
        <v>March</v>
      </c>
      <c r="F88">
        <f t="shared" si="5"/>
        <v>2</v>
      </c>
      <c r="G88" s="5" t="str">
        <f>TEXT(Calendar_Table[[#This Row],[Date]],"dddd")</f>
        <v>Tuesday</v>
      </c>
      <c r="H88" t="str">
        <f t="shared" si="7"/>
        <v>Weekday</v>
      </c>
    </row>
    <row r="89" spans="1:8" x14ac:dyDescent="0.35">
      <c r="A89" s="1">
        <f>IF(
  A88+1&gt;MAX(Sales_Performance[Date]),
 "",
  A88+1
)</f>
        <v>45014</v>
      </c>
      <c r="B89">
        <f t="shared" si="6"/>
        <v>2023</v>
      </c>
      <c r="C89" s="1">
        <f>DATE(
  YEAR(Calendar_Table[[#This Row],[Date]]),
  MONTH(Calendar_Table[[#This Row],[Date]]),
  1
)</f>
        <v>44986</v>
      </c>
      <c r="D89">
        <f t="shared" si="4"/>
        <v>3</v>
      </c>
      <c r="E89" s="4" t="str">
        <f>TEXT(Calendar_Table[[#This Row],[Date]],"mmmm")</f>
        <v>March</v>
      </c>
      <c r="F89">
        <f t="shared" si="5"/>
        <v>3</v>
      </c>
      <c r="G89" s="5" t="str">
        <f>TEXT(Calendar_Table[[#This Row],[Date]],"dddd")</f>
        <v>Wednesday</v>
      </c>
      <c r="H89" t="str">
        <f t="shared" si="7"/>
        <v>Weekday</v>
      </c>
    </row>
    <row r="90" spans="1:8" x14ac:dyDescent="0.35">
      <c r="A90" s="1">
        <f>IF(
  A89+1&gt;MAX(Sales_Performance[Date]),
 "",
  A89+1
)</f>
        <v>45015</v>
      </c>
      <c r="B90">
        <f t="shared" si="6"/>
        <v>2023</v>
      </c>
      <c r="C90" s="1">
        <f>DATE(
  YEAR(Calendar_Table[[#This Row],[Date]]),
  MONTH(Calendar_Table[[#This Row],[Date]]),
  1
)</f>
        <v>44986</v>
      </c>
      <c r="D90">
        <f t="shared" si="4"/>
        <v>3</v>
      </c>
      <c r="E90" s="4" t="str">
        <f>TEXT(Calendar_Table[[#This Row],[Date]],"mmmm")</f>
        <v>March</v>
      </c>
      <c r="F90">
        <f t="shared" si="5"/>
        <v>4</v>
      </c>
      <c r="G90" s="5" t="str">
        <f>TEXT(Calendar_Table[[#This Row],[Date]],"dddd")</f>
        <v>Thursday</v>
      </c>
      <c r="H90" t="str">
        <f t="shared" si="7"/>
        <v>Weekday</v>
      </c>
    </row>
    <row r="91" spans="1:8" x14ac:dyDescent="0.35">
      <c r="A91" s="1">
        <f>IF(
  A90+1&gt;MAX(Sales_Performance[Date]),
 "",
  A90+1
)</f>
        <v>45016</v>
      </c>
      <c r="B91">
        <f t="shared" si="6"/>
        <v>2023</v>
      </c>
      <c r="C91" s="1">
        <f>DATE(
  YEAR(Calendar_Table[[#This Row],[Date]]),
  MONTH(Calendar_Table[[#This Row],[Date]]),
  1
)</f>
        <v>44986</v>
      </c>
      <c r="D91">
        <f t="shared" si="4"/>
        <v>3</v>
      </c>
      <c r="E91" s="4" t="str">
        <f>TEXT(Calendar_Table[[#This Row],[Date]],"mmmm")</f>
        <v>March</v>
      </c>
      <c r="F91">
        <f t="shared" si="5"/>
        <v>5</v>
      </c>
      <c r="G91" s="5" t="str">
        <f>TEXT(Calendar_Table[[#This Row],[Date]],"dddd")</f>
        <v>Friday</v>
      </c>
      <c r="H91" t="str">
        <f t="shared" si="7"/>
        <v>Weekday</v>
      </c>
    </row>
    <row r="92" spans="1:8" x14ac:dyDescent="0.35">
      <c r="A92" s="1">
        <f>IF(
  A91+1&gt;MAX(Sales_Performance[Date]),
 "",
  A91+1
)</f>
        <v>45017</v>
      </c>
      <c r="B92">
        <f t="shared" si="6"/>
        <v>2023</v>
      </c>
      <c r="C92" s="1">
        <f>DATE(
  YEAR(Calendar_Table[[#This Row],[Date]]),
  MONTH(Calendar_Table[[#This Row],[Date]]),
  1
)</f>
        <v>45017</v>
      </c>
      <c r="D92">
        <f t="shared" si="4"/>
        <v>4</v>
      </c>
      <c r="E92" s="4" t="str">
        <f>TEXT(Calendar_Table[[#This Row],[Date]],"mmmm")</f>
        <v>April</v>
      </c>
      <c r="F92">
        <f t="shared" si="5"/>
        <v>6</v>
      </c>
      <c r="G92" s="5" t="str">
        <f>TEXT(Calendar_Table[[#This Row],[Date]],"dddd")</f>
        <v>Saturday</v>
      </c>
      <c r="H92" t="str">
        <f t="shared" si="7"/>
        <v>Weekend</v>
      </c>
    </row>
    <row r="93" spans="1:8" x14ac:dyDescent="0.35">
      <c r="A93" s="1">
        <f>IF(
  A92+1&gt;MAX(Sales_Performance[Date]),
 "",
  A92+1
)</f>
        <v>45018</v>
      </c>
      <c r="B93">
        <f t="shared" si="6"/>
        <v>2023</v>
      </c>
      <c r="C93" s="1">
        <f>DATE(
  YEAR(Calendar_Table[[#This Row],[Date]]),
  MONTH(Calendar_Table[[#This Row],[Date]]),
  1
)</f>
        <v>45017</v>
      </c>
      <c r="D93">
        <f t="shared" si="4"/>
        <v>4</v>
      </c>
      <c r="E93" s="4" t="str">
        <f>TEXT(Calendar_Table[[#This Row],[Date]],"mmmm")</f>
        <v>April</v>
      </c>
      <c r="F93">
        <f t="shared" si="5"/>
        <v>7</v>
      </c>
      <c r="G93" s="5" t="str">
        <f>TEXT(Calendar_Table[[#This Row],[Date]],"dddd")</f>
        <v>Sunday</v>
      </c>
      <c r="H93" t="str">
        <f t="shared" si="7"/>
        <v>Weekend</v>
      </c>
    </row>
    <row r="94" spans="1:8" x14ac:dyDescent="0.35">
      <c r="A94" s="1">
        <f>IF(
  A93+1&gt;MAX(Sales_Performance[Date]),
 "",
  A93+1
)</f>
        <v>45019</v>
      </c>
      <c r="B94">
        <f t="shared" si="6"/>
        <v>2023</v>
      </c>
      <c r="C94" s="1">
        <f>DATE(
  YEAR(Calendar_Table[[#This Row],[Date]]),
  MONTH(Calendar_Table[[#This Row],[Date]]),
  1
)</f>
        <v>45017</v>
      </c>
      <c r="D94">
        <f t="shared" si="4"/>
        <v>4</v>
      </c>
      <c r="E94" s="4" t="str">
        <f>TEXT(Calendar_Table[[#This Row],[Date]],"mmmm")</f>
        <v>April</v>
      </c>
      <c r="F94">
        <f t="shared" si="5"/>
        <v>1</v>
      </c>
      <c r="G94" s="5" t="str">
        <f>TEXT(Calendar_Table[[#This Row],[Date]],"dddd")</f>
        <v>Monday</v>
      </c>
      <c r="H94" t="str">
        <f t="shared" si="7"/>
        <v>Weekday</v>
      </c>
    </row>
    <row r="95" spans="1:8" x14ac:dyDescent="0.35">
      <c r="A95" s="1">
        <f>IF(
  A94+1&gt;MAX(Sales_Performance[Date]),
 "",
  A94+1
)</f>
        <v>45020</v>
      </c>
      <c r="B95">
        <f t="shared" si="6"/>
        <v>2023</v>
      </c>
      <c r="C95" s="1">
        <f>DATE(
  YEAR(Calendar_Table[[#This Row],[Date]]),
  MONTH(Calendar_Table[[#This Row],[Date]]),
  1
)</f>
        <v>45017</v>
      </c>
      <c r="D95">
        <f t="shared" si="4"/>
        <v>4</v>
      </c>
      <c r="E95" s="4" t="str">
        <f>TEXT(Calendar_Table[[#This Row],[Date]],"mmmm")</f>
        <v>April</v>
      </c>
      <c r="F95">
        <f t="shared" si="5"/>
        <v>2</v>
      </c>
      <c r="G95" s="5" t="str">
        <f>TEXT(Calendar_Table[[#This Row],[Date]],"dddd")</f>
        <v>Tuesday</v>
      </c>
      <c r="H95" t="str">
        <f t="shared" si="7"/>
        <v>Weekday</v>
      </c>
    </row>
    <row r="96" spans="1:8" x14ac:dyDescent="0.35">
      <c r="A96" s="1">
        <f>IF(
  A95+1&gt;MAX(Sales_Performance[Date]),
 "",
  A95+1
)</f>
        <v>45021</v>
      </c>
      <c r="B96">
        <f t="shared" si="6"/>
        <v>2023</v>
      </c>
      <c r="C96" s="1">
        <f>DATE(
  YEAR(Calendar_Table[[#This Row],[Date]]),
  MONTH(Calendar_Table[[#This Row],[Date]]),
  1
)</f>
        <v>45017</v>
      </c>
      <c r="D96">
        <f t="shared" si="4"/>
        <v>4</v>
      </c>
      <c r="E96" s="4" t="str">
        <f>TEXT(Calendar_Table[[#This Row],[Date]],"mmmm")</f>
        <v>April</v>
      </c>
      <c r="F96">
        <f t="shared" si="5"/>
        <v>3</v>
      </c>
      <c r="G96" s="5" t="str">
        <f>TEXT(Calendar_Table[[#This Row],[Date]],"dddd")</f>
        <v>Wednesday</v>
      </c>
      <c r="H96" t="str">
        <f t="shared" si="7"/>
        <v>Weekday</v>
      </c>
    </row>
    <row r="97" spans="1:8" x14ac:dyDescent="0.35">
      <c r="A97" s="1">
        <f>IF(
  A96+1&gt;MAX(Sales_Performance[Date]),
 "",
  A96+1
)</f>
        <v>45022</v>
      </c>
      <c r="B97">
        <f t="shared" si="6"/>
        <v>2023</v>
      </c>
      <c r="C97" s="1">
        <f>DATE(
  YEAR(Calendar_Table[[#This Row],[Date]]),
  MONTH(Calendar_Table[[#This Row],[Date]]),
  1
)</f>
        <v>45017</v>
      </c>
      <c r="D97">
        <f t="shared" si="4"/>
        <v>4</v>
      </c>
      <c r="E97" s="4" t="str">
        <f>TEXT(Calendar_Table[[#This Row],[Date]],"mmmm")</f>
        <v>April</v>
      </c>
      <c r="F97">
        <f t="shared" si="5"/>
        <v>4</v>
      </c>
      <c r="G97" s="5" t="str">
        <f>TEXT(Calendar_Table[[#This Row],[Date]],"dddd")</f>
        <v>Thursday</v>
      </c>
      <c r="H97" t="str">
        <f t="shared" si="7"/>
        <v>Weekday</v>
      </c>
    </row>
    <row r="98" spans="1:8" x14ac:dyDescent="0.35">
      <c r="A98" s="1">
        <f>IF(
  A97+1&gt;MAX(Sales_Performance[Date]),
 "",
  A97+1
)</f>
        <v>45023</v>
      </c>
      <c r="B98">
        <f t="shared" si="6"/>
        <v>2023</v>
      </c>
      <c r="C98" s="1">
        <f>DATE(
  YEAR(Calendar_Table[[#This Row],[Date]]),
  MONTH(Calendar_Table[[#This Row],[Date]]),
  1
)</f>
        <v>45017</v>
      </c>
      <c r="D98">
        <f t="shared" si="4"/>
        <v>4</v>
      </c>
      <c r="E98" s="4" t="str">
        <f>TEXT(Calendar_Table[[#This Row],[Date]],"mmmm")</f>
        <v>April</v>
      </c>
      <c r="F98">
        <f t="shared" si="5"/>
        <v>5</v>
      </c>
      <c r="G98" s="5" t="str">
        <f>TEXT(Calendar_Table[[#This Row],[Date]],"dddd")</f>
        <v>Friday</v>
      </c>
      <c r="H98" t="str">
        <f t="shared" si="7"/>
        <v>Weekday</v>
      </c>
    </row>
    <row r="99" spans="1:8" x14ac:dyDescent="0.35">
      <c r="A99" s="1">
        <f>IF(
  A98+1&gt;MAX(Sales_Performance[Date]),
 "",
  A98+1
)</f>
        <v>45024</v>
      </c>
      <c r="B99">
        <f t="shared" si="6"/>
        <v>2023</v>
      </c>
      <c r="C99" s="1">
        <f>DATE(
  YEAR(Calendar_Table[[#This Row],[Date]]),
  MONTH(Calendar_Table[[#This Row],[Date]]),
  1
)</f>
        <v>45017</v>
      </c>
      <c r="D99">
        <f t="shared" si="4"/>
        <v>4</v>
      </c>
      <c r="E99" s="4" t="str">
        <f>TEXT(Calendar_Table[[#This Row],[Date]],"mmmm")</f>
        <v>April</v>
      </c>
      <c r="F99">
        <f t="shared" si="5"/>
        <v>6</v>
      </c>
      <c r="G99" s="5" t="str">
        <f>TEXT(Calendar_Table[[#This Row],[Date]],"dddd")</f>
        <v>Saturday</v>
      </c>
      <c r="H99" t="str">
        <f t="shared" si="7"/>
        <v>Weekend</v>
      </c>
    </row>
    <row r="100" spans="1:8" x14ac:dyDescent="0.35">
      <c r="A100" s="1">
        <f>IF(
  A99+1&gt;MAX(Sales_Performance[Date]),
 "",
  A99+1
)</f>
        <v>45025</v>
      </c>
      <c r="B100">
        <f t="shared" si="6"/>
        <v>2023</v>
      </c>
      <c r="C100" s="1">
        <f>DATE(
  YEAR(Calendar_Table[[#This Row],[Date]]),
  MONTH(Calendar_Table[[#This Row],[Date]]),
  1
)</f>
        <v>45017</v>
      </c>
      <c r="D100">
        <f t="shared" si="4"/>
        <v>4</v>
      </c>
      <c r="E100" s="4" t="str">
        <f>TEXT(Calendar_Table[[#This Row],[Date]],"mmmm")</f>
        <v>April</v>
      </c>
      <c r="F100">
        <f t="shared" si="5"/>
        <v>7</v>
      </c>
      <c r="G100" s="5" t="str">
        <f>TEXT(Calendar_Table[[#This Row],[Date]],"dddd")</f>
        <v>Sunday</v>
      </c>
      <c r="H100" t="str">
        <f t="shared" si="7"/>
        <v>Weekend</v>
      </c>
    </row>
    <row r="101" spans="1:8" x14ac:dyDescent="0.35">
      <c r="A101" s="1">
        <f>IF(
  A100+1&gt;MAX(Sales_Performance[Date]),
 "",
  A100+1
)</f>
        <v>45026</v>
      </c>
      <c r="B101">
        <f t="shared" si="6"/>
        <v>2023</v>
      </c>
      <c r="C101" s="1">
        <f>DATE(
  YEAR(Calendar_Table[[#This Row],[Date]]),
  MONTH(Calendar_Table[[#This Row],[Date]]),
  1
)</f>
        <v>45017</v>
      </c>
      <c r="D101">
        <f t="shared" si="4"/>
        <v>4</v>
      </c>
      <c r="E101" s="4" t="str">
        <f>TEXT(Calendar_Table[[#This Row],[Date]],"mmmm")</f>
        <v>April</v>
      </c>
      <c r="F101">
        <f t="shared" si="5"/>
        <v>1</v>
      </c>
      <c r="G101" s="5" t="str">
        <f>TEXT(Calendar_Table[[#This Row],[Date]],"dddd")</f>
        <v>Monday</v>
      </c>
      <c r="H101" t="str">
        <f t="shared" si="7"/>
        <v>Weekday</v>
      </c>
    </row>
    <row r="102" spans="1:8" x14ac:dyDescent="0.35">
      <c r="A102" s="1">
        <f>IF(
  A101+1&gt;MAX(Sales_Performance[Date]),
 "",
  A101+1
)</f>
        <v>45027</v>
      </c>
      <c r="B102">
        <f t="shared" si="6"/>
        <v>2023</v>
      </c>
      <c r="C102" s="1">
        <f>DATE(
  YEAR(Calendar_Table[[#This Row],[Date]]),
  MONTH(Calendar_Table[[#This Row],[Date]]),
  1
)</f>
        <v>45017</v>
      </c>
      <c r="D102">
        <f t="shared" si="4"/>
        <v>4</v>
      </c>
      <c r="E102" s="4" t="str">
        <f>TEXT(Calendar_Table[[#This Row],[Date]],"mmmm")</f>
        <v>April</v>
      </c>
      <c r="F102">
        <f t="shared" si="5"/>
        <v>2</v>
      </c>
      <c r="G102" s="5" t="str">
        <f>TEXT(Calendar_Table[[#This Row],[Date]],"dddd")</f>
        <v>Tuesday</v>
      </c>
      <c r="H102" t="str">
        <f t="shared" si="7"/>
        <v>Weekday</v>
      </c>
    </row>
    <row r="103" spans="1:8" x14ac:dyDescent="0.35">
      <c r="A103" s="1">
        <f>IF(
  A102+1&gt;MAX(Sales_Performance[Date]),
 "",
  A102+1
)</f>
        <v>45028</v>
      </c>
      <c r="B103">
        <f t="shared" si="6"/>
        <v>2023</v>
      </c>
      <c r="C103" s="1">
        <f>DATE(
  YEAR(Calendar_Table[[#This Row],[Date]]),
  MONTH(Calendar_Table[[#This Row],[Date]]),
  1
)</f>
        <v>45017</v>
      </c>
      <c r="D103">
        <f t="shared" si="4"/>
        <v>4</v>
      </c>
      <c r="E103" s="4" t="str">
        <f>TEXT(Calendar_Table[[#This Row],[Date]],"mmmm")</f>
        <v>April</v>
      </c>
      <c r="F103">
        <f t="shared" si="5"/>
        <v>3</v>
      </c>
      <c r="G103" s="5" t="str">
        <f>TEXT(Calendar_Table[[#This Row],[Date]],"dddd")</f>
        <v>Wednesday</v>
      </c>
      <c r="H103" t="str">
        <f t="shared" si="7"/>
        <v>Weekday</v>
      </c>
    </row>
    <row r="104" spans="1:8" x14ac:dyDescent="0.35">
      <c r="A104" s="1">
        <f>IF(
  A103+1&gt;MAX(Sales_Performance[Date]),
 "",
  A103+1
)</f>
        <v>45029</v>
      </c>
      <c r="B104">
        <f t="shared" si="6"/>
        <v>2023</v>
      </c>
      <c r="C104" s="1">
        <f>DATE(
  YEAR(Calendar_Table[[#This Row],[Date]]),
  MONTH(Calendar_Table[[#This Row],[Date]]),
  1
)</f>
        <v>45017</v>
      </c>
      <c r="D104">
        <f t="shared" si="4"/>
        <v>4</v>
      </c>
      <c r="E104" s="4" t="str">
        <f>TEXT(Calendar_Table[[#This Row],[Date]],"mmmm")</f>
        <v>April</v>
      </c>
      <c r="F104">
        <f t="shared" si="5"/>
        <v>4</v>
      </c>
      <c r="G104" s="5" t="str">
        <f>TEXT(Calendar_Table[[#This Row],[Date]],"dddd")</f>
        <v>Thursday</v>
      </c>
      <c r="H104" t="str">
        <f t="shared" si="7"/>
        <v>Weekday</v>
      </c>
    </row>
    <row r="105" spans="1:8" x14ac:dyDescent="0.35">
      <c r="A105" s="1">
        <f>IF(
  A104+1&gt;MAX(Sales_Performance[Date]),
 "",
  A104+1
)</f>
        <v>45030</v>
      </c>
      <c r="B105">
        <f t="shared" si="6"/>
        <v>2023</v>
      </c>
      <c r="C105" s="1">
        <f>DATE(
  YEAR(Calendar_Table[[#This Row],[Date]]),
  MONTH(Calendar_Table[[#This Row],[Date]]),
  1
)</f>
        <v>45017</v>
      </c>
      <c r="D105">
        <f t="shared" si="4"/>
        <v>4</v>
      </c>
      <c r="E105" s="4" t="str">
        <f>TEXT(Calendar_Table[[#This Row],[Date]],"mmmm")</f>
        <v>April</v>
      </c>
      <c r="F105">
        <f t="shared" si="5"/>
        <v>5</v>
      </c>
      <c r="G105" s="5" t="str">
        <f>TEXT(Calendar_Table[[#This Row],[Date]],"dddd")</f>
        <v>Friday</v>
      </c>
      <c r="H105" t="str">
        <f t="shared" si="7"/>
        <v>Weekday</v>
      </c>
    </row>
    <row r="106" spans="1:8" x14ac:dyDescent="0.35">
      <c r="A106" s="1">
        <f>IF(
  A105+1&gt;MAX(Sales_Performance[Date]),
 "",
  A105+1
)</f>
        <v>45031</v>
      </c>
      <c r="B106">
        <f t="shared" si="6"/>
        <v>2023</v>
      </c>
      <c r="C106" s="1">
        <f>DATE(
  YEAR(Calendar_Table[[#This Row],[Date]]),
  MONTH(Calendar_Table[[#This Row],[Date]]),
  1
)</f>
        <v>45017</v>
      </c>
      <c r="D106">
        <f t="shared" si="4"/>
        <v>4</v>
      </c>
      <c r="E106" s="4" t="str">
        <f>TEXT(Calendar_Table[[#This Row],[Date]],"mmmm")</f>
        <v>April</v>
      </c>
      <c r="F106">
        <f t="shared" si="5"/>
        <v>6</v>
      </c>
      <c r="G106" s="5" t="str">
        <f>TEXT(Calendar_Table[[#This Row],[Date]],"dddd")</f>
        <v>Saturday</v>
      </c>
      <c r="H106" t="str">
        <f t="shared" si="7"/>
        <v>Weekend</v>
      </c>
    </row>
    <row r="107" spans="1:8" x14ac:dyDescent="0.35">
      <c r="A107" s="1">
        <f>IF(
  A106+1&gt;MAX(Sales_Performance[Date]),
 "",
  A106+1
)</f>
        <v>45032</v>
      </c>
      <c r="B107">
        <f t="shared" si="6"/>
        <v>2023</v>
      </c>
      <c r="C107" s="1">
        <f>DATE(
  YEAR(Calendar_Table[[#This Row],[Date]]),
  MONTH(Calendar_Table[[#This Row],[Date]]),
  1
)</f>
        <v>45017</v>
      </c>
      <c r="D107">
        <f t="shared" si="4"/>
        <v>4</v>
      </c>
      <c r="E107" s="4" t="str">
        <f>TEXT(Calendar_Table[[#This Row],[Date]],"mmmm")</f>
        <v>April</v>
      </c>
      <c r="F107">
        <f t="shared" si="5"/>
        <v>7</v>
      </c>
      <c r="G107" s="5" t="str">
        <f>TEXT(Calendar_Table[[#This Row],[Date]],"dddd")</f>
        <v>Sunday</v>
      </c>
      <c r="H107" t="str">
        <f t="shared" si="7"/>
        <v>Weekend</v>
      </c>
    </row>
    <row r="108" spans="1:8" x14ac:dyDescent="0.35">
      <c r="A108" s="1">
        <f>IF(
  A107+1&gt;MAX(Sales_Performance[Date]),
 "",
  A107+1
)</f>
        <v>45033</v>
      </c>
      <c r="B108">
        <f t="shared" si="6"/>
        <v>2023</v>
      </c>
      <c r="C108" s="1">
        <f>DATE(
  YEAR(Calendar_Table[[#This Row],[Date]]),
  MONTH(Calendar_Table[[#This Row],[Date]]),
  1
)</f>
        <v>45017</v>
      </c>
      <c r="D108">
        <f t="shared" si="4"/>
        <v>4</v>
      </c>
      <c r="E108" s="4" t="str">
        <f>TEXT(Calendar_Table[[#This Row],[Date]],"mmmm")</f>
        <v>April</v>
      </c>
      <c r="F108">
        <f t="shared" si="5"/>
        <v>1</v>
      </c>
      <c r="G108" s="5" t="str">
        <f>TEXT(Calendar_Table[[#This Row],[Date]],"dddd")</f>
        <v>Monday</v>
      </c>
      <c r="H108" t="str">
        <f t="shared" si="7"/>
        <v>Weekday</v>
      </c>
    </row>
    <row r="109" spans="1:8" x14ac:dyDescent="0.35">
      <c r="A109" s="1">
        <f>IF(
  A108+1&gt;MAX(Sales_Performance[Date]),
 "",
  A108+1
)</f>
        <v>45034</v>
      </c>
      <c r="B109">
        <f t="shared" si="6"/>
        <v>2023</v>
      </c>
      <c r="C109" s="1">
        <f>DATE(
  YEAR(Calendar_Table[[#This Row],[Date]]),
  MONTH(Calendar_Table[[#This Row],[Date]]),
  1
)</f>
        <v>45017</v>
      </c>
      <c r="D109">
        <f t="shared" si="4"/>
        <v>4</v>
      </c>
      <c r="E109" s="4" t="str">
        <f>TEXT(Calendar_Table[[#This Row],[Date]],"mmmm")</f>
        <v>April</v>
      </c>
      <c r="F109">
        <f t="shared" si="5"/>
        <v>2</v>
      </c>
      <c r="G109" s="5" t="str">
        <f>TEXT(Calendar_Table[[#This Row],[Date]],"dddd")</f>
        <v>Tuesday</v>
      </c>
      <c r="H109" t="str">
        <f t="shared" si="7"/>
        <v>Weekday</v>
      </c>
    </row>
    <row r="110" spans="1:8" x14ac:dyDescent="0.35">
      <c r="A110" s="1">
        <f>IF(
  A109+1&gt;MAX(Sales_Performance[Date]),
 "",
  A109+1
)</f>
        <v>45035</v>
      </c>
      <c r="B110">
        <f t="shared" si="6"/>
        <v>2023</v>
      </c>
      <c r="C110" s="1">
        <f>DATE(
  YEAR(Calendar_Table[[#This Row],[Date]]),
  MONTH(Calendar_Table[[#This Row],[Date]]),
  1
)</f>
        <v>45017</v>
      </c>
      <c r="D110">
        <f t="shared" si="4"/>
        <v>4</v>
      </c>
      <c r="E110" s="4" t="str">
        <f>TEXT(Calendar_Table[[#This Row],[Date]],"mmmm")</f>
        <v>April</v>
      </c>
      <c r="F110">
        <f t="shared" si="5"/>
        <v>3</v>
      </c>
      <c r="G110" s="5" t="str">
        <f>TEXT(Calendar_Table[[#This Row],[Date]],"dddd")</f>
        <v>Wednesday</v>
      </c>
      <c r="H110" t="str">
        <f t="shared" si="7"/>
        <v>Weekday</v>
      </c>
    </row>
    <row r="111" spans="1:8" x14ac:dyDescent="0.35">
      <c r="A111" s="1">
        <f>IF(
  A110+1&gt;MAX(Sales_Performance[Date]),
 "",
  A110+1
)</f>
        <v>45036</v>
      </c>
      <c r="B111">
        <f t="shared" si="6"/>
        <v>2023</v>
      </c>
      <c r="C111" s="1">
        <f>DATE(
  YEAR(Calendar_Table[[#This Row],[Date]]),
  MONTH(Calendar_Table[[#This Row],[Date]]),
  1
)</f>
        <v>45017</v>
      </c>
      <c r="D111">
        <f t="shared" si="4"/>
        <v>4</v>
      </c>
      <c r="E111" s="4" t="str">
        <f>TEXT(Calendar_Table[[#This Row],[Date]],"mmmm")</f>
        <v>April</v>
      </c>
      <c r="F111">
        <f t="shared" si="5"/>
        <v>4</v>
      </c>
      <c r="G111" s="5" t="str">
        <f>TEXT(Calendar_Table[[#This Row],[Date]],"dddd")</f>
        <v>Thursday</v>
      </c>
      <c r="H111" t="str">
        <f t="shared" si="7"/>
        <v>Weekday</v>
      </c>
    </row>
    <row r="112" spans="1:8" x14ac:dyDescent="0.35">
      <c r="A112" s="1">
        <f>IF(
  A111+1&gt;MAX(Sales_Performance[Date]),
 "",
  A111+1
)</f>
        <v>45037</v>
      </c>
      <c r="B112">
        <f t="shared" si="6"/>
        <v>2023</v>
      </c>
      <c r="C112" s="1">
        <f>DATE(
  YEAR(Calendar_Table[[#This Row],[Date]]),
  MONTH(Calendar_Table[[#This Row],[Date]]),
  1
)</f>
        <v>45017</v>
      </c>
      <c r="D112">
        <f t="shared" si="4"/>
        <v>4</v>
      </c>
      <c r="E112" s="4" t="str">
        <f>TEXT(Calendar_Table[[#This Row],[Date]],"mmmm")</f>
        <v>April</v>
      </c>
      <c r="F112">
        <f t="shared" si="5"/>
        <v>5</v>
      </c>
      <c r="G112" s="5" t="str">
        <f>TEXT(Calendar_Table[[#This Row],[Date]],"dddd")</f>
        <v>Friday</v>
      </c>
      <c r="H112" t="str">
        <f t="shared" si="7"/>
        <v>Weekday</v>
      </c>
    </row>
    <row r="113" spans="1:8" x14ac:dyDescent="0.35">
      <c r="A113" s="1">
        <f>IF(
  A112+1&gt;MAX(Sales_Performance[Date]),
 "",
  A112+1
)</f>
        <v>45038</v>
      </c>
      <c r="B113">
        <f t="shared" si="6"/>
        <v>2023</v>
      </c>
      <c r="C113" s="1">
        <f>DATE(
  YEAR(Calendar_Table[[#This Row],[Date]]),
  MONTH(Calendar_Table[[#This Row],[Date]]),
  1
)</f>
        <v>45017</v>
      </c>
      <c r="D113">
        <f t="shared" si="4"/>
        <v>4</v>
      </c>
      <c r="E113" s="4" t="str">
        <f>TEXT(Calendar_Table[[#This Row],[Date]],"mmmm")</f>
        <v>April</v>
      </c>
      <c r="F113">
        <f t="shared" si="5"/>
        <v>6</v>
      </c>
      <c r="G113" s="5" t="str">
        <f>TEXT(Calendar_Table[[#This Row],[Date]],"dddd")</f>
        <v>Saturday</v>
      </c>
      <c r="H113" t="str">
        <f t="shared" si="7"/>
        <v>Weekend</v>
      </c>
    </row>
    <row r="114" spans="1:8" x14ac:dyDescent="0.35">
      <c r="A114" s="1">
        <f>IF(
  A113+1&gt;MAX(Sales_Performance[Date]),
 "",
  A113+1
)</f>
        <v>45039</v>
      </c>
      <c r="B114">
        <f t="shared" si="6"/>
        <v>2023</v>
      </c>
      <c r="C114" s="1">
        <f>DATE(
  YEAR(Calendar_Table[[#This Row],[Date]]),
  MONTH(Calendar_Table[[#This Row],[Date]]),
  1
)</f>
        <v>45017</v>
      </c>
      <c r="D114">
        <f t="shared" si="4"/>
        <v>4</v>
      </c>
      <c r="E114" s="4" t="str">
        <f>TEXT(Calendar_Table[[#This Row],[Date]],"mmmm")</f>
        <v>April</v>
      </c>
      <c r="F114">
        <f t="shared" si="5"/>
        <v>7</v>
      </c>
      <c r="G114" s="5" t="str">
        <f>TEXT(Calendar_Table[[#This Row],[Date]],"dddd")</f>
        <v>Sunday</v>
      </c>
      <c r="H114" t="str">
        <f t="shared" si="7"/>
        <v>Weekend</v>
      </c>
    </row>
    <row r="115" spans="1:8" x14ac:dyDescent="0.35">
      <c r="A115" s="1">
        <f>IF(
  A114+1&gt;MAX(Sales_Performance[Date]),
 "",
  A114+1
)</f>
        <v>45040</v>
      </c>
      <c r="B115">
        <f t="shared" si="6"/>
        <v>2023</v>
      </c>
      <c r="C115" s="1">
        <f>DATE(
  YEAR(Calendar_Table[[#This Row],[Date]]),
  MONTH(Calendar_Table[[#This Row],[Date]]),
  1
)</f>
        <v>45017</v>
      </c>
      <c r="D115">
        <f t="shared" si="4"/>
        <v>4</v>
      </c>
      <c r="E115" s="4" t="str">
        <f>TEXT(Calendar_Table[[#This Row],[Date]],"mmmm")</f>
        <v>April</v>
      </c>
      <c r="F115">
        <f t="shared" si="5"/>
        <v>1</v>
      </c>
      <c r="G115" s="5" t="str">
        <f>TEXT(Calendar_Table[[#This Row],[Date]],"dddd")</f>
        <v>Monday</v>
      </c>
      <c r="H115" t="str">
        <f t="shared" si="7"/>
        <v>Weekday</v>
      </c>
    </row>
    <row r="116" spans="1:8" x14ac:dyDescent="0.35">
      <c r="A116" s="1">
        <f>IF(
  A115+1&gt;MAX(Sales_Performance[Date]),
 "",
  A115+1
)</f>
        <v>45041</v>
      </c>
      <c r="B116">
        <f t="shared" si="6"/>
        <v>2023</v>
      </c>
      <c r="C116" s="1">
        <f>DATE(
  YEAR(Calendar_Table[[#This Row],[Date]]),
  MONTH(Calendar_Table[[#This Row],[Date]]),
  1
)</f>
        <v>45017</v>
      </c>
      <c r="D116">
        <f t="shared" si="4"/>
        <v>4</v>
      </c>
      <c r="E116" s="4" t="str">
        <f>TEXT(Calendar_Table[[#This Row],[Date]],"mmmm")</f>
        <v>April</v>
      </c>
      <c r="F116">
        <f t="shared" si="5"/>
        <v>2</v>
      </c>
      <c r="G116" s="5" t="str">
        <f>TEXT(Calendar_Table[[#This Row],[Date]],"dddd")</f>
        <v>Tuesday</v>
      </c>
      <c r="H116" t="str">
        <f t="shared" si="7"/>
        <v>Weekday</v>
      </c>
    </row>
    <row r="117" spans="1:8" x14ac:dyDescent="0.35">
      <c r="A117" s="1">
        <f>IF(
  A116+1&gt;MAX(Sales_Performance[Date]),
 "",
  A116+1
)</f>
        <v>45042</v>
      </c>
      <c r="B117">
        <f t="shared" si="6"/>
        <v>2023</v>
      </c>
      <c r="C117" s="1">
        <f>DATE(
  YEAR(Calendar_Table[[#This Row],[Date]]),
  MONTH(Calendar_Table[[#This Row],[Date]]),
  1
)</f>
        <v>45017</v>
      </c>
      <c r="D117">
        <f t="shared" si="4"/>
        <v>4</v>
      </c>
      <c r="E117" s="4" t="str">
        <f>TEXT(Calendar_Table[[#This Row],[Date]],"mmmm")</f>
        <v>April</v>
      </c>
      <c r="F117">
        <f t="shared" si="5"/>
        <v>3</v>
      </c>
      <c r="G117" s="5" t="str">
        <f>TEXT(Calendar_Table[[#This Row],[Date]],"dddd")</f>
        <v>Wednesday</v>
      </c>
      <c r="H117" t="str">
        <f t="shared" si="7"/>
        <v>Weekday</v>
      </c>
    </row>
    <row r="118" spans="1:8" x14ac:dyDescent="0.35">
      <c r="A118" s="1">
        <f>IF(
  A117+1&gt;MAX(Sales_Performance[Date]),
 "",
  A117+1
)</f>
        <v>45043</v>
      </c>
      <c r="B118">
        <f t="shared" si="6"/>
        <v>2023</v>
      </c>
      <c r="C118" s="1">
        <f>DATE(
  YEAR(Calendar_Table[[#This Row],[Date]]),
  MONTH(Calendar_Table[[#This Row],[Date]]),
  1
)</f>
        <v>45017</v>
      </c>
      <c r="D118">
        <f t="shared" si="4"/>
        <v>4</v>
      </c>
      <c r="E118" s="4" t="str">
        <f>TEXT(Calendar_Table[[#This Row],[Date]],"mmmm")</f>
        <v>April</v>
      </c>
      <c r="F118">
        <f t="shared" si="5"/>
        <v>4</v>
      </c>
      <c r="G118" s="5" t="str">
        <f>TEXT(Calendar_Table[[#This Row],[Date]],"dddd")</f>
        <v>Thursday</v>
      </c>
      <c r="H118" t="str">
        <f t="shared" si="7"/>
        <v>Weekday</v>
      </c>
    </row>
    <row r="119" spans="1:8" x14ac:dyDescent="0.35">
      <c r="A119" s="1">
        <f>IF(
  A118+1&gt;MAX(Sales_Performance[Date]),
 "",
  A118+1
)</f>
        <v>45044</v>
      </c>
      <c r="B119">
        <f t="shared" si="6"/>
        <v>2023</v>
      </c>
      <c r="C119" s="1">
        <f>DATE(
  YEAR(Calendar_Table[[#This Row],[Date]]),
  MONTH(Calendar_Table[[#This Row],[Date]]),
  1
)</f>
        <v>45017</v>
      </c>
      <c r="D119">
        <f t="shared" si="4"/>
        <v>4</v>
      </c>
      <c r="E119" s="4" t="str">
        <f>TEXT(Calendar_Table[[#This Row],[Date]],"mmmm")</f>
        <v>April</v>
      </c>
      <c r="F119">
        <f t="shared" si="5"/>
        <v>5</v>
      </c>
      <c r="G119" s="5" t="str">
        <f>TEXT(Calendar_Table[[#This Row],[Date]],"dddd")</f>
        <v>Friday</v>
      </c>
      <c r="H119" t="str">
        <f t="shared" si="7"/>
        <v>Weekday</v>
      </c>
    </row>
    <row r="120" spans="1:8" x14ac:dyDescent="0.35">
      <c r="A120" s="1">
        <f>IF(
  A119+1&gt;MAX(Sales_Performance[Date]),
 "",
  A119+1
)</f>
        <v>45045</v>
      </c>
      <c r="B120">
        <f t="shared" si="6"/>
        <v>2023</v>
      </c>
      <c r="C120" s="1">
        <f>DATE(
  YEAR(Calendar_Table[[#This Row],[Date]]),
  MONTH(Calendar_Table[[#This Row],[Date]]),
  1
)</f>
        <v>45017</v>
      </c>
      <c r="D120">
        <f t="shared" si="4"/>
        <v>4</v>
      </c>
      <c r="E120" s="4" t="str">
        <f>TEXT(Calendar_Table[[#This Row],[Date]],"mmmm")</f>
        <v>April</v>
      </c>
      <c r="F120">
        <f t="shared" si="5"/>
        <v>6</v>
      </c>
      <c r="G120" s="5" t="str">
        <f>TEXT(Calendar_Table[[#This Row],[Date]],"dddd")</f>
        <v>Saturday</v>
      </c>
      <c r="H120" t="str">
        <f t="shared" si="7"/>
        <v>Weekend</v>
      </c>
    </row>
    <row r="121" spans="1:8" x14ac:dyDescent="0.35">
      <c r="A121" s="1">
        <f>IF(
  A120+1&gt;MAX(Sales_Performance[Date]),
 "",
  A120+1
)</f>
        <v>45046</v>
      </c>
      <c r="B121">
        <f t="shared" si="6"/>
        <v>2023</v>
      </c>
      <c r="C121" s="1">
        <f>DATE(
  YEAR(Calendar_Table[[#This Row],[Date]]),
  MONTH(Calendar_Table[[#This Row],[Date]]),
  1
)</f>
        <v>45017</v>
      </c>
      <c r="D121">
        <f t="shared" si="4"/>
        <v>4</v>
      </c>
      <c r="E121" s="4" t="str">
        <f>TEXT(Calendar_Table[[#This Row],[Date]],"mmmm")</f>
        <v>April</v>
      </c>
      <c r="F121">
        <f t="shared" si="5"/>
        <v>7</v>
      </c>
      <c r="G121" s="5" t="str">
        <f>TEXT(Calendar_Table[[#This Row],[Date]],"dddd")</f>
        <v>Sunday</v>
      </c>
      <c r="H121" t="str">
        <f t="shared" si="7"/>
        <v>Weekend</v>
      </c>
    </row>
    <row r="122" spans="1:8" x14ac:dyDescent="0.35">
      <c r="A122" s="1">
        <f>IF(
  A121+1&gt;MAX(Sales_Performance[Date]),
 "",
  A121+1
)</f>
        <v>45047</v>
      </c>
      <c r="B122">
        <f t="shared" si="6"/>
        <v>2023</v>
      </c>
      <c r="C122" s="1">
        <f>DATE(
  YEAR(Calendar_Table[[#This Row],[Date]]),
  MONTH(Calendar_Table[[#This Row],[Date]]),
  1
)</f>
        <v>45047</v>
      </c>
      <c r="D122">
        <f t="shared" si="4"/>
        <v>5</v>
      </c>
      <c r="E122" s="4" t="str">
        <f>TEXT(Calendar_Table[[#This Row],[Date]],"mmmm")</f>
        <v>May</v>
      </c>
      <c r="F122">
        <f t="shared" si="5"/>
        <v>1</v>
      </c>
      <c r="G122" s="5" t="str">
        <f>TEXT(Calendar_Table[[#This Row],[Date]],"dddd")</f>
        <v>Monday</v>
      </c>
      <c r="H122" t="str">
        <f t="shared" si="7"/>
        <v>Weekday</v>
      </c>
    </row>
    <row r="123" spans="1:8" x14ac:dyDescent="0.35">
      <c r="A123" s="1">
        <f>IF(
  A122+1&gt;MAX(Sales_Performance[Date]),
 "",
  A122+1
)</f>
        <v>45048</v>
      </c>
      <c r="B123">
        <f t="shared" si="6"/>
        <v>2023</v>
      </c>
      <c r="C123" s="1">
        <f>DATE(
  YEAR(Calendar_Table[[#This Row],[Date]]),
  MONTH(Calendar_Table[[#This Row],[Date]]),
  1
)</f>
        <v>45047</v>
      </c>
      <c r="D123">
        <f t="shared" si="4"/>
        <v>5</v>
      </c>
      <c r="E123" s="4" t="str">
        <f>TEXT(Calendar_Table[[#This Row],[Date]],"mmmm")</f>
        <v>May</v>
      </c>
      <c r="F123">
        <f t="shared" si="5"/>
        <v>2</v>
      </c>
      <c r="G123" s="5" t="str">
        <f>TEXT(Calendar_Table[[#This Row],[Date]],"dddd")</f>
        <v>Tuesday</v>
      </c>
      <c r="H123" t="str">
        <f t="shared" si="7"/>
        <v>Weekday</v>
      </c>
    </row>
    <row r="124" spans="1:8" x14ac:dyDescent="0.35">
      <c r="A124" s="1">
        <f>IF(
  A123+1&gt;MAX(Sales_Performance[Date]),
 "",
  A123+1
)</f>
        <v>45049</v>
      </c>
      <c r="B124">
        <f t="shared" si="6"/>
        <v>2023</v>
      </c>
      <c r="C124" s="1">
        <f>DATE(
  YEAR(Calendar_Table[[#This Row],[Date]]),
  MONTH(Calendar_Table[[#This Row],[Date]]),
  1
)</f>
        <v>45047</v>
      </c>
      <c r="D124">
        <f t="shared" si="4"/>
        <v>5</v>
      </c>
      <c r="E124" s="4" t="str">
        <f>TEXT(Calendar_Table[[#This Row],[Date]],"mmmm")</f>
        <v>May</v>
      </c>
      <c r="F124">
        <f t="shared" si="5"/>
        <v>3</v>
      </c>
      <c r="G124" s="5" t="str">
        <f>TEXT(Calendar_Table[[#This Row],[Date]],"dddd")</f>
        <v>Wednesday</v>
      </c>
      <c r="H124" t="str">
        <f t="shared" si="7"/>
        <v>Weekday</v>
      </c>
    </row>
    <row r="125" spans="1:8" x14ac:dyDescent="0.35">
      <c r="A125" s="1">
        <f>IF(
  A124+1&gt;MAX(Sales_Performance[Date]),
 "",
  A124+1
)</f>
        <v>45050</v>
      </c>
      <c r="B125">
        <f t="shared" si="6"/>
        <v>2023</v>
      </c>
      <c r="C125" s="1">
        <f>DATE(
  YEAR(Calendar_Table[[#This Row],[Date]]),
  MONTH(Calendar_Table[[#This Row],[Date]]),
  1
)</f>
        <v>45047</v>
      </c>
      <c r="D125">
        <f t="shared" si="4"/>
        <v>5</v>
      </c>
      <c r="E125" s="4" t="str">
        <f>TEXT(Calendar_Table[[#This Row],[Date]],"mmmm")</f>
        <v>May</v>
      </c>
      <c r="F125">
        <f t="shared" si="5"/>
        <v>4</v>
      </c>
      <c r="G125" s="5" t="str">
        <f>TEXT(Calendar_Table[[#This Row],[Date]],"dddd")</f>
        <v>Thursday</v>
      </c>
      <c r="H125" t="str">
        <f t="shared" si="7"/>
        <v>Weekday</v>
      </c>
    </row>
    <row r="126" spans="1:8" x14ac:dyDescent="0.35">
      <c r="A126" s="1">
        <f>IF(
  A125+1&gt;MAX(Sales_Performance[Date]),
 "",
  A125+1
)</f>
        <v>45051</v>
      </c>
      <c r="B126">
        <f t="shared" si="6"/>
        <v>2023</v>
      </c>
      <c r="C126" s="1">
        <f>DATE(
  YEAR(Calendar_Table[[#This Row],[Date]]),
  MONTH(Calendar_Table[[#This Row],[Date]]),
  1
)</f>
        <v>45047</v>
      </c>
      <c r="D126">
        <f t="shared" si="4"/>
        <v>5</v>
      </c>
      <c r="E126" s="4" t="str">
        <f>TEXT(Calendar_Table[[#This Row],[Date]],"mmmm")</f>
        <v>May</v>
      </c>
      <c r="F126">
        <f t="shared" si="5"/>
        <v>5</v>
      </c>
      <c r="G126" s="5" t="str">
        <f>TEXT(Calendar_Table[[#This Row],[Date]],"dddd")</f>
        <v>Friday</v>
      </c>
      <c r="H126" t="str">
        <f t="shared" si="7"/>
        <v>Weekday</v>
      </c>
    </row>
    <row r="127" spans="1:8" x14ac:dyDescent="0.35">
      <c r="A127" s="1">
        <f>IF(
  A126+1&gt;MAX(Sales_Performance[Date]),
 "",
  A126+1
)</f>
        <v>45052</v>
      </c>
      <c r="B127">
        <f t="shared" si="6"/>
        <v>2023</v>
      </c>
      <c r="C127" s="1">
        <f>DATE(
  YEAR(Calendar_Table[[#This Row],[Date]]),
  MONTH(Calendar_Table[[#This Row],[Date]]),
  1
)</f>
        <v>45047</v>
      </c>
      <c r="D127">
        <f t="shared" si="4"/>
        <v>5</v>
      </c>
      <c r="E127" s="4" t="str">
        <f>TEXT(Calendar_Table[[#This Row],[Date]],"mmmm")</f>
        <v>May</v>
      </c>
      <c r="F127">
        <f t="shared" si="5"/>
        <v>6</v>
      </c>
      <c r="G127" s="5" t="str">
        <f>TEXT(Calendar_Table[[#This Row],[Date]],"dddd")</f>
        <v>Saturday</v>
      </c>
      <c r="H127" t="str">
        <f t="shared" si="7"/>
        <v>Weekend</v>
      </c>
    </row>
    <row r="128" spans="1:8" x14ac:dyDescent="0.35">
      <c r="A128" s="1">
        <f>IF(
  A127+1&gt;MAX(Sales_Performance[Date]),
 "",
  A127+1
)</f>
        <v>45053</v>
      </c>
      <c r="B128">
        <f t="shared" si="6"/>
        <v>2023</v>
      </c>
      <c r="C128" s="1">
        <f>DATE(
  YEAR(Calendar_Table[[#This Row],[Date]]),
  MONTH(Calendar_Table[[#This Row],[Date]]),
  1
)</f>
        <v>45047</v>
      </c>
      <c r="D128">
        <f t="shared" si="4"/>
        <v>5</v>
      </c>
      <c r="E128" s="4" t="str">
        <f>TEXT(Calendar_Table[[#This Row],[Date]],"mmmm")</f>
        <v>May</v>
      </c>
      <c r="F128">
        <f t="shared" si="5"/>
        <v>7</v>
      </c>
      <c r="G128" s="5" t="str">
        <f>TEXT(Calendar_Table[[#This Row],[Date]],"dddd")</f>
        <v>Sunday</v>
      </c>
      <c r="H128" t="str">
        <f t="shared" si="7"/>
        <v>Weekend</v>
      </c>
    </row>
    <row r="129" spans="1:8" x14ac:dyDescent="0.35">
      <c r="A129" s="1">
        <f>IF(
  A128+1&gt;MAX(Sales_Performance[Date]),
 "",
  A128+1
)</f>
        <v>45054</v>
      </c>
      <c r="B129">
        <f t="shared" si="6"/>
        <v>2023</v>
      </c>
      <c r="C129" s="1">
        <f>DATE(
  YEAR(Calendar_Table[[#This Row],[Date]]),
  MONTH(Calendar_Table[[#This Row],[Date]]),
  1
)</f>
        <v>45047</v>
      </c>
      <c r="D129">
        <f t="shared" si="4"/>
        <v>5</v>
      </c>
      <c r="E129" s="4" t="str">
        <f>TEXT(Calendar_Table[[#This Row],[Date]],"mmmm")</f>
        <v>May</v>
      </c>
      <c r="F129">
        <f t="shared" si="5"/>
        <v>1</v>
      </c>
      <c r="G129" s="5" t="str">
        <f>TEXT(Calendar_Table[[#This Row],[Date]],"dddd")</f>
        <v>Monday</v>
      </c>
      <c r="H129" t="str">
        <f t="shared" si="7"/>
        <v>Weekday</v>
      </c>
    </row>
    <row r="130" spans="1:8" x14ac:dyDescent="0.35">
      <c r="A130" s="1">
        <f>IF(
  A129+1&gt;MAX(Sales_Performance[Date]),
 "",
  A129+1
)</f>
        <v>45055</v>
      </c>
      <c r="B130">
        <f t="shared" si="6"/>
        <v>2023</v>
      </c>
      <c r="C130" s="1">
        <f>DATE(
  YEAR(Calendar_Table[[#This Row],[Date]]),
  MONTH(Calendar_Table[[#This Row],[Date]]),
  1
)</f>
        <v>45047</v>
      </c>
      <c r="D130">
        <f t="shared" ref="D130:D193" si="8">MONTH(A130)</f>
        <v>5</v>
      </c>
      <c r="E130" s="4" t="str">
        <f>TEXT(Calendar_Table[[#This Row],[Date]],"mmmm")</f>
        <v>May</v>
      </c>
      <c r="F130">
        <f t="shared" ref="F130:F193" si="9">WEEKDAY(A130,2)</f>
        <v>2</v>
      </c>
      <c r="G130" s="5" t="str">
        <f>TEXT(Calendar_Table[[#This Row],[Date]],"dddd")</f>
        <v>Tuesday</v>
      </c>
      <c r="H130" t="str">
        <f t="shared" si="7"/>
        <v>Weekday</v>
      </c>
    </row>
    <row r="131" spans="1:8" x14ac:dyDescent="0.35">
      <c r="A131" s="1">
        <f>IF(
  A130+1&gt;MAX(Sales_Performance[Date]),
 "",
  A130+1
)</f>
        <v>45056</v>
      </c>
      <c r="B131">
        <f t="shared" ref="B131:B194" si="10">YEAR(A131)</f>
        <v>2023</v>
      </c>
      <c r="C131" s="1">
        <f>DATE(
  YEAR(Calendar_Table[[#This Row],[Date]]),
  MONTH(Calendar_Table[[#This Row],[Date]]),
  1
)</f>
        <v>45047</v>
      </c>
      <c r="D131">
        <f t="shared" si="8"/>
        <v>5</v>
      </c>
      <c r="E131" s="4" t="str">
        <f>TEXT(Calendar_Table[[#This Row],[Date]],"mmmm")</f>
        <v>May</v>
      </c>
      <c r="F131">
        <f t="shared" si="9"/>
        <v>3</v>
      </c>
      <c r="G131" s="5" t="str">
        <f>TEXT(Calendar_Table[[#This Row],[Date]],"dddd")</f>
        <v>Wednesday</v>
      </c>
      <c r="H131" t="str">
        <f t="shared" ref="H131:H194" si="11">IF(
   OR(
      F131=6,
      F131=7,
   ),
   "Weekend",
   "Weekday"
)</f>
        <v>Weekday</v>
      </c>
    </row>
    <row r="132" spans="1:8" x14ac:dyDescent="0.35">
      <c r="A132" s="1">
        <f>IF(
  A131+1&gt;MAX(Sales_Performance[Date]),
 "",
  A131+1
)</f>
        <v>45057</v>
      </c>
      <c r="B132">
        <f t="shared" si="10"/>
        <v>2023</v>
      </c>
      <c r="C132" s="1">
        <f>DATE(
  YEAR(Calendar_Table[[#This Row],[Date]]),
  MONTH(Calendar_Table[[#This Row],[Date]]),
  1
)</f>
        <v>45047</v>
      </c>
      <c r="D132">
        <f t="shared" si="8"/>
        <v>5</v>
      </c>
      <c r="E132" s="4" t="str">
        <f>TEXT(Calendar_Table[[#This Row],[Date]],"mmmm")</f>
        <v>May</v>
      </c>
      <c r="F132">
        <f t="shared" si="9"/>
        <v>4</v>
      </c>
      <c r="G132" s="5" t="str">
        <f>TEXT(Calendar_Table[[#This Row],[Date]],"dddd")</f>
        <v>Thursday</v>
      </c>
      <c r="H132" t="str">
        <f t="shared" si="11"/>
        <v>Weekday</v>
      </c>
    </row>
    <row r="133" spans="1:8" x14ac:dyDescent="0.35">
      <c r="A133" s="1">
        <f>IF(
  A132+1&gt;MAX(Sales_Performance[Date]),
 "",
  A132+1
)</f>
        <v>45058</v>
      </c>
      <c r="B133">
        <f t="shared" si="10"/>
        <v>2023</v>
      </c>
      <c r="C133" s="1">
        <f>DATE(
  YEAR(Calendar_Table[[#This Row],[Date]]),
  MONTH(Calendar_Table[[#This Row],[Date]]),
  1
)</f>
        <v>45047</v>
      </c>
      <c r="D133">
        <f t="shared" si="8"/>
        <v>5</v>
      </c>
      <c r="E133" s="4" t="str">
        <f>TEXT(Calendar_Table[[#This Row],[Date]],"mmmm")</f>
        <v>May</v>
      </c>
      <c r="F133">
        <f t="shared" si="9"/>
        <v>5</v>
      </c>
      <c r="G133" s="5" t="str">
        <f>TEXT(Calendar_Table[[#This Row],[Date]],"dddd")</f>
        <v>Friday</v>
      </c>
      <c r="H133" t="str">
        <f t="shared" si="11"/>
        <v>Weekday</v>
      </c>
    </row>
    <row r="134" spans="1:8" x14ac:dyDescent="0.35">
      <c r="A134" s="1">
        <f>IF(
  A133+1&gt;MAX(Sales_Performance[Date]),
 "",
  A133+1
)</f>
        <v>45059</v>
      </c>
      <c r="B134">
        <f t="shared" si="10"/>
        <v>2023</v>
      </c>
      <c r="C134" s="1">
        <f>DATE(
  YEAR(Calendar_Table[[#This Row],[Date]]),
  MONTH(Calendar_Table[[#This Row],[Date]]),
  1
)</f>
        <v>45047</v>
      </c>
      <c r="D134">
        <f t="shared" si="8"/>
        <v>5</v>
      </c>
      <c r="E134" s="4" t="str">
        <f>TEXT(Calendar_Table[[#This Row],[Date]],"mmmm")</f>
        <v>May</v>
      </c>
      <c r="F134">
        <f t="shared" si="9"/>
        <v>6</v>
      </c>
      <c r="G134" s="5" t="str">
        <f>TEXT(Calendar_Table[[#This Row],[Date]],"dddd")</f>
        <v>Saturday</v>
      </c>
      <c r="H134" t="str">
        <f t="shared" si="11"/>
        <v>Weekend</v>
      </c>
    </row>
    <row r="135" spans="1:8" x14ac:dyDescent="0.35">
      <c r="A135" s="1">
        <f>IF(
  A134+1&gt;MAX(Sales_Performance[Date]),
 "",
  A134+1
)</f>
        <v>45060</v>
      </c>
      <c r="B135">
        <f t="shared" si="10"/>
        <v>2023</v>
      </c>
      <c r="C135" s="1">
        <f>DATE(
  YEAR(Calendar_Table[[#This Row],[Date]]),
  MONTH(Calendar_Table[[#This Row],[Date]]),
  1
)</f>
        <v>45047</v>
      </c>
      <c r="D135">
        <f t="shared" si="8"/>
        <v>5</v>
      </c>
      <c r="E135" s="4" t="str">
        <f>TEXT(Calendar_Table[[#This Row],[Date]],"mmmm")</f>
        <v>May</v>
      </c>
      <c r="F135">
        <f t="shared" si="9"/>
        <v>7</v>
      </c>
      <c r="G135" s="5" t="str">
        <f>TEXT(Calendar_Table[[#This Row],[Date]],"dddd")</f>
        <v>Sunday</v>
      </c>
      <c r="H135" t="str">
        <f t="shared" si="11"/>
        <v>Weekend</v>
      </c>
    </row>
    <row r="136" spans="1:8" x14ac:dyDescent="0.35">
      <c r="A136" s="1">
        <f>IF(
  A135+1&gt;MAX(Sales_Performance[Date]),
 "",
  A135+1
)</f>
        <v>45061</v>
      </c>
      <c r="B136">
        <f t="shared" si="10"/>
        <v>2023</v>
      </c>
      <c r="C136" s="1">
        <f>DATE(
  YEAR(Calendar_Table[[#This Row],[Date]]),
  MONTH(Calendar_Table[[#This Row],[Date]]),
  1
)</f>
        <v>45047</v>
      </c>
      <c r="D136">
        <f t="shared" si="8"/>
        <v>5</v>
      </c>
      <c r="E136" s="4" t="str">
        <f>TEXT(Calendar_Table[[#This Row],[Date]],"mmmm")</f>
        <v>May</v>
      </c>
      <c r="F136">
        <f t="shared" si="9"/>
        <v>1</v>
      </c>
      <c r="G136" s="5" t="str">
        <f>TEXT(Calendar_Table[[#This Row],[Date]],"dddd")</f>
        <v>Monday</v>
      </c>
      <c r="H136" t="str">
        <f t="shared" si="11"/>
        <v>Weekday</v>
      </c>
    </row>
    <row r="137" spans="1:8" x14ac:dyDescent="0.35">
      <c r="A137" s="1">
        <f>IF(
  A136+1&gt;MAX(Sales_Performance[Date]),
 "",
  A136+1
)</f>
        <v>45062</v>
      </c>
      <c r="B137">
        <f t="shared" si="10"/>
        <v>2023</v>
      </c>
      <c r="C137" s="1">
        <f>DATE(
  YEAR(Calendar_Table[[#This Row],[Date]]),
  MONTH(Calendar_Table[[#This Row],[Date]]),
  1
)</f>
        <v>45047</v>
      </c>
      <c r="D137">
        <f t="shared" si="8"/>
        <v>5</v>
      </c>
      <c r="E137" s="4" t="str">
        <f>TEXT(Calendar_Table[[#This Row],[Date]],"mmmm")</f>
        <v>May</v>
      </c>
      <c r="F137">
        <f t="shared" si="9"/>
        <v>2</v>
      </c>
      <c r="G137" s="5" t="str">
        <f>TEXT(Calendar_Table[[#This Row],[Date]],"dddd")</f>
        <v>Tuesday</v>
      </c>
      <c r="H137" t="str">
        <f t="shared" si="11"/>
        <v>Weekday</v>
      </c>
    </row>
    <row r="138" spans="1:8" x14ac:dyDescent="0.35">
      <c r="A138" s="1">
        <f>IF(
  A137+1&gt;MAX(Sales_Performance[Date]),
 "",
  A137+1
)</f>
        <v>45063</v>
      </c>
      <c r="B138">
        <f t="shared" si="10"/>
        <v>2023</v>
      </c>
      <c r="C138" s="1">
        <f>DATE(
  YEAR(Calendar_Table[[#This Row],[Date]]),
  MONTH(Calendar_Table[[#This Row],[Date]]),
  1
)</f>
        <v>45047</v>
      </c>
      <c r="D138">
        <f t="shared" si="8"/>
        <v>5</v>
      </c>
      <c r="E138" s="4" t="str">
        <f>TEXT(Calendar_Table[[#This Row],[Date]],"mmmm")</f>
        <v>May</v>
      </c>
      <c r="F138">
        <f t="shared" si="9"/>
        <v>3</v>
      </c>
      <c r="G138" s="5" t="str">
        <f>TEXT(Calendar_Table[[#This Row],[Date]],"dddd")</f>
        <v>Wednesday</v>
      </c>
      <c r="H138" t="str">
        <f t="shared" si="11"/>
        <v>Weekday</v>
      </c>
    </row>
    <row r="139" spans="1:8" x14ac:dyDescent="0.35">
      <c r="A139" s="1">
        <f>IF(
  A138+1&gt;MAX(Sales_Performance[Date]),
 "",
  A138+1
)</f>
        <v>45064</v>
      </c>
      <c r="B139">
        <f t="shared" si="10"/>
        <v>2023</v>
      </c>
      <c r="C139" s="1">
        <f>DATE(
  YEAR(Calendar_Table[[#This Row],[Date]]),
  MONTH(Calendar_Table[[#This Row],[Date]]),
  1
)</f>
        <v>45047</v>
      </c>
      <c r="D139">
        <f t="shared" si="8"/>
        <v>5</v>
      </c>
      <c r="E139" s="4" t="str">
        <f>TEXT(Calendar_Table[[#This Row],[Date]],"mmmm")</f>
        <v>May</v>
      </c>
      <c r="F139">
        <f t="shared" si="9"/>
        <v>4</v>
      </c>
      <c r="G139" s="5" t="str">
        <f>TEXT(Calendar_Table[[#This Row],[Date]],"dddd")</f>
        <v>Thursday</v>
      </c>
      <c r="H139" t="str">
        <f t="shared" si="11"/>
        <v>Weekday</v>
      </c>
    </row>
    <row r="140" spans="1:8" x14ac:dyDescent="0.35">
      <c r="A140" s="1">
        <f>IF(
  A139+1&gt;MAX(Sales_Performance[Date]),
 "",
  A139+1
)</f>
        <v>45065</v>
      </c>
      <c r="B140">
        <f t="shared" si="10"/>
        <v>2023</v>
      </c>
      <c r="C140" s="1">
        <f>DATE(
  YEAR(Calendar_Table[[#This Row],[Date]]),
  MONTH(Calendar_Table[[#This Row],[Date]]),
  1
)</f>
        <v>45047</v>
      </c>
      <c r="D140">
        <f t="shared" si="8"/>
        <v>5</v>
      </c>
      <c r="E140" s="4" t="str">
        <f>TEXT(Calendar_Table[[#This Row],[Date]],"mmmm")</f>
        <v>May</v>
      </c>
      <c r="F140">
        <f t="shared" si="9"/>
        <v>5</v>
      </c>
      <c r="G140" s="5" t="str">
        <f>TEXT(Calendar_Table[[#This Row],[Date]],"dddd")</f>
        <v>Friday</v>
      </c>
      <c r="H140" t="str">
        <f t="shared" si="11"/>
        <v>Weekday</v>
      </c>
    </row>
    <row r="141" spans="1:8" x14ac:dyDescent="0.35">
      <c r="A141" s="1">
        <f>IF(
  A140+1&gt;MAX(Sales_Performance[Date]),
 "",
  A140+1
)</f>
        <v>45066</v>
      </c>
      <c r="B141">
        <f t="shared" si="10"/>
        <v>2023</v>
      </c>
      <c r="C141" s="1">
        <f>DATE(
  YEAR(Calendar_Table[[#This Row],[Date]]),
  MONTH(Calendar_Table[[#This Row],[Date]]),
  1
)</f>
        <v>45047</v>
      </c>
      <c r="D141">
        <f t="shared" si="8"/>
        <v>5</v>
      </c>
      <c r="E141" s="4" t="str">
        <f>TEXT(Calendar_Table[[#This Row],[Date]],"mmmm")</f>
        <v>May</v>
      </c>
      <c r="F141">
        <f t="shared" si="9"/>
        <v>6</v>
      </c>
      <c r="G141" s="5" t="str">
        <f>TEXT(Calendar_Table[[#This Row],[Date]],"dddd")</f>
        <v>Saturday</v>
      </c>
      <c r="H141" t="str">
        <f t="shared" si="11"/>
        <v>Weekend</v>
      </c>
    </row>
    <row r="142" spans="1:8" x14ac:dyDescent="0.35">
      <c r="A142" s="1">
        <f>IF(
  A141+1&gt;MAX(Sales_Performance[Date]),
 "",
  A141+1
)</f>
        <v>45067</v>
      </c>
      <c r="B142">
        <f t="shared" si="10"/>
        <v>2023</v>
      </c>
      <c r="C142" s="1">
        <f>DATE(
  YEAR(Calendar_Table[[#This Row],[Date]]),
  MONTH(Calendar_Table[[#This Row],[Date]]),
  1
)</f>
        <v>45047</v>
      </c>
      <c r="D142">
        <f t="shared" si="8"/>
        <v>5</v>
      </c>
      <c r="E142" s="4" t="str">
        <f>TEXT(Calendar_Table[[#This Row],[Date]],"mmmm")</f>
        <v>May</v>
      </c>
      <c r="F142">
        <f t="shared" si="9"/>
        <v>7</v>
      </c>
      <c r="G142" s="5" t="str">
        <f>TEXT(Calendar_Table[[#This Row],[Date]],"dddd")</f>
        <v>Sunday</v>
      </c>
      <c r="H142" t="str">
        <f t="shared" si="11"/>
        <v>Weekend</v>
      </c>
    </row>
    <row r="143" spans="1:8" x14ac:dyDescent="0.35">
      <c r="A143" s="1">
        <f>IF(
  A142+1&gt;MAX(Sales_Performance[Date]),
 "",
  A142+1
)</f>
        <v>45068</v>
      </c>
      <c r="B143">
        <f t="shared" si="10"/>
        <v>2023</v>
      </c>
      <c r="C143" s="1">
        <f>DATE(
  YEAR(Calendar_Table[[#This Row],[Date]]),
  MONTH(Calendar_Table[[#This Row],[Date]]),
  1
)</f>
        <v>45047</v>
      </c>
      <c r="D143">
        <f t="shared" si="8"/>
        <v>5</v>
      </c>
      <c r="E143" s="4" t="str">
        <f>TEXT(Calendar_Table[[#This Row],[Date]],"mmmm")</f>
        <v>May</v>
      </c>
      <c r="F143">
        <f t="shared" si="9"/>
        <v>1</v>
      </c>
      <c r="G143" s="5" t="str">
        <f>TEXT(Calendar_Table[[#This Row],[Date]],"dddd")</f>
        <v>Monday</v>
      </c>
      <c r="H143" t="str">
        <f t="shared" si="11"/>
        <v>Weekday</v>
      </c>
    </row>
    <row r="144" spans="1:8" x14ac:dyDescent="0.35">
      <c r="A144" s="1">
        <f>IF(
  A143+1&gt;MAX(Sales_Performance[Date]),
 "",
  A143+1
)</f>
        <v>45069</v>
      </c>
      <c r="B144">
        <f t="shared" si="10"/>
        <v>2023</v>
      </c>
      <c r="C144" s="1">
        <f>DATE(
  YEAR(Calendar_Table[[#This Row],[Date]]),
  MONTH(Calendar_Table[[#This Row],[Date]]),
  1
)</f>
        <v>45047</v>
      </c>
      <c r="D144">
        <f t="shared" si="8"/>
        <v>5</v>
      </c>
      <c r="E144" s="4" t="str">
        <f>TEXT(Calendar_Table[[#This Row],[Date]],"mmmm")</f>
        <v>May</v>
      </c>
      <c r="F144">
        <f t="shared" si="9"/>
        <v>2</v>
      </c>
      <c r="G144" s="5" t="str">
        <f>TEXT(Calendar_Table[[#This Row],[Date]],"dddd")</f>
        <v>Tuesday</v>
      </c>
      <c r="H144" t="str">
        <f t="shared" si="11"/>
        <v>Weekday</v>
      </c>
    </row>
    <row r="145" spans="1:8" x14ac:dyDescent="0.35">
      <c r="A145" s="1">
        <f>IF(
  A144+1&gt;MAX(Sales_Performance[Date]),
 "",
  A144+1
)</f>
        <v>45070</v>
      </c>
      <c r="B145">
        <f t="shared" si="10"/>
        <v>2023</v>
      </c>
      <c r="C145" s="1">
        <f>DATE(
  YEAR(Calendar_Table[[#This Row],[Date]]),
  MONTH(Calendar_Table[[#This Row],[Date]]),
  1
)</f>
        <v>45047</v>
      </c>
      <c r="D145">
        <f t="shared" si="8"/>
        <v>5</v>
      </c>
      <c r="E145" s="4" t="str">
        <f>TEXT(Calendar_Table[[#This Row],[Date]],"mmmm")</f>
        <v>May</v>
      </c>
      <c r="F145">
        <f t="shared" si="9"/>
        <v>3</v>
      </c>
      <c r="G145" s="5" t="str">
        <f>TEXT(Calendar_Table[[#This Row],[Date]],"dddd")</f>
        <v>Wednesday</v>
      </c>
      <c r="H145" t="str">
        <f t="shared" si="11"/>
        <v>Weekday</v>
      </c>
    </row>
    <row r="146" spans="1:8" x14ac:dyDescent="0.35">
      <c r="A146" s="1">
        <f>IF(
  A145+1&gt;MAX(Sales_Performance[Date]),
 "",
  A145+1
)</f>
        <v>45071</v>
      </c>
      <c r="B146">
        <f t="shared" si="10"/>
        <v>2023</v>
      </c>
      <c r="C146" s="1">
        <f>DATE(
  YEAR(Calendar_Table[[#This Row],[Date]]),
  MONTH(Calendar_Table[[#This Row],[Date]]),
  1
)</f>
        <v>45047</v>
      </c>
      <c r="D146">
        <f t="shared" si="8"/>
        <v>5</v>
      </c>
      <c r="E146" s="4" t="str">
        <f>TEXT(Calendar_Table[[#This Row],[Date]],"mmmm")</f>
        <v>May</v>
      </c>
      <c r="F146">
        <f t="shared" si="9"/>
        <v>4</v>
      </c>
      <c r="G146" s="5" t="str">
        <f>TEXT(Calendar_Table[[#This Row],[Date]],"dddd")</f>
        <v>Thursday</v>
      </c>
      <c r="H146" t="str">
        <f t="shared" si="11"/>
        <v>Weekday</v>
      </c>
    </row>
    <row r="147" spans="1:8" x14ac:dyDescent="0.35">
      <c r="A147" s="1">
        <f>IF(
  A146+1&gt;MAX(Sales_Performance[Date]),
 "",
  A146+1
)</f>
        <v>45072</v>
      </c>
      <c r="B147">
        <f t="shared" si="10"/>
        <v>2023</v>
      </c>
      <c r="C147" s="1">
        <f>DATE(
  YEAR(Calendar_Table[[#This Row],[Date]]),
  MONTH(Calendar_Table[[#This Row],[Date]]),
  1
)</f>
        <v>45047</v>
      </c>
      <c r="D147">
        <f t="shared" si="8"/>
        <v>5</v>
      </c>
      <c r="E147" s="4" t="str">
        <f>TEXT(Calendar_Table[[#This Row],[Date]],"mmmm")</f>
        <v>May</v>
      </c>
      <c r="F147">
        <f t="shared" si="9"/>
        <v>5</v>
      </c>
      <c r="G147" s="5" t="str">
        <f>TEXT(Calendar_Table[[#This Row],[Date]],"dddd")</f>
        <v>Friday</v>
      </c>
      <c r="H147" t="str">
        <f t="shared" si="11"/>
        <v>Weekday</v>
      </c>
    </row>
    <row r="148" spans="1:8" x14ac:dyDescent="0.35">
      <c r="A148" s="1">
        <f>IF(
  A147+1&gt;MAX(Sales_Performance[Date]),
 "",
  A147+1
)</f>
        <v>45073</v>
      </c>
      <c r="B148">
        <f t="shared" si="10"/>
        <v>2023</v>
      </c>
      <c r="C148" s="1">
        <f>DATE(
  YEAR(Calendar_Table[[#This Row],[Date]]),
  MONTH(Calendar_Table[[#This Row],[Date]]),
  1
)</f>
        <v>45047</v>
      </c>
      <c r="D148">
        <f t="shared" si="8"/>
        <v>5</v>
      </c>
      <c r="E148" s="4" t="str">
        <f>TEXT(Calendar_Table[[#This Row],[Date]],"mmmm")</f>
        <v>May</v>
      </c>
      <c r="F148">
        <f t="shared" si="9"/>
        <v>6</v>
      </c>
      <c r="G148" s="5" t="str">
        <f>TEXT(Calendar_Table[[#This Row],[Date]],"dddd")</f>
        <v>Saturday</v>
      </c>
      <c r="H148" t="str">
        <f t="shared" si="11"/>
        <v>Weekend</v>
      </c>
    </row>
    <row r="149" spans="1:8" x14ac:dyDescent="0.35">
      <c r="A149" s="1">
        <f>IF(
  A148+1&gt;MAX(Sales_Performance[Date]),
 "",
  A148+1
)</f>
        <v>45074</v>
      </c>
      <c r="B149">
        <f t="shared" si="10"/>
        <v>2023</v>
      </c>
      <c r="C149" s="1">
        <f>DATE(
  YEAR(Calendar_Table[[#This Row],[Date]]),
  MONTH(Calendar_Table[[#This Row],[Date]]),
  1
)</f>
        <v>45047</v>
      </c>
      <c r="D149">
        <f t="shared" si="8"/>
        <v>5</v>
      </c>
      <c r="E149" s="4" t="str">
        <f>TEXT(Calendar_Table[[#This Row],[Date]],"mmmm")</f>
        <v>May</v>
      </c>
      <c r="F149">
        <f t="shared" si="9"/>
        <v>7</v>
      </c>
      <c r="G149" s="5" t="str">
        <f>TEXT(Calendar_Table[[#This Row],[Date]],"dddd")</f>
        <v>Sunday</v>
      </c>
      <c r="H149" t="str">
        <f t="shared" si="11"/>
        <v>Weekend</v>
      </c>
    </row>
    <row r="150" spans="1:8" x14ac:dyDescent="0.35">
      <c r="A150" s="1">
        <f>IF(
  A149+1&gt;MAX(Sales_Performance[Date]),
 "",
  A149+1
)</f>
        <v>45075</v>
      </c>
      <c r="B150">
        <f t="shared" si="10"/>
        <v>2023</v>
      </c>
      <c r="C150" s="1">
        <f>DATE(
  YEAR(Calendar_Table[[#This Row],[Date]]),
  MONTH(Calendar_Table[[#This Row],[Date]]),
  1
)</f>
        <v>45047</v>
      </c>
      <c r="D150">
        <f t="shared" si="8"/>
        <v>5</v>
      </c>
      <c r="E150" s="4" t="str">
        <f>TEXT(Calendar_Table[[#This Row],[Date]],"mmmm")</f>
        <v>May</v>
      </c>
      <c r="F150">
        <f t="shared" si="9"/>
        <v>1</v>
      </c>
      <c r="G150" s="5" t="str">
        <f>TEXT(Calendar_Table[[#This Row],[Date]],"dddd")</f>
        <v>Monday</v>
      </c>
      <c r="H150" t="str">
        <f t="shared" si="11"/>
        <v>Weekday</v>
      </c>
    </row>
    <row r="151" spans="1:8" x14ac:dyDescent="0.35">
      <c r="A151" s="1">
        <f>IF(
  A150+1&gt;MAX(Sales_Performance[Date]),
 "",
  A150+1
)</f>
        <v>45076</v>
      </c>
      <c r="B151">
        <f t="shared" si="10"/>
        <v>2023</v>
      </c>
      <c r="C151" s="1">
        <f>DATE(
  YEAR(Calendar_Table[[#This Row],[Date]]),
  MONTH(Calendar_Table[[#This Row],[Date]]),
  1
)</f>
        <v>45047</v>
      </c>
      <c r="D151">
        <f t="shared" si="8"/>
        <v>5</v>
      </c>
      <c r="E151" s="4" t="str">
        <f>TEXT(Calendar_Table[[#This Row],[Date]],"mmmm")</f>
        <v>May</v>
      </c>
      <c r="F151">
        <f t="shared" si="9"/>
        <v>2</v>
      </c>
      <c r="G151" s="5" t="str">
        <f>TEXT(Calendar_Table[[#This Row],[Date]],"dddd")</f>
        <v>Tuesday</v>
      </c>
      <c r="H151" t="str">
        <f t="shared" si="11"/>
        <v>Weekday</v>
      </c>
    </row>
    <row r="152" spans="1:8" x14ac:dyDescent="0.35">
      <c r="A152" s="1">
        <f>IF(
  A151+1&gt;MAX(Sales_Performance[Date]),
 "",
  A151+1
)</f>
        <v>45077</v>
      </c>
      <c r="B152">
        <f t="shared" si="10"/>
        <v>2023</v>
      </c>
      <c r="C152" s="1">
        <f>DATE(
  YEAR(Calendar_Table[[#This Row],[Date]]),
  MONTH(Calendar_Table[[#This Row],[Date]]),
  1
)</f>
        <v>45047</v>
      </c>
      <c r="D152">
        <f t="shared" si="8"/>
        <v>5</v>
      </c>
      <c r="E152" s="4" t="str">
        <f>TEXT(Calendar_Table[[#This Row],[Date]],"mmmm")</f>
        <v>May</v>
      </c>
      <c r="F152">
        <f t="shared" si="9"/>
        <v>3</v>
      </c>
      <c r="G152" s="5" t="str">
        <f>TEXT(Calendar_Table[[#This Row],[Date]],"dddd")</f>
        <v>Wednesday</v>
      </c>
      <c r="H152" t="str">
        <f t="shared" si="11"/>
        <v>Weekday</v>
      </c>
    </row>
    <row r="153" spans="1:8" x14ac:dyDescent="0.35">
      <c r="A153" s="1">
        <f>IF(
  A152+1&gt;MAX(Sales_Performance[Date]),
 "",
  A152+1
)</f>
        <v>45078</v>
      </c>
      <c r="B153">
        <f t="shared" si="10"/>
        <v>2023</v>
      </c>
      <c r="C153" s="1">
        <f>DATE(
  YEAR(Calendar_Table[[#This Row],[Date]]),
  MONTH(Calendar_Table[[#This Row],[Date]]),
  1
)</f>
        <v>45078</v>
      </c>
      <c r="D153">
        <f t="shared" si="8"/>
        <v>6</v>
      </c>
      <c r="E153" s="4" t="str">
        <f>TEXT(Calendar_Table[[#This Row],[Date]],"mmmm")</f>
        <v>June</v>
      </c>
      <c r="F153">
        <f t="shared" si="9"/>
        <v>4</v>
      </c>
      <c r="G153" s="5" t="str">
        <f>TEXT(Calendar_Table[[#This Row],[Date]],"dddd")</f>
        <v>Thursday</v>
      </c>
      <c r="H153" t="str">
        <f t="shared" si="11"/>
        <v>Weekday</v>
      </c>
    </row>
    <row r="154" spans="1:8" x14ac:dyDescent="0.35">
      <c r="A154" s="1">
        <f>IF(
  A153+1&gt;MAX(Sales_Performance[Date]),
 "",
  A153+1
)</f>
        <v>45079</v>
      </c>
      <c r="B154">
        <f t="shared" si="10"/>
        <v>2023</v>
      </c>
      <c r="C154" s="1">
        <f>DATE(
  YEAR(Calendar_Table[[#This Row],[Date]]),
  MONTH(Calendar_Table[[#This Row],[Date]]),
  1
)</f>
        <v>45078</v>
      </c>
      <c r="D154">
        <f t="shared" si="8"/>
        <v>6</v>
      </c>
      <c r="E154" s="4" t="str">
        <f>TEXT(Calendar_Table[[#This Row],[Date]],"mmmm")</f>
        <v>June</v>
      </c>
      <c r="F154">
        <f t="shared" si="9"/>
        <v>5</v>
      </c>
      <c r="G154" s="5" t="str">
        <f>TEXT(Calendar_Table[[#This Row],[Date]],"dddd")</f>
        <v>Friday</v>
      </c>
      <c r="H154" t="str">
        <f t="shared" si="11"/>
        <v>Weekday</v>
      </c>
    </row>
    <row r="155" spans="1:8" x14ac:dyDescent="0.35">
      <c r="A155" s="1">
        <f>IF(
  A154+1&gt;MAX(Sales_Performance[Date]),
 "",
  A154+1
)</f>
        <v>45080</v>
      </c>
      <c r="B155">
        <f t="shared" si="10"/>
        <v>2023</v>
      </c>
      <c r="C155" s="1">
        <f>DATE(
  YEAR(Calendar_Table[[#This Row],[Date]]),
  MONTH(Calendar_Table[[#This Row],[Date]]),
  1
)</f>
        <v>45078</v>
      </c>
      <c r="D155">
        <f t="shared" si="8"/>
        <v>6</v>
      </c>
      <c r="E155" s="4" t="str">
        <f>TEXT(Calendar_Table[[#This Row],[Date]],"mmmm")</f>
        <v>June</v>
      </c>
      <c r="F155">
        <f t="shared" si="9"/>
        <v>6</v>
      </c>
      <c r="G155" s="5" t="str">
        <f>TEXT(Calendar_Table[[#This Row],[Date]],"dddd")</f>
        <v>Saturday</v>
      </c>
      <c r="H155" t="str">
        <f t="shared" si="11"/>
        <v>Weekend</v>
      </c>
    </row>
    <row r="156" spans="1:8" x14ac:dyDescent="0.35">
      <c r="A156" s="1">
        <f>IF(
  A155+1&gt;MAX(Sales_Performance[Date]),
 "",
  A155+1
)</f>
        <v>45081</v>
      </c>
      <c r="B156">
        <f t="shared" si="10"/>
        <v>2023</v>
      </c>
      <c r="C156" s="1">
        <f>DATE(
  YEAR(Calendar_Table[[#This Row],[Date]]),
  MONTH(Calendar_Table[[#This Row],[Date]]),
  1
)</f>
        <v>45078</v>
      </c>
      <c r="D156">
        <f t="shared" si="8"/>
        <v>6</v>
      </c>
      <c r="E156" s="4" t="str">
        <f>TEXT(Calendar_Table[[#This Row],[Date]],"mmmm")</f>
        <v>June</v>
      </c>
      <c r="F156">
        <f t="shared" si="9"/>
        <v>7</v>
      </c>
      <c r="G156" s="5" t="str">
        <f>TEXT(Calendar_Table[[#This Row],[Date]],"dddd")</f>
        <v>Sunday</v>
      </c>
      <c r="H156" t="str">
        <f t="shared" si="11"/>
        <v>Weekend</v>
      </c>
    </row>
    <row r="157" spans="1:8" x14ac:dyDescent="0.35">
      <c r="A157" s="1">
        <f>IF(
  A156+1&gt;MAX(Sales_Performance[Date]),
 "",
  A156+1
)</f>
        <v>45082</v>
      </c>
      <c r="B157">
        <f t="shared" si="10"/>
        <v>2023</v>
      </c>
      <c r="C157" s="1">
        <f>DATE(
  YEAR(Calendar_Table[[#This Row],[Date]]),
  MONTH(Calendar_Table[[#This Row],[Date]]),
  1
)</f>
        <v>45078</v>
      </c>
      <c r="D157">
        <f t="shared" si="8"/>
        <v>6</v>
      </c>
      <c r="E157" s="4" t="str">
        <f>TEXT(Calendar_Table[[#This Row],[Date]],"mmmm")</f>
        <v>June</v>
      </c>
      <c r="F157">
        <f t="shared" si="9"/>
        <v>1</v>
      </c>
      <c r="G157" s="5" t="str">
        <f>TEXT(Calendar_Table[[#This Row],[Date]],"dddd")</f>
        <v>Monday</v>
      </c>
      <c r="H157" t="str">
        <f t="shared" si="11"/>
        <v>Weekday</v>
      </c>
    </row>
    <row r="158" spans="1:8" x14ac:dyDescent="0.35">
      <c r="A158" s="1">
        <f>IF(
  A157+1&gt;MAX(Sales_Performance[Date]),
 "",
  A157+1
)</f>
        <v>45083</v>
      </c>
      <c r="B158">
        <f t="shared" si="10"/>
        <v>2023</v>
      </c>
      <c r="C158" s="1">
        <f>DATE(
  YEAR(Calendar_Table[[#This Row],[Date]]),
  MONTH(Calendar_Table[[#This Row],[Date]]),
  1
)</f>
        <v>45078</v>
      </c>
      <c r="D158">
        <f t="shared" si="8"/>
        <v>6</v>
      </c>
      <c r="E158" s="4" t="str">
        <f>TEXT(Calendar_Table[[#This Row],[Date]],"mmmm")</f>
        <v>June</v>
      </c>
      <c r="F158">
        <f t="shared" si="9"/>
        <v>2</v>
      </c>
      <c r="G158" s="5" t="str">
        <f>TEXT(Calendar_Table[[#This Row],[Date]],"dddd")</f>
        <v>Tuesday</v>
      </c>
      <c r="H158" t="str">
        <f t="shared" si="11"/>
        <v>Weekday</v>
      </c>
    </row>
    <row r="159" spans="1:8" x14ac:dyDescent="0.35">
      <c r="A159" s="1">
        <f>IF(
  A158+1&gt;MAX(Sales_Performance[Date]),
 "",
  A158+1
)</f>
        <v>45084</v>
      </c>
      <c r="B159">
        <f t="shared" si="10"/>
        <v>2023</v>
      </c>
      <c r="C159" s="1">
        <f>DATE(
  YEAR(Calendar_Table[[#This Row],[Date]]),
  MONTH(Calendar_Table[[#This Row],[Date]]),
  1
)</f>
        <v>45078</v>
      </c>
      <c r="D159">
        <f t="shared" si="8"/>
        <v>6</v>
      </c>
      <c r="E159" s="4" t="str">
        <f>TEXT(Calendar_Table[[#This Row],[Date]],"mmmm")</f>
        <v>June</v>
      </c>
      <c r="F159">
        <f t="shared" si="9"/>
        <v>3</v>
      </c>
      <c r="G159" s="5" t="str">
        <f>TEXT(Calendar_Table[[#This Row],[Date]],"dddd")</f>
        <v>Wednesday</v>
      </c>
      <c r="H159" t="str">
        <f t="shared" si="11"/>
        <v>Weekday</v>
      </c>
    </row>
    <row r="160" spans="1:8" x14ac:dyDescent="0.35">
      <c r="A160" s="1">
        <f>IF(
  A159+1&gt;MAX(Sales_Performance[Date]),
 "",
  A159+1
)</f>
        <v>45085</v>
      </c>
      <c r="B160">
        <f t="shared" si="10"/>
        <v>2023</v>
      </c>
      <c r="C160" s="1">
        <f>DATE(
  YEAR(Calendar_Table[[#This Row],[Date]]),
  MONTH(Calendar_Table[[#This Row],[Date]]),
  1
)</f>
        <v>45078</v>
      </c>
      <c r="D160">
        <f t="shared" si="8"/>
        <v>6</v>
      </c>
      <c r="E160" s="4" t="str">
        <f>TEXT(Calendar_Table[[#This Row],[Date]],"mmmm")</f>
        <v>June</v>
      </c>
      <c r="F160">
        <f t="shared" si="9"/>
        <v>4</v>
      </c>
      <c r="G160" s="5" t="str">
        <f>TEXT(Calendar_Table[[#This Row],[Date]],"dddd")</f>
        <v>Thursday</v>
      </c>
      <c r="H160" t="str">
        <f t="shared" si="11"/>
        <v>Weekday</v>
      </c>
    </row>
    <row r="161" spans="1:8" x14ac:dyDescent="0.35">
      <c r="A161" s="1">
        <f>IF(
  A160+1&gt;MAX(Sales_Performance[Date]),
 "",
  A160+1
)</f>
        <v>45086</v>
      </c>
      <c r="B161">
        <f t="shared" si="10"/>
        <v>2023</v>
      </c>
      <c r="C161" s="1">
        <f>DATE(
  YEAR(Calendar_Table[[#This Row],[Date]]),
  MONTH(Calendar_Table[[#This Row],[Date]]),
  1
)</f>
        <v>45078</v>
      </c>
      <c r="D161">
        <f t="shared" si="8"/>
        <v>6</v>
      </c>
      <c r="E161" s="4" t="str">
        <f>TEXT(Calendar_Table[[#This Row],[Date]],"mmmm")</f>
        <v>June</v>
      </c>
      <c r="F161">
        <f t="shared" si="9"/>
        <v>5</v>
      </c>
      <c r="G161" s="5" t="str">
        <f>TEXT(Calendar_Table[[#This Row],[Date]],"dddd")</f>
        <v>Friday</v>
      </c>
      <c r="H161" t="str">
        <f t="shared" si="11"/>
        <v>Weekday</v>
      </c>
    </row>
    <row r="162" spans="1:8" x14ac:dyDescent="0.35">
      <c r="A162" s="1">
        <f>IF(
  A161+1&gt;MAX(Sales_Performance[Date]),
 "",
  A161+1
)</f>
        <v>45087</v>
      </c>
      <c r="B162">
        <f t="shared" si="10"/>
        <v>2023</v>
      </c>
      <c r="C162" s="1">
        <f>DATE(
  YEAR(Calendar_Table[[#This Row],[Date]]),
  MONTH(Calendar_Table[[#This Row],[Date]]),
  1
)</f>
        <v>45078</v>
      </c>
      <c r="D162">
        <f t="shared" si="8"/>
        <v>6</v>
      </c>
      <c r="E162" s="4" t="str">
        <f>TEXT(Calendar_Table[[#This Row],[Date]],"mmmm")</f>
        <v>June</v>
      </c>
      <c r="F162">
        <f t="shared" si="9"/>
        <v>6</v>
      </c>
      <c r="G162" s="5" t="str">
        <f>TEXT(Calendar_Table[[#This Row],[Date]],"dddd")</f>
        <v>Saturday</v>
      </c>
      <c r="H162" t="str">
        <f t="shared" si="11"/>
        <v>Weekend</v>
      </c>
    </row>
    <row r="163" spans="1:8" x14ac:dyDescent="0.35">
      <c r="A163" s="1">
        <f>IF(
  A162+1&gt;MAX(Sales_Performance[Date]),
 "",
  A162+1
)</f>
        <v>45088</v>
      </c>
      <c r="B163">
        <f t="shared" si="10"/>
        <v>2023</v>
      </c>
      <c r="C163" s="1">
        <f>DATE(
  YEAR(Calendar_Table[[#This Row],[Date]]),
  MONTH(Calendar_Table[[#This Row],[Date]]),
  1
)</f>
        <v>45078</v>
      </c>
      <c r="D163">
        <f t="shared" si="8"/>
        <v>6</v>
      </c>
      <c r="E163" s="4" t="str">
        <f>TEXT(Calendar_Table[[#This Row],[Date]],"mmmm")</f>
        <v>June</v>
      </c>
      <c r="F163">
        <f t="shared" si="9"/>
        <v>7</v>
      </c>
      <c r="G163" s="5" t="str">
        <f>TEXT(Calendar_Table[[#This Row],[Date]],"dddd")</f>
        <v>Sunday</v>
      </c>
      <c r="H163" t="str">
        <f t="shared" si="11"/>
        <v>Weekend</v>
      </c>
    </row>
    <row r="164" spans="1:8" x14ac:dyDescent="0.35">
      <c r="A164" s="1">
        <f>IF(
  A163+1&gt;MAX(Sales_Performance[Date]),
 "",
  A163+1
)</f>
        <v>45089</v>
      </c>
      <c r="B164">
        <f t="shared" si="10"/>
        <v>2023</v>
      </c>
      <c r="C164" s="1">
        <f>DATE(
  YEAR(Calendar_Table[[#This Row],[Date]]),
  MONTH(Calendar_Table[[#This Row],[Date]]),
  1
)</f>
        <v>45078</v>
      </c>
      <c r="D164">
        <f t="shared" si="8"/>
        <v>6</v>
      </c>
      <c r="E164" s="4" t="str">
        <f>TEXT(Calendar_Table[[#This Row],[Date]],"mmmm")</f>
        <v>June</v>
      </c>
      <c r="F164">
        <f t="shared" si="9"/>
        <v>1</v>
      </c>
      <c r="G164" s="5" t="str">
        <f>TEXT(Calendar_Table[[#This Row],[Date]],"dddd")</f>
        <v>Monday</v>
      </c>
      <c r="H164" t="str">
        <f t="shared" si="11"/>
        <v>Weekday</v>
      </c>
    </row>
    <row r="165" spans="1:8" x14ac:dyDescent="0.35">
      <c r="A165" s="1">
        <f>IF(
  A164+1&gt;MAX(Sales_Performance[Date]),
 "",
  A164+1
)</f>
        <v>45090</v>
      </c>
      <c r="B165">
        <f t="shared" si="10"/>
        <v>2023</v>
      </c>
      <c r="C165" s="1">
        <f>DATE(
  YEAR(Calendar_Table[[#This Row],[Date]]),
  MONTH(Calendar_Table[[#This Row],[Date]]),
  1
)</f>
        <v>45078</v>
      </c>
      <c r="D165">
        <f t="shared" si="8"/>
        <v>6</v>
      </c>
      <c r="E165" s="4" t="str">
        <f>TEXT(Calendar_Table[[#This Row],[Date]],"mmmm")</f>
        <v>June</v>
      </c>
      <c r="F165">
        <f t="shared" si="9"/>
        <v>2</v>
      </c>
      <c r="G165" s="5" t="str">
        <f>TEXT(Calendar_Table[[#This Row],[Date]],"dddd")</f>
        <v>Tuesday</v>
      </c>
      <c r="H165" t="str">
        <f t="shared" si="11"/>
        <v>Weekday</v>
      </c>
    </row>
    <row r="166" spans="1:8" x14ac:dyDescent="0.35">
      <c r="A166" s="1">
        <f>IF(
  A165+1&gt;MAX(Sales_Performance[Date]),
 "",
  A165+1
)</f>
        <v>45091</v>
      </c>
      <c r="B166">
        <f t="shared" si="10"/>
        <v>2023</v>
      </c>
      <c r="C166" s="1">
        <f>DATE(
  YEAR(Calendar_Table[[#This Row],[Date]]),
  MONTH(Calendar_Table[[#This Row],[Date]]),
  1
)</f>
        <v>45078</v>
      </c>
      <c r="D166">
        <f t="shared" si="8"/>
        <v>6</v>
      </c>
      <c r="E166" s="4" t="str">
        <f>TEXT(Calendar_Table[[#This Row],[Date]],"mmmm")</f>
        <v>June</v>
      </c>
      <c r="F166">
        <f t="shared" si="9"/>
        <v>3</v>
      </c>
      <c r="G166" s="5" t="str">
        <f>TEXT(Calendar_Table[[#This Row],[Date]],"dddd")</f>
        <v>Wednesday</v>
      </c>
      <c r="H166" t="str">
        <f t="shared" si="11"/>
        <v>Weekday</v>
      </c>
    </row>
    <row r="167" spans="1:8" x14ac:dyDescent="0.35">
      <c r="A167" s="1">
        <f>IF(
  A166+1&gt;MAX(Sales_Performance[Date]),
 "",
  A166+1
)</f>
        <v>45092</v>
      </c>
      <c r="B167">
        <f t="shared" si="10"/>
        <v>2023</v>
      </c>
      <c r="C167" s="1">
        <f>DATE(
  YEAR(Calendar_Table[[#This Row],[Date]]),
  MONTH(Calendar_Table[[#This Row],[Date]]),
  1
)</f>
        <v>45078</v>
      </c>
      <c r="D167">
        <f t="shared" si="8"/>
        <v>6</v>
      </c>
      <c r="E167" s="4" t="str">
        <f>TEXT(Calendar_Table[[#This Row],[Date]],"mmmm")</f>
        <v>June</v>
      </c>
      <c r="F167">
        <f t="shared" si="9"/>
        <v>4</v>
      </c>
      <c r="G167" s="5" t="str">
        <f>TEXT(Calendar_Table[[#This Row],[Date]],"dddd")</f>
        <v>Thursday</v>
      </c>
      <c r="H167" t="str">
        <f t="shared" si="11"/>
        <v>Weekday</v>
      </c>
    </row>
    <row r="168" spans="1:8" x14ac:dyDescent="0.35">
      <c r="A168" s="1">
        <f>IF(
  A167+1&gt;MAX(Sales_Performance[Date]),
 "",
  A167+1
)</f>
        <v>45093</v>
      </c>
      <c r="B168">
        <f t="shared" si="10"/>
        <v>2023</v>
      </c>
      <c r="C168" s="1">
        <f>DATE(
  YEAR(Calendar_Table[[#This Row],[Date]]),
  MONTH(Calendar_Table[[#This Row],[Date]]),
  1
)</f>
        <v>45078</v>
      </c>
      <c r="D168">
        <f t="shared" si="8"/>
        <v>6</v>
      </c>
      <c r="E168" s="4" t="str">
        <f>TEXT(Calendar_Table[[#This Row],[Date]],"mmmm")</f>
        <v>June</v>
      </c>
      <c r="F168">
        <f t="shared" si="9"/>
        <v>5</v>
      </c>
      <c r="G168" s="5" t="str">
        <f>TEXT(Calendar_Table[[#This Row],[Date]],"dddd")</f>
        <v>Friday</v>
      </c>
      <c r="H168" t="str">
        <f t="shared" si="11"/>
        <v>Weekday</v>
      </c>
    </row>
    <row r="169" spans="1:8" x14ac:dyDescent="0.35">
      <c r="A169" s="1">
        <f>IF(
  A168+1&gt;MAX(Sales_Performance[Date]),
 "",
  A168+1
)</f>
        <v>45094</v>
      </c>
      <c r="B169">
        <f t="shared" si="10"/>
        <v>2023</v>
      </c>
      <c r="C169" s="1">
        <f>DATE(
  YEAR(Calendar_Table[[#This Row],[Date]]),
  MONTH(Calendar_Table[[#This Row],[Date]]),
  1
)</f>
        <v>45078</v>
      </c>
      <c r="D169">
        <f t="shared" si="8"/>
        <v>6</v>
      </c>
      <c r="E169" s="4" t="str">
        <f>TEXT(Calendar_Table[[#This Row],[Date]],"mmmm")</f>
        <v>June</v>
      </c>
      <c r="F169">
        <f t="shared" si="9"/>
        <v>6</v>
      </c>
      <c r="G169" s="5" t="str">
        <f>TEXT(Calendar_Table[[#This Row],[Date]],"dddd")</f>
        <v>Saturday</v>
      </c>
      <c r="H169" t="str">
        <f t="shared" si="11"/>
        <v>Weekend</v>
      </c>
    </row>
    <row r="170" spans="1:8" x14ac:dyDescent="0.35">
      <c r="A170" s="1">
        <f>IF(
  A169+1&gt;MAX(Sales_Performance[Date]),
 "",
  A169+1
)</f>
        <v>45095</v>
      </c>
      <c r="B170">
        <f t="shared" si="10"/>
        <v>2023</v>
      </c>
      <c r="C170" s="1">
        <f>DATE(
  YEAR(Calendar_Table[[#This Row],[Date]]),
  MONTH(Calendar_Table[[#This Row],[Date]]),
  1
)</f>
        <v>45078</v>
      </c>
      <c r="D170">
        <f t="shared" si="8"/>
        <v>6</v>
      </c>
      <c r="E170" s="4" t="str">
        <f>TEXT(Calendar_Table[[#This Row],[Date]],"mmmm")</f>
        <v>June</v>
      </c>
      <c r="F170">
        <f t="shared" si="9"/>
        <v>7</v>
      </c>
      <c r="G170" s="5" t="str">
        <f>TEXT(Calendar_Table[[#This Row],[Date]],"dddd")</f>
        <v>Sunday</v>
      </c>
      <c r="H170" t="str">
        <f t="shared" si="11"/>
        <v>Weekend</v>
      </c>
    </row>
    <row r="171" spans="1:8" x14ac:dyDescent="0.35">
      <c r="A171" s="1">
        <f>IF(
  A170+1&gt;MAX(Sales_Performance[Date]),
 "",
  A170+1
)</f>
        <v>45096</v>
      </c>
      <c r="B171">
        <f t="shared" si="10"/>
        <v>2023</v>
      </c>
      <c r="C171" s="1">
        <f>DATE(
  YEAR(Calendar_Table[[#This Row],[Date]]),
  MONTH(Calendar_Table[[#This Row],[Date]]),
  1
)</f>
        <v>45078</v>
      </c>
      <c r="D171">
        <f t="shared" si="8"/>
        <v>6</v>
      </c>
      <c r="E171" s="4" t="str">
        <f>TEXT(Calendar_Table[[#This Row],[Date]],"mmmm")</f>
        <v>June</v>
      </c>
      <c r="F171">
        <f t="shared" si="9"/>
        <v>1</v>
      </c>
      <c r="G171" s="5" t="str">
        <f>TEXT(Calendar_Table[[#This Row],[Date]],"dddd")</f>
        <v>Monday</v>
      </c>
      <c r="H171" t="str">
        <f t="shared" si="11"/>
        <v>Weekday</v>
      </c>
    </row>
    <row r="172" spans="1:8" x14ac:dyDescent="0.35">
      <c r="A172" s="1">
        <f>IF(
  A171+1&gt;MAX(Sales_Performance[Date]),
 "",
  A171+1
)</f>
        <v>45097</v>
      </c>
      <c r="B172">
        <f t="shared" si="10"/>
        <v>2023</v>
      </c>
      <c r="C172" s="1">
        <f>DATE(
  YEAR(Calendar_Table[[#This Row],[Date]]),
  MONTH(Calendar_Table[[#This Row],[Date]]),
  1
)</f>
        <v>45078</v>
      </c>
      <c r="D172">
        <f t="shared" si="8"/>
        <v>6</v>
      </c>
      <c r="E172" s="4" t="str">
        <f>TEXT(Calendar_Table[[#This Row],[Date]],"mmmm")</f>
        <v>June</v>
      </c>
      <c r="F172">
        <f t="shared" si="9"/>
        <v>2</v>
      </c>
      <c r="G172" s="5" t="str">
        <f>TEXT(Calendar_Table[[#This Row],[Date]],"dddd")</f>
        <v>Tuesday</v>
      </c>
      <c r="H172" t="str">
        <f t="shared" si="11"/>
        <v>Weekday</v>
      </c>
    </row>
    <row r="173" spans="1:8" x14ac:dyDescent="0.35">
      <c r="A173" s="1">
        <f>IF(
  A172+1&gt;MAX(Sales_Performance[Date]),
 "",
  A172+1
)</f>
        <v>45098</v>
      </c>
      <c r="B173">
        <f t="shared" si="10"/>
        <v>2023</v>
      </c>
      <c r="C173" s="1">
        <f>DATE(
  YEAR(Calendar_Table[[#This Row],[Date]]),
  MONTH(Calendar_Table[[#This Row],[Date]]),
  1
)</f>
        <v>45078</v>
      </c>
      <c r="D173">
        <f t="shared" si="8"/>
        <v>6</v>
      </c>
      <c r="E173" s="4" t="str">
        <f>TEXT(Calendar_Table[[#This Row],[Date]],"mmmm")</f>
        <v>June</v>
      </c>
      <c r="F173">
        <f t="shared" si="9"/>
        <v>3</v>
      </c>
      <c r="G173" s="5" t="str">
        <f>TEXT(Calendar_Table[[#This Row],[Date]],"dddd")</f>
        <v>Wednesday</v>
      </c>
      <c r="H173" t="str">
        <f t="shared" si="11"/>
        <v>Weekday</v>
      </c>
    </row>
    <row r="174" spans="1:8" x14ac:dyDescent="0.35">
      <c r="A174" s="1">
        <f>IF(
  A173+1&gt;MAX(Sales_Performance[Date]),
 "",
  A173+1
)</f>
        <v>45099</v>
      </c>
      <c r="B174">
        <f t="shared" si="10"/>
        <v>2023</v>
      </c>
      <c r="C174" s="1">
        <f>DATE(
  YEAR(Calendar_Table[[#This Row],[Date]]),
  MONTH(Calendar_Table[[#This Row],[Date]]),
  1
)</f>
        <v>45078</v>
      </c>
      <c r="D174">
        <f t="shared" si="8"/>
        <v>6</v>
      </c>
      <c r="E174" s="4" t="str">
        <f>TEXT(Calendar_Table[[#This Row],[Date]],"mmmm")</f>
        <v>June</v>
      </c>
      <c r="F174">
        <f t="shared" si="9"/>
        <v>4</v>
      </c>
      <c r="G174" s="5" t="str">
        <f>TEXT(Calendar_Table[[#This Row],[Date]],"dddd")</f>
        <v>Thursday</v>
      </c>
      <c r="H174" t="str">
        <f t="shared" si="11"/>
        <v>Weekday</v>
      </c>
    </row>
    <row r="175" spans="1:8" x14ac:dyDescent="0.35">
      <c r="A175" s="1">
        <f>IF(
  A174+1&gt;MAX(Sales_Performance[Date]),
 "",
  A174+1
)</f>
        <v>45100</v>
      </c>
      <c r="B175">
        <f t="shared" si="10"/>
        <v>2023</v>
      </c>
      <c r="C175" s="1">
        <f>DATE(
  YEAR(Calendar_Table[[#This Row],[Date]]),
  MONTH(Calendar_Table[[#This Row],[Date]]),
  1
)</f>
        <v>45078</v>
      </c>
      <c r="D175">
        <f t="shared" si="8"/>
        <v>6</v>
      </c>
      <c r="E175" s="4" t="str">
        <f>TEXT(Calendar_Table[[#This Row],[Date]],"mmmm")</f>
        <v>June</v>
      </c>
      <c r="F175">
        <f t="shared" si="9"/>
        <v>5</v>
      </c>
      <c r="G175" s="5" t="str">
        <f>TEXT(Calendar_Table[[#This Row],[Date]],"dddd")</f>
        <v>Friday</v>
      </c>
      <c r="H175" t="str">
        <f t="shared" si="11"/>
        <v>Weekday</v>
      </c>
    </row>
    <row r="176" spans="1:8" x14ac:dyDescent="0.35">
      <c r="A176" s="1">
        <f>IF(
  A175+1&gt;MAX(Sales_Performance[Date]),
 "",
  A175+1
)</f>
        <v>45101</v>
      </c>
      <c r="B176">
        <f t="shared" si="10"/>
        <v>2023</v>
      </c>
      <c r="C176" s="1">
        <f>DATE(
  YEAR(Calendar_Table[[#This Row],[Date]]),
  MONTH(Calendar_Table[[#This Row],[Date]]),
  1
)</f>
        <v>45078</v>
      </c>
      <c r="D176">
        <f t="shared" si="8"/>
        <v>6</v>
      </c>
      <c r="E176" s="4" t="str">
        <f>TEXT(Calendar_Table[[#This Row],[Date]],"mmmm")</f>
        <v>June</v>
      </c>
      <c r="F176">
        <f t="shared" si="9"/>
        <v>6</v>
      </c>
      <c r="G176" s="5" t="str">
        <f>TEXT(Calendar_Table[[#This Row],[Date]],"dddd")</f>
        <v>Saturday</v>
      </c>
      <c r="H176" t="str">
        <f t="shared" si="11"/>
        <v>Weekend</v>
      </c>
    </row>
    <row r="177" spans="1:8" x14ac:dyDescent="0.35">
      <c r="A177" s="1">
        <f>IF(
  A176+1&gt;MAX(Sales_Performance[Date]),
 "",
  A176+1
)</f>
        <v>45102</v>
      </c>
      <c r="B177">
        <f t="shared" si="10"/>
        <v>2023</v>
      </c>
      <c r="C177" s="1">
        <f>DATE(
  YEAR(Calendar_Table[[#This Row],[Date]]),
  MONTH(Calendar_Table[[#This Row],[Date]]),
  1
)</f>
        <v>45078</v>
      </c>
      <c r="D177">
        <f t="shared" si="8"/>
        <v>6</v>
      </c>
      <c r="E177" s="4" t="str">
        <f>TEXT(Calendar_Table[[#This Row],[Date]],"mmmm")</f>
        <v>June</v>
      </c>
      <c r="F177">
        <f t="shared" si="9"/>
        <v>7</v>
      </c>
      <c r="G177" s="5" t="str">
        <f>TEXT(Calendar_Table[[#This Row],[Date]],"dddd")</f>
        <v>Sunday</v>
      </c>
      <c r="H177" t="str">
        <f t="shared" si="11"/>
        <v>Weekend</v>
      </c>
    </row>
    <row r="178" spans="1:8" x14ac:dyDescent="0.35">
      <c r="A178" s="1">
        <f>IF(
  A177+1&gt;MAX(Sales_Performance[Date]),
 "",
  A177+1
)</f>
        <v>45103</v>
      </c>
      <c r="B178">
        <f t="shared" si="10"/>
        <v>2023</v>
      </c>
      <c r="C178" s="1">
        <f>DATE(
  YEAR(Calendar_Table[[#This Row],[Date]]),
  MONTH(Calendar_Table[[#This Row],[Date]]),
  1
)</f>
        <v>45078</v>
      </c>
      <c r="D178">
        <f t="shared" si="8"/>
        <v>6</v>
      </c>
      <c r="E178" s="4" t="str">
        <f>TEXT(Calendar_Table[[#This Row],[Date]],"mmmm")</f>
        <v>June</v>
      </c>
      <c r="F178">
        <f t="shared" si="9"/>
        <v>1</v>
      </c>
      <c r="G178" s="5" t="str">
        <f>TEXT(Calendar_Table[[#This Row],[Date]],"dddd")</f>
        <v>Monday</v>
      </c>
      <c r="H178" t="str">
        <f t="shared" si="11"/>
        <v>Weekday</v>
      </c>
    </row>
    <row r="179" spans="1:8" x14ac:dyDescent="0.35">
      <c r="A179" s="1">
        <f>IF(
  A178+1&gt;MAX(Sales_Performance[Date]),
 "",
  A178+1
)</f>
        <v>45104</v>
      </c>
      <c r="B179">
        <f t="shared" si="10"/>
        <v>2023</v>
      </c>
      <c r="C179" s="1">
        <f>DATE(
  YEAR(Calendar_Table[[#This Row],[Date]]),
  MONTH(Calendar_Table[[#This Row],[Date]]),
  1
)</f>
        <v>45078</v>
      </c>
      <c r="D179">
        <f t="shared" si="8"/>
        <v>6</v>
      </c>
      <c r="E179" s="4" t="str">
        <f>TEXT(Calendar_Table[[#This Row],[Date]],"mmmm")</f>
        <v>June</v>
      </c>
      <c r="F179">
        <f t="shared" si="9"/>
        <v>2</v>
      </c>
      <c r="G179" s="5" t="str">
        <f>TEXT(Calendar_Table[[#This Row],[Date]],"dddd")</f>
        <v>Tuesday</v>
      </c>
      <c r="H179" t="str">
        <f t="shared" si="11"/>
        <v>Weekday</v>
      </c>
    </row>
    <row r="180" spans="1:8" x14ac:dyDescent="0.35">
      <c r="A180" s="1">
        <f>IF(
  A179+1&gt;MAX(Sales_Performance[Date]),
 "",
  A179+1
)</f>
        <v>45105</v>
      </c>
      <c r="B180">
        <f t="shared" si="10"/>
        <v>2023</v>
      </c>
      <c r="C180" s="1">
        <f>DATE(
  YEAR(Calendar_Table[[#This Row],[Date]]),
  MONTH(Calendar_Table[[#This Row],[Date]]),
  1
)</f>
        <v>45078</v>
      </c>
      <c r="D180">
        <f t="shared" si="8"/>
        <v>6</v>
      </c>
      <c r="E180" s="4" t="str">
        <f>TEXT(Calendar_Table[[#This Row],[Date]],"mmmm")</f>
        <v>June</v>
      </c>
      <c r="F180">
        <f t="shared" si="9"/>
        <v>3</v>
      </c>
      <c r="G180" s="5" t="str">
        <f>TEXT(Calendar_Table[[#This Row],[Date]],"dddd")</f>
        <v>Wednesday</v>
      </c>
      <c r="H180" t="str">
        <f t="shared" si="11"/>
        <v>Weekday</v>
      </c>
    </row>
    <row r="181" spans="1:8" x14ac:dyDescent="0.35">
      <c r="A181" s="1">
        <f>IF(
  A180+1&gt;MAX(Sales_Performance[Date]),
 "",
  A180+1
)</f>
        <v>45106</v>
      </c>
      <c r="B181">
        <f t="shared" si="10"/>
        <v>2023</v>
      </c>
      <c r="C181" s="1">
        <f>DATE(
  YEAR(Calendar_Table[[#This Row],[Date]]),
  MONTH(Calendar_Table[[#This Row],[Date]]),
  1
)</f>
        <v>45078</v>
      </c>
      <c r="D181">
        <f t="shared" si="8"/>
        <v>6</v>
      </c>
      <c r="E181" s="4" t="str">
        <f>TEXT(Calendar_Table[[#This Row],[Date]],"mmmm")</f>
        <v>June</v>
      </c>
      <c r="F181">
        <f t="shared" si="9"/>
        <v>4</v>
      </c>
      <c r="G181" s="5" t="str">
        <f>TEXT(Calendar_Table[[#This Row],[Date]],"dddd")</f>
        <v>Thursday</v>
      </c>
      <c r="H181" t="str">
        <f t="shared" si="11"/>
        <v>Weekday</v>
      </c>
    </row>
    <row r="182" spans="1:8" x14ac:dyDescent="0.35">
      <c r="A182" s="1">
        <f>IF(
  A181+1&gt;MAX(Sales_Performance[Date]),
 "",
  A181+1
)</f>
        <v>45107</v>
      </c>
      <c r="B182">
        <f t="shared" si="10"/>
        <v>2023</v>
      </c>
      <c r="C182" s="1">
        <f>DATE(
  YEAR(Calendar_Table[[#This Row],[Date]]),
  MONTH(Calendar_Table[[#This Row],[Date]]),
  1
)</f>
        <v>45078</v>
      </c>
      <c r="D182">
        <f t="shared" si="8"/>
        <v>6</v>
      </c>
      <c r="E182" s="4" t="str">
        <f>TEXT(Calendar_Table[[#This Row],[Date]],"mmmm")</f>
        <v>June</v>
      </c>
      <c r="F182">
        <f t="shared" si="9"/>
        <v>5</v>
      </c>
      <c r="G182" s="5" t="str">
        <f>TEXT(Calendar_Table[[#This Row],[Date]],"dddd")</f>
        <v>Friday</v>
      </c>
      <c r="H182" t="str">
        <f t="shared" si="11"/>
        <v>Weekday</v>
      </c>
    </row>
    <row r="183" spans="1:8" x14ac:dyDescent="0.35">
      <c r="A183" s="1">
        <f>IF(
  A182+1&gt;MAX(Sales_Performance[Date]),
 "",
  A182+1
)</f>
        <v>45108</v>
      </c>
      <c r="B183">
        <f t="shared" si="10"/>
        <v>2023</v>
      </c>
      <c r="C183" s="1">
        <f>DATE(
  YEAR(Calendar_Table[[#This Row],[Date]]),
  MONTH(Calendar_Table[[#This Row],[Date]]),
  1
)</f>
        <v>45108</v>
      </c>
      <c r="D183">
        <f t="shared" si="8"/>
        <v>7</v>
      </c>
      <c r="E183" s="4" t="str">
        <f>TEXT(Calendar_Table[[#This Row],[Date]],"mmmm")</f>
        <v>July</v>
      </c>
      <c r="F183">
        <f t="shared" si="9"/>
        <v>6</v>
      </c>
      <c r="G183" s="5" t="str">
        <f>TEXT(Calendar_Table[[#This Row],[Date]],"dddd")</f>
        <v>Saturday</v>
      </c>
      <c r="H183" t="str">
        <f t="shared" si="11"/>
        <v>Weekend</v>
      </c>
    </row>
    <row r="184" spans="1:8" x14ac:dyDescent="0.35">
      <c r="A184" s="1">
        <f>IF(
  A183+1&gt;MAX(Sales_Performance[Date]),
 "",
  A183+1
)</f>
        <v>45109</v>
      </c>
      <c r="B184">
        <f t="shared" si="10"/>
        <v>2023</v>
      </c>
      <c r="C184" s="1">
        <f>DATE(
  YEAR(Calendar_Table[[#This Row],[Date]]),
  MONTH(Calendar_Table[[#This Row],[Date]]),
  1
)</f>
        <v>45108</v>
      </c>
      <c r="D184">
        <f t="shared" si="8"/>
        <v>7</v>
      </c>
      <c r="E184" s="4" t="str">
        <f>TEXT(Calendar_Table[[#This Row],[Date]],"mmmm")</f>
        <v>July</v>
      </c>
      <c r="F184">
        <f t="shared" si="9"/>
        <v>7</v>
      </c>
      <c r="G184" s="5" t="str">
        <f>TEXT(Calendar_Table[[#This Row],[Date]],"dddd")</f>
        <v>Sunday</v>
      </c>
      <c r="H184" t="str">
        <f t="shared" si="11"/>
        <v>Weekend</v>
      </c>
    </row>
    <row r="185" spans="1:8" x14ac:dyDescent="0.35">
      <c r="A185" s="1">
        <f>IF(
  A184+1&gt;MAX(Sales_Performance[Date]),
 "",
  A184+1
)</f>
        <v>45110</v>
      </c>
      <c r="B185">
        <f t="shared" si="10"/>
        <v>2023</v>
      </c>
      <c r="C185" s="1">
        <f>DATE(
  YEAR(Calendar_Table[[#This Row],[Date]]),
  MONTH(Calendar_Table[[#This Row],[Date]]),
  1
)</f>
        <v>45108</v>
      </c>
      <c r="D185">
        <f t="shared" si="8"/>
        <v>7</v>
      </c>
      <c r="E185" s="4" t="str">
        <f>TEXT(Calendar_Table[[#This Row],[Date]],"mmmm")</f>
        <v>July</v>
      </c>
      <c r="F185">
        <f t="shared" si="9"/>
        <v>1</v>
      </c>
      <c r="G185" s="5" t="str">
        <f>TEXT(Calendar_Table[[#This Row],[Date]],"dddd")</f>
        <v>Monday</v>
      </c>
      <c r="H185" t="str">
        <f t="shared" si="11"/>
        <v>Weekday</v>
      </c>
    </row>
    <row r="186" spans="1:8" x14ac:dyDescent="0.35">
      <c r="A186" s="1">
        <f>IF(
  A185+1&gt;MAX(Sales_Performance[Date]),
 "",
  A185+1
)</f>
        <v>45111</v>
      </c>
      <c r="B186">
        <f t="shared" si="10"/>
        <v>2023</v>
      </c>
      <c r="C186" s="1">
        <f>DATE(
  YEAR(Calendar_Table[[#This Row],[Date]]),
  MONTH(Calendar_Table[[#This Row],[Date]]),
  1
)</f>
        <v>45108</v>
      </c>
      <c r="D186">
        <f t="shared" si="8"/>
        <v>7</v>
      </c>
      <c r="E186" s="4" t="str">
        <f>TEXT(Calendar_Table[[#This Row],[Date]],"mmmm")</f>
        <v>July</v>
      </c>
      <c r="F186">
        <f t="shared" si="9"/>
        <v>2</v>
      </c>
      <c r="G186" s="5" t="str">
        <f>TEXT(Calendar_Table[[#This Row],[Date]],"dddd")</f>
        <v>Tuesday</v>
      </c>
      <c r="H186" t="str">
        <f t="shared" si="11"/>
        <v>Weekday</v>
      </c>
    </row>
    <row r="187" spans="1:8" x14ac:dyDescent="0.35">
      <c r="A187" s="1">
        <f>IF(
  A186+1&gt;MAX(Sales_Performance[Date]),
 "",
  A186+1
)</f>
        <v>45112</v>
      </c>
      <c r="B187">
        <f t="shared" si="10"/>
        <v>2023</v>
      </c>
      <c r="C187" s="1">
        <f>DATE(
  YEAR(Calendar_Table[[#This Row],[Date]]),
  MONTH(Calendar_Table[[#This Row],[Date]]),
  1
)</f>
        <v>45108</v>
      </c>
      <c r="D187">
        <f t="shared" si="8"/>
        <v>7</v>
      </c>
      <c r="E187" s="4" t="str">
        <f>TEXT(Calendar_Table[[#This Row],[Date]],"mmmm")</f>
        <v>July</v>
      </c>
      <c r="F187">
        <f t="shared" si="9"/>
        <v>3</v>
      </c>
      <c r="G187" s="5" t="str">
        <f>TEXT(Calendar_Table[[#This Row],[Date]],"dddd")</f>
        <v>Wednesday</v>
      </c>
      <c r="H187" t="str">
        <f t="shared" si="11"/>
        <v>Weekday</v>
      </c>
    </row>
    <row r="188" spans="1:8" x14ac:dyDescent="0.35">
      <c r="A188" s="1">
        <f>IF(
  A187+1&gt;MAX(Sales_Performance[Date]),
 "",
  A187+1
)</f>
        <v>45113</v>
      </c>
      <c r="B188">
        <f t="shared" si="10"/>
        <v>2023</v>
      </c>
      <c r="C188" s="1">
        <f>DATE(
  YEAR(Calendar_Table[[#This Row],[Date]]),
  MONTH(Calendar_Table[[#This Row],[Date]]),
  1
)</f>
        <v>45108</v>
      </c>
      <c r="D188">
        <f t="shared" si="8"/>
        <v>7</v>
      </c>
      <c r="E188" s="4" t="str">
        <f>TEXT(Calendar_Table[[#This Row],[Date]],"mmmm")</f>
        <v>July</v>
      </c>
      <c r="F188">
        <f t="shared" si="9"/>
        <v>4</v>
      </c>
      <c r="G188" s="5" t="str">
        <f>TEXT(Calendar_Table[[#This Row],[Date]],"dddd")</f>
        <v>Thursday</v>
      </c>
      <c r="H188" t="str">
        <f t="shared" si="11"/>
        <v>Weekday</v>
      </c>
    </row>
    <row r="189" spans="1:8" x14ac:dyDescent="0.35">
      <c r="A189" s="1">
        <f>IF(
  A188+1&gt;MAX(Sales_Performance[Date]),
 "",
  A188+1
)</f>
        <v>45114</v>
      </c>
      <c r="B189">
        <f t="shared" si="10"/>
        <v>2023</v>
      </c>
      <c r="C189" s="1">
        <f>DATE(
  YEAR(Calendar_Table[[#This Row],[Date]]),
  MONTH(Calendar_Table[[#This Row],[Date]]),
  1
)</f>
        <v>45108</v>
      </c>
      <c r="D189">
        <f t="shared" si="8"/>
        <v>7</v>
      </c>
      <c r="E189" s="4" t="str">
        <f>TEXT(Calendar_Table[[#This Row],[Date]],"mmmm")</f>
        <v>July</v>
      </c>
      <c r="F189">
        <f t="shared" si="9"/>
        <v>5</v>
      </c>
      <c r="G189" s="5" t="str">
        <f>TEXT(Calendar_Table[[#This Row],[Date]],"dddd")</f>
        <v>Friday</v>
      </c>
      <c r="H189" t="str">
        <f t="shared" si="11"/>
        <v>Weekday</v>
      </c>
    </row>
    <row r="190" spans="1:8" x14ac:dyDescent="0.35">
      <c r="A190" s="1">
        <f>IF(
  A189+1&gt;MAX(Sales_Performance[Date]),
 "",
  A189+1
)</f>
        <v>45115</v>
      </c>
      <c r="B190">
        <f t="shared" si="10"/>
        <v>2023</v>
      </c>
      <c r="C190" s="1">
        <f>DATE(
  YEAR(Calendar_Table[[#This Row],[Date]]),
  MONTH(Calendar_Table[[#This Row],[Date]]),
  1
)</f>
        <v>45108</v>
      </c>
      <c r="D190">
        <f t="shared" si="8"/>
        <v>7</v>
      </c>
      <c r="E190" s="4" t="str">
        <f>TEXT(Calendar_Table[[#This Row],[Date]],"mmmm")</f>
        <v>July</v>
      </c>
      <c r="F190">
        <f t="shared" si="9"/>
        <v>6</v>
      </c>
      <c r="G190" s="5" t="str">
        <f>TEXT(Calendar_Table[[#This Row],[Date]],"dddd")</f>
        <v>Saturday</v>
      </c>
      <c r="H190" t="str">
        <f t="shared" si="11"/>
        <v>Weekend</v>
      </c>
    </row>
    <row r="191" spans="1:8" x14ac:dyDescent="0.35">
      <c r="A191" s="1">
        <f>IF(
  A190+1&gt;MAX(Sales_Performance[Date]),
 "",
  A190+1
)</f>
        <v>45116</v>
      </c>
      <c r="B191">
        <f t="shared" si="10"/>
        <v>2023</v>
      </c>
      <c r="C191" s="1">
        <f>DATE(
  YEAR(Calendar_Table[[#This Row],[Date]]),
  MONTH(Calendar_Table[[#This Row],[Date]]),
  1
)</f>
        <v>45108</v>
      </c>
      <c r="D191">
        <f t="shared" si="8"/>
        <v>7</v>
      </c>
      <c r="E191" s="4" t="str">
        <f>TEXT(Calendar_Table[[#This Row],[Date]],"mmmm")</f>
        <v>July</v>
      </c>
      <c r="F191">
        <f t="shared" si="9"/>
        <v>7</v>
      </c>
      <c r="G191" s="5" t="str">
        <f>TEXT(Calendar_Table[[#This Row],[Date]],"dddd")</f>
        <v>Sunday</v>
      </c>
      <c r="H191" t="str">
        <f t="shared" si="11"/>
        <v>Weekend</v>
      </c>
    </row>
    <row r="192" spans="1:8" x14ac:dyDescent="0.35">
      <c r="A192" s="1">
        <f>IF(
  A191+1&gt;MAX(Sales_Performance[Date]),
 "",
  A191+1
)</f>
        <v>45117</v>
      </c>
      <c r="B192">
        <f t="shared" si="10"/>
        <v>2023</v>
      </c>
      <c r="C192" s="1">
        <f>DATE(
  YEAR(Calendar_Table[[#This Row],[Date]]),
  MONTH(Calendar_Table[[#This Row],[Date]]),
  1
)</f>
        <v>45108</v>
      </c>
      <c r="D192">
        <f t="shared" si="8"/>
        <v>7</v>
      </c>
      <c r="E192" s="4" t="str">
        <f>TEXT(Calendar_Table[[#This Row],[Date]],"mmmm")</f>
        <v>July</v>
      </c>
      <c r="F192">
        <f t="shared" si="9"/>
        <v>1</v>
      </c>
      <c r="G192" s="5" t="str">
        <f>TEXT(Calendar_Table[[#This Row],[Date]],"dddd")</f>
        <v>Monday</v>
      </c>
      <c r="H192" t="str">
        <f t="shared" si="11"/>
        <v>Weekday</v>
      </c>
    </row>
    <row r="193" spans="1:8" x14ac:dyDescent="0.35">
      <c r="A193" s="1">
        <f>IF(
  A192+1&gt;MAX(Sales_Performance[Date]),
 "",
  A192+1
)</f>
        <v>45118</v>
      </c>
      <c r="B193">
        <f t="shared" si="10"/>
        <v>2023</v>
      </c>
      <c r="C193" s="1">
        <f>DATE(
  YEAR(Calendar_Table[[#This Row],[Date]]),
  MONTH(Calendar_Table[[#This Row],[Date]]),
  1
)</f>
        <v>45108</v>
      </c>
      <c r="D193">
        <f t="shared" si="8"/>
        <v>7</v>
      </c>
      <c r="E193" s="4" t="str">
        <f>TEXT(Calendar_Table[[#This Row],[Date]],"mmmm")</f>
        <v>July</v>
      </c>
      <c r="F193">
        <f t="shared" si="9"/>
        <v>2</v>
      </c>
      <c r="G193" s="5" t="str">
        <f>TEXT(Calendar_Table[[#This Row],[Date]],"dddd")</f>
        <v>Tuesday</v>
      </c>
      <c r="H193" t="str">
        <f t="shared" si="11"/>
        <v>Weekday</v>
      </c>
    </row>
    <row r="194" spans="1:8" x14ac:dyDescent="0.35">
      <c r="A194" s="1">
        <f>IF(
  A193+1&gt;MAX(Sales_Performance[Date]),
 "",
  A193+1
)</f>
        <v>45119</v>
      </c>
      <c r="B194">
        <f t="shared" si="10"/>
        <v>2023</v>
      </c>
      <c r="C194" s="1">
        <f>DATE(
  YEAR(Calendar_Table[[#This Row],[Date]]),
  MONTH(Calendar_Table[[#This Row],[Date]]),
  1
)</f>
        <v>45108</v>
      </c>
      <c r="D194">
        <f t="shared" ref="D194:D257" si="12">MONTH(A194)</f>
        <v>7</v>
      </c>
      <c r="E194" s="4" t="str">
        <f>TEXT(Calendar_Table[[#This Row],[Date]],"mmmm")</f>
        <v>July</v>
      </c>
      <c r="F194">
        <f t="shared" ref="F194:F257" si="13">WEEKDAY(A194,2)</f>
        <v>3</v>
      </c>
      <c r="G194" s="5" t="str">
        <f>TEXT(Calendar_Table[[#This Row],[Date]],"dddd")</f>
        <v>Wednesday</v>
      </c>
      <c r="H194" t="str">
        <f t="shared" si="11"/>
        <v>Weekday</v>
      </c>
    </row>
    <row r="195" spans="1:8" x14ac:dyDescent="0.35">
      <c r="A195" s="1">
        <f>IF(
  A194+1&gt;MAX(Sales_Performance[Date]),
 "",
  A194+1
)</f>
        <v>45120</v>
      </c>
      <c r="B195">
        <f t="shared" ref="B195:B258" si="14">YEAR(A195)</f>
        <v>2023</v>
      </c>
      <c r="C195" s="1">
        <f>DATE(
  YEAR(Calendar_Table[[#This Row],[Date]]),
  MONTH(Calendar_Table[[#This Row],[Date]]),
  1
)</f>
        <v>45108</v>
      </c>
      <c r="D195">
        <f t="shared" si="12"/>
        <v>7</v>
      </c>
      <c r="E195" s="4" t="str">
        <f>TEXT(Calendar_Table[[#This Row],[Date]],"mmmm")</f>
        <v>July</v>
      </c>
      <c r="F195">
        <f t="shared" si="13"/>
        <v>4</v>
      </c>
      <c r="G195" s="5" t="str">
        <f>TEXT(Calendar_Table[[#This Row],[Date]],"dddd")</f>
        <v>Thursday</v>
      </c>
      <c r="H195" t="str">
        <f t="shared" ref="H195:H258" si="15">IF(
   OR(
      F195=6,
      F195=7,
   ),
   "Weekend",
   "Weekday"
)</f>
        <v>Weekday</v>
      </c>
    </row>
    <row r="196" spans="1:8" x14ac:dyDescent="0.35">
      <c r="A196" s="1">
        <f>IF(
  A195+1&gt;MAX(Sales_Performance[Date]),
 "",
  A195+1
)</f>
        <v>45121</v>
      </c>
      <c r="B196">
        <f t="shared" si="14"/>
        <v>2023</v>
      </c>
      <c r="C196" s="1">
        <f>DATE(
  YEAR(Calendar_Table[[#This Row],[Date]]),
  MONTH(Calendar_Table[[#This Row],[Date]]),
  1
)</f>
        <v>45108</v>
      </c>
      <c r="D196">
        <f t="shared" si="12"/>
        <v>7</v>
      </c>
      <c r="E196" s="4" t="str">
        <f>TEXT(Calendar_Table[[#This Row],[Date]],"mmmm")</f>
        <v>July</v>
      </c>
      <c r="F196">
        <f t="shared" si="13"/>
        <v>5</v>
      </c>
      <c r="G196" s="5" t="str">
        <f>TEXT(Calendar_Table[[#This Row],[Date]],"dddd")</f>
        <v>Friday</v>
      </c>
      <c r="H196" t="str">
        <f t="shared" si="15"/>
        <v>Weekday</v>
      </c>
    </row>
    <row r="197" spans="1:8" x14ac:dyDescent="0.35">
      <c r="A197" s="1">
        <f>IF(
  A196+1&gt;MAX(Sales_Performance[Date]),
 "",
  A196+1
)</f>
        <v>45122</v>
      </c>
      <c r="B197">
        <f t="shared" si="14"/>
        <v>2023</v>
      </c>
      <c r="C197" s="1">
        <f>DATE(
  YEAR(Calendar_Table[[#This Row],[Date]]),
  MONTH(Calendar_Table[[#This Row],[Date]]),
  1
)</f>
        <v>45108</v>
      </c>
      <c r="D197">
        <f t="shared" si="12"/>
        <v>7</v>
      </c>
      <c r="E197" s="4" t="str">
        <f>TEXT(Calendar_Table[[#This Row],[Date]],"mmmm")</f>
        <v>July</v>
      </c>
      <c r="F197">
        <f t="shared" si="13"/>
        <v>6</v>
      </c>
      <c r="G197" s="5" t="str">
        <f>TEXT(Calendar_Table[[#This Row],[Date]],"dddd")</f>
        <v>Saturday</v>
      </c>
      <c r="H197" t="str">
        <f t="shared" si="15"/>
        <v>Weekend</v>
      </c>
    </row>
    <row r="198" spans="1:8" x14ac:dyDescent="0.35">
      <c r="A198" s="1">
        <f>IF(
  A197+1&gt;MAX(Sales_Performance[Date]),
 "",
  A197+1
)</f>
        <v>45123</v>
      </c>
      <c r="B198">
        <f t="shared" si="14"/>
        <v>2023</v>
      </c>
      <c r="C198" s="1">
        <f>DATE(
  YEAR(Calendar_Table[[#This Row],[Date]]),
  MONTH(Calendar_Table[[#This Row],[Date]]),
  1
)</f>
        <v>45108</v>
      </c>
      <c r="D198">
        <f t="shared" si="12"/>
        <v>7</v>
      </c>
      <c r="E198" s="4" t="str">
        <f>TEXT(Calendar_Table[[#This Row],[Date]],"mmmm")</f>
        <v>July</v>
      </c>
      <c r="F198">
        <f t="shared" si="13"/>
        <v>7</v>
      </c>
      <c r="G198" s="5" t="str">
        <f>TEXT(Calendar_Table[[#This Row],[Date]],"dddd")</f>
        <v>Sunday</v>
      </c>
      <c r="H198" t="str">
        <f t="shared" si="15"/>
        <v>Weekend</v>
      </c>
    </row>
    <row r="199" spans="1:8" x14ac:dyDescent="0.35">
      <c r="A199" s="1">
        <f>IF(
  A198+1&gt;MAX(Sales_Performance[Date]),
 "",
  A198+1
)</f>
        <v>45124</v>
      </c>
      <c r="B199">
        <f t="shared" si="14"/>
        <v>2023</v>
      </c>
      <c r="C199" s="1">
        <f>DATE(
  YEAR(Calendar_Table[[#This Row],[Date]]),
  MONTH(Calendar_Table[[#This Row],[Date]]),
  1
)</f>
        <v>45108</v>
      </c>
      <c r="D199">
        <f t="shared" si="12"/>
        <v>7</v>
      </c>
      <c r="E199" s="4" t="str">
        <f>TEXT(Calendar_Table[[#This Row],[Date]],"mmmm")</f>
        <v>July</v>
      </c>
      <c r="F199">
        <f t="shared" si="13"/>
        <v>1</v>
      </c>
      <c r="G199" s="5" t="str">
        <f>TEXT(Calendar_Table[[#This Row],[Date]],"dddd")</f>
        <v>Monday</v>
      </c>
      <c r="H199" t="str">
        <f t="shared" si="15"/>
        <v>Weekday</v>
      </c>
    </row>
    <row r="200" spans="1:8" x14ac:dyDescent="0.35">
      <c r="A200" s="1">
        <f>IF(
  A199+1&gt;MAX(Sales_Performance[Date]),
 "",
  A199+1
)</f>
        <v>45125</v>
      </c>
      <c r="B200">
        <f t="shared" si="14"/>
        <v>2023</v>
      </c>
      <c r="C200" s="1">
        <f>DATE(
  YEAR(Calendar_Table[[#This Row],[Date]]),
  MONTH(Calendar_Table[[#This Row],[Date]]),
  1
)</f>
        <v>45108</v>
      </c>
      <c r="D200">
        <f t="shared" si="12"/>
        <v>7</v>
      </c>
      <c r="E200" s="4" t="str">
        <f>TEXT(Calendar_Table[[#This Row],[Date]],"mmmm")</f>
        <v>July</v>
      </c>
      <c r="F200">
        <f t="shared" si="13"/>
        <v>2</v>
      </c>
      <c r="G200" s="5" t="str">
        <f>TEXT(Calendar_Table[[#This Row],[Date]],"dddd")</f>
        <v>Tuesday</v>
      </c>
      <c r="H200" t="str">
        <f t="shared" si="15"/>
        <v>Weekday</v>
      </c>
    </row>
    <row r="201" spans="1:8" x14ac:dyDescent="0.35">
      <c r="A201" s="1">
        <f>IF(
  A200+1&gt;MAX(Sales_Performance[Date]),
 "",
  A200+1
)</f>
        <v>45126</v>
      </c>
      <c r="B201">
        <f t="shared" si="14"/>
        <v>2023</v>
      </c>
      <c r="C201" s="1">
        <f>DATE(
  YEAR(Calendar_Table[[#This Row],[Date]]),
  MONTH(Calendar_Table[[#This Row],[Date]]),
  1
)</f>
        <v>45108</v>
      </c>
      <c r="D201">
        <f t="shared" si="12"/>
        <v>7</v>
      </c>
      <c r="E201" s="4" t="str">
        <f>TEXT(Calendar_Table[[#This Row],[Date]],"mmmm")</f>
        <v>July</v>
      </c>
      <c r="F201">
        <f t="shared" si="13"/>
        <v>3</v>
      </c>
      <c r="G201" s="5" t="str">
        <f>TEXT(Calendar_Table[[#This Row],[Date]],"dddd")</f>
        <v>Wednesday</v>
      </c>
      <c r="H201" t="str">
        <f t="shared" si="15"/>
        <v>Weekday</v>
      </c>
    </row>
    <row r="202" spans="1:8" x14ac:dyDescent="0.35">
      <c r="A202" s="1">
        <f>IF(
  A201+1&gt;MAX(Sales_Performance[Date]),
 "",
  A201+1
)</f>
        <v>45127</v>
      </c>
      <c r="B202">
        <f t="shared" si="14"/>
        <v>2023</v>
      </c>
      <c r="C202" s="1">
        <f>DATE(
  YEAR(Calendar_Table[[#This Row],[Date]]),
  MONTH(Calendar_Table[[#This Row],[Date]]),
  1
)</f>
        <v>45108</v>
      </c>
      <c r="D202">
        <f t="shared" si="12"/>
        <v>7</v>
      </c>
      <c r="E202" s="4" t="str">
        <f>TEXT(Calendar_Table[[#This Row],[Date]],"mmmm")</f>
        <v>July</v>
      </c>
      <c r="F202">
        <f t="shared" si="13"/>
        <v>4</v>
      </c>
      <c r="G202" s="5" t="str">
        <f>TEXT(Calendar_Table[[#This Row],[Date]],"dddd")</f>
        <v>Thursday</v>
      </c>
      <c r="H202" t="str">
        <f t="shared" si="15"/>
        <v>Weekday</v>
      </c>
    </row>
    <row r="203" spans="1:8" x14ac:dyDescent="0.35">
      <c r="A203" s="1">
        <f>IF(
  A202+1&gt;MAX(Sales_Performance[Date]),
 "",
  A202+1
)</f>
        <v>45128</v>
      </c>
      <c r="B203">
        <f t="shared" si="14"/>
        <v>2023</v>
      </c>
      <c r="C203" s="1">
        <f>DATE(
  YEAR(Calendar_Table[[#This Row],[Date]]),
  MONTH(Calendar_Table[[#This Row],[Date]]),
  1
)</f>
        <v>45108</v>
      </c>
      <c r="D203">
        <f t="shared" si="12"/>
        <v>7</v>
      </c>
      <c r="E203" s="4" t="str">
        <f>TEXT(Calendar_Table[[#This Row],[Date]],"mmmm")</f>
        <v>July</v>
      </c>
      <c r="F203">
        <f t="shared" si="13"/>
        <v>5</v>
      </c>
      <c r="G203" s="5" t="str">
        <f>TEXT(Calendar_Table[[#This Row],[Date]],"dddd")</f>
        <v>Friday</v>
      </c>
      <c r="H203" t="str">
        <f t="shared" si="15"/>
        <v>Weekday</v>
      </c>
    </row>
    <row r="204" spans="1:8" x14ac:dyDescent="0.35">
      <c r="A204" s="1">
        <f>IF(
  A203+1&gt;MAX(Sales_Performance[Date]),
 "",
  A203+1
)</f>
        <v>45129</v>
      </c>
      <c r="B204">
        <f t="shared" si="14"/>
        <v>2023</v>
      </c>
      <c r="C204" s="1">
        <f>DATE(
  YEAR(Calendar_Table[[#This Row],[Date]]),
  MONTH(Calendar_Table[[#This Row],[Date]]),
  1
)</f>
        <v>45108</v>
      </c>
      <c r="D204">
        <f t="shared" si="12"/>
        <v>7</v>
      </c>
      <c r="E204" s="4" t="str">
        <f>TEXT(Calendar_Table[[#This Row],[Date]],"mmmm")</f>
        <v>July</v>
      </c>
      <c r="F204">
        <f t="shared" si="13"/>
        <v>6</v>
      </c>
      <c r="G204" s="5" t="str">
        <f>TEXT(Calendar_Table[[#This Row],[Date]],"dddd")</f>
        <v>Saturday</v>
      </c>
      <c r="H204" t="str">
        <f t="shared" si="15"/>
        <v>Weekend</v>
      </c>
    </row>
    <row r="205" spans="1:8" x14ac:dyDescent="0.35">
      <c r="A205" s="1">
        <f>IF(
  A204+1&gt;MAX(Sales_Performance[Date]),
 "",
  A204+1
)</f>
        <v>45130</v>
      </c>
      <c r="B205">
        <f t="shared" si="14"/>
        <v>2023</v>
      </c>
      <c r="C205" s="1">
        <f>DATE(
  YEAR(Calendar_Table[[#This Row],[Date]]),
  MONTH(Calendar_Table[[#This Row],[Date]]),
  1
)</f>
        <v>45108</v>
      </c>
      <c r="D205">
        <f t="shared" si="12"/>
        <v>7</v>
      </c>
      <c r="E205" s="4" t="str">
        <f>TEXT(Calendar_Table[[#This Row],[Date]],"mmmm")</f>
        <v>July</v>
      </c>
      <c r="F205">
        <f t="shared" si="13"/>
        <v>7</v>
      </c>
      <c r="G205" s="5" t="str">
        <f>TEXT(Calendar_Table[[#This Row],[Date]],"dddd")</f>
        <v>Sunday</v>
      </c>
      <c r="H205" t="str">
        <f t="shared" si="15"/>
        <v>Weekend</v>
      </c>
    </row>
    <row r="206" spans="1:8" x14ac:dyDescent="0.35">
      <c r="A206" s="1">
        <f>IF(
  A205+1&gt;MAX(Sales_Performance[Date]),
 "",
  A205+1
)</f>
        <v>45131</v>
      </c>
      <c r="B206">
        <f t="shared" si="14"/>
        <v>2023</v>
      </c>
      <c r="C206" s="1">
        <f>DATE(
  YEAR(Calendar_Table[[#This Row],[Date]]),
  MONTH(Calendar_Table[[#This Row],[Date]]),
  1
)</f>
        <v>45108</v>
      </c>
      <c r="D206">
        <f t="shared" si="12"/>
        <v>7</v>
      </c>
      <c r="E206" s="4" t="str">
        <f>TEXT(Calendar_Table[[#This Row],[Date]],"mmmm")</f>
        <v>July</v>
      </c>
      <c r="F206">
        <f t="shared" si="13"/>
        <v>1</v>
      </c>
      <c r="G206" s="5" t="str">
        <f>TEXT(Calendar_Table[[#This Row],[Date]],"dddd")</f>
        <v>Monday</v>
      </c>
      <c r="H206" t="str">
        <f t="shared" si="15"/>
        <v>Weekday</v>
      </c>
    </row>
    <row r="207" spans="1:8" x14ac:dyDescent="0.35">
      <c r="A207" s="1">
        <f>IF(
  A206+1&gt;MAX(Sales_Performance[Date]),
 "",
  A206+1
)</f>
        <v>45132</v>
      </c>
      <c r="B207">
        <f t="shared" si="14"/>
        <v>2023</v>
      </c>
      <c r="C207" s="1">
        <f>DATE(
  YEAR(Calendar_Table[[#This Row],[Date]]),
  MONTH(Calendar_Table[[#This Row],[Date]]),
  1
)</f>
        <v>45108</v>
      </c>
      <c r="D207">
        <f t="shared" si="12"/>
        <v>7</v>
      </c>
      <c r="E207" s="4" t="str">
        <f>TEXT(Calendar_Table[[#This Row],[Date]],"mmmm")</f>
        <v>July</v>
      </c>
      <c r="F207">
        <f t="shared" si="13"/>
        <v>2</v>
      </c>
      <c r="G207" s="5" t="str">
        <f>TEXT(Calendar_Table[[#This Row],[Date]],"dddd")</f>
        <v>Tuesday</v>
      </c>
      <c r="H207" t="str">
        <f t="shared" si="15"/>
        <v>Weekday</v>
      </c>
    </row>
    <row r="208" spans="1:8" x14ac:dyDescent="0.35">
      <c r="A208" s="1">
        <f>IF(
  A207+1&gt;MAX(Sales_Performance[Date]),
 "",
  A207+1
)</f>
        <v>45133</v>
      </c>
      <c r="B208">
        <f t="shared" si="14"/>
        <v>2023</v>
      </c>
      <c r="C208" s="1">
        <f>DATE(
  YEAR(Calendar_Table[[#This Row],[Date]]),
  MONTH(Calendar_Table[[#This Row],[Date]]),
  1
)</f>
        <v>45108</v>
      </c>
      <c r="D208">
        <f t="shared" si="12"/>
        <v>7</v>
      </c>
      <c r="E208" s="4" t="str">
        <f>TEXT(Calendar_Table[[#This Row],[Date]],"mmmm")</f>
        <v>July</v>
      </c>
      <c r="F208">
        <f t="shared" si="13"/>
        <v>3</v>
      </c>
      <c r="G208" s="5" t="str">
        <f>TEXT(Calendar_Table[[#This Row],[Date]],"dddd")</f>
        <v>Wednesday</v>
      </c>
      <c r="H208" t="str">
        <f t="shared" si="15"/>
        <v>Weekday</v>
      </c>
    </row>
    <row r="209" spans="1:8" x14ac:dyDescent="0.35">
      <c r="A209" s="1">
        <f>IF(
  A208+1&gt;MAX(Sales_Performance[Date]),
 "",
  A208+1
)</f>
        <v>45134</v>
      </c>
      <c r="B209">
        <f t="shared" si="14"/>
        <v>2023</v>
      </c>
      <c r="C209" s="1">
        <f>DATE(
  YEAR(Calendar_Table[[#This Row],[Date]]),
  MONTH(Calendar_Table[[#This Row],[Date]]),
  1
)</f>
        <v>45108</v>
      </c>
      <c r="D209">
        <f t="shared" si="12"/>
        <v>7</v>
      </c>
      <c r="E209" s="4" t="str">
        <f>TEXT(Calendar_Table[[#This Row],[Date]],"mmmm")</f>
        <v>July</v>
      </c>
      <c r="F209">
        <f t="shared" si="13"/>
        <v>4</v>
      </c>
      <c r="G209" s="5" t="str">
        <f>TEXT(Calendar_Table[[#This Row],[Date]],"dddd")</f>
        <v>Thursday</v>
      </c>
      <c r="H209" t="str">
        <f t="shared" si="15"/>
        <v>Weekday</v>
      </c>
    </row>
    <row r="210" spans="1:8" x14ac:dyDescent="0.35">
      <c r="A210" s="1">
        <f>IF(
  A209+1&gt;MAX(Sales_Performance[Date]),
 "",
  A209+1
)</f>
        <v>45135</v>
      </c>
      <c r="B210">
        <f t="shared" si="14"/>
        <v>2023</v>
      </c>
      <c r="C210" s="1">
        <f>DATE(
  YEAR(Calendar_Table[[#This Row],[Date]]),
  MONTH(Calendar_Table[[#This Row],[Date]]),
  1
)</f>
        <v>45108</v>
      </c>
      <c r="D210">
        <f t="shared" si="12"/>
        <v>7</v>
      </c>
      <c r="E210" s="4" t="str">
        <f>TEXT(Calendar_Table[[#This Row],[Date]],"mmmm")</f>
        <v>July</v>
      </c>
      <c r="F210">
        <f t="shared" si="13"/>
        <v>5</v>
      </c>
      <c r="G210" s="5" t="str">
        <f>TEXT(Calendar_Table[[#This Row],[Date]],"dddd")</f>
        <v>Friday</v>
      </c>
      <c r="H210" t="str">
        <f t="shared" si="15"/>
        <v>Weekday</v>
      </c>
    </row>
    <row r="211" spans="1:8" x14ac:dyDescent="0.35">
      <c r="A211" s="1">
        <f>IF(
  A210+1&gt;MAX(Sales_Performance[Date]),
 "",
  A210+1
)</f>
        <v>45136</v>
      </c>
      <c r="B211">
        <f t="shared" si="14"/>
        <v>2023</v>
      </c>
      <c r="C211" s="1">
        <f>DATE(
  YEAR(Calendar_Table[[#This Row],[Date]]),
  MONTH(Calendar_Table[[#This Row],[Date]]),
  1
)</f>
        <v>45108</v>
      </c>
      <c r="D211">
        <f t="shared" si="12"/>
        <v>7</v>
      </c>
      <c r="E211" s="4" t="str">
        <f>TEXT(Calendar_Table[[#This Row],[Date]],"mmmm")</f>
        <v>July</v>
      </c>
      <c r="F211">
        <f t="shared" si="13"/>
        <v>6</v>
      </c>
      <c r="G211" s="5" t="str">
        <f>TEXT(Calendar_Table[[#This Row],[Date]],"dddd")</f>
        <v>Saturday</v>
      </c>
      <c r="H211" t="str">
        <f t="shared" si="15"/>
        <v>Weekend</v>
      </c>
    </row>
    <row r="212" spans="1:8" x14ac:dyDescent="0.35">
      <c r="A212" s="1">
        <f>IF(
  A211+1&gt;MAX(Sales_Performance[Date]),
 "",
  A211+1
)</f>
        <v>45137</v>
      </c>
      <c r="B212">
        <f t="shared" si="14"/>
        <v>2023</v>
      </c>
      <c r="C212" s="1">
        <f>DATE(
  YEAR(Calendar_Table[[#This Row],[Date]]),
  MONTH(Calendar_Table[[#This Row],[Date]]),
  1
)</f>
        <v>45108</v>
      </c>
      <c r="D212">
        <f t="shared" si="12"/>
        <v>7</v>
      </c>
      <c r="E212" s="4" t="str">
        <f>TEXT(Calendar_Table[[#This Row],[Date]],"mmmm")</f>
        <v>July</v>
      </c>
      <c r="F212">
        <f t="shared" si="13"/>
        <v>7</v>
      </c>
      <c r="G212" s="5" t="str">
        <f>TEXT(Calendar_Table[[#This Row],[Date]],"dddd")</f>
        <v>Sunday</v>
      </c>
      <c r="H212" t="str">
        <f t="shared" si="15"/>
        <v>Weekend</v>
      </c>
    </row>
    <row r="213" spans="1:8" x14ac:dyDescent="0.35">
      <c r="A213" s="1">
        <f>IF(
  A212+1&gt;MAX(Sales_Performance[Date]),
 "",
  A212+1
)</f>
        <v>45138</v>
      </c>
      <c r="B213">
        <f t="shared" si="14"/>
        <v>2023</v>
      </c>
      <c r="C213" s="1">
        <f>DATE(
  YEAR(Calendar_Table[[#This Row],[Date]]),
  MONTH(Calendar_Table[[#This Row],[Date]]),
  1
)</f>
        <v>45108</v>
      </c>
      <c r="D213">
        <f t="shared" si="12"/>
        <v>7</v>
      </c>
      <c r="E213" s="4" t="str">
        <f>TEXT(Calendar_Table[[#This Row],[Date]],"mmmm")</f>
        <v>July</v>
      </c>
      <c r="F213">
        <f t="shared" si="13"/>
        <v>1</v>
      </c>
      <c r="G213" s="5" t="str">
        <f>TEXT(Calendar_Table[[#This Row],[Date]],"dddd")</f>
        <v>Monday</v>
      </c>
      <c r="H213" t="str">
        <f t="shared" si="15"/>
        <v>Weekday</v>
      </c>
    </row>
    <row r="214" spans="1:8" x14ac:dyDescent="0.35">
      <c r="A214" s="1">
        <f>IF(
  A213+1&gt;MAX(Sales_Performance[Date]),
 "",
  A213+1
)</f>
        <v>45139</v>
      </c>
      <c r="B214">
        <f t="shared" si="14"/>
        <v>2023</v>
      </c>
      <c r="C214" s="1">
        <f>DATE(
  YEAR(Calendar_Table[[#This Row],[Date]]),
  MONTH(Calendar_Table[[#This Row],[Date]]),
  1
)</f>
        <v>45139</v>
      </c>
      <c r="D214">
        <f t="shared" si="12"/>
        <v>8</v>
      </c>
      <c r="E214" s="4" t="str">
        <f>TEXT(Calendar_Table[[#This Row],[Date]],"mmmm")</f>
        <v>August</v>
      </c>
      <c r="F214">
        <f t="shared" si="13"/>
        <v>2</v>
      </c>
      <c r="G214" s="5" t="str">
        <f>TEXT(Calendar_Table[[#This Row],[Date]],"dddd")</f>
        <v>Tuesday</v>
      </c>
      <c r="H214" t="str">
        <f t="shared" si="15"/>
        <v>Weekday</v>
      </c>
    </row>
    <row r="215" spans="1:8" x14ac:dyDescent="0.35">
      <c r="A215" s="1">
        <f>IF(
  A214+1&gt;MAX(Sales_Performance[Date]),
 "",
  A214+1
)</f>
        <v>45140</v>
      </c>
      <c r="B215">
        <f t="shared" si="14"/>
        <v>2023</v>
      </c>
      <c r="C215" s="1">
        <f>DATE(
  YEAR(Calendar_Table[[#This Row],[Date]]),
  MONTH(Calendar_Table[[#This Row],[Date]]),
  1
)</f>
        <v>45139</v>
      </c>
      <c r="D215">
        <f t="shared" si="12"/>
        <v>8</v>
      </c>
      <c r="E215" s="4" t="str">
        <f>TEXT(Calendar_Table[[#This Row],[Date]],"mmmm")</f>
        <v>August</v>
      </c>
      <c r="F215">
        <f t="shared" si="13"/>
        <v>3</v>
      </c>
      <c r="G215" s="5" t="str">
        <f>TEXT(Calendar_Table[[#This Row],[Date]],"dddd")</f>
        <v>Wednesday</v>
      </c>
      <c r="H215" t="str">
        <f t="shared" si="15"/>
        <v>Weekday</v>
      </c>
    </row>
    <row r="216" spans="1:8" x14ac:dyDescent="0.35">
      <c r="A216" s="1">
        <f>IF(
  A215+1&gt;MAX(Sales_Performance[Date]),
 "",
  A215+1
)</f>
        <v>45141</v>
      </c>
      <c r="B216">
        <f t="shared" si="14"/>
        <v>2023</v>
      </c>
      <c r="C216" s="1">
        <f>DATE(
  YEAR(Calendar_Table[[#This Row],[Date]]),
  MONTH(Calendar_Table[[#This Row],[Date]]),
  1
)</f>
        <v>45139</v>
      </c>
      <c r="D216">
        <f t="shared" si="12"/>
        <v>8</v>
      </c>
      <c r="E216" s="4" t="str">
        <f>TEXT(Calendar_Table[[#This Row],[Date]],"mmmm")</f>
        <v>August</v>
      </c>
      <c r="F216">
        <f t="shared" si="13"/>
        <v>4</v>
      </c>
      <c r="G216" s="5" t="str">
        <f>TEXT(Calendar_Table[[#This Row],[Date]],"dddd")</f>
        <v>Thursday</v>
      </c>
      <c r="H216" t="str">
        <f t="shared" si="15"/>
        <v>Weekday</v>
      </c>
    </row>
    <row r="217" spans="1:8" x14ac:dyDescent="0.35">
      <c r="A217" s="1">
        <f>IF(
  A216+1&gt;MAX(Sales_Performance[Date]),
 "",
  A216+1
)</f>
        <v>45142</v>
      </c>
      <c r="B217">
        <f t="shared" si="14"/>
        <v>2023</v>
      </c>
      <c r="C217" s="1">
        <f>DATE(
  YEAR(Calendar_Table[[#This Row],[Date]]),
  MONTH(Calendar_Table[[#This Row],[Date]]),
  1
)</f>
        <v>45139</v>
      </c>
      <c r="D217">
        <f t="shared" si="12"/>
        <v>8</v>
      </c>
      <c r="E217" s="4" t="str">
        <f>TEXT(Calendar_Table[[#This Row],[Date]],"mmmm")</f>
        <v>August</v>
      </c>
      <c r="F217">
        <f t="shared" si="13"/>
        <v>5</v>
      </c>
      <c r="G217" s="5" t="str">
        <f>TEXT(Calendar_Table[[#This Row],[Date]],"dddd")</f>
        <v>Friday</v>
      </c>
      <c r="H217" t="str">
        <f t="shared" si="15"/>
        <v>Weekday</v>
      </c>
    </row>
    <row r="218" spans="1:8" x14ac:dyDescent="0.35">
      <c r="A218" s="1">
        <f>IF(
  A217+1&gt;MAX(Sales_Performance[Date]),
 "",
  A217+1
)</f>
        <v>45143</v>
      </c>
      <c r="B218">
        <f t="shared" si="14"/>
        <v>2023</v>
      </c>
      <c r="C218" s="1">
        <f>DATE(
  YEAR(Calendar_Table[[#This Row],[Date]]),
  MONTH(Calendar_Table[[#This Row],[Date]]),
  1
)</f>
        <v>45139</v>
      </c>
      <c r="D218">
        <f t="shared" si="12"/>
        <v>8</v>
      </c>
      <c r="E218" s="4" t="str">
        <f>TEXT(Calendar_Table[[#This Row],[Date]],"mmmm")</f>
        <v>August</v>
      </c>
      <c r="F218">
        <f t="shared" si="13"/>
        <v>6</v>
      </c>
      <c r="G218" s="5" t="str">
        <f>TEXT(Calendar_Table[[#This Row],[Date]],"dddd")</f>
        <v>Saturday</v>
      </c>
      <c r="H218" t="str">
        <f t="shared" si="15"/>
        <v>Weekend</v>
      </c>
    </row>
    <row r="219" spans="1:8" x14ac:dyDescent="0.35">
      <c r="A219" s="1">
        <f>IF(
  A218+1&gt;MAX(Sales_Performance[Date]),
 "",
  A218+1
)</f>
        <v>45144</v>
      </c>
      <c r="B219">
        <f t="shared" si="14"/>
        <v>2023</v>
      </c>
      <c r="C219" s="1">
        <f>DATE(
  YEAR(Calendar_Table[[#This Row],[Date]]),
  MONTH(Calendar_Table[[#This Row],[Date]]),
  1
)</f>
        <v>45139</v>
      </c>
      <c r="D219">
        <f t="shared" si="12"/>
        <v>8</v>
      </c>
      <c r="E219" s="4" t="str">
        <f>TEXT(Calendar_Table[[#This Row],[Date]],"mmmm")</f>
        <v>August</v>
      </c>
      <c r="F219">
        <f t="shared" si="13"/>
        <v>7</v>
      </c>
      <c r="G219" s="5" t="str">
        <f>TEXT(Calendar_Table[[#This Row],[Date]],"dddd")</f>
        <v>Sunday</v>
      </c>
      <c r="H219" t="str">
        <f t="shared" si="15"/>
        <v>Weekend</v>
      </c>
    </row>
    <row r="220" spans="1:8" x14ac:dyDescent="0.35">
      <c r="A220" s="1">
        <f>IF(
  A219+1&gt;MAX(Sales_Performance[Date]),
 "",
  A219+1
)</f>
        <v>45145</v>
      </c>
      <c r="B220">
        <f t="shared" si="14"/>
        <v>2023</v>
      </c>
      <c r="C220" s="1">
        <f>DATE(
  YEAR(Calendar_Table[[#This Row],[Date]]),
  MONTH(Calendar_Table[[#This Row],[Date]]),
  1
)</f>
        <v>45139</v>
      </c>
      <c r="D220">
        <f t="shared" si="12"/>
        <v>8</v>
      </c>
      <c r="E220" s="4" t="str">
        <f>TEXT(Calendar_Table[[#This Row],[Date]],"mmmm")</f>
        <v>August</v>
      </c>
      <c r="F220">
        <f t="shared" si="13"/>
        <v>1</v>
      </c>
      <c r="G220" s="5" t="str">
        <f>TEXT(Calendar_Table[[#This Row],[Date]],"dddd")</f>
        <v>Monday</v>
      </c>
      <c r="H220" t="str">
        <f t="shared" si="15"/>
        <v>Weekday</v>
      </c>
    </row>
    <row r="221" spans="1:8" x14ac:dyDescent="0.35">
      <c r="A221" s="1">
        <f>IF(
  A220+1&gt;MAX(Sales_Performance[Date]),
 "",
  A220+1
)</f>
        <v>45146</v>
      </c>
      <c r="B221">
        <f t="shared" si="14"/>
        <v>2023</v>
      </c>
      <c r="C221" s="1">
        <f>DATE(
  YEAR(Calendar_Table[[#This Row],[Date]]),
  MONTH(Calendar_Table[[#This Row],[Date]]),
  1
)</f>
        <v>45139</v>
      </c>
      <c r="D221">
        <f t="shared" si="12"/>
        <v>8</v>
      </c>
      <c r="E221" s="4" t="str">
        <f>TEXT(Calendar_Table[[#This Row],[Date]],"mmmm")</f>
        <v>August</v>
      </c>
      <c r="F221">
        <f t="shared" si="13"/>
        <v>2</v>
      </c>
      <c r="G221" s="5" t="str">
        <f>TEXT(Calendar_Table[[#This Row],[Date]],"dddd")</f>
        <v>Tuesday</v>
      </c>
      <c r="H221" t="str">
        <f t="shared" si="15"/>
        <v>Weekday</v>
      </c>
    </row>
    <row r="222" spans="1:8" x14ac:dyDescent="0.35">
      <c r="A222" s="1">
        <f>IF(
  A221+1&gt;MAX(Sales_Performance[Date]),
 "",
  A221+1
)</f>
        <v>45147</v>
      </c>
      <c r="B222">
        <f t="shared" si="14"/>
        <v>2023</v>
      </c>
      <c r="C222" s="1">
        <f>DATE(
  YEAR(Calendar_Table[[#This Row],[Date]]),
  MONTH(Calendar_Table[[#This Row],[Date]]),
  1
)</f>
        <v>45139</v>
      </c>
      <c r="D222">
        <f t="shared" si="12"/>
        <v>8</v>
      </c>
      <c r="E222" s="4" t="str">
        <f>TEXT(Calendar_Table[[#This Row],[Date]],"mmmm")</f>
        <v>August</v>
      </c>
      <c r="F222">
        <f t="shared" si="13"/>
        <v>3</v>
      </c>
      <c r="G222" s="5" t="str">
        <f>TEXT(Calendar_Table[[#This Row],[Date]],"dddd")</f>
        <v>Wednesday</v>
      </c>
      <c r="H222" t="str">
        <f t="shared" si="15"/>
        <v>Weekday</v>
      </c>
    </row>
    <row r="223" spans="1:8" x14ac:dyDescent="0.35">
      <c r="A223" s="1">
        <f>IF(
  A222+1&gt;MAX(Sales_Performance[Date]),
 "",
  A222+1
)</f>
        <v>45148</v>
      </c>
      <c r="B223">
        <f t="shared" si="14"/>
        <v>2023</v>
      </c>
      <c r="C223" s="1">
        <f>DATE(
  YEAR(Calendar_Table[[#This Row],[Date]]),
  MONTH(Calendar_Table[[#This Row],[Date]]),
  1
)</f>
        <v>45139</v>
      </c>
      <c r="D223">
        <f t="shared" si="12"/>
        <v>8</v>
      </c>
      <c r="E223" s="4" t="str">
        <f>TEXT(Calendar_Table[[#This Row],[Date]],"mmmm")</f>
        <v>August</v>
      </c>
      <c r="F223">
        <f t="shared" si="13"/>
        <v>4</v>
      </c>
      <c r="G223" s="5" t="str">
        <f>TEXT(Calendar_Table[[#This Row],[Date]],"dddd")</f>
        <v>Thursday</v>
      </c>
      <c r="H223" t="str">
        <f t="shared" si="15"/>
        <v>Weekday</v>
      </c>
    </row>
    <row r="224" spans="1:8" x14ac:dyDescent="0.35">
      <c r="A224" s="1">
        <f>IF(
  A223+1&gt;MAX(Sales_Performance[Date]),
 "",
  A223+1
)</f>
        <v>45149</v>
      </c>
      <c r="B224">
        <f t="shared" si="14"/>
        <v>2023</v>
      </c>
      <c r="C224" s="1">
        <f>DATE(
  YEAR(Calendar_Table[[#This Row],[Date]]),
  MONTH(Calendar_Table[[#This Row],[Date]]),
  1
)</f>
        <v>45139</v>
      </c>
      <c r="D224">
        <f t="shared" si="12"/>
        <v>8</v>
      </c>
      <c r="E224" s="4" t="str">
        <f>TEXT(Calendar_Table[[#This Row],[Date]],"mmmm")</f>
        <v>August</v>
      </c>
      <c r="F224">
        <f t="shared" si="13"/>
        <v>5</v>
      </c>
      <c r="G224" s="5" t="str">
        <f>TEXT(Calendar_Table[[#This Row],[Date]],"dddd")</f>
        <v>Friday</v>
      </c>
      <c r="H224" t="str">
        <f t="shared" si="15"/>
        <v>Weekday</v>
      </c>
    </row>
    <row r="225" spans="1:8" x14ac:dyDescent="0.35">
      <c r="A225" s="1">
        <f>IF(
  A224+1&gt;MAX(Sales_Performance[Date]),
 "",
  A224+1
)</f>
        <v>45150</v>
      </c>
      <c r="B225">
        <f t="shared" si="14"/>
        <v>2023</v>
      </c>
      <c r="C225" s="1">
        <f>DATE(
  YEAR(Calendar_Table[[#This Row],[Date]]),
  MONTH(Calendar_Table[[#This Row],[Date]]),
  1
)</f>
        <v>45139</v>
      </c>
      <c r="D225">
        <f t="shared" si="12"/>
        <v>8</v>
      </c>
      <c r="E225" s="4" t="str">
        <f>TEXT(Calendar_Table[[#This Row],[Date]],"mmmm")</f>
        <v>August</v>
      </c>
      <c r="F225">
        <f t="shared" si="13"/>
        <v>6</v>
      </c>
      <c r="G225" s="5" t="str">
        <f>TEXT(Calendar_Table[[#This Row],[Date]],"dddd")</f>
        <v>Saturday</v>
      </c>
      <c r="H225" t="str">
        <f t="shared" si="15"/>
        <v>Weekend</v>
      </c>
    </row>
    <row r="226" spans="1:8" x14ac:dyDescent="0.35">
      <c r="A226" s="1">
        <f>IF(
  A225+1&gt;MAX(Sales_Performance[Date]),
 "",
  A225+1
)</f>
        <v>45151</v>
      </c>
      <c r="B226">
        <f t="shared" si="14"/>
        <v>2023</v>
      </c>
      <c r="C226" s="1">
        <f>DATE(
  YEAR(Calendar_Table[[#This Row],[Date]]),
  MONTH(Calendar_Table[[#This Row],[Date]]),
  1
)</f>
        <v>45139</v>
      </c>
      <c r="D226">
        <f t="shared" si="12"/>
        <v>8</v>
      </c>
      <c r="E226" s="4" t="str">
        <f>TEXT(Calendar_Table[[#This Row],[Date]],"mmmm")</f>
        <v>August</v>
      </c>
      <c r="F226">
        <f t="shared" si="13"/>
        <v>7</v>
      </c>
      <c r="G226" s="5" t="str">
        <f>TEXT(Calendar_Table[[#This Row],[Date]],"dddd")</f>
        <v>Sunday</v>
      </c>
      <c r="H226" t="str">
        <f t="shared" si="15"/>
        <v>Weekend</v>
      </c>
    </row>
    <row r="227" spans="1:8" x14ac:dyDescent="0.35">
      <c r="A227" s="1">
        <f>IF(
  A226+1&gt;MAX(Sales_Performance[Date]),
 "",
  A226+1
)</f>
        <v>45152</v>
      </c>
      <c r="B227">
        <f t="shared" si="14"/>
        <v>2023</v>
      </c>
      <c r="C227" s="1">
        <f>DATE(
  YEAR(Calendar_Table[[#This Row],[Date]]),
  MONTH(Calendar_Table[[#This Row],[Date]]),
  1
)</f>
        <v>45139</v>
      </c>
      <c r="D227">
        <f t="shared" si="12"/>
        <v>8</v>
      </c>
      <c r="E227" s="4" t="str">
        <f>TEXT(Calendar_Table[[#This Row],[Date]],"mmmm")</f>
        <v>August</v>
      </c>
      <c r="F227">
        <f t="shared" si="13"/>
        <v>1</v>
      </c>
      <c r="G227" s="5" t="str">
        <f>TEXT(Calendar_Table[[#This Row],[Date]],"dddd")</f>
        <v>Monday</v>
      </c>
      <c r="H227" t="str">
        <f t="shared" si="15"/>
        <v>Weekday</v>
      </c>
    </row>
    <row r="228" spans="1:8" x14ac:dyDescent="0.35">
      <c r="A228" s="1">
        <f>IF(
  A227+1&gt;MAX(Sales_Performance[Date]),
 "",
  A227+1
)</f>
        <v>45153</v>
      </c>
      <c r="B228">
        <f t="shared" si="14"/>
        <v>2023</v>
      </c>
      <c r="C228" s="1">
        <f>DATE(
  YEAR(Calendar_Table[[#This Row],[Date]]),
  MONTH(Calendar_Table[[#This Row],[Date]]),
  1
)</f>
        <v>45139</v>
      </c>
      <c r="D228">
        <f t="shared" si="12"/>
        <v>8</v>
      </c>
      <c r="E228" s="4" t="str">
        <f>TEXT(Calendar_Table[[#This Row],[Date]],"mmmm")</f>
        <v>August</v>
      </c>
      <c r="F228">
        <f t="shared" si="13"/>
        <v>2</v>
      </c>
      <c r="G228" s="5" t="str">
        <f>TEXT(Calendar_Table[[#This Row],[Date]],"dddd")</f>
        <v>Tuesday</v>
      </c>
      <c r="H228" t="str">
        <f t="shared" si="15"/>
        <v>Weekday</v>
      </c>
    </row>
    <row r="229" spans="1:8" x14ac:dyDescent="0.35">
      <c r="A229" s="1">
        <f>IF(
  A228+1&gt;MAX(Sales_Performance[Date]),
 "",
  A228+1
)</f>
        <v>45154</v>
      </c>
      <c r="B229">
        <f t="shared" si="14"/>
        <v>2023</v>
      </c>
      <c r="C229" s="1">
        <f>DATE(
  YEAR(Calendar_Table[[#This Row],[Date]]),
  MONTH(Calendar_Table[[#This Row],[Date]]),
  1
)</f>
        <v>45139</v>
      </c>
      <c r="D229">
        <f t="shared" si="12"/>
        <v>8</v>
      </c>
      <c r="E229" s="4" t="str">
        <f>TEXT(Calendar_Table[[#This Row],[Date]],"mmmm")</f>
        <v>August</v>
      </c>
      <c r="F229">
        <f t="shared" si="13"/>
        <v>3</v>
      </c>
      <c r="G229" s="5" t="str">
        <f>TEXT(Calendar_Table[[#This Row],[Date]],"dddd")</f>
        <v>Wednesday</v>
      </c>
      <c r="H229" t="str">
        <f t="shared" si="15"/>
        <v>Weekday</v>
      </c>
    </row>
    <row r="230" spans="1:8" x14ac:dyDescent="0.35">
      <c r="A230" s="1">
        <f>IF(
  A229+1&gt;MAX(Sales_Performance[Date]),
 "",
  A229+1
)</f>
        <v>45155</v>
      </c>
      <c r="B230">
        <f t="shared" si="14"/>
        <v>2023</v>
      </c>
      <c r="C230" s="1">
        <f>DATE(
  YEAR(Calendar_Table[[#This Row],[Date]]),
  MONTH(Calendar_Table[[#This Row],[Date]]),
  1
)</f>
        <v>45139</v>
      </c>
      <c r="D230">
        <f t="shared" si="12"/>
        <v>8</v>
      </c>
      <c r="E230" s="4" t="str">
        <f>TEXT(Calendar_Table[[#This Row],[Date]],"mmmm")</f>
        <v>August</v>
      </c>
      <c r="F230">
        <f t="shared" si="13"/>
        <v>4</v>
      </c>
      <c r="G230" s="5" t="str">
        <f>TEXT(Calendar_Table[[#This Row],[Date]],"dddd")</f>
        <v>Thursday</v>
      </c>
      <c r="H230" t="str">
        <f t="shared" si="15"/>
        <v>Weekday</v>
      </c>
    </row>
    <row r="231" spans="1:8" x14ac:dyDescent="0.35">
      <c r="A231" s="1">
        <f>IF(
  A230+1&gt;MAX(Sales_Performance[Date]),
 "",
  A230+1
)</f>
        <v>45156</v>
      </c>
      <c r="B231">
        <f t="shared" si="14"/>
        <v>2023</v>
      </c>
      <c r="C231" s="1">
        <f>DATE(
  YEAR(Calendar_Table[[#This Row],[Date]]),
  MONTH(Calendar_Table[[#This Row],[Date]]),
  1
)</f>
        <v>45139</v>
      </c>
      <c r="D231">
        <f t="shared" si="12"/>
        <v>8</v>
      </c>
      <c r="E231" s="4" t="str">
        <f>TEXT(Calendar_Table[[#This Row],[Date]],"mmmm")</f>
        <v>August</v>
      </c>
      <c r="F231">
        <f t="shared" si="13"/>
        <v>5</v>
      </c>
      <c r="G231" s="5" t="str">
        <f>TEXT(Calendar_Table[[#This Row],[Date]],"dddd")</f>
        <v>Friday</v>
      </c>
      <c r="H231" t="str">
        <f t="shared" si="15"/>
        <v>Weekday</v>
      </c>
    </row>
    <row r="232" spans="1:8" x14ac:dyDescent="0.35">
      <c r="A232" s="1">
        <f>IF(
  A231+1&gt;MAX(Sales_Performance[Date]),
 "",
  A231+1
)</f>
        <v>45157</v>
      </c>
      <c r="B232">
        <f t="shared" si="14"/>
        <v>2023</v>
      </c>
      <c r="C232" s="1">
        <f>DATE(
  YEAR(Calendar_Table[[#This Row],[Date]]),
  MONTH(Calendar_Table[[#This Row],[Date]]),
  1
)</f>
        <v>45139</v>
      </c>
      <c r="D232">
        <f t="shared" si="12"/>
        <v>8</v>
      </c>
      <c r="E232" s="4" t="str">
        <f>TEXT(Calendar_Table[[#This Row],[Date]],"mmmm")</f>
        <v>August</v>
      </c>
      <c r="F232">
        <f t="shared" si="13"/>
        <v>6</v>
      </c>
      <c r="G232" s="5" t="str">
        <f>TEXT(Calendar_Table[[#This Row],[Date]],"dddd")</f>
        <v>Saturday</v>
      </c>
      <c r="H232" t="str">
        <f t="shared" si="15"/>
        <v>Weekend</v>
      </c>
    </row>
    <row r="233" spans="1:8" x14ac:dyDescent="0.35">
      <c r="A233" s="1">
        <f>IF(
  A232+1&gt;MAX(Sales_Performance[Date]),
 "",
  A232+1
)</f>
        <v>45158</v>
      </c>
      <c r="B233">
        <f t="shared" si="14"/>
        <v>2023</v>
      </c>
      <c r="C233" s="1">
        <f>DATE(
  YEAR(Calendar_Table[[#This Row],[Date]]),
  MONTH(Calendar_Table[[#This Row],[Date]]),
  1
)</f>
        <v>45139</v>
      </c>
      <c r="D233">
        <f t="shared" si="12"/>
        <v>8</v>
      </c>
      <c r="E233" s="4" t="str">
        <f>TEXT(Calendar_Table[[#This Row],[Date]],"mmmm")</f>
        <v>August</v>
      </c>
      <c r="F233">
        <f t="shared" si="13"/>
        <v>7</v>
      </c>
      <c r="G233" s="5" t="str">
        <f>TEXT(Calendar_Table[[#This Row],[Date]],"dddd")</f>
        <v>Sunday</v>
      </c>
      <c r="H233" t="str">
        <f t="shared" si="15"/>
        <v>Weekend</v>
      </c>
    </row>
    <row r="234" spans="1:8" x14ac:dyDescent="0.35">
      <c r="A234" s="1">
        <f>IF(
  A233+1&gt;MAX(Sales_Performance[Date]),
 "",
  A233+1
)</f>
        <v>45159</v>
      </c>
      <c r="B234">
        <f t="shared" si="14"/>
        <v>2023</v>
      </c>
      <c r="C234" s="1">
        <f>DATE(
  YEAR(Calendar_Table[[#This Row],[Date]]),
  MONTH(Calendar_Table[[#This Row],[Date]]),
  1
)</f>
        <v>45139</v>
      </c>
      <c r="D234">
        <f t="shared" si="12"/>
        <v>8</v>
      </c>
      <c r="E234" s="4" t="str">
        <f>TEXT(Calendar_Table[[#This Row],[Date]],"mmmm")</f>
        <v>August</v>
      </c>
      <c r="F234">
        <f t="shared" si="13"/>
        <v>1</v>
      </c>
      <c r="G234" s="5" t="str">
        <f>TEXT(Calendar_Table[[#This Row],[Date]],"dddd")</f>
        <v>Monday</v>
      </c>
      <c r="H234" t="str">
        <f t="shared" si="15"/>
        <v>Weekday</v>
      </c>
    </row>
    <row r="235" spans="1:8" x14ac:dyDescent="0.35">
      <c r="A235" s="1">
        <f>IF(
  A234+1&gt;MAX(Sales_Performance[Date]),
 "",
  A234+1
)</f>
        <v>45160</v>
      </c>
      <c r="B235">
        <f t="shared" si="14"/>
        <v>2023</v>
      </c>
      <c r="C235" s="1">
        <f>DATE(
  YEAR(Calendar_Table[[#This Row],[Date]]),
  MONTH(Calendar_Table[[#This Row],[Date]]),
  1
)</f>
        <v>45139</v>
      </c>
      <c r="D235">
        <f t="shared" si="12"/>
        <v>8</v>
      </c>
      <c r="E235" s="4" t="str">
        <f>TEXT(Calendar_Table[[#This Row],[Date]],"mmmm")</f>
        <v>August</v>
      </c>
      <c r="F235">
        <f t="shared" si="13"/>
        <v>2</v>
      </c>
      <c r="G235" s="5" t="str">
        <f>TEXT(Calendar_Table[[#This Row],[Date]],"dddd")</f>
        <v>Tuesday</v>
      </c>
      <c r="H235" t="str">
        <f t="shared" si="15"/>
        <v>Weekday</v>
      </c>
    </row>
    <row r="236" spans="1:8" x14ac:dyDescent="0.35">
      <c r="A236" s="1">
        <f>IF(
  A235+1&gt;MAX(Sales_Performance[Date]),
 "",
  A235+1
)</f>
        <v>45161</v>
      </c>
      <c r="B236">
        <f t="shared" si="14"/>
        <v>2023</v>
      </c>
      <c r="C236" s="1">
        <f>DATE(
  YEAR(Calendar_Table[[#This Row],[Date]]),
  MONTH(Calendar_Table[[#This Row],[Date]]),
  1
)</f>
        <v>45139</v>
      </c>
      <c r="D236">
        <f t="shared" si="12"/>
        <v>8</v>
      </c>
      <c r="E236" s="4" t="str">
        <f>TEXT(Calendar_Table[[#This Row],[Date]],"mmmm")</f>
        <v>August</v>
      </c>
      <c r="F236">
        <f t="shared" si="13"/>
        <v>3</v>
      </c>
      <c r="G236" s="5" t="str">
        <f>TEXT(Calendar_Table[[#This Row],[Date]],"dddd")</f>
        <v>Wednesday</v>
      </c>
      <c r="H236" t="str">
        <f t="shared" si="15"/>
        <v>Weekday</v>
      </c>
    </row>
    <row r="237" spans="1:8" x14ac:dyDescent="0.35">
      <c r="A237" s="1">
        <f>IF(
  A236+1&gt;MAX(Sales_Performance[Date]),
 "",
  A236+1
)</f>
        <v>45162</v>
      </c>
      <c r="B237">
        <f t="shared" si="14"/>
        <v>2023</v>
      </c>
      <c r="C237" s="1">
        <f>DATE(
  YEAR(Calendar_Table[[#This Row],[Date]]),
  MONTH(Calendar_Table[[#This Row],[Date]]),
  1
)</f>
        <v>45139</v>
      </c>
      <c r="D237">
        <f t="shared" si="12"/>
        <v>8</v>
      </c>
      <c r="E237" s="4" t="str">
        <f>TEXT(Calendar_Table[[#This Row],[Date]],"mmmm")</f>
        <v>August</v>
      </c>
      <c r="F237">
        <f t="shared" si="13"/>
        <v>4</v>
      </c>
      <c r="G237" s="5" t="str">
        <f>TEXT(Calendar_Table[[#This Row],[Date]],"dddd")</f>
        <v>Thursday</v>
      </c>
      <c r="H237" t="str">
        <f t="shared" si="15"/>
        <v>Weekday</v>
      </c>
    </row>
    <row r="238" spans="1:8" x14ac:dyDescent="0.35">
      <c r="A238" s="1">
        <f>IF(
  A237+1&gt;MAX(Sales_Performance[Date]),
 "",
  A237+1
)</f>
        <v>45163</v>
      </c>
      <c r="B238">
        <f t="shared" si="14"/>
        <v>2023</v>
      </c>
      <c r="C238" s="1">
        <f>DATE(
  YEAR(Calendar_Table[[#This Row],[Date]]),
  MONTH(Calendar_Table[[#This Row],[Date]]),
  1
)</f>
        <v>45139</v>
      </c>
      <c r="D238">
        <f t="shared" si="12"/>
        <v>8</v>
      </c>
      <c r="E238" s="4" t="str">
        <f>TEXT(Calendar_Table[[#This Row],[Date]],"mmmm")</f>
        <v>August</v>
      </c>
      <c r="F238">
        <f t="shared" si="13"/>
        <v>5</v>
      </c>
      <c r="G238" s="5" t="str">
        <f>TEXT(Calendar_Table[[#This Row],[Date]],"dddd")</f>
        <v>Friday</v>
      </c>
      <c r="H238" t="str">
        <f t="shared" si="15"/>
        <v>Weekday</v>
      </c>
    </row>
    <row r="239" spans="1:8" x14ac:dyDescent="0.35">
      <c r="A239" s="1">
        <f>IF(
  A238+1&gt;MAX(Sales_Performance[Date]),
 "",
  A238+1
)</f>
        <v>45164</v>
      </c>
      <c r="B239">
        <f t="shared" si="14"/>
        <v>2023</v>
      </c>
      <c r="C239" s="1">
        <f>DATE(
  YEAR(Calendar_Table[[#This Row],[Date]]),
  MONTH(Calendar_Table[[#This Row],[Date]]),
  1
)</f>
        <v>45139</v>
      </c>
      <c r="D239">
        <f t="shared" si="12"/>
        <v>8</v>
      </c>
      <c r="E239" s="4" t="str">
        <f>TEXT(Calendar_Table[[#This Row],[Date]],"mmmm")</f>
        <v>August</v>
      </c>
      <c r="F239">
        <f t="shared" si="13"/>
        <v>6</v>
      </c>
      <c r="G239" s="5" t="str">
        <f>TEXT(Calendar_Table[[#This Row],[Date]],"dddd")</f>
        <v>Saturday</v>
      </c>
      <c r="H239" t="str">
        <f t="shared" si="15"/>
        <v>Weekend</v>
      </c>
    </row>
    <row r="240" spans="1:8" x14ac:dyDescent="0.35">
      <c r="A240" s="1">
        <f>IF(
  A239+1&gt;MAX(Sales_Performance[Date]),
 "",
  A239+1
)</f>
        <v>45165</v>
      </c>
      <c r="B240">
        <f t="shared" si="14"/>
        <v>2023</v>
      </c>
      <c r="C240" s="1">
        <f>DATE(
  YEAR(Calendar_Table[[#This Row],[Date]]),
  MONTH(Calendar_Table[[#This Row],[Date]]),
  1
)</f>
        <v>45139</v>
      </c>
      <c r="D240">
        <f t="shared" si="12"/>
        <v>8</v>
      </c>
      <c r="E240" s="4" t="str">
        <f>TEXT(Calendar_Table[[#This Row],[Date]],"mmmm")</f>
        <v>August</v>
      </c>
      <c r="F240">
        <f t="shared" si="13"/>
        <v>7</v>
      </c>
      <c r="G240" s="5" t="str">
        <f>TEXT(Calendar_Table[[#This Row],[Date]],"dddd")</f>
        <v>Sunday</v>
      </c>
      <c r="H240" t="str">
        <f t="shared" si="15"/>
        <v>Weekend</v>
      </c>
    </row>
    <row r="241" spans="1:8" x14ac:dyDescent="0.35">
      <c r="A241" s="1">
        <f>IF(
  A240+1&gt;MAX(Sales_Performance[Date]),
 "",
  A240+1
)</f>
        <v>45166</v>
      </c>
      <c r="B241">
        <f t="shared" si="14"/>
        <v>2023</v>
      </c>
      <c r="C241" s="1">
        <f>DATE(
  YEAR(Calendar_Table[[#This Row],[Date]]),
  MONTH(Calendar_Table[[#This Row],[Date]]),
  1
)</f>
        <v>45139</v>
      </c>
      <c r="D241">
        <f t="shared" si="12"/>
        <v>8</v>
      </c>
      <c r="E241" s="4" t="str">
        <f>TEXT(Calendar_Table[[#This Row],[Date]],"mmmm")</f>
        <v>August</v>
      </c>
      <c r="F241">
        <f t="shared" si="13"/>
        <v>1</v>
      </c>
      <c r="G241" s="5" t="str">
        <f>TEXT(Calendar_Table[[#This Row],[Date]],"dddd")</f>
        <v>Monday</v>
      </c>
      <c r="H241" t="str">
        <f t="shared" si="15"/>
        <v>Weekday</v>
      </c>
    </row>
    <row r="242" spans="1:8" x14ac:dyDescent="0.35">
      <c r="A242" s="1">
        <f>IF(
  A241+1&gt;MAX(Sales_Performance[Date]),
 "",
  A241+1
)</f>
        <v>45167</v>
      </c>
      <c r="B242">
        <f t="shared" si="14"/>
        <v>2023</v>
      </c>
      <c r="C242" s="1">
        <f>DATE(
  YEAR(Calendar_Table[[#This Row],[Date]]),
  MONTH(Calendar_Table[[#This Row],[Date]]),
  1
)</f>
        <v>45139</v>
      </c>
      <c r="D242">
        <f t="shared" si="12"/>
        <v>8</v>
      </c>
      <c r="E242" s="4" t="str">
        <f>TEXT(Calendar_Table[[#This Row],[Date]],"mmmm")</f>
        <v>August</v>
      </c>
      <c r="F242">
        <f t="shared" si="13"/>
        <v>2</v>
      </c>
      <c r="G242" s="5" t="str">
        <f>TEXT(Calendar_Table[[#This Row],[Date]],"dddd")</f>
        <v>Tuesday</v>
      </c>
      <c r="H242" t="str">
        <f t="shared" si="15"/>
        <v>Weekday</v>
      </c>
    </row>
    <row r="243" spans="1:8" x14ac:dyDescent="0.35">
      <c r="A243" s="1">
        <f>IF(
  A242+1&gt;MAX(Sales_Performance[Date]),
 "",
  A242+1
)</f>
        <v>45168</v>
      </c>
      <c r="B243">
        <f t="shared" si="14"/>
        <v>2023</v>
      </c>
      <c r="C243" s="1">
        <f>DATE(
  YEAR(Calendar_Table[[#This Row],[Date]]),
  MONTH(Calendar_Table[[#This Row],[Date]]),
  1
)</f>
        <v>45139</v>
      </c>
      <c r="D243">
        <f t="shared" si="12"/>
        <v>8</v>
      </c>
      <c r="E243" s="4" t="str">
        <f>TEXT(Calendar_Table[[#This Row],[Date]],"mmmm")</f>
        <v>August</v>
      </c>
      <c r="F243">
        <f t="shared" si="13"/>
        <v>3</v>
      </c>
      <c r="G243" s="5" t="str">
        <f>TEXT(Calendar_Table[[#This Row],[Date]],"dddd")</f>
        <v>Wednesday</v>
      </c>
      <c r="H243" t="str">
        <f t="shared" si="15"/>
        <v>Weekday</v>
      </c>
    </row>
    <row r="244" spans="1:8" x14ac:dyDescent="0.35">
      <c r="A244" s="1">
        <f>IF(
  A243+1&gt;MAX(Sales_Performance[Date]),
 "",
  A243+1
)</f>
        <v>45169</v>
      </c>
      <c r="B244">
        <f t="shared" si="14"/>
        <v>2023</v>
      </c>
      <c r="C244" s="1">
        <f>DATE(
  YEAR(Calendar_Table[[#This Row],[Date]]),
  MONTH(Calendar_Table[[#This Row],[Date]]),
  1
)</f>
        <v>45139</v>
      </c>
      <c r="D244">
        <f t="shared" si="12"/>
        <v>8</v>
      </c>
      <c r="E244" s="4" t="str">
        <f>TEXT(Calendar_Table[[#This Row],[Date]],"mmmm")</f>
        <v>August</v>
      </c>
      <c r="F244">
        <f t="shared" si="13"/>
        <v>4</v>
      </c>
      <c r="G244" s="5" t="str">
        <f>TEXT(Calendar_Table[[#This Row],[Date]],"dddd")</f>
        <v>Thursday</v>
      </c>
      <c r="H244" t="str">
        <f t="shared" si="15"/>
        <v>Weekday</v>
      </c>
    </row>
    <row r="245" spans="1:8" x14ac:dyDescent="0.35">
      <c r="A245" s="1">
        <f>IF(
  A244+1&gt;MAX(Sales_Performance[Date]),
 "",
  A244+1
)</f>
        <v>45170</v>
      </c>
      <c r="B245">
        <f t="shared" si="14"/>
        <v>2023</v>
      </c>
      <c r="C245" s="1">
        <f>DATE(
  YEAR(Calendar_Table[[#This Row],[Date]]),
  MONTH(Calendar_Table[[#This Row],[Date]]),
  1
)</f>
        <v>45170</v>
      </c>
      <c r="D245">
        <f t="shared" si="12"/>
        <v>9</v>
      </c>
      <c r="E245" s="4" t="str">
        <f>TEXT(Calendar_Table[[#This Row],[Date]],"mmmm")</f>
        <v>September</v>
      </c>
      <c r="F245">
        <f t="shared" si="13"/>
        <v>5</v>
      </c>
      <c r="G245" s="5" t="str">
        <f>TEXT(Calendar_Table[[#This Row],[Date]],"dddd")</f>
        <v>Friday</v>
      </c>
      <c r="H245" t="str">
        <f t="shared" si="15"/>
        <v>Weekday</v>
      </c>
    </row>
    <row r="246" spans="1:8" x14ac:dyDescent="0.35">
      <c r="A246" s="1">
        <f>IF(
  A245+1&gt;MAX(Sales_Performance[Date]),
 "",
  A245+1
)</f>
        <v>45171</v>
      </c>
      <c r="B246">
        <f t="shared" si="14"/>
        <v>2023</v>
      </c>
      <c r="C246" s="1">
        <f>DATE(
  YEAR(Calendar_Table[[#This Row],[Date]]),
  MONTH(Calendar_Table[[#This Row],[Date]]),
  1
)</f>
        <v>45170</v>
      </c>
      <c r="D246">
        <f t="shared" si="12"/>
        <v>9</v>
      </c>
      <c r="E246" s="4" t="str">
        <f>TEXT(Calendar_Table[[#This Row],[Date]],"mmmm")</f>
        <v>September</v>
      </c>
      <c r="F246">
        <f t="shared" si="13"/>
        <v>6</v>
      </c>
      <c r="G246" s="5" t="str">
        <f>TEXT(Calendar_Table[[#This Row],[Date]],"dddd")</f>
        <v>Saturday</v>
      </c>
      <c r="H246" t="str">
        <f t="shared" si="15"/>
        <v>Weekend</v>
      </c>
    </row>
    <row r="247" spans="1:8" x14ac:dyDescent="0.35">
      <c r="A247" s="1">
        <f>IF(
  A246+1&gt;MAX(Sales_Performance[Date]),
 "",
  A246+1
)</f>
        <v>45172</v>
      </c>
      <c r="B247">
        <f t="shared" si="14"/>
        <v>2023</v>
      </c>
      <c r="C247" s="1">
        <f>DATE(
  YEAR(Calendar_Table[[#This Row],[Date]]),
  MONTH(Calendar_Table[[#This Row],[Date]]),
  1
)</f>
        <v>45170</v>
      </c>
      <c r="D247">
        <f t="shared" si="12"/>
        <v>9</v>
      </c>
      <c r="E247" s="4" t="str">
        <f>TEXT(Calendar_Table[[#This Row],[Date]],"mmmm")</f>
        <v>September</v>
      </c>
      <c r="F247">
        <f t="shared" si="13"/>
        <v>7</v>
      </c>
      <c r="G247" s="5" t="str">
        <f>TEXT(Calendar_Table[[#This Row],[Date]],"dddd")</f>
        <v>Sunday</v>
      </c>
      <c r="H247" t="str">
        <f t="shared" si="15"/>
        <v>Weekend</v>
      </c>
    </row>
    <row r="248" spans="1:8" x14ac:dyDescent="0.35">
      <c r="A248" s="1">
        <f>IF(
  A247+1&gt;MAX(Sales_Performance[Date]),
 "",
  A247+1
)</f>
        <v>45173</v>
      </c>
      <c r="B248">
        <f t="shared" si="14"/>
        <v>2023</v>
      </c>
      <c r="C248" s="1">
        <f>DATE(
  YEAR(Calendar_Table[[#This Row],[Date]]),
  MONTH(Calendar_Table[[#This Row],[Date]]),
  1
)</f>
        <v>45170</v>
      </c>
      <c r="D248">
        <f t="shared" si="12"/>
        <v>9</v>
      </c>
      <c r="E248" s="4" t="str">
        <f>TEXT(Calendar_Table[[#This Row],[Date]],"mmmm")</f>
        <v>September</v>
      </c>
      <c r="F248">
        <f t="shared" si="13"/>
        <v>1</v>
      </c>
      <c r="G248" s="5" t="str">
        <f>TEXT(Calendar_Table[[#This Row],[Date]],"dddd")</f>
        <v>Monday</v>
      </c>
      <c r="H248" t="str">
        <f t="shared" si="15"/>
        <v>Weekday</v>
      </c>
    </row>
    <row r="249" spans="1:8" x14ac:dyDescent="0.35">
      <c r="A249" s="1">
        <f>IF(
  A248+1&gt;MAX(Sales_Performance[Date]),
 "",
  A248+1
)</f>
        <v>45174</v>
      </c>
      <c r="B249">
        <f t="shared" si="14"/>
        <v>2023</v>
      </c>
      <c r="C249" s="1">
        <f>DATE(
  YEAR(Calendar_Table[[#This Row],[Date]]),
  MONTH(Calendar_Table[[#This Row],[Date]]),
  1
)</f>
        <v>45170</v>
      </c>
      <c r="D249">
        <f t="shared" si="12"/>
        <v>9</v>
      </c>
      <c r="E249" s="4" t="str">
        <f>TEXT(Calendar_Table[[#This Row],[Date]],"mmmm")</f>
        <v>September</v>
      </c>
      <c r="F249">
        <f t="shared" si="13"/>
        <v>2</v>
      </c>
      <c r="G249" s="5" t="str">
        <f>TEXT(Calendar_Table[[#This Row],[Date]],"dddd")</f>
        <v>Tuesday</v>
      </c>
      <c r="H249" t="str">
        <f t="shared" si="15"/>
        <v>Weekday</v>
      </c>
    </row>
    <row r="250" spans="1:8" x14ac:dyDescent="0.35">
      <c r="A250" s="1">
        <f>IF(
  A249+1&gt;MAX(Sales_Performance[Date]),
 "",
  A249+1
)</f>
        <v>45175</v>
      </c>
      <c r="B250">
        <f t="shared" si="14"/>
        <v>2023</v>
      </c>
      <c r="C250" s="1">
        <f>DATE(
  YEAR(Calendar_Table[[#This Row],[Date]]),
  MONTH(Calendar_Table[[#This Row],[Date]]),
  1
)</f>
        <v>45170</v>
      </c>
      <c r="D250">
        <f t="shared" si="12"/>
        <v>9</v>
      </c>
      <c r="E250" s="4" t="str">
        <f>TEXT(Calendar_Table[[#This Row],[Date]],"mmmm")</f>
        <v>September</v>
      </c>
      <c r="F250">
        <f t="shared" si="13"/>
        <v>3</v>
      </c>
      <c r="G250" s="5" t="str">
        <f>TEXT(Calendar_Table[[#This Row],[Date]],"dddd")</f>
        <v>Wednesday</v>
      </c>
      <c r="H250" t="str">
        <f t="shared" si="15"/>
        <v>Weekday</v>
      </c>
    </row>
    <row r="251" spans="1:8" x14ac:dyDescent="0.35">
      <c r="A251" s="1">
        <f>IF(
  A250+1&gt;MAX(Sales_Performance[Date]),
 "",
  A250+1
)</f>
        <v>45176</v>
      </c>
      <c r="B251">
        <f t="shared" si="14"/>
        <v>2023</v>
      </c>
      <c r="C251" s="1">
        <f>DATE(
  YEAR(Calendar_Table[[#This Row],[Date]]),
  MONTH(Calendar_Table[[#This Row],[Date]]),
  1
)</f>
        <v>45170</v>
      </c>
      <c r="D251">
        <f t="shared" si="12"/>
        <v>9</v>
      </c>
      <c r="E251" s="4" t="str">
        <f>TEXT(Calendar_Table[[#This Row],[Date]],"mmmm")</f>
        <v>September</v>
      </c>
      <c r="F251">
        <f t="shared" si="13"/>
        <v>4</v>
      </c>
      <c r="G251" s="5" t="str">
        <f>TEXT(Calendar_Table[[#This Row],[Date]],"dddd")</f>
        <v>Thursday</v>
      </c>
      <c r="H251" t="str">
        <f t="shared" si="15"/>
        <v>Weekday</v>
      </c>
    </row>
    <row r="252" spans="1:8" x14ac:dyDescent="0.35">
      <c r="A252" s="1">
        <f>IF(
  A251+1&gt;MAX(Sales_Performance[Date]),
 "",
  A251+1
)</f>
        <v>45177</v>
      </c>
      <c r="B252">
        <f t="shared" si="14"/>
        <v>2023</v>
      </c>
      <c r="C252" s="1">
        <f>DATE(
  YEAR(Calendar_Table[[#This Row],[Date]]),
  MONTH(Calendar_Table[[#This Row],[Date]]),
  1
)</f>
        <v>45170</v>
      </c>
      <c r="D252">
        <f t="shared" si="12"/>
        <v>9</v>
      </c>
      <c r="E252" s="4" t="str">
        <f>TEXT(Calendar_Table[[#This Row],[Date]],"mmmm")</f>
        <v>September</v>
      </c>
      <c r="F252">
        <f t="shared" si="13"/>
        <v>5</v>
      </c>
      <c r="G252" s="5" t="str">
        <f>TEXT(Calendar_Table[[#This Row],[Date]],"dddd")</f>
        <v>Friday</v>
      </c>
      <c r="H252" t="str">
        <f t="shared" si="15"/>
        <v>Weekday</v>
      </c>
    </row>
    <row r="253" spans="1:8" x14ac:dyDescent="0.35">
      <c r="A253" s="1">
        <f>IF(
  A252+1&gt;MAX(Sales_Performance[Date]),
 "",
  A252+1
)</f>
        <v>45178</v>
      </c>
      <c r="B253">
        <f t="shared" si="14"/>
        <v>2023</v>
      </c>
      <c r="C253" s="1">
        <f>DATE(
  YEAR(Calendar_Table[[#This Row],[Date]]),
  MONTH(Calendar_Table[[#This Row],[Date]]),
  1
)</f>
        <v>45170</v>
      </c>
      <c r="D253">
        <f t="shared" si="12"/>
        <v>9</v>
      </c>
      <c r="E253" s="4" t="str">
        <f>TEXT(Calendar_Table[[#This Row],[Date]],"mmmm")</f>
        <v>September</v>
      </c>
      <c r="F253">
        <f t="shared" si="13"/>
        <v>6</v>
      </c>
      <c r="G253" s="5" t="str">
        <f>TEXT(Calendar_Table[[#This Row],[Date]],"dddd")</f>
        <v>Saturday</v>
      </c>
      <c r="H253" t="str">
        <f t="shared" si="15"/>
        <v>Weekend</v>
      </c>
    </row>
    <row r="254" spans="1:8" x14ac:dyDescent="0.35">
      <c r="A254" s="1">
        <f>IF(
  A253+1&gt;MAX(Sales_Performance[Date]),
 "",
  A253+1
)</f>
        <v>45179</v>
      </c>
      <c r="B254">
        <f t="shared" si="14"/>
        <v>2023</v>
      </c>
      <c r="C254" s="1">
        <f>DATE(
  YEAR(Calendar_Table[[#This Row],[Date]]),
  MONTH(Calendar_Table[[#This Row],[Date]]),
  1
)</f>
        <v>45170</v>
      </c>
      <c r="D254">
        <f t="shared" si="12"/>
        <v>9</v>
      </c>
      <c r="E254" s="4" t="str">
        <f>TEXT(Calendar_Table[[#This Row],[Date]],"mmmm")</f>
        <v>September</v>
      </c>
      <c r="F254">
        <f t="shared" si="13"/>
        <v>7</v>
      </c>
      <c r="G254" s="5" t="str">
        <f>TEXT(Calendar_Table[[#This Row],[Date]],"dddd")</f>
        <v>Sunday</v>
      </c>
      <c r="H254" t="str">
        <f t="shared" si="15"/>
        <v>Weekend</v>
      </c>
    </row>
    <row r="255" spans="1:8" x14ac:dyDescent="0.35">
      <c r="A255" s="1">
        <f>IF(
  A254+1&gt;MAX(Sales_Performance[Date]),
 "",
  A254+1
)</f>
        <v>45180</v>
      </c>
      <c r="B255">
        <f t="shared" si="14"/>
        <v>2023</v>
      </c>
      <c r="C255" s="1">
        <f>DATE(
  YEAR(Calendar_Table[[#This Row],[Date]]),
  MONTH(Calendar_Table[[#This Row],[Date]]),
  1
)</f>
        <v>45170</v>
      </c>
      <c r="D255">
        <f t="shared" si="12"/>
        <v>9</v>
      </c>
      <c r="E255" s="4" t="str">
        <f>TEXT(Calendar_Table[[#This Row],[Date]],"mmmm")</f>
        <v>September</v>
      </c>
      <c r="F255">
        <f t="shared" si="13"/>
        <v>1</v>
      </c>
      <c r="G255" s="5" t="str">
        <f>TEXT(Calendar_Table[[#This Row],[Date]],"dddd")</f>
        <v>Monday</v>
      </c>
      <c r="H255" t="str">
        <f t="shared" si="15"/>
        <v>Weekday</v>
      </c>
    </row>
    <row r="256" spans="1:8" x14ac:dyDescent="0.35">
      <c r="A256" s="1">
        <f>IF(
  A255+1&gt;MAX(Sales_Performance[Date]),
 "",
  A255+1
)</f>
        <v>45181</v>
      </c>
      <c r="B256">
        <f t="shared" si="14"/>
        <v>2023</v>
      </c>
      <c r="C256" s="1">
        <f>DATE(
  YEAR(Calendar_Table[[#This Row],[Date]]),
  MONTH(Calendar_Table[[#This Row],[Date]]),
  1
)</f>
        <v>45170</v>
      </c>
      <c r="D256">
        <f t="shared" si="12"/>
        <v>9</v>
      </c>
      <c r="E256" s="4" t="str">
        <f>TEXT(Calendar_Table[[#This Row],[Date]],"mmmm")</f>
        <v>September</v>
      </c>
      <c r="F256">
        <f t="shared" si="13"/>
        <v>2</v>
      </c>
      <c r="G256" s="5" t="str">
        <f>TEXT(Calendar_Table[[#This Row],[Date]],"dddd")</f>
        <v>Tuesday</v>
      </c>
      <c r="H256" t="str">
        <f t="shared" si="15"/>
        <v>Weekday</v>
      </c>
    </row>
    <row r="257" spans="1:8" x14ac:dyDescent="0.35">
      <c r="A257" s="1">
        <f>IF(
  A256+1&gt;MAX(Sales_Performance[Date]),
 "",
  A256+1
)</f>
        <v>45182</v>
      </c>
      <c r="B257">
        <f t="shared" si="14"/>
        <v>2023</v>
      </c>
      <c r="C257" s="1">
        <f>DATE(
  YEAR(Calendar_Table[[#This Row],[Date]]),
  MONTH(Calendar_Table[[#This Row],[Date]]),
  1
)</f>
        <v>45170</v>
      </c>
      <c r="D257">
        <f t="shared" si="12"/>
        <v>9</v>
      </c>
      <c r="E257" s="4" t="str">
        <f>TEXT(Calendar_Table[[#This Row],[Date]],"mmmm")</f>
        <v>September</v>
      </c>
      <c r="F257">
        <f t="shared" si="13"/>
        <v>3</v>
      </c>
      <c r="G257" s="5" t="str">
        <f>TEXT(Calendar_Table[[#This Row],[Date]],"dddd")</f>
        <v>Wednesday</v>
      </c>
      <c r="H257" t="str">
        <f t="shared" si="15"/>
        <v>Weekday</v>
      </c>
    </row>
    <row r="258" spans="1:8" x14ac:dyDescent="0.35">
      <c r="A258" s="1">
        <f>IF(
  A257+1&gt;MAX(Sales_Performance[Date]),
 "",
  A257+1
)</f>
        <v>45183</v>
      </c>
      <c r="B258">
        <f t="shared" si="14"/>
        <v>2023</v>
      </c>
      <c r="C258" s="1">
        <f>DATE(
  YEAR(Calendar_Table[[#This Row],[Date]]),
  MONTH(Calendar_Table[[#This Row],[Date]]),
  1
)</f>
        <v>45170</v>
      </c>
      <c r="D258">
        <f t="shared" ref="D258:D321" si="16">MONTH(A258)</f>
        <v>9</v>
      </c>
      <c r="E258" s="4" t="str">
        <f>TEXT(Calendar_Table[[#This Row],[Date]],"mmmm")</f>
        <v>September</v>
      </c>
      <c r="F258">
        <f t="shared" ref="F258:F321" si="17">WEEKDAY(A258,2)</f>
        <v>4</v>
      </c>
      <c r="G258" s="5" t="str">
        <f>TEXT(Calendar_Table[[#This Row],[Date]],"dddd")</f>
        <v>Thursday</v>
      </c>
      <c r="H258" t="str">
        <f t="shared" si="15"/>
        <v>Weekday</v>
      </c>
    </row>
    <row r="259" spans="1:8" x14ac:dyDescent="0.35">
      <c r="A259" s="1">
        <f>IF(
  A258+1&gt;MAX(Sales_Performance[Date]),
 "",
  A258+1
)</f>
        <v>45184</v>
      </c>
      <c r="B259">
        <f t="shared" ref="B259:B322" si="18">YEAR(A259)</f>
        <v>2023</v>
      </c>
      <c r="C259" s="1">
        <f>DATE(
  YEAR(Calendar_Table[[#This Row],[Date]]),
  MONTH(Calendar_Table[[#This Row],[Date]]),
  1
)</f>
        <v>45170</v>
      </c>
      <c r="D259">
        <f t="shared" si="16"/>
        <v>9</v>
      </c>
      <c r="E259" s="4" t="str">
        <f>TEXT(Calendar_Table[[#This Row],[Date]],"mmmm")</f>
        <v>September</v>
      </c>
      <c r="F259">
        <f t="shared" si="17"/>
        <v>5</v>
      </c>
      <c r="G259" s="5" t="str">
        <f>TEXT(Calendar_Table[[#This Row],[Date]],"dddd")</f>
        <v>Friday</v>
      </c>
      <c r="H259" t="str">
        <f t="shared" ref="H259:H322" si="19">IF(
   OR(
      F259=6,
      F259=7,
   ),
   "Weekend",
   "Weekday"
)</f>
        <v>Weekday</v>
      </c>
    </row>
    <row r="260" spans="1:8" x14ac:dyDescent="0.35">
      <c r="A260" s="1">
        <f>IF(
  A259+1&gt;MAX(Sales_Performance[Date]),
 "",
  A259+1
)</f>
        <v>45185</v>
      </c>
      <c r="B260">
        <f t="shared" si="18"/>
        <v>2023</v>
      </c>
      <c r="C260" s="1">
        <f>DATE(
  YEAR(Calendar_Table[[#This Row],[Date]]),
  MONTH(Calendar_Table[[#This Row],[Date]]),
  1
)</f>
        <v>45170</v>
      </c>
      <c r="D260">
        <f t="shared" si="16"/>
        <v>9</v>
      </c>
      <c r="E260" s="4" t="str">
        <f>TEXT(Calendar_Table[[#This Row],[Date]],"mmmm")</f>
        <v>September</v>
      </c>
      <c r="F260">
        <f t="shared" si="17"/>
        <v>6</v>
      </c>
      <c r="G260" s="5" t="str">
        <f>TEXT(Calendar_Table[[#This Row],[Date]],"dddd")</f>
        <v>Saturday</v>
      </c>
      <c r="H260" t="str">
        <f t="shared" si="19"/>
        <v>Weekend</v>
      </c>
    </row>
    <row r="261" spans="1:8" x14ac:dyDescent="0.35">
      <c r="A261" s="1">
        <f>IF(
  A260+1&gt;MAX(Sales_Performance[Date]),
 "",
  A260+1
)</f>
        <v>45186</v>
      </c>
      <c r="B261">
        <f t="shared" si="18"/>
        <v>2023</v>
      </c>
      <c r="C261" s="1">
        <f>DATE(
  YEAR(Calendar_Table[[#This Row],[Date]]),
  MONTH(Calendar_Table[[#This Row],[Date]]),
  1
)</f>
        <v>45170</v>
      </c>
      <c r="D261">
        <f t="shared" si="16"/>
        <v>9</v>
      </c>
      <c r="E261" s="4" t="str">
        <f>TEXT(Calendar_Table[[#This Row],[Date]],"mmmm")</f>
        <v>September</v>
      </c>
      <c r="F261">
        <f t="shared" si="17"/>
        <v>7</v>
      </c>
      <c r="G261" s="5" t="str">
        <f>TEXT(Calendar_Table[[#This Row],[Date]],"dddd")</f>
        <v>Sunday</v>
      </c>
      <c r="H261" t="str">
        <f t="shared" si="19"/>
        <v>Weekend</v>
      </c>
    </row>
    <row r="262" spans="1:8" x14ac:dyDescent="0.35">
      <c r="A262" s="1">
        <f>IF(
  A261+1&gt;MAX(Sales_Performance[Date]),
 "",
  A261+1
)</f>
        <v>45187</v>
      </c>
      <c r="B262">
        <f t="shared" si="18"/>
        <v>2023</v>
      </c>
      <c r="C262" s="1">
        <f>DATE(
  YEAR(Calendar_Table[[#This Row],[Date]]),
  MONTH(Calendar_Table[[#This Row],[Date]]),
  1
)</f>
        <v>45170</v>
      </c>
      <c r="D262">
        <f t="shared" si="16"/>
        <v>9</v>
      </c>
      <c r="E262" s="4" t="str">
        <f>TEXT(Calendar_Table[[#This Row],[Date]],"mmmm")</f>
        <v>September</v>
      </c>
      <c r="F262">
        <f t="shared" si="17"/>
        <v>1</v>
      </c>
      <c r="G262" s="5" t="str">
        <f>TEXT(Calendar_Table[[#This Row],[Date]],"dddd")</f>
        <v>Monday</v>
      </c>
      <c r="H262" t="str">
        <f t="shared" si="19"/>
        <v>Weekday</v>
      </c>
    </row>
    <row r="263" spans="1:8" x14ac:dyDescent="0.35">
      <c r="A263" s="1">
        <f>IF(
  A262+1&gt;MAX(Sales_Performance[Date]),
 "",
  A262+1
)</f>
        <v>45188</v>
      </c>
      <c r="B263">
        <f t="shared" si="18"/>
        <v>2023</v>
      </c>
      <c r="C263" s="1">
        <f>DATE(
  YEAR(Calendar_Table[[#This Row],[Date]]),
  MONTH(Calendar_Table[[#This Row],[Date]]),
  1
)</f>
        <v>45170</v>
      </c>
      <c r="D263">
        <f t="shared" si="16"/>
        <v>9</v>
      </c>
      <c r="E263" s="4" t="str">
        <f>TEXT(Calendar_Table[[#This Row],[Date]],"mmmm")</f>
        <v>September</v>
      </c>
      <c r="F263">
        <f t="shared" si="17"/>
        <v>2</v>
      </c>
      <c r="G263" s="5" t="str">
        <f>TEXT(Calendar_Table[[#This Row],[Date]],"dddd")</f>
        <v>Tuesday</v>
      </c>
      <c r="H263" t="str">
        <f t="shared" si="19"/>
        <v>Weekday</v>
      </c>
    </row>
    <row r="264" spans="1:8" x14ac:dyDescent="0.35">
      <c r="A264" s="1">
        <f>IF(
  A263+1&gt;MAX(Sales_Performance[Date]),
 "",
  A263+1
)</f>
        <v>45189</v>
      </c>
      <c r="B264">
        <f t="shared" si="18"/>
        <v>2023</v>
      </c>
      <c r="C264" s="1">
        <f>DATE(
  YEAR(Calendar_Table[[#This Row],[Date]]),
  MONTH(Calendar_Table[[#This Row],[Date]]),
  1
)</f>
        <v>45170</v>
      </c>
      <c r="D264">
        <f t="shared" si="16"/>
        <v>9</v>
      </c>
      <c r="E264" s="4" t="str">
        <f>TEXT(Calendar_Table[[#This Row],[Date]],"mmmm")</f>
        <v>September</v>
      </c>
      <c r="F264">
        <f t="shared" si="17"/>
        <v>3</v>
      </c>
      <c r="G264" s="5" t="str">
        <f>TEXT(Calendar_Table[[#This Row],[Date]],"dddd")</f>
        <v>Wednesday</v>
      </c>
      <c r="H264" t="str">
        <f t="shared" si="19"/>
        <v>Weekday</v>
      </c>
    </row>
    <row r="265" spans="1:8" x14ac:dyDescent="0.35">
      <c r="A265" s="1">
        <f>IF(
  A264+1&gt;MAX(Sales_Performance[Date]),
 "",
  A264+1
)</f>
        <v>45190</v>
      </c>
      <c r="B265">
        <f t="shared" si="18"/>
        <v>2023</v>
      </c>
      <c r="C265" s="1">
        <f>DATE(
  YEAR(Calendar_Table[[#This Row],[Date]]),
  MONTH(Calendar_Table[[#This Row],[Date]]),
  1
)</f>
        <v>45170</v>
      </c>
      <c r="D265">
        <f t="shared" si="16"/>
        <v>9</v>
      </c>
      <c r="E265" s="4" t="str">
        <f>TEXT(Calendar_Table[[#This Row],[Date]],"mmmm")</f>
        <v>September</v>
      </c>
      <c r="F265">
        <f t="shared" si="17"/>
        <v>4</v>
      </c>
      <c r="G265" s="5" t="str">
        <f>TEXT(Calendar_Table[[#This Row],[Date]],"dddd")</f>
        <v>Thursday</v>
      </c>
      <c r="H265" t="str">
        <f t="shared" si="19"/>
        <v>Weekday</v>
      </c>
    </row>
    <row r="266" spans="1:8" x14ac:dyDescent="0.35">
      <c r="A266" s="1">
        <f>IF(
  A265+1&gt;MAX(Sales_Performance[Date]),
 "",
  A265+1
)</f>
        <v>45191</v>
      </c>
      <c r="B266">
        <f t="shared" si="18"/>
        <v>2023</v>
      </c>
      <c r="C266" s="1">
        <f>DATE(
  YEAR(Calendar_Table[[#This Row],[Date]]),
  MONTH(Calendar_Table[[#This Row],[Date]]),
  1
)</f>
        <v>45170</v>
      </c>
      <c r="D266">
        <f t="shared" si="16"/>
        <v>9</v>
      </c>
      <c r="E266" s="4" t="str">
        <f>TEXT(Calendar_Table[[#This Row],[Date]],"mmmm")</f>
        <v>September</v>
      </c>
      <c r="F266">
        <f t="shared" si="17"/>
        <v>5</v>
      </c>
      <c r="G266" s="5" t="str">
        <f>TEXT(Calendar_Table[[#This Row],[Date]],"dddd")</f>
        <v>Friday</v>
      </c>
      <c r="H266" t="str">
        <f t="shared" si="19"/>
        <v>Weekday</v>
      </c>
    </row>
    <row r="267" spans="1:8" x14ac:dyDescent="0.35">
      <c r="A267" s="1">
        <f>IF(
  A266+1&gt;MAX(Sales_Performance[Date]),
 "",
  A266+1
)</f>
        <v>45192</v>
      </c>
      <c r="B267">
        <f t="shared" si="18"/>
        <v>2023</v>
      </c>
      <c r="C267" s="1">
        <f>DATE(
  YEAR(Calendar_Table[[#This Row],[Date]]),
  MONTH(Calendar_Table[[#This Row],[Date]]),
  1
)</f>
        <v>45170</v>
      </c>
      <c r="D267">
        <f t="shared" si="16"/>
        <v>9</v>
      </c>
      <c r="E267" s="4" t="str">
        <f>TEXT(Calendar_Table[[#This Row],[Date]],"mmmm")</f>
        <v>September</v>
      </c>
      <c r="F267">
        <f t="shared" si="17"/>
        <v>6</v>
      </c>
      <c r="G267" s="5" t="str">
        <f>TEXT(Calendar_Table[[#This Row],[Date]],"dddd")</f>
        <v>Saturday</v>
      </c>
      <c r="H267" t="str">
        <f t="shared" si="19"/>
        <v>Weekend</v>
      </c>
    </row>
    <row r="268" spans="1:8" x14ac:dyDescent="0.35">
      <c r="A268" s="1">
        <f>IF(
  A267+1&gt;MAX(Sales_Performance[Date]),
 "",
  A267+1
)</f>
        <v>45193</v>
      </c>
      <c r="B268">
        <f t="shared" si="18"/>
        <v>2023</v>
      </c>
      <c r="C268" s="1">
        <f>DATE(
  YEAR(Calendar_Table[[#This Row],[Date]]),
  MONTH(Calendar_Table[[#This Row],[Date]]),
  1
)</f>
        <v>45170</v>
      </c>
      <c r="D268">
        <f t="shared" si="16"/>
        <v>9</v>
      </c>
      <c r="E268" s="4" t="str">
        <f>TEXT(Calendar_Table[[#This Row],[Date]],"mmmm")</f>
        <v>September</v>
      </c>
      <c r="F268">
        <f t="shared" si="17"/>
        <v>7</v>
      </c>
      <c r="G268" s="5" t="str">
        <f>TEXT(Calendar_Table[[#This Row],[Date]],"dddd")</f>
        <v>Sunday</v>
      </c>
      <c r="H268" t="str">
        <f t="shared" si="19"/>
        <v>Weekend</v>
      </c>
    </row>
    <row r="269" spans="1:8" x14ac:dyDescent="0.35">
      <c r="A269" s="1">
        <f>IF(
  A268+1&gt;MAX(Sales_Performance[Date]),
 "",
  A268+1
)</f>
        <v>45194</v>
      </c>
      <c r="B269">
        <f t="shared" si="18"/>
        <v>2023</v>
      </c>
      <c r="C269" s="1">
        <f>DATE(
  YEAR(Calendar_Table[[#This Row],[Date]]),
  MONTH(Calendar_Table[[#This Row],[Date]]),
  1
)</f>
        <v>45170</v>
      </c>
      <c r="D269">
        <f t="shared" si="16"/>
        <v>9</v>
      </c>
      <c r="E269" s="4" t="str">
        <f>TEXT(Calendar_Table[[#This Row],[Date]],"mmmm")</f>
        <v>September</v>
      </c>
      <c r="F269">
        <f t="shared" si="17"/>
        <v>1</v>
      </c>
      <c r="G269" s="5" t="str">
        <f>TEXT(Calendar_Table[[#This Row],[Date]],"dddd")</f>
        <v>Monday</v>
      </c>
      <c r="H269" t="str">
        <f t="shared" si="19"/>
        <v>Weekday</v>
      </c>
    </row>
    <row r="270" spans="1:8" x14ac:dyDescent="0.35">
      <c r="A270" s="1">
        <f>IF(
  A269+1&gt;MAX(Sales_Performance[Date]),
 "",
  A269+1
)</f>
        <v>45195</v>
      </c>
      <c r="B270">
        <f t="shared" si="18"/>
        <v>2023</v>
      </c>
      <c r="C270" s="1">
        <f>DATE(
  YEAR(Calendar_Table[[#This Row],[Date]]),
  MONTH(Calendar_Table[[#This Row],[Date]]),
  1
)</f>
        <v>45170</v>
      </c>
      <c r="D270">
        <f t="shared" si="16"/>
        <v>9</v>
      </c>
      <c r="E270" s="4" t="str">
        <f>TEXT(Calendar_Table[[#This Row],[Date]],"mmmm")</f>
        <v>September</v>
      </c>
      <c r="F270">
        <f t="shared" si="17"/>
        <v>2</v>
      </c>
      <c r="G270" s="5" t="str">
        <f>TEXT(Calendar_Table[[#This Row],[Date]],"dddd")</f>
        <v>Tuesday</v>
      </c>
      <c r="H270" t="str">
        <f t="shared" si="19"/>
        <v>Weekday</v>
      </c>
    </row>
    <row r="271" spans="1:8" x14ac:dyDescent="0.35">
      <c r="A271" s="1">
        <f>IF(
  A270+1&gt;MAX(Sales_Performance[Date]),
 "",
  A270+1
)</f>
        <v>45196</v>
      </c>
      <c r="B271">
        <f t="shared" si="18"/>
        <v>2023</v>
      </c>
      <c r="C271" s="1">
        <f>DATE(
  YEAR(Calendar_Table[[#This Row],[Date]]),
  MONTH(Calendar_Table[[#This Row],[Date]]),
  1
)</f>
        <v>45170</v>
      </c>
      <c r="D271">
        <f t="shared" si="16"/>
        <v>9</v>
      </c>
      <c r="E271" s="4" t="str">
        <f>TEXT(Calendar_Table[[#This Row],[Date]],"mmmm")</f>
        <v>September</v>
      </c>
      <c r="F271">
        <f t="shared" si="17"/>
        <v>3</v>
      </c>
      <c r="G271" s="5" t="str">
        <f>TEXT(Calendar_Table[[#This Row],[Date]],"dddd")</f>
        <v>Wednesday</v>
      </c>
      <c r="H271" t="str">
        <f t="shared" si="19"/>
        <v>Weekday</v>
      </c>
    </row>
    <row r="272" spans="1:8" x14ac:dyDescent="0.35">
      <c r="A272" s="1">
        <f>IF(
  A271+1&gt;MAX(Sales_Performance[Date]),
 "",
  A271+1
)</f>
        <v>45197</v>
      </c>
      <c r="B272">
        <f t="shared" si="18"/>
        <v>2023</v>
      </c>
      <c r="C272" s="1">
        <f>DATE(
  YEAR(Calendar_Table[[#This Row],[Date]]),
  MONTH(Calendar_Table[[#This Row],[Date]]),
  1
)</f>
        <v>45170</v>
      </c>
      <c r="D272">
        <f t="shared" si="16"/>
        <v>9</v>
      </c>
      <c r="E272" s="4" t="str">
        <f>TEXT(Calendar_Table[[#This Row],[Date]],"mmmm")</f>
        <v>September</v>
      </c>
      <c r="F272">
        <f t="shared" si="17"/>
        <v>4</v>
      </c>
      <c r="G272" s="5" t="str">
        <f>TEXT(Calendar_Table[[#This Row],[Date]],"dddd")</f>
        <v>Thursday</v>
      </c>
      <c r="H272" t="str">
        <f t="shared" si="19"/>
        <v>Weekday</v>
      </c>
    </row>
    <row r="273" spans="1:8" x14ac:dyDescent="0.35">
      <c r="A273" s="1">
        <f>IF(
  A272+1&gt;MAX(Sales_Performance[Date]),
 "",
  A272+1
)</f>
        <v>45198</v>
      </c>
      <c r="B273">
        <f t="shared" si="18"/>
        <v>2023</v>
      </c>
      <c r="C273" s="1">
        <f>DATE(
  YEAR(Calendar_Table[[#This Row],[Date]]),
  MONTH(Calendar_Table[[#This Row],[Date]]),
  1
)</f>
        <v>45170</v>
      </c>
      <c r="D273">
        <f t="shared" si="16"/>
        <v>9</v>
      </c>
      <c r="E273" s="4" t="str">
        <f>TEXT(Calendar_Table[[#This Row],[Date]],"mmmm")</f>
        <v>September</v>
      </c>
      <c r="F273">
        <f t="shared" si="17"/>
        <v>5</v>
      </c>
      <c r="G273" s="5" t="str">
        <f>TEXT(Calendar_Table[[#This Row],[Date]],"dddd")</f>
        <v>Friday</v>
      </c>
      <c r="H273" t="str">
        <f t="shared" si="19"/>
        <v>Weekday</v>
      </c>
    </row>
    <row r="274" spans="1:8" x14ac:dyDescent="0.35">
      <c r="A274" s="1">
        <f>IF(
  A273+1&gt;MAX(Sales_Performance[Date]),
 "",
  A273+1
)</f>
        <v>45199</v>
      </c>
      <c r="B274">
        <f t="shared" si="18"/>
        <v>2023</v>
      </c>
      <c r="C274" s="1">
        <f>DATE(
  YEAR(Calendar_Table[[#This Row],[Date]]),
  MONTH(Calendar_Table[[#This Row],[Date]]),
  1
)</f>
        <v>45170</v>
      </c>
      <c r="D274">
        <f t="shared" si="16"/>
        <v>9</v>
      </c>
      <c r="E274" s="4" t="str">
        <f>TEXT(Calendar_Table[[#This Row],[Date]],"mmmm")</f>
        <v>September</v>
      </c>
      <c r="F274">
        <f t="shared" si="17"/>
        <v>6</v>
      </c>
      <c r="G274" s="5" t="str">
        <f>TEXT(Calendar_Table[[#This Row],[Date]],"dddd")</f>
        <v>Saturday</v>
      </c>
      <c r="H274" t="str">
        <f t="shared" si="19"/>
        <v>Weekend</v>
      </c>
    </row>
    <row r="275" spans="1:8" x14ac:dyDescent="0.35">
      <c r="A275" s="1">
        <f>IF(
  A274+1&gt;MAX(Sales_Performance[Date]),
 "",
  A274+1
)</f>
        <v>45200</v>
      </c>
      <c r="B275">
        <f t="shared" si="18"/>
        <v>2023</v>
      </c>
      <c r="C275" s="1">
        <f>DATE(
  YEAR(Calendar_Table[[#This Row],[Date]]),
  MONTH(Calendar_Table[[#This Row],[Date]]),
  1
)</f>
        <v>45200</v>
      </c>
      <c r="D275">
        <f t="shared" si="16"/>
        <v>10</v>
      </c>
      <c r="E275" s="4" t="str">
        <f>TEXT(Calendar_Table[[#This Row],[Date]],"mmmm")</f>
        <v>October</v>
      </c>
      <c r="F275">
        <f t="shared" si="17"/>
        <v>7</v>
      </c>
      <c r="G275" s="5" t="str">
        <f>TEXT(Calendar_Table[[#This Row],[Date]],"dddd")</f>
        <v>Sunday</v>
      </c>
      <c r="H275" t="str">
        <f t="shared" si="19"/>
        <v>Weekend</v>
      </c>
    </row>
    <row r="276" spans="1:8" x14ac:dyDescent="0.35">
      <c r="A276" s="1">
        <f>IF(
  A275+1&gt;MAX(Sales_Performance[Date]),
 "",
  A275+1
)</f>
        <v>45201</v>
      </c>
      <c r="B276">
        <f t="shared" si="18"/>
        <v>2023</v>
      </c>
      <c r="C276" s="1">
        <f>DATE(
  YEAR(Calendar_Table[[#This Row],[Date]]),
  MONTH(Calendar_Table[[#This Row],[Date]]),
  1
)</f>
        <v>45200</v>
      </c>
      <c r="D276">
        <f t="shared" si="16"/>
        <v>10</v>
      </c>
      <c r="E276" s="4" t="str">
        <f>TEXT(Calendar_Table[[#This Row],[Date]],"mmmm")</f>
        <v>October</v>
      </c>
      <c r="F276">
        <f t="shared" si="17"/>
        <v>1</v>
      </c>
      <c r="G276" s="5" t="str">
        <f>TEXT(Calendar_Table[[#This Row],[Date]],"dddd")</f>
        <v>Monday</v>
      </c>
      <c r="H276" t="str">
        <f t="shared" si="19"/>
        <v>Weekday</v>
      </c>
    </row>
    <row r="277" spans="1:8" x14ac:dyDescent="0.35">
      <c r="A277" s="1">
        <f>IF(
  A276+1&gt;MAX(Sales_Performance[Date]),
 "",
  A276+1
)</f>
        <v>45202</v>
      </c>
      <c r="B277">
        <f t="shared" si="18"/>
        <v>2023</v>
      </c>
      <c r="C277" s="1">
        <f>DATE(
  YEAR(Calendar_Table[[#This Row],[Date]]),
  MONTH(Calendar_Table[[#This Row],[Date]]),
  1
)</f>
        <v>45200</v>
      </c>
      <c r="D277">
        <f t="shared" si="16"/>
        <v>10</v>
      </c>
      <c r="E277" s="4" t="str">
        <f>TEXT(Calendar_Table[[#This Row],[Date]],"mmmm")</f>
        <v>October</v>
      </c>
      <c r="F277">
        <f t="shared" si="17"/>
        <v>2</v>
      </c>
      <c r="G277" s="5" t="str">
        <f>TEXT(Calendar_Table[[#This Row],[Date]],"dddd")</f>
        <v>Tuesday</v>
      </c>
      <c r="H277" t="str">
        <f t="shared" si="19"/>
        <v>Weekday</v>
      </c>
    </row>
    <row r="278" spans="1:8" x14ac:dyDescent="0.35">
      <c r="A278" s="1">
        <f>IF(
  A277+1&gt;MAX(Sales_Performance[Date]),
 "",
  A277+1
)</f>
        <v>45203</v>
      </c>
      <c r="B278">
        <f t="shared" si="18"/>
        <v>2023</v>
      </c>
      <c r="C278" s="1">
        <f>DATE(
  YEAR(Calendar_Table[[#This Row],[Date]]),
  MONTH(Calendar_Table[[#This Row],[Date]]),
  1
)</f>
        <v>45200</v>
      </c>
      <c r="D278">
        <f t="shared" si="16"/>
        <v>10</v>
      </c>
      <c r="E278" s="4" t="str">
        <f>TEXT(Calendar_Table[[#This Row],[Date]],"mmmm")</f>
        <v>October</v>
      </c>
      <c r="F278">
        <f t="shared" si="17"/>
        <v>3</v>
      </c>
      <c r="G278" s="5" t="str">
        <f>TEXT(Calendar_Table[[#This Row],[Date]],"dddd")</f>
        <v>Wednesday</v>
      </c>
      <c r="H278" t="str">
        <f t="shared" si="19"/>
        <v>Weekday</v>
      </c>
    </row>
    <row r="279" spans="1:8" x14ac:dyDescent="0.35">
      <c r="A279" s="1">
        <f>IF(
  A278+1&gt;MAX(Sales_Performance[Date]),
 "",
  A278+1
)</f>
        <v>45204</v>
      </c>
      <c r="B279">
        <f t="shared" si="18"/>
        <v>2023</v>
      </c>
      <c r="C279" s="1">
        <f>DATE(
  YEAR(Calendar_Table[[#This Row],[Date]]),
  MONTH(Calendar_Table[[#This Row],[Date]]),
  1
)</f>
        <v>45200</v>
      </c>
      <c r="D279">
        <f t="shared" si="16"/>
        <v>10</v>
      </c>
      <c r="E279" s="4" t="str">
        <f>TEXT(Calendar_Table[[#This Row],[Date]],"mmmm")</f>
        <v>October</v>
      </c>
      <c r="F279">
        <f t="shared" si="17"/>
        <v>4</v>
      </c>
      <c r="G279" s="5" t="str">
        <f>TEXT(Calendar_Table[[#This Row],[Date]],"dddd")</f>
        <v>Thursday</v>
      </c>
      <c r="H279" t="str">
        <f t="shared" si="19"/>
        <v>Weekday</v>
      </c>
    </row>
    <row r="280" spans="1:8" x14ac:dyDescent="0.35">
      <c r="A280" s="1">
        <f>IF(
  A279+1&gt;MAX(Sales_Performance[Date]),
 "",
  A279+1
)</f>
        <v>45205</v>
      </c>
      <c r="B280">
        <f t="shared" si="18"/>
        <v>2023</v>
      </c>
      <c r="C280" s="1">
        <f>DATE(
  YEAR(Calendar_Table[[#This Row],[Date]]),
  MONTH(Calendar_Table[[#This Row],[Date]]),
  1
)</f>
        <v>45200</v>
      </c>
      <c r="D280">
        <f t="shared" si="16"/>
        <v>10</v>
      </c>
      <c r="E280" s="4" t="str">
        <f>TEXT(Calendar_Table[[#This Row],[Date]],"mmmm")</f>
        <v>October</v>
      </c>
      <c r="F280">
        <f t="shared" si="17"/>
        <v>5</v>
      </c>
      <c r="G280" s="5" t="str">
        <f>TEXT(Calendar_Table[[#This Row],[Date]],"dddd")</f>
        <v>Friday</v>
      </c>
      <c r="H280" t="str">
        <f t="shared" si="19"/>
        <v>Weekday</v>
      </c>
    </row>
    <row r="281" spans="1:8" x14ac:dyDescent="0.35">
      <c r="A281" s="1">
        <f>IF(
  A280+1&gt;MAX(Sales_Performance[Date]),
 "",
  A280+1
)</f>
        <v>45206</v>
      </c>
      <c r="B281">
        <f t="shared" si="18"/>
        <v>2023</v>
      </c>
      <c r="C281" s="1">
        <f>DATE(
  YEAR(Calendar_Table[[#This Row],[Date]]),
  MONTH(Calendar_Table[[#This Row],[Date]]),
  1
)</f>
        <v>45200</v>
      </c>
      <c r="D281">
        <f t="shared" si="16"/>
        <v>10</v>
      </c>
      <c r="E281" s="4" t="str">
        <f>TEXT(Calendar_Table[[#This Row],[Date]],"mmmm")</f>
        <v>October</v>
      </c>
      <c r="F281">
        <f t="shared" si="17"/>
        <v>6</v>
      </c>
      <c r="G281" s="5" t="str">
        <f>TEXT(Calendar_Table[[#This Row],[Date]],"dddd")</f>
        <v>Saturday</v>
      </c>
      <c r="H281" t="str">
        <f t="shared" si="19"/>
        <v>Weekend</v>
      </c>
    </row>
    <row r="282" spans="1:8" x14ac:dyDescent="0.35">
      <c r="A282" s="1">
        <f>IF(
  A281+1&gt;MAX(Sales_Performance[Date]),
 "",
  A281+1
)</f>
        <v>45207</v>
      </c>
      <c r="B282">
        <f t="shared" si="18"/>
        <v>2023</v>
      </c>
      <c r="C282" s="1">
        <f>DATE(
  YEAR(Calendar_Table[[#This Row],[Date]]),
  MONTH(Calendar_Table[[#This Row],[Date]]),
  1
)</f>
        <v>45200</v>
      </c>
      <c r="D282">
        <f t="shared" si="16"/>
        <v>10</v>
      </c>
      <c r="E282" s="4" t="str">
        <f>TEXT(Calendar_Table[[#This Row],[Date]],"mmmm")</f>
        <v>October</v>
      </c>
      <c r="F282">
        <f t="shared" si="17"/>
        <v>7</v>
      </c>
      <c r="G282" s="5" t="str">
        <f>TEXT(Calendar_Table[[#This Row],[Date]],"dddd")</f>
        <v>Sunday</v>
      </c>
      <c r="H282" t="str">
        <f t="shared" si="19"/>
        <v>Weekend</v>
      </c>
    </row>
    <row r="283" spans="1:8" x14ac:dyDescent="0.35">
      <c r="A283" s="1">
        <f>IF(
  A282+1&gt;MAX(Sales_Performance[Date]),
 "",
  A282+1
)</f>
        <v>45208</v>
      </c>
      <c r="B283">
        <f t="shared" si="18"/>
        <v>2023</v>
      </c>
      <c r="C283" s="1">
        <f>DATE(
  YEAR(Calendar_Table[[#This Row],[Date]]),
  MONTH(Calendar_Table[[#This Row],[Date]]),
  1
)</f>
        <v>45200</v>
      </c>
      <c r="D283">
        <f t="shared" si="16"/>
        <v>10</v>
      </c>
      <c r="E283" s="4" t="str">
        <f>TEXT(Calendar_Table[[#This Row],[Date]],"mmmm")</f>
        <v>October</v>
      </c>
      <c r="F283">
        <f t="shared" si="17"/>
        <v>1</v>
      </c>
      <c r="G283" s="5" t="str">
        <f>TEXT(Calendar_Table[[#This Row],[Date]],"dddd")</f>
        <v>Monday</v>
      </c>
      <c r="H283" t="str">
        <f t="shared" si="19"/>
        <v>Weekday</v>
      </c>
    </row>
    <row r="284" spans="1:8" x14ac:dyDescent="0.35">
      <c r="A284" s="1">
        <f>IF(
  A283+1&gt;MAX(Sales_Performance[Date]),
 "",
  A283+1
)</f>
        <v>45209</v>
      </c>
      <c r="B284">
        <f t="shared" si="18"/>
        <v>2023</v>
      </c>
      <c r="C284" s="1">
        <f>DATE(
  YEAR(Calendar_Table[[#This Row],[Date]]),
  MONTH(Calendar_Table[[#This Row],[Date]]),
  1
)</f>
        <v>45200</v>
      </c>
      <c r="D284">
        <f t="shared" si="16"/>
        <v>10</v>
      </c>
      <c r="E284" s="4" t="str">
        <f>TEXT(Calendar_Table[[#This Row],[Date]],"mmmm")</f>
        <v>October</v>
      </c>
      <c r="F284">
        <f t="shared" si="17"/>
        <v>2</v>
      </c>
      <c r="G284" s="5" t="str">
        <f>TEXT(Calendar_Table[[#This Row],[Date]],"dddd")</f>
        <v>Tuesday</v>
      </c>
      <c r="H284" t="str">
        <f t="shared" si="19"/>
        <v>Weekday</v>
      </c>
    </row>
    <row r="285" spans="1:8" x14ac:dyDescent="0.35">
      <c r="A285" s="1">
        <f>IF(
  A284+1&gt;MAX(Sales_Performance[Date]),
 "",
  A284+1
)</f>
        <v>45210</v>
      </c>
      <c r="B285">
        <f t="shared" si="18"/>
        <v>2023</v>
      </c>
      <c r="C285" s="1">
        <f>DATE(
  YEAR(Calendar_Table[[#This Row],[Date]]),
  MONTH(Calendar_Table[[#This Row],[Date]]),
  1
)</f>
        <v>45200</v>
      </c>
      <c r="D285">
        <f t="shared" si="16"/>
        <v>10</v>
      </c>
      <c r="E285" s="4" t="str">
        <f>TEXT(Calendar_Table[[#This Row],[Date]],"mmmm")</f>
        <v>October</v>
      </c>
      <c r="F285">
        <f t="shared" si="17"/>
        <v>3</v>
      </c>
      <c r="G285" s="5" t="str">
        <f>TEXT(Calendar_Table[[#This Row],[Date]],"dddd")</f>
        <v>Wednesday</v>
      </c>
      <c r="H285" t="str">
        <f t="shared" si="19"/>
        <v>Weekday</v>
      </c>
    </row>
    <row r="286" spans="1:8" x14ac:dyDescent="0.35">
      <c r="A286" s="1">
        <f>IF(
  A285+1&gt;MAX(Sales_Performance[Date]),
 "",
  A285+1
)</f>
        <v>45211</v>
      </c>
      <c r="B286">
        <f t="shared" si="18"/>
        <v>2023</v>
      </c>
      <c r="C286" s="1">
        <f>DATE(
  YEAR(Calendar_Table[[#This Row],[Date]]),
  MONTH(Calendar_Table[[#This Row],[Date]]),
  1
)</f>
        <v>45200</v>
      </c>
      <c r="D286">
        <f t="shared" si="16"/>
        <v>10</v>
      </c>
      <c r="E286" s="4" t="str">
        <f>TEXT(Calendar_Table[[#This Row],[Date]],"mmmm")</f>
        <v>October</v>
      </c>
      <c r="F286">
        <f t="shared" si="17"/>
        <v>4</v>
      </c>
      <c r="G286" s="5" t="str">
        <f>TEXT(Calendar_Table[[#This Row],[Date]],"dddd")</f>
        <v>Thursday</v>
      </c>
      <c r="H286" t="str">
        <f t="shared" si="19"/>
        <v>Weekday</v>
      </c>
    </row>
    <row r="287" spans="1:8" x14ac:dyDescent="0.35">
      <c r="A287" s="1">
        <f>IF(
  A286+1&gt;MAX(Sales_Performance[Date]),
 "",
  A286+1
)</f>
        <v>45212</v>
      </c>
      <c r="B287">
        <f t="shared" si="18"/>
        <v>2023</v>
      </c>
      <c r="C287" s="1">
        <f>DATE(
  YEAR(Calendar_Table[[#This Row],[Date]]),
  MONTH(Calendar_Table[[#This Row],[Date]]),
  1
)</f>
        <v>45200</v>
      </c>
      <c r="D287">
        <f t="shared" si="16"/>
        <v>10</v>
      </c>
      <c r="E287" s="4" t="str">
        <f>TEXT(Calendar_Table[[#This Row],[Date]],"mmmm")</f>
        <v>October</v>
      </c>
      <c r="F287">
        <f t="shared" si="17"/>
        <v>5</v>
      </c>
      <c r="G287" s="5" t="str">
        <f>TEXT(Calendar_Table[[#This Row],[Date]],"dddd")</f>
        <v>Friday</v>
      </c>
      <c r="H287" t="str">
        <f t="shared" si="19"/>
        <v>Weekday</v>
      </c>
    </row>
    <row r="288" spans="1:8" x14ac:dyDescent="0.35">
      <c r="A288" s="1">
        <f>IF(
  A287+1&gt;MAX(Sales_Performance[Date]),
 "",
  A287+1
)</f>
        <v>45213</v>
      </c>
      <c r="B288">
        <f t="shared" si="18"/>
        <v>2023</v>
      </c>
      <c r="C288" s="1">
        <f>DATE(
  YEAR(Calendar_Table[[#This Row],[Date]]),
  MONTH(Calendar_Table[[#This Row],[Date]]),
  1
)</f>
        <v>45200</v>
      </c>
      <c r="D288">
        <f t="shared" si="16"/>
        <v>10</v>
      </c>
      <c r="E288" s="4" t="str">
        <f>TEXT(Calendar_Table[[#This Row],[Date]],"mmmm")</f>
        <v>October</v>
      </c>
      <c r="F288">
        <f t="shared" si="17"/>
        <v>6</v>
      </c>
      <c r="G288" s="5" t="str">
        <f>TEXT(Calendar_Table[[#This Row],[Date]],"dddd")</f>
        <v>Saturday</v>
      </c>
      <c r="H288" t="str">
        <f t="shared" si="19"/>
        <v>Weekend</v>
      </c>
    </row>
    <row r="289" spans="1:8" x14ac:dyDescent="0.35">
      <c r="A289" s="1">
        <f>IF(
  A288+1&gt;MAX(Sales_Performance[Date]),
 "",
  A288+1
)</f>
        <v>45214</v>
      </c>
      <c r="B289">
        <f t="shared" si="18"/>
        <v>2023</v>
      </c>
      <c r="C289" s="1">
        <f>DATE(
  YEAR(Calendar_Table[[#This Row],[Date]]),
  MONTH(Calendar_Table[[#This Row],[Date]]),
  1
)</f>
        <v>45200</v>
      </c>
      <c r="D289">
        <f t="shared" si="16"/>
        <v>10</v>
      </c>
      <c r="E289" s="4" t="str">
        <f>TEXT(Calendar_Table[[#This Row],[Date]],"mmmm")</f>
        <v>October</v>
      </c>
      <c r="F289">
        <f t="shared" si="17"/>
        <v>7</v>
      </c>
      <c r="G289" s="5" t="str">
        <f>TEXT(Calendar_Table[[#This Row],[Date]],"dddd")</f>
        <v>Sunday</v>
      </c>
      <c r="H289" t="str">
        <f t="shared" si="19"/>
        <v>Weekend</v>
      </c>
    </row>
    <row r="290" spans="1:8" x14ac:dyDescent="0.35">
      <c r="A290" s="1">
        <f>IF(
  A289+1&gt;MAX(Sales_Performance[Date]),
 "",
  A289+1
)</f>
        <v>45215</v>
      </c>
      <c r="B290">
        <f t="shared" si="18"/>
        <v>2023</v>
      </c>
      <c r="C290" s="1">
        <f>DATE(
  YEAR(Calendar_Table[[#This Row],[Date]]),
  MONTH(Calendar_Table[[#This Row],[Date]]),
  1
)</f>
        <v>45200</v>
      </c>
      <c r="D290">
        <f t="shared" si="16"/>
        <v>10</v>
      </c>
      <c r="E290" s="4" t="str">
        <f>TEXT(Calendar_Table[[#This Row],[Date]],"mmmm")</f>
        <v>October</v>
      </c>
      <c r="F290">
        <f t="shared" si="17"/>
        <v>1</v>
      </c>
      <c r="G290" s="5" t="str">
        <f>TEXT(Calendar_Table[[#This Row],[Date]],"dddd")</f>
        <v>Monday</v>
      </c>
      <c r="H290" t="str">
        <f t="shared" si="19"/>
        <v>Weekday</v>
      </c>
    </row>
    <row r="291" spans="1:8" x14ac:dyDescent="0.35">
      <c r="A291" s="1">
        <f>IF(
  A290+1&gt;MAX(Sales_Performance[Date]),
 "",
  A290+1
)</f>
        <v>45216</v>
      </c>
      <c r="B291">
        <f t="shared" si="18"/>
        <v>2023</v>
      </c>
      <c r="C291" s="1">
        <f>DATE(
  YEAR(Calendar_Table[[#This Row],[Date]]),
  MONTH(Calendar_Table[[#This Row],[Date]]),
  1
)</f>
        <v>45200</v>
      </c>
      <c r="D291">
        <f t="shared" si="16"/>
        <v>10</v>
      </c>
      <c r="E291" s="4" t="str">
        <f>TEXT(Calendar_Table[[#This Row],[Date]],"mmmm")</f>
        <v>October</v>
      </c>
      <c r="F291">
        <f t="shared" si="17"/>
        <v>2</v>
      </c>
      <c r="G291" s="5" t="str">
        <f>TEXT(Calendar_Table[[#This Row],[Date]],"dddd")</f>
        <v>Tuesday</v>
      </c>
      <c r="H291" t="str">
        <f t="shared" si="19"/>
        <v>Weekday</v>
      </c>
    </row>
    <row r="292" spans="1:8" x14ac:dyDescent="0.35">
      <c r="A292" s="1">
        <f>IF(
  A291+1&gt;MAX(Sales_Performance[Date]),
 "",
  A291+1
)</f>
        <v>45217</v>
      </c>
      <c r="B292">
        <f t="shared" si="18"/>
        <v>2023</v>
      </c>
      <c r="C292" s="1">
        <f>DATE(
  YEAR(Calendar_Table[[#This Row],[Date]]),
  MONTH(Calendar_Table[[#This Row],[Date]]),
  1
)</f>
        <v>45200</v>
      </c>
      <c r="D292">
        <f t="shared" si="16"/>
        <v>10</v>
      </c>
      <c r="E292" s="4" t="str">
        <f>TEXT(Calendar_Table[[#This Row],[Date]],"mmmm")</f>
        <v>October</v>
      </c>
      <c r="F292">
        <f t="shared" si="17"/>
        <v>3</v>
      </c>
      <c r="G292" s="5" t="str">
        <f>TEXT(Calendar_Table[[#This Row],[Date]],"dddd")</f>
        <v>Wednesday</v>
      </c>
      <c r="H292" t="str">
        <f t="shared" si="19"/>
        <v>Weekday</v>
      </c>
    </row>
    <row r="293" spans="1:8" x14ac:dyDescent="0.35">
      <c r="A293" s="1">
        <f>IF(
  A292+1&gt;MAX(Sales_Performance[Date]),
 "",
  A292+1
)</f>
        <v>45218</v>
      </c>
      <c r="B293">
        <f t="shared" si="18"/>
        <v>2023</v>
      </c>
      <c r="C293" s="1">
        <f>DATE(
  YEAR(Calendar_Table[[#This Row],[Date]]),
  MONTH(Calendar_Table[[#This Row],[Date]]),
  1
)</f>
        <v>45200</v>
      </c>
      <c r="D293">
        <f t="shared" si="16"/>
        <v>10</v>
      </c>
      <c r="E293" s="4" t="str">
        <f>TEXT(Calendar_Table[[#This Row],[Date]],"mmmm")</f>
        <v>October</v>
      </c>
      <c r="F293">
        <f t="shared" si="17"/>
        <v>4</v>
      </c>
      <c r="G293" s="5" t="str">
        <f>TEXT(Calendar_Table[[#This Row],[Date]],"dddd")</f>
        <v>Thursday</v>
      </c>
      <c r="H293" t="str">
        <f t="shared" si="19"/>
        <v>Weekday</v>
      </c>
    </row>
    <row r="294" spans="1:8" x14ac:dyDescent="0.35">
      <c r="A294" s="1">
        <f>IF(
  A293+1&gt;MAX(Sales_Performance[Date]),
 "",
  A293+1
)</f>
        <v>45219</v>
      </c>
      <c r="B294">
        <f t="shared" si="18"/>
        <v>2023</v>
      </c>
      <c r="C294" s="1">
        <f>DATE(
  YEAR(Calendar_Table[[#This Row],[Date]]),
  MONTH(Calendar_Table[[#This Row],[Date]]),
  1
)</f>
        <v>45200</v>
      </c>
      <c r="D294">
        <f t="shared" si="16"/>
        <v>10</v>
      </c>
      <c r="E294" s="4" t="str">
        <f>TEXT(Calendar_Table[[#This Row],[Date]],"mmmm")</f>
        <v>October</v>
      </c>
      <c r="F294">
        <f t="shared" si="17"/>
        <v>5</v>
      </c>
      <c r="G294" s="5" t="str">
        <f>TEXT(Calendar_Table[[#This Row],[Date]],"dddd")</f>
        <v>Friday</v>
      </c>
      <c r="H294" t="str">
        <f t="shared" si="19"/>
        <v>Weekday</v>
      </c>
    </row>
    <row r="295" spans="1:8" x14ac:dyDescent="0.35">
      <c r="A295" s="1">
        <f>IF(
  A294+1&gt;MAX(Sales_Performance[Date]),
 "",
  A294+1
)</f>
        <v>45220</v>
      </c>
      <c r="B295">
        <f t="shared" si="18"/>
        <v>2023</v>
      </c>
      <c r="C295" s="1">
        <f>DATE(
  YEAR(Calendar_Table[[#This Row],[Date]]),
  MONTH(Calendar_Table[[#This Row],[Date]]),
  1
)</f>
        <v>45200</v>
      </c>
      <c r="D295">
        <f t="shared" si="16"/>
        <v>10</v>
      </c>
      <c r="E295" s="4" t="str">
        <f>TEXT(Calendar_Table[[#This Row],[Date]],"mmmm")</f>
        <v>October</v>
      </c>
      <c r="F295">
        <f t="shared" si="17"/>
        <v>6</v>
      </c>
      <c r="G295" s="5" t="str">
        <f>TEXT(Calendar_Table[[#This Row],[Date]],"dddd")</f>
        <v>Saturday</v>
      </c>
      <c r="H295" t="str">
        <f t="shared" si="19"/>
        <v>Weekend</v>
      </c>
    </row>
    <row r="296" spans="1:8" x14ac:dyDescent="0.35">
      <c r="A296" s="1">
        <f>IF(
  A295+1&gt;MAX(Sales_Performance[Date]),
 "",
  A295+1
)</f>
        <v>45221</v>
      </c>
      <c r="B296">
        <f t="shared" si="18"/>
        <v>2023</v>
      </c>
      <c r="C296" s="1">
        <f>DATE(
  YEAR(Calendar_Table[[#This Row],[Date]]),
  MONTH(Calendar_Table[[#This Row],[Date]]),
  1
)</f>
        <v>45200</v>
      </c>
      <c r="D296">
        <f t="shared" si="16"/>
        <v>10</v>
      </c>
      <c r="E296" s="4" t="str">
        <f>TEXT(Calendar_Table[[#This Row],[Date]],"mmmm")</f>
        <v>October</v>
      </c>
      <c r="F296">
        <f t="shared" si="17"/>
        <v>7</v>
      </c>
      <c r="G296" s="5" t="str">
        <f>TEXT(Calendar_Table[[#This Row],[Date]],"dddd")</f>
        <v>Sunday</v>
      </c>
      <c r="H296" t="str">
        <f t="shared" si="19"/>
        <v>Weekend</v>
      </c>
    </row>
    <row r="297" spans="1:8" x14ac:dyDescent="0.35">
      <c r="A297" s="1">
        <f>IF(
  A296+1&gt;MAX(Sales_Performance[Date]),
 "",
  A296+1
)</f>
        <v>45222</v>
      </c>
      <c r="B297">
        <f t="shared" si="18"/>
        <v>2023</v>
      </c>
      <c r="C297" s="1">
        <f>DATE(
  YEAR(Calendar_Table[[#This Row],[Date]]),
  MONTH(Calendar_Table[[#This Row],[Date]]),
  1
)</f>
        <v>45200</v>
      </c>
      <c r="D297">
        <f t="shared" si="16"/>
        <v>10</v>
      </c>
      <c r="E297" s="4" t="str">
        <f>TEXT(Calendar_Table[[#This Row],[Date]],"mmmm")</f>
        <v>October</v>
      </c>
      <c r="F297">
        <f t="shared" si="17"/>
        <v>1</v>
      </c>
      <c r="G297" s="5" t="str">
        <f>TEXT(Calendar_Table[[#This Row],[Date]],"dddd")</f>
        <v>Monday</v>
      </c>
      <c r="H297" t="str">
        <f t="shared" si="19"/>
        <v>Weekday</v>
      </c>
    </row>
    <row r="298" spans="1:8" x14ac:dyDescent="0.35">
      <c r="A298" s="1">
        <f>IF(
  A297+1&gt;MAX(Sales_Performance[Date]),
 "",
  A297+1
)</f>
        <v>45223</v>
      </c>
      <c r="B298">
        <f t="shared" si="18"/>
        <v>2023</v>
      </c>
      <c r="C298" s="1">
        <f>DATE(
  YEAR(Calendar_Table[[#This Row],[Date]]),
  MONTH(Calendar_Table[[#This Row],[Date]]),
  1
)</f>
        <v>45200</v>
      </c>
      <c r="D298">
        <f t="shared" si="16"/>
        <v>10</v>
      </c>
      <c r="E298" s="4" t="str">
        <f>TEXT(Calendar_Table[[#This Row],[Date]],"mmmm")</f>
        <v>October</v>
      </c>
      <c r="F298">
        <f t="shared" si="17"/>
        <v>2</v>
      </c>
      <c r="G298" s="5" t="str">
        <f>TEXT(Calendar_Table[[#This Row],[Date]],"dddd")</f>
        <v>Tuesday</v>
      </c>
      <c r="H298" t="str">
        <f t="shared" si="19"/>
        <v>Weekday</v>
      </c>
    </row>
    <row r="299" spans="1:8" x14ac:dyDescent="0.35">
      <c r="A299" s="1">
        <f>IF(
  A298+1&gt;MAX(Sales_Performance[Date]),
 "",
  A298+1
)</f>
        <v>45224</v>
      </c>
      <c r="B299">
        <f t="shared" si="18"/>
        <v>2023</v>
      </c>
      <c r="C299" s="1">
        <f>DATE(
  YEAR(Calendar_Table[[#This Row],[Date]]),
  MONTH(Calendar_Table[[#This Row],[Date]]),
  1
)</f>
        <v>45200</v>
      </c>
      <c r="D299">
        <f t="shared" si="16"/>
        <v>10</v>
      </c>
      <c r="E299" s="4" t="str">
        <f>TEXT(Calendar_Table[[#This Row],[Date]],"mmmm")</f>
        <v>October</v>
      </c>
      <c r="F299">
        <f t="shared" si="17"/>
        <v>3</v>
      </c>
      <c r="G299" s="5" t="str">
        <f>TEXT(Calendar_Table[[#This Row],[Date]],"dddd")</f>
        <v>Wednesday</v>
      </c>
      <c r="H299" t="str">
        <f t="shared" si="19"/>
        <v>Weekday</v>
      </c>
    </row>
    <row r="300" spans="1:8" x14ac:dyDescent="0.35">
      <c r="A300" s="1">
        <f>IF(
  A299+1&gt;MAX(Sales_Performance[Date]),
 "",
  A299+1
)</f>
        <v>45225</v>
      </c>
      <c r="B300">
        <f t="shared" si="18"/>
        <v>2023</v>
      </c>
      <c r="C300" s="1">
        <f>DATE(
  YEAR(Calendar_Table[[#This Row],[Date]]),
  MONTH(Calendar_Table[[#This Row],[Date]]),
  1
)</f>
        <v>45200</v>
      </c>
      <c r="D300">
        <f t="shared" si="16"/>
        <v>10</v>
      </c>
      <c r="E300" s="4" t="str">
        <f>TEXT(Calendar_Table[[#This Row],[Date]],"mmmm")</f>
        <v>October</v>
      </c>
      <c r="F300">
        <f t="shared" si="17"/>
        <v>4</v>
      </c>
      <c r="G300" s="5" t="str">
        <f>TEXT(Calendar_Table[[#This Row],[Date]],"dddd")</f>
        <v>Thursday</v>
      </c>
      <c r="H300" t="str">
        <f t="shared" si="19"/>
        <v>Weekday</v>
      </c>
    </row>
    <row r="301" spans="1:8" x14ac:dyDescent="0.35">
      <c r="A301" s="1">
        <f>IF(
  A300+1&gt;MAX(Sales_Performance[Date]),
 "",
  A300+1
)</f>
        <v>45226</v>
      </c>
      <c r="B301">
        <f t="shared" si="18"/>
        <v>2023</v>
      </c>
      <c r="C301" s="1">
        <f>DATE(
  YEAR(Calendar_Table[[#This Row],[Date]]),
  MONTH(Calendar_Table[[#This Row],[Date]]),
  1
)</f>
        <v>45200</v>
      </c>
      <c r="D301">
        <f t="shared" si="16"/>
        <v>10</v>
      </c>
      <c r="E301" s="4" t="str">
        <f>TEXT(Calendar_Table[[#This Row],[Date]],"mmmm")</f>
        <v>October</v>
      </c>
      <c r="F301">
        <f t="shared" si="17"/>
        <v>5</v>
      </c>
      <c r="G301" s="5" t="str">
        <f>TEXT(Calendar_Table[[#This Row],[Date]],"dddd")</f>
        <v>Friday</v>
      </c>
      <c r="H301" t="str">
        <f t="shared" si="19"/>
        <v>Weekday</v>
      </c>
    </row>
    <row r="302" spans="1:8" x14ac:dyDescent="0.35">
      <c r="A302" s="1">
        <f>IF(
  A301+1&gt;MAX(Sales_Performance[Date]),
 "",
  A301+1
)</f>
        <v>45227</v>
      </c>
      <c r="B302">
        <f t="shared" si="18"/>
        <v>2023</v>
      </c>
      <c r="C302" s="1">
        <f>DATE(
  YEAR(Calendar_Table[[#This Row],[Date]]),
  MONTH(Calendar_Table[[#This Row],[Date]]),
  1
)</f>
        <v>45200</v>
      </c>
      <c r="D302">
        <f t="shared" si="16"/>
        <v>10</v>
      </c>
      <c r="E302" s="4" t="str">
        <f>TEXT(Calendar_Table[[#This Row],[Date]],"mmmm")</f>
        <v>October</v>
      </c>
      <c r="F302">
        <f t="shared" si="17"/>
        <v>6</v>
      </c>
      <c r="G302" s="5" t="str">
        <f>TEXT(Calendar_Table[[#This Row],[Date]],"dddd")</f>
        <v>Saturday</v>
      </c>
      <c r="H302" t="str">
        <f t="shared" si="19"/>
        <v>Weekend</v>
      </c>
    </row>
    <row r="303" spans="1:8" x14ac:dyDescent="0.35">
      <c r="A303" s="1">
        <f>IF(
  A302+1&gt;MAX(Sales_Performance[Date]),
 "",
  A302+1
)</f>
        <v>45228</v>
      </c>
      <c r="B303">
        <f t="shared" si="18"/>
        <v>2023</v>
      </c>
      <c r="C303" s="1">
        <f>DATE(
  YEAR(Calendar_Table[[#This Row],[Date]]),
  MONTH(Calendar_Table[[#This Row],[Date]]),
  1
)</f>
        <v>45200</v>
      </c>
      <c r="D303">
        <f t="shared" si="16"/>
        <v>10</v>
      </c>
      <c r="E303" s="4" t="str">
        <f>TEXT(Calendar_Table[[#This Row],[Date]],"mmmm")</f>
        <v>October</v>
      </c>
      <c r="F303">
        <f t="shared" si="17"/>
        <v>7</v>
      </c>
      <c r="G303" s="5" t="str">
        <f>TEXT(Calendar_Table[[#This Row],[Date]],"dddd")</f>
        <v>Sunday</v>
      </c>
      <c r="H303" t="str">
        <f t="shared" si="19"/>
        <v>Weekend</v>
      </c>
    </row>
    <row r="304" spans="1:8" x14ac:dyDescent="0.35">
      <c r="A304" s="1">
        <f>IF(
  A303+1&gt;MAX(Sales_Performance[Date]),
 "",
  A303+1
)</f>
        <v>45229</v>
      </c>
      <c r="B304">
        <f t="shared" si="18"/>
        <v>2023</v>
      </c>
      <c r="C304" s="1">
        <f>DATE(
  YEAR(Calendar_Table[[#This Row],[Date]]),
  MONTH(Calendar_Table[[#This Row],[Date]]),
  1
)</f>
        <v>45200</v>
      </c>
      <c r="D304">
        <f t="shared" si="16"/>
        <v>10</v>
      </c>
      <c r="E304" s="4" t="str">
        <f>TEXT(Calendar_Table[[#This Row],[Date]],"mmmm")</f>
        <v>October</v>
      </c>
      <c r="F304">
        <f t="shared" si="17"/>
        <v>1</v>
      </c>
      <c r="G304" s="5" t="str">
        <f>TEXT(Calendar_Table[[#This Row],[Date]],"dddd")</f>
        <v>Monday</v>
      </c>
      <c r="H304" t="str">
        <f t="shared" si="19"/>
        <v>Weekday</v>
      </c>
    </row>
    <row r="305" spans="1:8" x14ac:dyDescent="0.35">
      <c r="A305" s="1">
        <f>IF(
  A304+1&gt;MAX(Sales_Performance[Date]),
 "",
  A304+1
)</f>
        <v>45230</v>
      </c>
      <c r="B305">
        <f t="shared" si="18"/>
        <v>2023</v>
      </c>
      <c r="C305" s="1">
        <f>DATE(
  YEAR(Calendar_Table[[#This Row],[Date]]),
  MONTH(Calendar_Table[[#This Row],[Date]]),
  1
)</f>
        <v>45200</v>
      </c>
      <c r="D305">
        <f t="shared" si="16"/>
        <v>10</v>
      </c>
      <c r="E305" s="4" t="str">
        <f>TEXT(Calendar_Table[[#This Row],[Date]],"mmmm")</f>
        <v>October</v>
      </c>
      <c r="F305">
        <f t="shared" si="17"/>
        <v>2</v>
      </c>
      <c r="G305" s="5" t="str">
        <f>TEXT(Calendar_Table[[#This Row],[Date]],"dddd")</f>
        <v>Tuesday</v>
      </c>
      <c r="H305" t="str">
        <f t="shared" si="19"/>
        <v>Weekday</v>
      </c>
    </row>
    <row r="306" spans="1:8" x14ac:dyDescent="0.35">
      <c r="A306" s="1">
        <f>IF(
  A305+1&gt;MAX(Sales_Performance[Date]),
 "",
  A305+1
)</f>
        <v>45231</v>
      </c>
      <c r="B306">
        <f t="shared" si="18"/>
        <v>2023</v>
      </c>
      <c r="C306" s="1">
        <f>DATE(
  YEAR(Calendar_Table[[#This Row],[Date]]),
  MONTH(Calendar_Table[[#This Row],[Date]]),
  1
)</f>
        <v>45231</v>
      </c>
      <c r="D306">
        <f t="shared" si="16"/>
        <v>11</v>
      </c>
      <c r="E306" s="4" t="str">
        <f>TEXT(Calendar_Table[[#This Row],[Date]],"mmmm")</f>
        <v>November</v>
      </c>
      <c r="F306">
        <f t="shared" si="17"/>
        <v>3</v>
      </c>
      <c r="G306" s="5" t="str">
        <f>TEXT(Calendar_Table[[#This Row],[Date]],"dddd")</f>
        <v>Wednesday</v>
      </c>
      <c r="H306" t="str">
        <f t="shared" si="19"/>
        <v>Weekday</v>
      </c>
    </row>
    <row r="307" spans="1:8" x14ac:dyDescent="0.35">
      <c r="A307" s="1">
        <f>IF(
  A306+1&gt;MAX(Sales_Performance[Date]),
 "",
  A306+1
)</f>
        <v>45232</v>
      </c>
      <c r="B307">
        <f t="shared" si="18"/>
        <v>2023</v>
      </c>
      <c r="C307" s="1">
        <f>DATE(
  YEAR(Calendar_Table[[#This Row],[Date]]),
  MONTH(Calendar_Table[[#This Row],[Date]]),
  1
)</f>
        <v>45231</v>
      </c>
      <c r="D307">
        <f t="shared" si="16"/>
        <v>11</v>
      </c>
      <c r="E307" s="4" t="str">
        <f>TEXT(Calendar_Table[[#This Row],[Date]],"mmmm")</f>
        <v>November</v>
      </c>
      <c r="F307">
        <f t="shared" si="17"/>
        <v>4</v>
      </c>
      <c r="G307" s="5" t="str">
        <f>TEXT(Calendar_Table[[#This Row],[Date]],"dddd")</f>
        <v>Thursday</v>
      </c>
      <c r="H307" t="str">
        <f t="shared" si="19"/>
        <v>Weekday</v>
      </c>
    </row>
    <row r="308" spans="1:8" x14ac:dyDescent="0.35">
      <c r="A308" s="1">
        <f>IF(
  A307+1&gt;MAX(Sales_Performance[Date]),
 "",
  A307+1
)</f>
        <v>45233</v>
      </c>
      <c r="B308">
        <f t="shared" si="18"/>
        <v>2023</v>
      </c>
      <c r="C308" s="1">
        <f>DATE(
  YEAR(Calendar_Table[[#This Row],[Date]]),
  MONTH(Calendar_Table[[#This Row],[Date]]),
  1
)</f>
        <v>45231</v>
      </c>
      <c r="D308">
        <f t="shared" si="16"/>
        <v>11</v>
      </c>
      <c r="E308" s="4" t="str">
        <f>TEXT(Calendar_Table[[#This Row],[Date]],"mmmm")</f>
        <v>November</v>
      </c>
      <c r="F308">
        <f t="shared" si="17"/>
        <v>5</v>
      </c>
      <c r="G308" s="5" t="str">
        <f>TEXT(Calendar_Table[[#This Row],[Date]],"dddd")</f>
        <v>Friday</v>
      </c>
      <c r="H308" t="str">
        <f t="shared" si="19"/>
        <v>Weekday</v>
      </c>
    </row>
    <row r="309" spans="1:8" x14ac:dyDescent="0.35">
      <c r="A309" s="1">
        <f>IF(
  A308+1&gt;MAX(Sales_Performance[Date]),
 "",
  A308+1
)</f>
        <v>45234</v>
      </c>
      <c r="B309">
        <f t="shared" si="18"/>
        <v>2023</v>
      </c>
      <c r="C309" s="1">
        <f>DATE(
  YEAR(Calendar_Table[[#This Row],[Date]]),
  MONTH(Calendar_Table[[#This Row],[Date]]),
  1
)</f>
        <v>45231</v>
      </c>
      <c r="D309">
        <f t="shared" si="16"/>
        <v>11</v>
      </c>
      <c r="E309" s="4" t="str">
        <f>TEXT(Calendar_Table[[#This Row],[Date]],"mmmm")</f>
        <v>November</v>
      </c>
      <c r="F309">
        <f t="shared" si="17"/>
        <v>6</v>
      </c>
      <c r="G309" s="5" t="str">
        <f>TEXT(Calendar_Table[[#This Row],[Date]],"dddd")</f>
        <v>Saturday</v>
      </c>
      <c r="H309" t="str">
        <f t="shared" si="19"/>
        <v>Weekend</v>
      </c>
    </row>
    <row r="310" spans="1:8" x14ac:dyDescent="0.35">
      <c r="A310" s="1">
        <f>IF(
  A309+1&gt;MAX(Sales_Performance[Date]),
 "",
  A309+1
)</f>
        <v>45235</v>
      </c>
      <c r="B310">
        <f t="shared" si="18"/>
        <v>2023</v>
      </c>
      <c r="C310" s="1">
        <f>DATE(
  YEAR(Calendar_Table[[#This Row],[Date]]),
  MONTH(Calendar_Table[[#This Row],[Date]]),
  1
)</f>
        <v>45231</v>
      </c>
      <c r="D310">
        <f t="shared" si="16"/>
        <v>11</v>
      </c>
      <c r="E310" s="4" t="str">
        <f>TEXT(Calendar_Table[[#This Row],[Date]],"mmmm")</f>
        <v>November</v>
      </c>
      <c r="F310">
        <f t="shared" si="17"/>
        <v>7</v>
      </c>
      <c r="G310" s="5" t="str">
        <f>TEXT(Calendar_Table[[#This Row],[Date]],"dddd")</f>
        <v>Sunday</v>
      </c>
      <c r="H310" t="str">
        <f t="shared" si="19"/>
        <v>Weekend</v>
      </c>
    </row>
    <row r="311" spans="1:8" x14ac:dyDescent="0.35">
      <c r="A311" s="1">
        <f>IF(
  A310+1&gt;MAX(Sales_Performance[Date]),
 "",
  A310+1
)</f>
        <v>45236</v>
      </c>
      <c r="B311">
        <f t="shared" si="18"/>
        <v>2023</v>
      </c>
      <c r="C311" s="1">
        <f>DATE(
  YEAR(Calendar_Table[[#This Row],[Date]]),
  MONTH(Calendar_Table[[#This Row],[Date]]),
  1
)</f>
        <v>45231</v>
      </c>
      <c r="D311">
        <f t="shared" si="16"/>
        <v>11</v>
      </c>
      <c r="E311" s="4" t="str">
        <f>TEXT(Calendar_Table[[#This Row],[Date]],"mmmm")</f>
        <v>November</v>
      </c>
      <c r="F311">
        <f t="shared" si="17"/>
        <v>1</v>
      </c>
      <c r="G311" s="5" t="str">
        <f>TEXT(Calendar_Table[[#This Row],[Date]],"dddd")</f>
        <v>Monday</v>
      </c>
      <c r="H311" t="str">
        <f t="shared" si="19"/>
        <v>Weekday</v>
      </c>
    </row>
    <row r="312" spans="1:8" x14ac:dyDescent="0.35">
      <c r="A312" s="1">
        <f>IF(
  A311+1&gt;MAX(Sales_Performance[Date]),
 "",
  A311+1
)</f>
        <v>45237</v>
      </c>
      <c r="B312">
        <f t="shared" si="18"/>
        <v>2023</v>
      </c>
      <c r="C312" s="1">
        <f>DATE(
  YEAR(Calendar_Table[[#This Row],[Date]]),
  MONTH(Calendar_Table[[#This Row],[Date]]),
  1
)</f>
        <v>45231</v>
      </c>
      <c r="D312">
        <f t="shared" si="16"/>
        <v>11</v>
      </c>
      <c r="E312" s="4" t="str">
        <f>TEXT(Calendar_Table[[#This Row],[Date]],"mmmm")</f>
        <v>November</v>
      </c>
      <c r="F312">
        <f t="shared" si="17"/>
        <v>2</v>
      </c>
      <c r="G312" s="5" t="str">
        <f>TEXT(Calendar_Table[[#This Row],[Date]],"dddd")</f>
        <v>Tuesday</v>
      </c>
      <c r="H312" t="str">
        <f t="shared" si="19"/>
        <v>Weekday</v>
      </c>
    </row>
    <row r="313" spans="1:8" x14ac:dyDescent="0.35">
      <c r="A313" s="1">
        <f>IF(
  A312+1&gt;MAX(Sales_Performance[Date]),
 "",
  A312+1
)</f>
        <v>45238</v>
      </c>
      <c r="B313">
        <f t="shared" si="18"/>
        <v>2023</v>
      </c>
      <c r="C313" s="1">
        <f>DATE(
  YEAR(Calendar_Table[[#This Row],[Date]]),
  MONTH(Calendar_Table[[#This Row],[Date]]),
  1
)</f>
        <v>45231</v>
      </c>
      <c r="D313">
        <f t="shared" si="16"/>
        <v>11</v>
      </c>
      <c r="E313" s="4" t="str">
        <f>TEXT(Calendar_Table[[#This Row],[Date]],"mmmm")</f>
        <v>November</v>
      </c>
      <c r="F313">
        <f t="shared" si="17"/>
        <v>3</v>
      </c>
      <c r="G313" s="5" t="str">
        <f>TEXT(Calendar_Table[[#This Row],[Date]],"dddd")</f>
        <v>Wednesday</v>
      </c>
      <c r="H313" t="str">
        <f t="shared" si="19"/>
        <v>Weekday</v>
      </c>
    </row>
    <row r="314" spans="1:8" x14ac:dyDescent="0.35">
      <c r="A314" s="1">
        <f>IF(
  A313+1&gt;MAX(Sales_Performance[Date]),
 "",
  A313+1
)</f>
        <v>45239</v>
      </c>
      <c r="B314">
        <f t="shared" si="18"/>
        <v>2023</v>
      </c>
      <c r="C314" s="1">
        <f>DATE(
  YEAR(Calendar_Table[[#This Row],[Date]]),
  MONTH(Calendar_Table[[#This Row],[Date]]),
  1
)</f>
        <v>45231</v>
      </c>
      <c r="D314">
        <f t="shared" si="16"/>
        <v>11</v>
      </c>
      <c r="E314" s="4" t="str">
        <f>TEXT(Calendar_Table[[#This Row],[Date]],"mmmm")</f>
        <v>November</v>
      </c>
      <c r="F314">
        <f t="shared" si="17"/>
        <v>4</v>
      </c>
      <c r="G314" s="5" t="str">
        <f>TEXT(Calendar_Table[[#This Row],[Date]],"dddd")</f>
        <v>Thursday</v>
      </c>
      <c r="H314" t="str">
        <f t="shared" si="19"/>
        <v>Weekday</v>
      </c>
    </row>
    <row r="315" spans="1:8" x14ac:dyDescent="0.35">
      <c r="A315" s="1">
        <f>IF(
  A314+1&gt;MAX(Sales_Performance[Date]),
 "",
  A314+1
)</f>
        <v>45240</v>
      </c>
      <c r="B315">
        <f t="shared" si="18"/>
        <v>2023</v>
      </c>
      <c r="C315" s="1">
        <f>DATE(
  YEAR(Calendar_Table[[#This Row],[Date]]),
  MONTH(Calendar_Table[[#This Row],[Date]]),
  1
)</f>
        <v>45231</v>
      </c>
      <c r="D315">
        <f t="shared" si="16"/>
        <v>11</v>
      </c>
      <c r="E315" s="4" t="str">
        <f>TEXT(Calendar_Table[[#This Row],[Date]],"mmmm")</f>
        <v>November</v>
      </c>
      <c r="F315">
        <f t="shared" si="17"/>
        <v>5</v>
      </c>
      <c r="G315" s="5" t="str">
        <f>TEXT(Calendar_Table[[#This Row],[Date]],"dddd")</f>
        <v>Friday</v>
      </c>
      <c r="H315" t="str">
        <f t="shared" si="19"/>
        <v>Weekday</v>
      </c>
    </row>
    <row r="316" spans="1:8" x14ac:dyDescent="0.35">
      <c r="A316" s="1">
        <f>IF(
  A315+1&gt;MAX(Sales_Performance[Date]),
 "",
  A315+1
)</f>
        <v>45241</v>
      </c>
      <c r="B316">
        <f t="shared" si="18"/>
        <v>2023</v>
      </c>
      <c r="C316" s="1">
        <f>DATE(
  YEAR(Calendar_Table[[#This Row],[Date]]),
  MONTH(Calendar_Table[[#This Row],[Date]]),
  1
)</f>
        <v>45231</v>
      </c>
      <c r="D316">
        <f t="shared" si="16"/>
        <v>11</v>
      </c>
      <c r="E316" s="4" t="str">
        <f>TEXT(Calendar_Table[[#This Row],[Date]],"mmmm")</f>
        <v>November</v>
      </c>
      <c r="F316">
        <f t="shared" si="17"/>
        <v>6</v>
      </c>
      <c r="G316" s="5" t="str">
        <f>TEXT(Calendar_Table[[#This Row],[Date]],"dddd")</f>
        <v>Saturday</v>
      </c>
      <c r="H316" t="str">
        <f t="shared" si="19"/>
        <v>Weekend</v>
      </c>
    </row>
    <row r="317" spans="1:8" x14ac:dyDescent="0.35">
      <c r="A317" s="1">
        <f>IF(
  A316+1&gt;MAX(Sales_Performance[Date]),
 "",
  A316+1
)</f>
        <v>45242</v>
      </c>
      <c r="B317">
        <f t="shared" si="18"/>
        <v>2023</v>
      </c>
      <c r="C317" s="1">
        <f>DATE(
  YEAR(Calendar_Table[[#This Row],[Date]]),
  MONTH(Calendar_Table[[#This Row],[Date]]),
  1
)</f>
        <v>45231</v>
      </c>
      <c r="D317">
        <f t="shared" si="16"/>
        <v>11</v>
      </c>
      <c r="E317" s="4" t="str">
        <f>TEXT(Calendar_Table[[#This Row],[Date]],"mmmm")</f>
        <v>November</v>
      </c>
      <c r="F317">
        <f t="shared" si="17"/>
        <v>7</v>
      </c>
      <c r="G317" s="5" t="str">
        <f>TEXT(Calendar_Table[[#This Row],[Date]],"dddd")</f>
        <v>Sunday</v>
      </c>
      <c r="H317" t="str">
        <f t="shared" si="19"/>
        <v>Weekend</v>
      </c>
    </row>
    <row r="318" spans="1:8" x14ac:dyDescent="0.35">
      <c r="A318" s="1">
        <f>IF(
  A317+1&gt;MAX(Sales_Performance[Date]),
 "",
  A317+1
)</f>
        <v>45243</v>
      </c>
      <c r="B318">
        <f t="shared" si="18"/>
        <v>2023</v>
      </c>
      <c r="C318" s="1">
        <f>DATE(
  YEAR(Calendar_Table[[#This Row],[Date]]),
  MONTH(Calendar_Table[[#This Row],[Date]]),
  1
)</f>
        <v>45231</v>
      </c>
      <c r="D318">
        <f t="shared" si="16"/>
        <v>11</v>
      </c>
      <c r="E318" s="4" t="str">
        <f>TEXT(Calendar_Table[[#This Row],[Date]],"mmmm")</f>
        <v>November</v>
      </c>
      <c r="F318">
        <f t="shared" si="17"/>
        <v>1</v>
      </c>
      <c r="G318" s="5" t="str">
        <f>TEXT(Calendar_Table[[#This Row],[Date]],"dddd")</f>
        <v>Monday</v>
      </c>
      <c r="H318" t="str">
        <f t="shared" si="19"/>
        <v>Weekday</v>
      </c>
    </row>
    <row r="319" spans="1:8" x14ac:dyDescent="0.35">
      <c r="A319" s="1">
        <f>IF(
  A318+1&gt;MAX(Sales_Performance[Date]),
 "",
  A318+1
)</f>
        <v>45244</v>
      </c>
      <c r="B319">
        <f t="shared" si="18"/>
        <v>2023</v>
      </c>
      <c r="C319" s="1">
        <f>DATE(
  YEAR(Calendar_Table[[#This Row],[Date]]),
  MONTH(Calendar_Table[[#This Row],[Date]]),
  1
)</f>
        <v>45231</v>
      </c>
      <c r="D319">
        <f t="shared" si="16"/>
        <v>11</v>
      </c>
      <c r="E319" s="4" t="str">
        <f>TEXT(Calendar_Table[[#This Row],[Date]],"mmmm")</f>
        <v>November</v>
      </c>
      <c r="F319">
        <f t="shared" si="17"/>
        <v>2</v>
      </c>
      <c r="G319" s="5" t="str">
        <f>TEXT(Calendar_Table[[#This Row],[Date]],"dddd")</f>
        <v>Tuesday</v>
      </c>
      <c r="H319" t="str">
        <f t="shared" si="19"/>
        <v>Weekday</v>
      </c>
    </row>
    <row r="320" spans="1:8" x14ac:dyDescent="0.35">
      <c r="A320" s="1">
        <f>IF(
  A319+1&gt;MAX(Sales_Performance[Date]),
 "",
  A319+1
)</f>
        <v>45245</v>
      </c>
      <c r="B320">
        <f t="shared" si="18"/>
        <v>2023</v>
      </c>
      <c r="C320" s="1">
        <f>DATE(
  YEAR(Calendar_Table[[#This Row],[Date]]),
  MONTH(Calendar_Table[[#This Row],[Date]]),
  1
)</f>
        <v>45231</v>
      </c>
      <c r="D320">
        <f t="shared" si="16"/>
        <v>11</v>
      </c>
      <c r="E320" s="4" t="str">
        <f>TEXT(Calendar_Table[[#This Row],[Date]],"mmmm")</f>
        <v>November</v>
      </c>
      <c r="F320">
        <f t="shared" si="17"/>
        <v>3</v>
      </c>
      <c r="G320" s="5" t="str">
        <f>TEXT(Calendar_Table[[#This Row],[Date]],"dddd")</f>
        <v>Wednesday</v>
      </c>
      <c r="H320" t="str">
        <f t="shared" si="19"/>
        <v>Weekday</v>
      </c>
    </row>
    <row r="321" spans="1:8" x14ac:dyDescent="0.35">
      <c r="A321" s="1">
        <f>IF(
  A320+1&gt;MAX(Sales_Performance[Date]),
 "",
  A320+1
)</f>
        <v>45246</v>
      </c>
      <c r="B321">
        <f t="shared" si="18"/>
        <v>2023</v>
      </c>
      <c r="C321" s="1">
        <f>DATE(
  YEAR(Calendar_Table[[#This Row],[Date]]),
  MONTH(Calendar_Table[[#This Row],[Date]]),
  1
)</f>
        <v>45231</v>
      </c>
      <c r="D321">
        <f t="shared" si="16"/>
        <v>11</v>
      </c>
      <c r="E321" s="4" t="str">
        <f>TEXT(Calendar_Table[[#This Row],[Date]],"mmmm")</f>
        <v>November</v>
      </c>
      <c r="F321">
        <f t="shared" si="17"/>
        <v>4</v>
      </c>
      <c r="G321" s="5" t="str">
        <f>TEXT(Calendar_Table[[#This Row],[Date]],"dddd")</f>
        <v>Thursday</v>
      </c>
      <c r="H321" t="str">
        <f t="shared" si="19"/>
        <v>Weekday</v>
      </c>
    </row>
    <row r="322" spans="1:8" x14ac:dyDescent="0.35">
      <c r="A322" s="1">
        <f>IF(
  A321+1&gt;MAX(Sales_Performance[Date]),
 "",
  A321+1
)</f>
        <v>45247</v>
      </c>
      <c r="B322">
        <f t="shared" si="18"/>
        <v>2023</v>
      </c>
      <c r="C322" s="1">
        <f>DATE(
  YEAR(Calendar_Table[[#This Row],[Date]]),
  MONTH(Calendar_Table[[#This Row],[Date]]),
  1
)</f>
        <v>45231</v>
      </c>
      <c r="D322">
        <f t="shared" ref="D322:D367" si="20">MONTH(A322)</f>
        <v>11</v>
      </c>
      <c r="E322" s="4" t="str">
        <f>TEXT(Calendar_Table[[#This Row],[Date]],"mmmm")</f>
        <v>November</v>
      </c>
      <c r="F322">
        <f t="shared" ref="F322:F367" si="21">WEEKDAY(A322,2)</f>
        <v>5</v>
      </c>
      <c r="G322" s="5" t="str">
        <f>TEXT(Calendar_Table[[#This Row],[Date]],"dddd")</f>
        <v>Friday</v>
      </c>
      <c r="H322" t="str">
        <f t="shared" si="19"/>
        <v>Weekday</v>
      </c>
    </row>
    <row r="323" spans="1:8" x14ac:dyDescent="0.35">
      <c r="A323" s="1">
        <f>IF(
  A322+1&gt;MAX(Sales_Performance[Date]),
 "",
  A322+1
)</f>
        <v>45248</v>
      </c>
      <c r="B323">
        <f t="shared" ref="B323:B367" si="22">YEAR(A323)</f>
        <v>2023</v>
      </c>
      <c r="C323" s="1">
        <f>DATE(
  YEAR(Calendar_Table[[#This Row],[Date]]),
  MONTH(Calendar_Table[[#This Row],[Date]]),
  1
)</f>
        <v>45231</v>
      </c>
      <c r="D323">
        <f t="shared" si="20"/>
        <v>11</v>
      </c>
      <c r="E323" s="4" t="str">
        <f>TEXT(Calendar_Table[[#This Row],[Date]],"mmmm")</f>
        <v>November</v>
      </c>
      <c r="F323">
        <f t="shared" si="21"/>
        <v>6</v>
      </c>
      <c r="G323" s="5" t="str">
        <f>TEXT(Calendar_Table[[#This Row],[Date]],"dddd")</f>
        <v>Saturday</v>
      </c>
      <c r="H323" t="str">
        <f t="shared" ref="H323:H367" si="23">IF(
   OR(
      F323=6,
      F323=7,
   ),
   "Weekend",
   "Weekday"
)</f>
        <v>Weekend</v>
      </c>
    </row>
    <row r="324" spans="1:8" x14ac:dyDescent="0.35">
      <c r="A324" s="1">
        <f>IF(
  A323+1&gt;MAX(Sales_Performance[Date]),
 "",
  A323+1
)</f>
        <v>45249</v>
      </c>
      <c r="B324">
        <f t="shared" si="22"/>
        <v>2023</v>
      </c>
      <c r="C324" s="1">
        <f>DATE(
  YEAR(Calendar_Table[[#This Row],[Date]]),
  MONTH(Calendar_Table[[#This Row],[Date]]),
  1
)</f>
        <v>45231</v>
      </c>
      <c r="D324">
        <f t="shared" si="20"/>
        <v>11</v>
      </c>
      <c r="E324" s="4" t="str">
        <f>TEXT(Calendar_Table[[#This Row],[Date]],"mmmm")</f>
        <v>November</v>
      </c>
      <c r="F324">
        <f t="shared" si="21"/>
        <v>7</v>
      </c>
      <c r="G324" s="5" t="str">
        <f>TEXT(Calendar_Table[[#This Row],[Date]],"dddd")</f>
        <v>Sunday</v>
      </c>
      <c r="H324" t="str">
        <f t="shared" si="23"/>
        <v>Weekend</v>
      </c>
    </row>
    <row r="325" spans="1:8" x14ac:dyDescent="0.35">
      <c r="A325" s="1">
        <f>IF(
  A324+1&gt;MAX(Sales_Performance[Date]),
 "",
  A324+1
)</f>
        <v>45250</v>
      </c>
      <c r="B325">
        <f t="shared" si="22"/>
        <v>2023</v>
      </c>
      <c r="C325" s="1">
        <f>DATE(
  YEAR(Calendar_Table[[#This Row],[Date]]),
  MONTH(Calendar_Table[[#This Row],[Date]]),
  1
)</f>
        <v>45231</v>
      </c>
      <c r="D325">
        <f t="shared" si="20"/>
        <v>11</v>
      </c>
      <c r="E325" s="4" t="str">
        <f>TEXT(Calendar_Table[[#This Row],[Date]],"mmmm")</f>
        <v>November</v>
      </c>
      <c r="F325">
        <f t="shared" si="21"/>
        <v>1</v>
      </c>
      <c r="G325" s="5" t="str">
        <f>TEXT(Calendar_Table[[#This Row],[Date]],"dddd")</f>
        <v>Monday</v>
      </c>
      <c r="H325" t="str">
        <f t="shared" si="23"/>
        <v>Weekday</v>
      </c>
    </row>
    <row r="326" spans="1:8" x14ac:dyDescent="0.35">
      <c r="A326" s="1">
        <f>IF(
  A325+1&gt;MAX(Sales_Performance[Date]),
 "",
  A325+1
)</f>
        <v>45251</v>
      </c>
      <c r="B326">
        <f t="shared" si="22"/>
        <v>2023</v>
      </c>
      <c r="C326" s="1">
        <f>DATE(
  YEAR(Calendar_Table[[#This Row],[Date]]),
  MONTH(Calendar_Table[[#This Row],[Date]]),
  1
)</f>
        <v>45231</v>
      </c>
      <c r="D326">
        <f t="shared" si="20"/>
        <v>11</v>
      </c>
      <c r="E326" s="4" t="str">
        <f>TEXT(Calendar_Table[[#This Row],[Date]],"mmmm")</f>
        <v>November</v>
      </c>
      <c r="F326">
        <f t="shared" si="21"/>
        <v>2</v>
      </c>
      <c r="G326" s="5" t="str">
        <f>TEXT(Calendar_Table[[#This Row],[Date]],"dddd")</f>
        <v>Tuesday</v>
      </c>
      <c r="H326" t="str">
        <f t="shared" si="23"/>
        <v>Weekday</v>
      </c>
    </row>
    <row r="327" spans="1:8" x14ac:dyDescent="0.35">
      <c r="A327" s="1">
        <f>IF(
  A326+1&gt;MAX(Sales_Performance[Date]),
 "",
  A326+1
)</f>
        <v>45252</v>
      </c>
      <c r="B327">
        <f t="shared" si="22"/>
        <v>2023</v>
      </c>
      <c r="C327" s="1">
        <f>DATE(
  YEAR(Calendar_Table[[#This Row],[Date]]),
  MONTH(Calendar_Table[[#This Row],[Date]]),
  1
)</f>
        <v>45231</v>
      </c>
      <c r="D327">
        <f t="shared" si="20"/>
        <v>11</v>
      </c>
      <c r="E327" s="4" t="str">
        <f>TEXT(Calendar_Table[[#This Row],[Date]],"mmmm")</f>
        <v>November</v>
      </c>
      <c r="F327">
        <f t="shared" si="21"/>
        <v>3</v>
      </c>
      <c r="G327" s="5" t="str">
        <f>TEXT(Calendar_Table[[#This Row],[Date]],"dddd")</f>
        <v>Wednesday</v>
      </c>
      <c r="H327" t="str">
        <f t="shared" si="23"/>
        <v>Weekday</v>
      </c>
    </row>
    <row r="328" spans="1:8" x14ac:dyDescent="0.35">
      <c r="A328" s="1">
        <f>IF(
  A327+1&gt;MAX(Sales_Performance[Date]),
 "",
  A327+1
)</f>
        <v>45253</v>
      </c>
      <c r="B328">
        <f t="shared" si="22"/>
        <v>2023</v>
      </c>
      <c r="C328" s="1">
        <f>DATE(
  YEAR(Calendar_Table[[#This Row],[Date]]),
  MONTH(Calendar_Table[[#This Row],[Date]]),
  1
)</f>
        <v>45231</v>
      </c>
      <c r="D328">
        <f t="shared" si="20"/>
        <v>11</v>
      </c>
      <c r="E328" s="4" t="str">
        <f>TEXT(Calendar_Table[[#This Row],[Date]],"mmmm")</f>
        <v>November</v>
      </c>
      <c r="F328">
        <f t="shared" si="21"/>
        <v>4</v>
      </c>
      <c r="G328" s="5" t="str">
        <f>TEXT(Calendar_Table[[#This Row],[Date]],"dddd")</f>
        <v>Thursday</v>
      </c>
      <c r="H328" t="str">
        <f t="shared" si="23"/>
        <v>Weekday</v>
      </c>
    </row>
    <row r="329" spans="1:8" x14ac:dyDescent="0.35">
      <c r="A329" s="1">
        <f>IF(
  A328+1&gt;MAX(Sales_Performance[Date]),
 "",
  A328+1
)</f>
        <v>45254</v>
      </c>
      <c r="B329">
        <f t="shared" si="22"/>
        <v>2023</v>
      </c>
      <c r="C329" s="1">
        <f>DATE(
  YEAR(Calendar_Table[[#This Row],[Date]]),
  MONTH(Calendar_Table[[#This Row],[Date]]),
  1
)</f>
        <v>45231</v>
      </c>
      <c r="D329">
        <f t="shared" si="20"/>
        <v>11</v>
      </c>
      <c r="E329" s="4" t="str">
        <f>TEXT(Calendar_Table[[#This Row],[Date]],"mmmm")</f>
        <v>November</v>
      </c>
      <c r="F329">
        <f t="shared" si="21"/>
        <v>5</v>
      </c>
      <c r="G329" s="5" t="str">
        <f>TEXT(Calendar_Table[[#This Row],[Date]],"dddd")</f>
        <v>Friday</v>
      </c>
      <c r="H329" t="str">
        <f t="shared" si="23"/>
        <v>Weekday</v>
      </c>
    </row>
    <row r="330" spans="1:8" x14ac:dyDescent="0.35">
      <c r="A330" s="1">
        <f>IF(
  A329+1&gt;MAX(Sales_Performance[Date]),
 "",
  A329+1
)</f>
        <v>45255</v>
      </c>
      <c r="B330">
        <f t="shared" si="22"/>
        <v>2023</v>
      </c>
      <c r="C330" s="1">
        <f>DATE(
  YEAR(Calendar_Table[[#This Row],[Date]]),
  MONTH(Calendar_Table[[#This Row],[Date]]),
  1
)</f>
        <v>45231</v>
      </c>
      <c r="D330">
        <f t="shared" si="20"/>
        <v>11</v>
      </c>
      <c r="E330" s="4" t="str">
        <f>TEXT(Calendar_Table[[#This Row],[Date]],"mmmm")</f>
        <v>November</v>
      </c>
      <c r="F330">
        <f t="shared" si="21"/>
        <v>6</v>
      </c>
      <c r="G330" s="5" t="str">
        <f>TEXT(Calendar_Table[[#This Row],[Date]],"dddd")</f>
        <v>Saturday</v>
      </c>
      <c r="H330" t="str">
        <f t="shared" si="23"/>
        <v>Weekend</v>
      </c>
    </row>
    <row r="331" spans="1:8" x14ac:dyDescent="0.35">
      <c r="A331" s="1">
        <f>IF(
  A330+1&gt;MAX(Sales_Performance[Date]),
 "",
  A330+1
)</f>
        <v>45256</v>
      </c>
      <c r="B331">
        <f t="shared" si="22"/>
        <v>2023</v>
      </c>
      <c r="C331" s="1">
        <f>DATE(
  YEAR(Calendar_Table[[#This Row],[Date]]),
  MONTH(Calendar_Table[[#This Row],[Date]]),
  1
)</f>
        <v>45231</v>
      </c>
      <c r="D331">
        <f t="shared" si="20"/>
        <v>11</v>
      </c>
      <c r="E331" s="4" t="str">
        <f>TEXT(Calendar_Table[[#This Row],[Date]],"mmmm")</f>
        <v>November</v>
      </c>
      <c r="F331">
        <f t="shared" si="21"/>
        <v>7</v>
      </c>
      <c r="G331" s="5" t="str">
        <f>TEXT(Calendar_Table[[#This Row],[Date]],"dddd")</f>
        <v>Sunday</v>
      </c>
      <c r="H331" t="str">
        <f t="shared" si="23"/>
        <v>Weekend</v>
      </c>
    </row>
    <row r="332" spans="1:8" x14ac:dyDescent="0.35">
      <c r="A332" s="1">
        <f>IF(
  A331+1&gt;MAX(Sales_Performance[Date]),
 "",
  A331+1
)</f>
        <v>45257</v>
      </c>
      <c r="B332">
        <f t="shared" si="22"/>
        <v>2023</v>
      </c>
      <c r="C332" s="1">
        <f>DATE(
  YEAR(Calendar_Table[[#This Row],[Date]]),
  MONTH(Calendar_Table[[#This Row],[Date]]),
  1
)</f>
        <v>45231</v>
      </c>
      <c r="D332">
        <f t="shared" si="20"/>
        <v>11</v>
      </c>
      <c r="E332" s="4" t="str">
        <f>TEXT(Calendar_Table[[#This Row],[Date]],"mmmm")</f>
        <v>November</v>
      </c>
      <c r="F332">
        <f t="shared" si="21"/>
        <v>1</v>
      </c>
      <c r="G332" s="5" t="str">
        <f>TEXT(Calendar_Table[[#This Row],[Date]],"dddd")</f>
        <v>Monday</v>
      </c>
      <c r="H332" t="str">
        <f t="shared" si="23"/>
        <v>Weekday</v>
      </c>
    </row>
    <row r="333" spans="1:8" x14ac:dyDescent="0.35">
      <c r="A333" s="1">
        <f>IF(
  A332+1&gt;MAX(Sales_Performance[Date]),
 "",
  A332+1
)</f>
        <v>45258</v>
      </c>
      <c r="B333">
        <f t="shared" si="22"/>
        <v>2023</v>
      </c>
      <c r="C333" s="1">
        <f>DATE(
  YEAR(Calendar_Table[[#This Row],[Date]]),
  MONTH(Calendar_Table[[#This Row],[Date]]),
  1
)</f>
        <v>45231</v>
      </c>
      <c r="D333">
        <f t="shared" si="20"/>
        <v>11</v>
      </c>
      <c r="E333" s="4" t="str">
        <f>TEXT(Calendar_Table[[#This Row],[Date]],"mmmm")</f>
        <v>November</v>
      </c>
      <c r="F333">
        <f t="shared" si="21"/>
        <v>2</v>
      </c>
      <c r="G333" s="5" t="str">
        <f>TEXT(Calendar_Table[[#This Row],[Date]],"dddd")</f>
        <v>Tuesday</v>
      </c>
      <c r="H333" t="str">
        <f t="shared" si="23"/>
        <v>Weekday</v>
      </c>
    </row>
    <row r="334" spans="1:8" x14ac:dyDescent="0.35">
      <c r="A334" s="1">
        <f>IF(
  A333+1&gt;MAX(Sales_Performance[Date]),
 "",
  A333+1
)</f>
        <v>45259</v>
      </c>
      <c r="B334">
        <f t="shared" si="22"/>
        <v>2023</v>
      </c>
      <c r="C334" s="1">
        <f>DATE(
  YEAR(Calendar_Table[[#This Row],[Date]]),
  MONTH(Calendar_Table[[#This Row],[Date]]),
  1
)</f>
        <v>45231</v>
      </c>
      <c r="D334">
        <f t="shared" si="20"/>
        <v>11</v>
      </c>
      <c r="E334" s="4" t="str">
        <f>TEXT(Calendar_Table[[#This Row],[Date]],"mmmm")</f>
        <v>November</v>
      </c>
      <c r="F334">
        <f t="shared" si="21"/>
        <v>3</v>
      </c>
      <c r="G334" s="5" t="str">
        <f>TEXT(Calendar_Table[[#This Row],[Date]],"dddd")</f>
        <v>Wednesday</v>
      </c>
      <c r="H334" t="str">
        <f t="shared" si="23"/>
        <v>Weekday</v>
      </c>
    </row>
    <row r="335" spans="1:8" x14ac:dyDescent="0.35">
      <c r="A335" s="1">
        <f>IF(
  A334+1&gt;MAX(Sales_Performance[Date]),
 "",
  A334+1
)</f>
        <v>45260</v>
      </c>
      <c r="B335">
        <f t="shared" si="22"/>
        <v>2023</v>
      </c>
      <c r="C335" s="1">
        <f>DATE(
  YEAR(Calendar_Table[[#This Row],[Date]]),
  MONTH(Calendar_Table[[#This Row],[Date]]),
  1
)</f>
        <v>45231</v>
      </c>
      <c r="D335">
        <f t="shared" si="20"/>
        <v>11</v>
      </c>
      <c r="E335" s="4" t="str">
        <f>TEXT(Calendar_Table[[#This Row],[Date]],"mmmm")</f>
        <v>November</v>
      </c>
      <c r="F335">
        <f t="shared" si="21"/>
        <v>4</v>
      </c>
      <c r="G335" s="5" t="str">
        <f>TEXT(Calendar_Table[[#This Row],[Date]],"dddd")</f>
        <v>Thursday</v>
      </c>
      <c r="H335" t="str">
        <f t="shared" si="23"/>
        <v>Weekday</v>
      </c>
    </row>
    <row r="336" spans="1:8" x14ac:dyDescent="0.35">
      <c r="A336" s="1">
        <f>IF(
  A335+1&gt;MAX(Sales_Performance[Date]),
 "",
  A335+1
)</f>
        <v>45261</v>
      </c>
      <c r="B336">
        <f t="shared" si="22"/>
        <v>2023</v>
      </c>
      <c r="C336" s="1">
        <f>DATE(
  YEAR(Calendar_Table[[#This Row],[Date]]),
  MONTH(Calendar_Table[[#This Row],[Date]]),
  1
)</f>
        <v>45261</v>
      </c>
      <c r="D336">
        <f t="shared" si="20"/>
        <v>12</v>
      </c>
      <c r="E336" s="4" t="str">
        <f>TEXT(Calendar_Table[[#This Row],[Date]],"mmmm")</f>
        <v>December</v>
      </c>
      <c r="F336">
        <f t="shared" si="21"/>
        <v>5</v>
      </c>
      <c r="G336" s="5" t="str">
        <f>TEXT(Calendar_Table[[#This Row],[Date]],"dddd")</f>
        <v>Friday</v>
      </c>
      <c r="H336" t="str">
        <f t="shared" si="23"/>
        <v>Weekday</v>
      </c>
    </row>
    <row r="337" spans="1:8" x14ac:dyDescent="0.35">
      <c r="A337" s="1">
        <f>IF(
  A336+1&gt;MAX(Sales_Performance[Date]),
 "",
  A336+1
)</f>
        <v>45262</v>
      </c>
      <c r="B337">
        <f t="shared" si="22"/>
        <v>2023</v>
      </c>
      <c r="C337" s="1">
        <f>DATE(
  YEAR(Calendar_Table[[#This Row],[Date]]),
  MONTH(Calendar_Table[[#This Row],[Date]]),
  1
)</f>
        <v>45261</v>
      </c>
      <c r="D337">
        <f t="shared" si="20"/>
        <v>12</v>
      </c>
      <c r="E337" s="4" t="str">
        <f>TEXT(Calendar_Table[[#This Row],[Date]],"mmmm")</f>
        <v>December</v>
      </c>
      <c r="F337">
        <f t="shared" si="21"/>
        <v>6</v>
      </c>
      <c r="G337" s="5" t="str">
        <f>TEXT(Calendar_Table[[#This Row],[Date]],"dddd")</f>
        <v>Saturday</v>
      </c>
      <c r="H337" t="str">
        <f t="shared" si="23"/>
        <v>Weekend</v>
      </c>
    </row>
    <row r="338" spans="1:8" x14ac:dyDescent="0.35">
      <c r="A338" s="1">
        <f>IF(
  A337+1&gt;MAX(Sales_Performance[Date]),
 "",
  A337+1
)</f>
        <v>45263</v>
      </c>
      <c r="B338">
        <f t="shared" si="22"/>
        <v>2023</v>
      </c>
      <c r="C338" s="1">
        <f>DATE(
  YEAR(Calendar_Table[[#This Row],[Date]]),
  MONTH(Calendar_Table[[#This Row],[Date]]),
  1
)</f>
        <v>45261</v>
      </c>
      <c r="D338">
        <f t="shared" si="20"/>
        <v>12</v>
      </c>
      <c r="E338" s="4" t="str">
        <f>TEXT(Calendar_Table[[#This Row],[Date]],"mmmm")</f>
        <v>December</v>
      </c>
      <c r="F338">
        <f t="shared" si="21"/>
        <v>7</v>
      </c>
      <c r="G338" s="5" t="str">
        <f>TEXT(Calendar_Table[[#This Row],[Date]],"dddd")</f>
        <v>Sunday</v>
      </c>
      <c r="H338" t="str">
        <f t="shared" si="23"/>
        <v>Weekend</v>
      </c>
    </row>
    <row r="339" spans="1:8" x14ac:dyDescent="0.35">
      <c r="A339" s="1">
        <f>IF(
  A338+1&gt;MAX(Sales_Performance[Date]),
 "",
  A338+1
)</f>
        <v>45264</v>
      </c>
      <c r="B339">
        <f t="shared" si="22"/>
        <v>2023</v>
      </c>
      <c r="C339" s="1">
        <f>DATE(
  YEAR(Calendar_Table[[#This Row],[Date]]),
  MONTH(Calendar_Table[[#This Row],[Date]]),
  1
)</f>
        <v>45261</v>
      </c>
      <c r="D339">
        <f t="shared" si="20"/>
        <v>12</v>
      </c>
      <c r="E339" s="4" t="str">
        <f>TEXT(Calendar_Table[[#This Row],[Date]],"mmmm")</f>
        <v>December</v>
      </c>
      <c r="F339">
        <f t="shared" si="21"/>
        <v>1</v>
      </c>
      <c r="G339" s="5" t="str">
        <f>TEXT(Calendar_Table[[#This Row],[Date]],"dddd")</f>
        <v>Monday</v>
      </c>
      <c r="H339" t="str">
        <f t="shared" si="23"/>
        <v>Weekday</v>
      </c>
    </row>
    <row r="340" spans="1:8" x14ac:dyDescent="0.35">
      <c r="A340" s="1">
        <f>IF(
  A339+1&gt;MAX(Sales_Performance[Date]),
 "",
  A339+1
)</f>
        <v>45265</v>
      </c>
      <c r="B340">
        <f t="shared" si="22"/>
        <v>2023</v>
      </c>
      <c r="C340" s="1">
        <f>DATE(
  YEAR(Calendar_Table[[#This Row],[Date]]),
  MONTH(Calendar_Table[[#This Row],[Date]]),
  1
)</f>
        <v>45261</v>
      </c>
      <c r="D340">
        <f t="shared" si="20"/>
        <v>12</v>
      </c>
      <c r="E340" s="4" t="str">
        <f>TEXT(Calendar_Table[[#This Row],[Date]],"mmmm")</f>
        <v>December</v>
      </c>
      <c r="F340">
        <f t="shared" si="21"/>
        <v>2</v>
      </c>
      <c r="G340" s="5" t="str">
        <f>TEXT(Calendar_Table[[#This Row],[Date]],"dddd")</f>
        <v>Tuesday</v>
      </c>
      <c r="H340" t="str">
        <f t="shared" si="23"/>
        <v>Weekday</v>
      </c>
    </row>
    <row r="341" spans="1:8" x14ac:dyDescent="0.35">
      <c r="A341" s="1">
        <f>IF(
  A340+1&gt;MAX(Sales_Performance[Date]),
 "",
  A340+1
)</f>
        <v>45266</v>
      </c>
      <c r="B341">
        <f t="shared" si="22"/>
        <v>2023</v>
      </c>
      <c r="C341" s="1">
        <f>DATE(
  YEAR(Calendar_Table[[#This Row],[Date]]),
  MONTH(Calendar_Table[[#This Row],[Date]]),
  1
)</f>
        <v>45261</v>
      </c>
      <c r="D341">
        <f t="shared" si="20"/>
        <v>12</v>
      </c>
      <c r="E341" s="4" t="str">
        <f>TEXT(Calendar_Table[[#This Row],[Date]],"mmmm")</f>
        <v>December</v>
      </c>
      <c r="F341">
        <f t="shared" si="21"/>
        <v>3</v>
      </c>
      <c r="G341" s="5" t="str">
        <f>TEXT(Calendar_Table[[#This Row],[Date]],"dddd")</f>
        <v>Wednesday</v>
      </c>
      <c r="H341" t="str">
        <f t="shared" si="23"/>
        <v>Weekday</v>
      </c>
    </row>
    <row r="342" spans="1:8" x14ac:dyDescent="0.35">
      <c r="A342" s="1">
        <f>IF(
  A341+1&gt;MAX(Sales_Performance[Date]),
 "",
  A341+1
)</f>
        <v>45267</v>
      </c>
      <c r="B342">
        <f t="shared" si="22"/>
        <v>2023</v>
      </c>
      <c r="C342" s="1">
        <f>DATE(
  YEAR(Calendar_Table[[#This Row],[Date]]),
  MONTH(Calendar_Table[[#This Row],[Date]]),
  1
)</f>
        <v>45261</v>
      </c>
      <c r="D342">
        <f t="shared" si="20"/>
        <v>12</v>
      </c>
      <c r="E342" s="4" t="str">
        <f>TEXT(Calendar_Table[[#This Row],[Date]],"mmmm")</f>
        <v>December</v>
      </c>
      <c r="F342">
        <f t="shared" si="21"/>
        <v>4</v>
      </c>
      <c r="G342" s="5" t="str">
        <f>TEXT(Calendar_Table[[#This Row],[Date]],"dddd")</f>
        <v>Thursday</v>
      </c>
      <c r="H342" t="str">
        <f t="shared" si="23"/>
        <v>Weekday</v>
      </c>
    </row>
    <row r="343" spans="1:8" x14ac:dyDescent="0.35">
      <c r="A343" s="1">
        <f>IF(
  A342+1&gt;MAX(Sales_Performance[Date]),
 "",
  A342+1
)</f>
        <v>45268</v>
      </c>
      <c r="B343">
        <f t="shared" si="22"/>
        <v>2023</v>
      </c>
      <c r="C343" s="1">
        <f>DATE(
  YEAR(Calendar_Table[[#This Row],[Date]]),
  MONTH(Calendar_Table[[#This Row],[Date]]),
  1
)</f>
        <v>45261</v>
      </c>
      <c r="D343">
        <f t="shared" si="20"/>
        <v>12</v>
      </c>
      <c r="E343" s="4" t="str">
        <f>TEXT(Calendar_Table[[#This Row],[Date]],"mmmm")</f>
        <v>December</v>
      </c>
      <c r="F343">
        <f t="shared" si="21"/>
        <v>5</v>
      </c>
      <c r="G343" s="5" t="str">
        <f>TEXT(Calendar_Table[[#This Row],[Date]],"dddd")</f>
        <v>Friday</v>
      </c>
      <c r="H343" t="str">
        <f t="shared" si="23"/>
        <v>Weekday</v>
      </c>
    </row>
    <row r="344" spans="1:8" x14ac:dyDescent="0.35">
      <c r="A344" s="1">
        <f>IF(
  A343+1&gt;MAX(Sales_Performance[Date]),
 "",
  A343+1
)</f>
        <v>45269</v>
      </c>
      <c r="B344">
        <f t="shared" si="22"/>
        <v>2023</v>
      </c>
      <c r="C344" s="1">
        <f>DATE(
  YEAR(Calendar_Table[[#This Row],[Date]]),
  MONTH(Calendar_Table[[#This Row],[Date]]),
  1
)</f>
        <v>45261</v>
      </c>
      <c r="D344">
        <f t="shared" si="20"/>
        <v>12</v>
      </c>
      <c r="E344" s="4" t="str">
        <f>TEXT(Calendar_Table[[#This Row],[Date]],"mmmm")</f>
        <v>December</v>
      </c>
      <c r="F344">
        <f t="shared" si="21"/>
        <v>6</v>
      </c>
      <c r="G344" s="5" t="str">
        <f>TEXT(Calendar_Table[[#This Row],[Date]],"dddd")</f>
        <v>Saturday</v>
      </c>
      <c r="H344" t="str">
        <f t="shared" si="23"/>
        <v>Weekend</v>
      </c>
    </row>
    <row r="345" spans="1:8" x14ac:dyDescent="0.35">
      <c r="A345" s="1">
        <f>IF(
  A344+1&gt;MAX(Sales_Performance[Date]),
 "",
  A344+1
)</f>
        <v>45270</v>
      </c>
      <c r="B345">
        <f t="shared" si="22"/>
        <v>2023</v>
      </c>
      <c r="C345" s="1">
        <f>DATE(
  YEAR(Calendar_Table[[#This Row],[Date]]),
  MONTH(Calendar_Table[[#This Row],[Date]]),
  1
)</f>
        <v>45261</v>
      </c>
      <c r="D345">
        <f t="shared" si="20"/>
        <v>12</v>
      </c>
      <c r="E345" s="4" t="str">
        <f>TEXT(Calendar_Table[[#This Row],[Date]],"mmmm")</f>
        <v>December</v>
      </c>
      <c r="F345">
        <f t="shared" si="21"/>
        <v>7</v>
      </c>
      <c r="G345" s="5" t="str">
        <f>TEXT(Calendar_Table[[#This Row],[Date]],"dddd")</f>
        <v>Sunday</v>
      </c>
      <c r="H345" t="str">
        <f t="shared" si="23"/>
        <v>Weekend</v>
      </c>
    </row>
    <row r="346" spans="1:8" x14ac:dyDescent="0.35">
      <c r="A346" s="1">
        <f>IF(
  A345+1&gt;MAX(Sales_Performance[Date]),
 "",
  A345+1
)</f>
        <v>45271</v>
      </c>
      <c r="B346">
        <f t="shared" si="22"/>
        <v>2023</v>
      </c>
      <c r="C346" s="1">
        <f>DATE(
  YEAR(Calendar_Table[[#This Row],[Date]]),
  MONTH(Calendar_Table[[#This Row],[Date]]),
  1
)</f>
        <v>45261</v>
      </c>
      <c r="D346">
        <f t="shared" si="20"/>
        <v>12</v>
      </c>
      <c r="E346" s="4" t="str">
        <f>TEXT(Calendar_Table[[#This Row],[Date]],"mmmm")</f>
        <v>December</v>
      </c>
      <c r="F346">
        <f t="shared" si="21"/>
        <v>1</v>
      </c>
      <c r="G346" s="5" t="str">
        <f>TEXT(Calendar_Table[[#This Row],[Date]],"dddd")</f>
        <v>Monday</v>
      </c>
      <c r="H346" t="str">
        <f t="shared" si="23"/>
        <v>Weekday</v>
      </c>
    </row>
    <row r="347" spans="1:8" x14ac:dyDescent="0.35">
      <c r="A347" s="1">
        <f>IF(
  A346+1&gt;MAX(Sales_Performance[Date]),
 "",
  A346+1
)</f>
        <v>45272</v>
      </c>
      <c r="B347">
        <f t="shared" si="22"/>
        <v>2023</v>
      </c>
      <c r="C347" s="1">
        <f>DATE(
  YEAR(Calendar_Table[[#This Row],[Date]]),
  MONTH(Calendar_Table[[#This Row],[Date]]),
  1
)</f>
        <v>45261</v>
      </c>
      <c r="D347">
        <f t="shared" si="20"/>
        <v>12</v>
      </c>
      <c r="E347" s="4" t="str">
        <f>TEXT(Calendar_Table[[#This Row],[Date]],"mmmm")</f>
        <v>December</v>
      </c>
      <c r="F347">
        <f t="shared" si="21"/>
        <v>2</v>
      </c>
      <c r="G347" s="5" t="str">
        <f>TEXT(Calendar_Table[[#This Row],[Date]],"dddd")</f>
        <v>Tuesday</v>
      </c>
      <c r="H347" t="str">
        <f t="shared" si="23"/>
        <v>Weekday</v>
      </c>
    </row>
    <row r="348" spans="1:8" x14ac:dyDescent="0.35">
      <c r="A348" s="1">
        <f>IF(
  A347+1&gt;MAX(Sales_Performance[Date]),
 "",
  A347+1
)</f>
        <v>45273</v>
      </c>
      <c r="B348">
        <f t="shared" si="22"/>
        <v>2023</v>
      </c>
      <c r="C348" s="1">
        <f>DATE(
  YEAR(Calendar_Table[[#This Row],[Date]]),
  MONTH(Calendar_Table[[#This Row],[Date]]),
  1
)</f>
        <v>45261</v>
      </c>
      <c r="D348">
        <f t="shared" si="20"/>
        <v>12</v>
      </c>
      <c r="E348" s="4" t="str">
        <f>TEXT(Calendar_Table[[#This Row],[Date]],"mmmm")</f>
        <v>December</v>
      </c>
      <c r="F348">
        <f t="shared" si="21"/>
        <v>3</v>
      </c>
      <c r="G348" s="5" t="str">
        <f>TEXT(Calendar_Table[[#This Row],[Date]],"dddd")</f>
        <v>Wednesday</v>
      </c>
      <c r="H348" t="str">
        <f t="shared" si="23"/>
        <v>Weekday</v>
      </c>
    </row>
    <row r="349" spans="1:8" x14ac:dyDescent="0.35">
      <c r="A349" s="1">
        <f>IF(
  A348+1&gt;MAX(Sales_Performance[Date]),
 "",
  A348+1
)</f>
        <v>45274</v>
      </c>
      <c r="B349">
        <f t="shared" si="22"/>
        <v>2023</v>
      </c>
      <c r="C349" s="1">
        <f>DATE(
  YEAR(Calendar_Table[[#This Row],[Date]]),
  MONTH(Calendar_Table[[#This Row],[Date]]),
  1
)</f>
        <v>45261</v>
      </c>
      <c r="D349">
        <f t="shared" si="20"/>
        <v>12</v>
      </c>
      <c r="E349" s="4" t="str">
        <f>TEXT(Calendar_Table[[#This Row],[Date]],"mmmm")</f>
        <v>December</v>
      </c>
      <c r="F349">
        <f t="shared" si="21"/>
        <v>4</v>
      </c>
      <c r="G349" s="5" t="str">
        <f>TEXT(Calendar_Table[[#This Row],[Date]],"dddd")</f>
        <v>Thursday</v>
      </c>
      <c r="H349" t="str">
        <f t="shared" si="23"/>
        <v>Weekday</v>
      </c>
    </row>
    <row r="350" spans="1:8" x14ac:dyDescent="0.35">
      <c r="A350" s="1">
        <f>IF(
  A349+1&gt;MAX(Sales_Performance[Date]),
 "",
  A349+1
)</f>
        <v>45275</v>
      </c>
      <c r="B350">
        <f t="shared" si="22"/>
        <v>2023</v>
      </c>
      <c r="C350" s="1">
        <f>DATE(
  YEAR(Calendar_Table[[#This Row],[Date]]),
  MONTH(Calendar_Table[[#This Row],[Date]]),
  1
)</f>
        <v>45261</v>
      </c>
      <c r="D350">
        <f t="shared" si="20"/>
        <v>12</v>
      </c>
      <c r="E350" s="4" t="str">
        <f>TEXT(Calendar_Table[[#This Row],[Date]],"mmmm")</f>
        <v>December</v>
      </c>
      <c r="F350">
        <f t="shared" si="21"/>
        <v>5</v>
      </c>
      <c r="G350" s="5" t="str">
        <f>TEXT(Calendar_Table[[#This Row],[Date]],"dddd")</f>
        <v>Friday</v>
      </c>
      <c r="H350" t="str">
        <f t="shared" si="23"/>
        <v>Weekday</v>
      </c>
    </row>
    <row r="351" spans="1:8" x14ac:dyDescent="0.35">
      <c r="A351" s="1">
        <f>IF(
  A350+1&gt;MAX(Sales_Performance[Date]),
 "",
  A350+1
)</f>
        <v>45276</v>
      </c>
      <c r="B351">
        <f t="shared" si="22"/>
        <v>2023</v>
      </c>
      <c r="C351" s="1">
        <f>DATE(
  YEAR(Calendar_Table[[#This Row],[Date]]),
  MONTH(Calendar_Table[[#This Row],[Date]]),
  1
)</f>
        <v>45261</v>
      </c>
      <c r="D351">
        <f t="shared" si="20"/>
        <v>12</v>
      </c>
      <c r="E351" s="4" t="str">
        <f>TEXT(Calendar_Table[[#This Row],[Date]],"mmmm")</f>
        <v>December</v>
      </c>
      <c r="F351">
        <f t="shared" si="21"/>
        <v>6</v>
      </c>
      <c r="G351" s="5" t="str">
        <f>TEXT(Calendar_Table[[#This Row],[Date]],"dddd")</f>
        <v>Saturday</v>
      </c>
      <c r="H351" t="str">
        <f t="shared" si="23"/>
        <v>Weekend</v>
      </c>
    </row>
    <row r="352" spans="1:8" x14ac:dyDescent="0.35">
      <c r="A352" s="1">
        <f>IF(
  A351+1&gt;MAX(Sales_Performance[Date]),
 "",
  A351+1
)</f>
        <v>45277</v>
      </c>
      <c r="B352">
        <f t="shared" si="22"/>
        <v>2023</v>
      </c>
      <c r="C352" s="1">
        <f>DATE(
  YEAR(Calendar_Table[[#This Row],[Date]]),
  MONTH(Calendar_Table[[#This Row],[Date]]),
  1
)</f>
        <v>45261</v>
      </c>
      <c r="D352">
        <f t="shared" si="20"/>
        <v>12</v>
      </c>
      <c r="E352" s="4" t="str">
        <f>TEXT(Calendar_Table[[#This Row],[Date]],"mmmm")</f>
        <v>December</v>
      </c>
      <c r="F352">
        <f t="shared" si="21"/>
        <v>7</v>
      </c>
      <c r="G352" s="5" t="str">
        <f>TEXT(Calendar_Table[[#This Row],[Date]],"dddd")</f>
        <v>Sunday</v>
      </c>
      <c r="H352" t="str">
        <f t="shared" si="23"/>
        <v>Weekend</v>
      </c>
    </row>
    <row r="353" spans="1:8" x14ac:dyDescent="0.35">
      <c r="A353" s="1">
        <f>IF(
  A352+1&gt;MAX(Sales_Performance[Date]),
 "",
  A352+1
)</f>
        <v>45278</v>
      </c>
      <c r="B353">
        <f t="shared" si="22"/>
        <v>2023</v>
      </c>
      <c r="C353" s="1">
        <f>DATE(
  YEAR(Calendar_Table[[#This Row],[Date]]),
  MONTH(Calendar_Table[[#This Row],[Date]]),
  1
)</f>
        <v>45261</v>
      </c>
      <c r="D353">
        <f t="shared" si="20"/>
        <v>12</v>
      </c>
      <c r="E353" s="4" t="str">
        <f>TEXT(Calendar_Table[[#This Row],[Date]],"mmmm")</f>
        <v>December</v>
      </c>
      <c r="F353">
        <f t="shared" si="21"/>
        <v>1</v>
      </c>
      <c r="G353" s="5" t="str">
        <f>TEXT(Calendar_Table[[#This Row],[Date]],"dddd")</f>
        <v>Monday</v>
      </c>
      <c r="H353" t="str">
        <f t="shared" si="23"/>
        <v>Weekday</v>
      </c>
    </row>
    <row r="354" spans="1:8" x14ac:dyDescent="0.35">
      <c r="A354" s="1">
        <f>IF(
  A353+1&gt;MAX(Sales_Performance[Date]),
 "",
  A353+1
)</f>
        <v>45279</v>
      </c>
      <c r="B354">
        <f t="shared" si="22"/>
        <v>2023</v>
      </c>
      <c r="C354" s="1">
        <f>DATE(
  YEAR(Calendar_Table[[#This Row],[Date]]),
  MONTH(Calendar_Table[[#This Row],[Date]]),
  1
)</f>
        <v>45261</v>
      </c>
      <c r="D354">
        <f t="shared" si="20"/>
        <v>12</v>
      </c>
      <c r="E354" s="4" t="str">
        <f>TEXT(Calendar_Table[[#This Row],[Date]],"mmmm")</f>
        <v>December</v>
      </c>
      <c r="F354">
        <f t="shared" si="21"/>
        <v>2</v>
      </c>
      <c r="G354" s="5" t="str">
        <f>TEXT(Calendar_Table[[#This Row],[Date]],"dddd")</f>
        <v>Tuesday</v>
      </c>
      <c r="H354" t="str">
        <f t="shared" si="23"/>
        <v>Weekday</v>
      </c>
    </row>
    <row r="355" spans="1:8" x14ac:dyDescent="0.35">
      <c r="A355" s="1">
        <f>IF(
  A354+1&gt;MAX(Sales_Performance[Date]),
 "",
  A354+1
)</f>
        <v>45280</v>
      </c>
      <c r="B355">
        <f t="shared" si="22"/>
        <v>2023</v>
      </c>
      <c r="C355" s="1">
        <f>DATE(
  YEAR(Calendar_Table[[#This Row],[Date]]),
  MONTH(Calendar_Table[[#This Row],[Date]]),
  1
)</f>
        <v>45261</v>
      </c>
      <c r="D355">
        <f t="shared" si="20"/>
        <v>12</v>
      </c>
      <c r="E355" s="4" t="str">
        <f>TEXT(Calendar_Table[[#This Row],[Date]],"mmmm")</f>
        <v>December</v>
      </c>
      <c r="F355">
        <f t="shared" si="21"/>
        <v>3</v>
      </c>
      <c r="G355" s="5" t="str">
        <f>TEXT(Calendar_Table[[#This Row],[Date]],"dddd")</f>
        <v>Wednesday</v>
      </c>
      <c r="H355" t="str">
        <f t="shared" si="23"/>
        <v>Weekday</v>
      </c>
    </row>
    <row r="356" spans="1:8" x14ac:dyDescent="0.35">
      <c r="A356" s="1">
        <f>IF(
  A355+1&gt;MAX(Sales_Performance[Date]),
 "",
  A355+1
)</f>
        <v>45281</v>
      </c>
      <c r="B356">
        <f t="shared" si="22"/>
        <v>2023</v>
      </c>
      <c r="C356" s="1">
        <f>DATE(
  YEAR(Calendar_Table[[#This Row],[Date]]),
  MONTH(Calendar_Table[[#This Row],[Date]]),
  1
)</f>
        <v>45261</v>
      </c>
      <c r="D356">
        <f t="shared" si="20"/>
        <v>12</v>
      </c>
      <c r="E356" s="4" t="str">
        <f>TEXT(Calendar_Table[[#This Row],[Date]],"mmmm")</f>
        <v>December</v>
      </c>
      <c r="F356">
        <f t="shared" si="21"/>
        <v>4</v>
      </c>
      <c r="G356" s="5" t="str">
        <f>TEXT(Calendar_Table[[#This Row],[Date]],"dddd")</f>
        <v>Thursday</v>
      </c>
      <c r="H356" t="str">
        <f t="shared" si="23"/>
        <v>Weekday</v>
      </c>
    </row>
    <row r="357" spans="1:8" x14ac:dyDescent="0.35">
      <c r="A357" s="1">
        <f>IF(
  A356+1&gt;MAX(Sales_Performance[Date]),
 "",
  A356+1
)</f>
        <v>45282</v>
      </c>
      <c r="B357">
        <f t="shared" si="22"/>
        <v>2023</v>
      </c>
      <c r="C357" s="1">
        <f>DATE(
  YEAR(Calendar_Table[[#This Row],[Date]]),
  MONTH(Calendar_Table[[#This Row],[Date]]),
  1
)</f>
        <v>45261</v>
      </c>
      <c r="D357">
        <f t="shared" si="20"/>
        <v>12</v>
      </c>
      <c r="E357" s="4" t="str">
        <f>TEXT(Calendar_Table[[#This Row],[Date]],"mmmm")</f>
        <v>December</v>
      </c>
      <c r="F357">
        <f t="shared" si="21"/>
        <v>5</v>
      </c>
      <c r="G357" s="5" t="str">
        <f>TEXT(Calendar_Table[[#This Row],[Date]],"dddd")</f>
        <v>Friday</v>
      </c>
      <c r="H357" t="str">
        <f t="shared" si="23"/>
        <v>Weekday</v>
      </c>
    </row>
    <row r="358" spans="1:8" x14ac:dyDescent="0.35">
      <c r="A358" s="1">
        <f>IF(
  A357+1&gt;MAX(Sales_Performance[Date]),
 "",
  A357+1
)</f>
        <v>45283</v>
      </c>
      <c r="B358">
        <f t="shared" si="22"/>
        <v>2023</v>
      </c>
      <c r="C358" s="1">
        <f>DATE(
  YEAR(Calendar_Table[[#This Row],[Date]]),
  MONTH(Calendar_Table[[#This Row],[Date]]),
  1
)</f>
        <v>45261</v>
      </c>
      <c r="D358">
        <f t="shared" si="20"/>
        <v>12</v>
      </c>
      <c r="E358" s="4" t="str">
        <f>TEXT(Calendar_Table[[#This Row],[Date]],"mmmm")</f>
        <v>December</v>
      </c>
      <c r="F358">
        <f t="shared" si="21"/>
        <v>6</v>
      </c>
      <c r="G358" s="5" t="str">
        <f>TEXT(Calendar_Table[[#This Row],[Date]],"dddd")</f>
        <v>Saturday</v>
      </c>
      <c r="H358" t="str">
        <f t="shared" si="23"/>
        <v>Weekend</v>
      </c>
    </row>
    <row r="359" spans="1:8" x14ac:dyDescent="0.35">
      <c r="A359" s="1">
        <f>IF(
  A358+1&gt;MAX(Sales_Performance[Date]),
 "",
  A358+1
)</f>
        <v>45284</v>
      </c>
      <c r="B359">
        <f t="shared" si="22"/>
        <v>2023</v>
      </c>
      <c r="C359" s="1">
        <f>DATE(
  YEAR(Calendar_Table[[#This Row],[Date]]),
  MONTH(Calendar_Table[[#This Row],[Date]]),
  1
)</f>
        <v>45261</v>
      </c>
      <c r="D359">
        <f t="shared" si="20"/>
        <v>12</v>
      </c>
      <c r="E359" s="4" t="str">
        <f>TEXT(Calendar_Table[[#This Row],[Date]],"mmmm")</f>
        <v>December</v>
      </c>
      <c r="F359">
        <f t="shared" si="21"/>
        <v>7</v>
      </c>
      <c r="G359" s="5" t="str">
        <f>TEXT(Calendar_Table[[#This Row],[Date]],"dddd")</f>
        <v>Sunday</v>
      </c>
      <c r="H359" t="str">
        <f t="shared" si="23"/>
        <v>Weekend</v>
      </c>
    </row>
    <row r="360" spans="1:8" x14ac:dyDescent="0.35">
      <c r="A360" s="1">
        <f>IF(
  A359+1&gt;MAX(Sales_Performance[Date]),
 "",
  A359+1
)</f>
        <v>45285</v>
      </c>
      <c r="B360">
        <f t="shared" si="22"/>
        <v>2023</v>
      </c>
      <c r="C360" s="1">
        <f>DATE(
  YEAR(Calendar_Table[[#This Row],[Date]]),
  MONTH(Calendar_Table[[#This Row],[Date]]),
  1
)</f>
        <v>45261</v>
      </c>
      <c r="D360">
        <f t="shared" si="20"/>
        <v>12</v>
      </c>
      <c r="E360" s="4" t="str">
        <f>TEXT(Calendar_Table[[#This Row],[Date]],"mmmm")</f>
        <v>December</v>
      </c>
      <c r="F360">
        <f t="shared" si="21"/>
        <v>1</v>
      </c>
      <c r="G360" s="5" t="str">
        <f>TEXT(Calendar_Table[[#This Row],[Date]],"dddd")</f>
        <v>Monday</v>
      </c>
      <c r="H360" t="str">
        <f t="shared" si="23"/>
        <v>Weekday</v>
      </c>
    </row>
    <row r="361" spans="1:8" x14ac:dyDescent="0.35">
      <c r="A361" s="1">
        <f>IF(
  A360+1&gt;MAX(Sales_Performance[Date]),
 "",
  A360+1
)</f>
        <v>45286</v>
      </c>
      <c r="B361">
        <f t="shared" si="22"/>
        <v>2023</v>
      </c>
      <c r="C361" s="1">
        <f>DATE(
  YEAR(Calendar_Table[[#This Row],[Date]]),
  MONTH(Calendar_Table[[#This Row],[Date]]),
  1
)</f>
        <v>45261</v>
      </c>
      <c r="D361">
        <f t="shared" si="20"/>
        <v>12</v>
      </c>
      <c r="E361" s="4" t="str">
        <f>TEXT(Calendar_Table[[#This Row],[Date]],"mmmm")</f>
        <v>December</v>
      </c>
      <c r="F361">
        <f t="shared" si="21"/>
        <v>2</v>
      </c>
      <c r="G361" s="5" t="str">
        <f>TEXT(Calendar_Table[[#This Row],[Date]],"dddd")</f>
        <v>Tuesday</v>
      </c>
      <c r="H361" t="str">
        <f t="shared" si="23"/>
        <v>Weekday</v>
      </c>
    </row>
    <row r="362" spans="1:8" x14ac:dyDescent="0.35">
      <c r="A362" s="1">
        <f>IF(
  A361+1&gt;MAX(Sales_Performance[Date]),
 "",
  A361+1
)</f>
        <v>45287</v>
      </c>
      <c r="B362">
        <f t="shared" si="22"/>
        <v>2023</v>
      </c>
      <c r="C362" s="1">
        <f>DATE(
  YEAR(Calendar_Table[[#This Row],[Date]]),
  MONTH(Calendar_Table[[#This Row],[Date]]),
  1
)</f>
        <v>45261</v>
      </c>
      <c r="D362">
        <f t="shared" si="20"/>
        <v>12</v>
      </c>
      <c r="E362" s="4" t="str">
        <f>TEXT(Calendar_Table[[#This Row],[Date]],"mmmm")</f>
        <v>December</v>
      </c>
      <c r="F362">
        <f t="shared" si="21"/>
        <v>3</v>
      </c>
      <c r="G362" s="5" t="str">
        <f>TEXT(Calendar_Table[[#This Row],[Date]],"dddd")</f>
        <v>Wednesday</v>
      </c>
      <c r="H362" t="str">
        <f t="shared" si="23"/>
        <v>Weekday</v>
      </c>
    </row>
    <row r="363" spans="1:8" x14ac:dyDescent="0.35">
      <c r="A363" s="1">
        <f>IF(
  A362+1&gt;MAX(Sales_Performance[Date]),
 "",
  A362+1
)</f>
        <v>45288</v>
      </c>
      <c r="B363">
        <f t="shared" si="22"/>
        <v>2023</v>
      </c>
      <c r="C363" s="1">
        <f>DATE(
  YEAR(Calendar_Table[[#This Row],[Date]]),
  MONTH(Calendar_Table[[#This Row],[Date]]),
  1
)</f>
        <v>45261</v>
      </c>
      <c r="D363">
        <f t="shared" si="20"/>
        <v>12</v>
      </c>
      <c r="E363" s="4" t="str">
        <f>TEXT(Calendar_Table[[#This Row],[Date]],"mmmm")</f>
        <v>December</v>
      </c>
      <c r="F363">
        <f t="shared" si="21"/>
        <v>4</v>
      </c>
      <c r="G363" s="5" t="str">
        <f>TEXT(Calendar_Table[[#This Row],[Date]],"dddd")</f>
        <v>Thursday</v>
      </c>
      <c r="H363" t="str">
        <f t="shared" si="23"/>
        <v>Weekday</v>
      </c>
    </row>
    <row r="364" spans="1:8" x14ac:dyDescent="0.35">
      <c r="A364" s="1">
        <f>IF(
  A363+1&gt;MAX(Sales_Performance[Date]),
 "",
  A363+1
)</f>
        <v>45289</v>
      </c>
      <c r="B364">
        <f t="shared" si="22"/>
        <v>2023</v>
      </c>
      <c r="C364" s="1">
        <f>DATE(
  YEAR(Calendar_Table[[#This Row],[Date]]),
  MONTH(Calendar_Table[[#This Row],[Date]]),
  1
)</f>
        <v>45261</v>
      </c>
      <c r="D364">
        <f t="shared" si="20"/>
        <v>12</v>
      </c>
      <c r="E364" s="4" t="str">
        <f>TEXT(Calendar_Table[[#This Row],[Date]],"mmmm")</f>
        <v>December</v>
      </c>
      <c r="F364">
        <f t="shared" si="21"/>
        <v>5</v>
      </c>
      <c r="G364" s="5" t="str">
        <f>TEXT(Calendar_Table[[#This Row],[Date]],"dddd")</f>
        <v>Friday</v>
      </c>
      <c r="H364" t="str">
        <f t="shared" si="23"/>
        <v>Weekday</v>
      </c>
    </row>
    <row r="365" spans="1:8" x14ac:dyDescent="0.35">
      <c r="A365" s="1">
        <f>IF(
  A364+1&gt;MAX(Sales_Performance[Date]),
 "",
  A364+1
)</f>
        <v>45290</v>
      </c>
      <c r="B365">
        <f t="shared" si="22"/>
        <v>2023</v>
      </c>
      <c r="C365" s="1">
        <f>DATE(
  YEAR(Calendar_Table[[#This Row],[Date]]),
  MONTH(Calendar_Table[[#This Row],[Date]]),
  1
)</f>
        <v>45261</v>
      </c>
      <c r="D365">
        <f t="shared" si="20"/>
        <v>12</v>
      </c>
      <c r="E365" s="4" t="str">
        <f>TEXT(Calendar_Table[[#This Row],[Date]],"mmmm")</f>
        <v>December</v>
      </c>
      <c r="F365">
        <f t="shared" si="21"/>
        <v>6</v>
      </c>
      <c r="G365" s="5" t="str">
        <f>TEXT(Calendar_Table[[#This Row],[Date]],"dddd")</f>
        <v>Saturday</v>
      </c>
      <c r="H365" t="str">
        <f t="shared" si="23"/>
        <v>Weekend</v>
      </c>
    </row>
    <row r="366" spans="1:8" x14ac:dyDescent="0.35">
      <c r="A366" s="1">
        <f>IF(
  A365+1&gt;MAX(Sales_Performance[Date]),
 "",
  A365+1
)</f>
        <v>45291</v>
      </c>
      <c r="B366">
        <f t="shared" si="22"/>
        <v>2023</v>
      </c>
      <c r="C366" s="1">
        <f>DATE(
  YEAR(Calendar_Table[[#This Row],[Date]]),
  MONTH(Calendar_Table[[#This Row],[Date]]),
  1
)</f>
        <v>45261</v>
      </c>
      <c r="D366">
        <f t="shared" si="20"/>
        <v>12</v>
      </c>
      <c r="E366" s="4" t="str">
        <f>TEXT(Calendar_Table[[#This Row],[Date]],"mmmm")</f>
        <v>December</v>
      </c>
      <c r="F366">
        <f t="shared" si="21"/>
        <v>7</v>
      </c>
      <c r="G366" s="5" t="str">
        <f>TEXT(Calendar_Table[[#This Row],[Date]],"dddd")</f>
        <v>Sunday</v>
      </c>
      <c r="H366" t="str">
        <f t="shared" si="23"/>
        <v>Weekend</v>
      </c>
    </row>
    <row r="367" spans="1:8" x14ac:dyDescent="0.35">
      <c r="A367" s="1">
        <f>IF(
  A366+1&gt;MAX(Sales_Performance[Date]),
 "",
  A366+1
)</f>
        <v>45292</v>
      </c>
      <c r="B367">
        <f t="shared" si="22"/>
        <v>2024</v>
      </c>
      <c r="C367" s="1">
        <f>DATE(
  YEAR(Calendar_Table[[#This Row],[Date]]),
  MONTH(Calendar_Table[[#This Row],[Date]]),
  1
)</f>
        <v>45292</v>
      </c>
      <c r="D367">
        <f t="shared" si="20"/>
        <v>1</v>
      </c>
      <c r="E367" s="4" t="str">
        <f>TEXT(Calendar_Table[[#This Row],[Date]],"mmmm")</f>
        <v>January</v>
      </c>
      <c r="F367">
        <f t="shared" si="21"/>
        <v>1</v>
      </c>
      <c r="G367" s="5" t="str">
        <f>TEXT(Calendar_Table[[#This Row],[Date]],"dddd")</f>
        <v>Monday</v>
      </c>
      <c r="H367" t="str">
        <f t="shared" si="23"/>
        <v>Weekday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F7B6-AF46-44C8-91A5-3CABBBD829FD}">
  <dimension ref="A3:BJ710"/>
  <sheetViews>
    <sheetView showGridLines="0" tabSelected="1" topLeftCell="Q3" zoomScale="80" zoomScaleNormal="80" workbookViewId="0">
      <selection activeCell="BK3" sqref="BK1:XFD1048576"/>
    </sheetView>
  </sheetViews>
  <sheetFormatPr defaultColWidth="0" defaultRowHeight="14.5" zeroHeight="1" x14ac:dyDescent="0.35"/>
  <cols>
    <col min="1" max="1" width="23" style="6" hidden="1" customWidth="1"/>
    <col min="2" max="2" width="12.26953125" style="6" hidden="1" customWidth="1"/>
    <col min="3" max="3" width="9.7265625" style="6" hidden="1" customWidth="1"/>
    <col min="4" max="4" width="18.81640625" style="12" hidden="1" customWidth="1"/>
    <col min="5" max="5" width="17.7265625" style="6" hidden="1" customWidth="1"/>
    <col min="6" max="6" width="15.7265625" style="6" hidden="1" customWidth="1"/>
    <col min="7" max="7" width="20.08984375" style="6" hidden="1" customWidth="1"/>
    <col min="8" max="8" width="18.81640625" style="6" hidden="1" customWidth="1"/>
    <col min="9" max="10" width="24.453125" style="6" hidden="1" customWidth="1"/>
    <col min="11" max="11" width="10.81640625" style="6" hidden="1" customWidth="1"/>
    <col min="12" max="12" width="14" style="6" hidden="1" customWidth="1"/>
    <col min="13" max="13" width="12.6328125" style="6" hidden="1" customWidth="1"/>
    <col min="14" max="15" width="17.6328125" style="6" hidden="1" customWidth="1"/>
    <col min="16" max="16" width="21.90625" style="6" hidden="1" customWidth="1"/>
    <col min="17" max="17" width="0.453125" style="6" customWidth="1"/>
    <col min="18" max="39" width="8.7265625" style="6" customWidth="1"/>
    <col min="40" max="40" width="6" style="6" customWidth="1"/>
    <col min="41" max="41" width="4.1796875" style="6" hidden="1" customWidth="1"/>
    <col min="42" max="62" width="0" style="6" hidden="1" customWidth="1"/>
    <col min="63" max="16384" width="8.7265625" style="6" hidden="1"/>
  </cols>
  <sheetData>
    <row r="3" spans="1:16" x14ac:dyDescent="0.35">
      <c r="A3" s="6" t="s">
        <v>1528</v>
      </c>
      <c r="B3" s="7">
        <f>GETPIVOTDATA("[Measures].[Total Revenue]",$D$4)</f>
        <v>454470</v>
      </c>
    </row>
    <row r="4" spans="1:16" x14ac:dyDescent="0.35">
      <c r="A4" s="6" t="s">
        <v>1511</v>
      </c>
      <c r="B4" s="6">
        <f>GETPIVOTDATA("[Measures].[Total Orders]",$D$4)</f>
        <v>998</v>
      </c>
      <c r="D4" s="12" t="s">
        <v>1520</v>
      </c>
      <c r="E4" s="6" t="s">
        <v>1528</v>
      </c>
      <c r="F4" s="6" t="s">
        <v>1511</v>
      </c>
      <c r="G4" s="6" t="s">
        <v>1527</v>
      </c>
      <c r="H4" s="6" t="s">
        <v>1534</v>
      </c>
      <c r="I4"/>
      <c r="J4"/>
      <c r="L4" s="6" t="s">
        <v>1520</v>
      </c>
      <c r="M4" s="6" t="s">
        <v>1511</v>
      </c>
    </row>
    <row r="5" spans="1:16" x14ac:dyDescent="0.35">
      <c r="A5" s="6" t="s">
        <v>1527</v>
      </c>
      <c r="B5" s="6">
        <f>GETPIVOTDATA("[Measures].[Total Customers]",$D$4)</f>
        <v>493</v>
      </c>
      <c r="D5" s="8">
        <v>44927</v>
      </c>
      <c r="E5" s="9">
        <v>35450</v>
      </c>
      <c r="F5" s="10">
        <v>76</v>
      </c>
      <c r="G5" s="10">
        <v>71</v>
      </c>
      <c r="H5" s="9">
        <v>466.44736842105266</v>
      </c>
      <c r="I5"/>
      <c r="J5"/>
      <c r="L5" s="11" t="s">
        <v>15</v>
      </c>
      <c r="M5" s="10">
        <v>504</v>
      </c>
    </row>
    <row r="6" spans="1:16" x14ac:dyDescent="0.35">
      <c r="A6" s="6" t="s">
        <v>1529</v>
      </c>
      <c r="B6" s="10" t="e">
        <f>GETPIVOTDATA("[Measures].[New Customers]",$D$4)</f>
        <v>#REF!</v>
      </c>
      <c r="D6" s="8">
        <v>44958</v>
      </c>
      <c r="E6" s="9">
        <v>44060</v>
      </c>
      <c r="F6" s="10">
        <v>85</v>
      </c>
      <c r="G6" s="10">
        <v>81</v>
      </c>
      <c r="H6" s="9">
        <v>518.35294117647061</v>
      </c>
      <c r="I6"/>
      <c r="J6"/>
      <c r="L6" s="11" t="s">
        <v>10</v>
      </c>
      <c r="M6" s="10">
        <v>494</v>
      </c>
    </row>
    <row r="7" spans="1:16" x14ac:dyDescent="0.35">
      <c r="A7" s="6" t="s">
        <v>1532</v>
      </c>
      <c r="B7" s="10" t="e">
        <f>GETPIVOTDATA("[Measures].[Returning Customer]",$D$4)</f>
        <v>#REF!</v>
      </c>
      <c r="D7" s="8">
        <v>44986</v>
      </c>
      <c r="E7" s="9">
        <v>28990</v>
      </c>
      <c r="F7" s="10">
        <v>73</v>
      </c>
      <c r="G7" s="10">
        <v>68</v>
      </c>
      <c r="H7" s="9">
        <v>397.1232876712329</v>
      </c>
      <c r="I7"/>
      <c r="J7"/>
      <c r="L7" s="11" t="s">
        <v>1519</v>
      </c>
      <c r="M7" s="10">
        <v>998</v>
      </c>
    </row>
    <row r="8" spans="1:16" x14ac:dyDescent="0.35">
      <c r="A8" s="6" t="s">
        <v>1533</v>
      </c>
      <c r="B8" s="7">
        <f>GETPIVOTDATA("[Measures].[Average Order Value]",$D$4)</f>
        <v>455.38076152304609</v>
      </c>
      <c r="D8" s="8">
        <v>45017</v>
      </c>
      <c r="E8" s="9">
        <v>33870</v>
      </c>
      <c r="F8" s="10">
        <v>86</v>
      </c>
      <c r="G8" s="10">
        <v>81</v>
      </c>
      <c r="H8" s="9">
        <v>393.83720930232556</v>
      </c>
      <c r="I8"/>
      <c r="J8"/>
      <c r="M8" s="9"/>
      <c r="N8" s="10"/>
      <c r="O8" s="10"/>
      <c r="P8" s="10"/>
    </row>
    <row r="9" spans="1:16" x14ac:dyDescent="0.35">
      <c r="D9" s="8">
        <v>45047</v>
      </c>
      <c r="E9" s="9">
        <v>53150</v>
      </c>
      <c r="F9" s="10">
        <v>105</v>
      </c>
      <c r="G9" s="10">
        <v>100</v>
      </c>
      <c r="H9" s="9">
        <v>506.1904761904762</v>
      </c>
      <c r="I9"/>
      <c r="J9"/>
    </row>
    <row r="10" spans="1:16" x14ac:dyDescent="0.35">
      <c r="D10" s="8">
        <v>45078</v>
      </c>
      <c r="E10" s="9">
        <v>36715</v>
      </c>
      <c r="F10" s="10">
        <v>77</v>
      </c>
      <c r="G10" s="10">
        <v>69</v>
      </c>
      <c r="H10" s="9">
        <v>476.81818181818181</v>
      </c>
      <c r="I10"/>
      <c r="J10"/>
      <c r="L10" s="6" t="s">
        <v>1520</v>
      </c>
      <c r="M10" s="6" t="s">
        <v>1527</v>
      </c>
    </row>
    <row r="11" spans="1:16" x14ac:dyDescent="0.35">
      <c r="D11" s="8">
        <v>45108</v>
      </c>
      <c r="E11" s="9">
        <v>35465</v>
      </c>
      <c r="F11" s="10">
        <v>72</v>
      </c>
      <c r="G11" s="10">
        <v>71</v>
      </c>
      <c r="H11" s="9">
        <v>492.56944444444446</v>
      </c>
      <c r="I11"/>
      <c r="J11"/>
      <c r="L11" s="11" t="s">
        <v>1530</v>
      </c>
      <c r="M11" s="10">
        <v>177</v>
      </c>
    </row>
    <row r="12" spans="1:16" x14ac:dyDescent="0.35">
      <c r="D12" s="8">
        <v>45139</v>
      </c>
      <c r="E12" s="9">
        <v>36960</v>
      </c>
      <c r="F12" s="10">
        <v>94</v>
      </c>
      <c r="G12" s="10">
        <v>90</v>
      </c>
      <c r="H12" s="9">
        <v>393.19148936170211</v>
      </c>
      <c r="I12"/>
      <c r="J12"/>
      <c r="L12" s="11" t="s">
        <v>1531</v>
      </c>
      <c r="M12" s="10">
        <v>316</v>
      </c>
    </row>
    <row r="13" spans="1:16" x14ac:dyDescent="0.35">
      <c r="D13" s="8">
        <v>45170</v>
      </c>
      <c r="E13" s="9">
        <v>23620</v>
      </c>
      <c r="F13" s="10">
        <v>65</v>
      </c>
      <c r="G13" s="10">
        <v>63</v>
      </c>
      <c r="H13" s="9">
        <v>363.38461538461536</v>
      </c>
      <c r="I13"/>
      <c r="J13"/>
      <c r="L13" s="11" t="s">
        <v>1519</v>
      </c>
      <c r="M13" s="10">
        <v>493</v>
      </c>
    </row>
    <row r="14" spans="1:16" x14ac:dyDescent="0.35">
      <c r="D14" s="8">
        <v>45200</v>
      </c>
      <c r="E14" s="9">
        <v>46580</v>
      </c>
      <c r="F14" s="10">
        <v>96</v>
      </c>
      <c r="G14" s="10">
        <v>90</v>
      </c>
      <c r="H14" s="9">
        <v>485.20833333333331</v>
      </c>
      <c r="I14"/>
      <c r="J14"/>
    </row>
    <row r="15" spans="1:16" x14ac:dyDescent="0.35">
      <c r="D15" s="8">
        <v>45231</v>
      </c>
      <c r="E15" s="9">
        <v>34920</v>
      </c>
      <c r="F15" s="10">
        <v>78</v>
      </c>
      <c r="G15" s="10">
        <v>74</v>
      </c>
      <c r="H15" s="9">
        <v>447.69230769230768</v>
      </c>
      <c r="I15"/>
      <c r="J15"/>
    </row>
    <row r="16" spans="1:16" x14ac:dyDescent="0.35">
      <c r="D16" s="8">
        <v>45261</v>
      </c>
      <c r="E16" s="9">
        <v>44690</v>
      </c>
      <c r="F16" s="10">
        <v>91</v>
      </c>
      <c r="G16" s="10">
        <v>84</v>
      </c>
      <c r="H16" s="9">
        <v>491.09890109890108</v>
      </c>
      <c r="I16"/>
      <c r="J16"/>
      <c r="L16" s="6" t="s">
        <v>1520</v>
      </c>
      <c r="M16" s="6" t="s">
        <v>1511</v>
      </c>
      <c r="N16" s="6" t="s">
        <v>1534</v>
      </c>
    </row>
    <row r="17" spans="4:62" x14ac:dyDescent="0.35">
      <c r="D17" s="8" t="s">
        <v>1519</v>
      </c>
      <c r="E17" s="9">
        <v>454470</v>
      </c>
      <c r="F17" s="10">
        <v>998</v>
      </c>
      <c r="G17" s="10">
        <v>493</v>
      </c>
      <c r="H17" s="9">
        <v>455.38076152304609</v>
      </c>
      <c r="I17"/>
      <c r="J17"/>
      <c r="L17" s="11" t="s">
        <v>1521</v>
      </c>
      <c r="M17" s="10">
        <v>175</v>
      </c>
      <c r="N17" s="9">
        <v>456.51428571428573</v>
      </c>
    </row>
    <row r="18" spans="4:62" x14ac:dyDescent="0.35">
      <c r="D18"/>
      <c r="E18"/>
      <c r="F18"/>
      <c r="G18"/>
      <c r="H18"/>
      <c r="I18"/>
      <c r="J18"/>
      <c r="L18" s="11" t="s">
        <v>1522</v>
      </c>
      <c r="M18" s="10">
        <v>198</v>
      </c>
      <c r="N18" s="9">
        <v>475.55555555555554</v>
      </c>
    </row>
    <row r="19" spans="4:62" x14ac:dyDescent="0.35">
      <c r="L19" s="11" t="s">
        <v>1523</v>
      </c>
      <c r="M19" s="10">
        <v>210</v>
      </c>
      <c r="N19" s="9">
        <v>453.28571428571428</v>
      </c>
    </row>
    <row r="20" spans="4:62" x14ac:dyDescent="0.35">
      <c r="L20" s="11" t="s">
        <v>1524</v>
      </c>
      <c r="M20" s="10">
        <v>212</v>
      </c>
      <c r="N20" s="9">
        <v>443.18396226415092</v>
      </c>
    </row>
    <row r="21" spans="4:62" x14ac:dyDescent="0.35">
      <c r="D21" s="12" t="s">
        <v>1520</v>
      </c>
      <c r="E21" s="6" t="s">
        <v>1528</v>
      </c>
      <c r="F21"/>
      <c r="G21"/>
      <c r="L21" s="11" t="s">
        <v>1525</v>
      </c>
      <c r="M21" s="10">
        <v>203</v>
      </c>
      <c r="N21" s="9">
        <v>449.6305418719212</v>
      </c>
    </row>
    <row r="22" spans="4:62" x14ac:dyDescent="0.35">
      <c r="D22" s="13">
        <v>44927</v>
      </c>
      <c r="E22" s="9">
        <v>35450</v>
      </c>
      <c r="F22"/>
      <c r="G22"/>
      <c r="L22" s="11" t="s">
        <v>1519</v>
      </c>
      <c r="M22" s="10">
        <v>998</v>
      </c>
      <c r="N22" s="9">
        <v>455.38076152304609</v>
      </c>
    </row>
    <row r="23" spans="4:62" x14ac:dyDescent="0.35">
      <c r="D23" s="13">
        <v>44958</v>
      </c>
      <c r="E23" s="9">
        <v>44060</v>
      </c>
      <c r="F23"/>
      <c r="G23"/>
    </row>
    <row r="24" spans="4:62" x14ac:dyDescent="0.35">
      <c r="D24" s="13">
        <v>44986</v>
      </c>
      <c r="E24" s="9">
        <v>28990</v>
      </c>
      <c r="F24"/>
      <c r="G24"/>
      <c r="L24" s="6" t="s">
        <v>1520</v>
      </c>
      <c r="M24" s="6" t="s">
        <v>1528</v>
      </c>
    </row>
    <row r="25" spans="4:62" x14ac:dyDescent="0.35">
      <c r="D25" s="13">
        <v>45017</v>
      </c>
      <c r="E25" s="9">
        <v>33870</v>
      </c>
      <c r="F25"/>
      <c r="G25"/>
      <c r="L25" s="11" t="s">
        <v>18</v>
      </c>
      <c r="M25" s="9">
        <v>143515</v>
      </c>
      <c r="BJ25" s="6" t="s">
        <v>1535</v>
      </c>
    </row>
    <row r="26" spans="4:62" x14ac:dyDescent="0.35">
      <c r="D26" s="13">
        <v>45047</v>
      </c>
      <c r="E26" s="9">
        <v>53150</v>
      </c>
      <c r="F26"/>
      <c r="G26"/>
      <c r="L26" s="11" t="s">
        <v>16</v>
      </c>
      <c r="M26" s="9">
        <v>155580</v>
      </c>
    </row>
    <row r="27" spans="4:62" x14ac:dyDescent="0.35">
      <c r="D27" s="13">
        <v>45078</v>
      </c>
      <c r="E27" s="9">
        <v>36715</v>
      </c>
      <c r="F27"/>
      <c r="L27" s="11" t="s">
        <v>11</v>
      </c>
      <c r="M27" s="9">
        <v>156905</v>
      </c>
    </row>
    <row r="28" spans="4:62" x14ac:dyDescent="0.35">
      <c r="D28" s="13">
        <v>45108</v>
      </c>
      <c r="E28" s="9">
        <v>35465</v>
      </c>
      <c r="F28"/>
      <c r="L28" s="11" t="s">
        <v>1519</v>
      </c>
      <c r="M28" s="9">
        <v>456000</v>
      </c>
    </row>
    <row r="29" spans="4:62" x14ac:dyDescent="0.35">
      <c r="D29" s="13">
        <v>45139</v>
      </c>
      <c r="E29" s="9">
        <v>36960</v>
      </c>
      <c r="F29"/>
    </row>
    <row r="30" spans="4:62" x14ac:dyDescent="0.35">
      <c r="D30" s="13">
        <v>45170</v>
      </c>
      <c r="E30" s="9">
        <v>23620</v>
      </c>
      <c r="F30"/>
    </row>
    <row r="31" spans="4:62" x14ac:dyDescent="0.35">
      <c r="D31" s="13">
        <v>45200</v>
      </c>
      <c r="E31" s="9">
        <v>46580</v>
      </c>
      <c r="F31"/>
    </row>
    <row r="32" spans="4:62" x14ac:dyDescent="0.35">
      <c r="D32" s="13">
        <v>45231</v>
      </c>
      <c r="E32" s="9">
        <v>34920</v>
      </c>
      <c r="F32"/>
    </row>
    <row r="33" spans="4:6" ht="13" hidden="1" x14ac:dyDescent="0.35">
      <c r="D33" s="13">
        <v>45261</v>
      </c>
      <c r="E33" s="9">
        <v>44690</v>
      </c>
      <c r="F33"/>
    </row>
    <row r="34" spans="4:6" ht="13" hidden="1" x14ac:dyDescent="0.35">
      <c r="D34" s="8" t="s">
        <v>1519</v>
      </c>
      <c r="E34" s="9">
        <v>454470</v>
      </c>
      <c r="F34"/>
    </row>
    <row r="35" spans="4:6" ht="13" hidden="1" x14ac:dyDescent="0.35">
      <c r="D35"/>
      <c r="E35"/>
    </row>
    <row r="36" spans="4:6" hidden="1" x14ac:dyDescent="0.35">
      <c r="D36"/>
      <c r="E36"/>
    </row>
    <row r="37" spans="4:6" hidden="1" x14ac:dyDescent="0.35">
      <c r="D37"/>
      <c r="E37"/>
    </row>
    <row r="38" spans="4:6" hidden="1" x14ac:dyDescent="0.35">
      <c r="D38"/>
      <c r="E38"/>
    </row>
    <row r="39" spans="4:6" hidden="1" x14ac:dyDescent="0.35">
      <c r="D39"/>
      <c r="E39"/>
    </row>
    <row r="40" spans="4:6" hidden="1" x14ac:dyDescent="0.35">
      <c r="D40"/>
      <c r="E40"/>
    </row>
    <row r="41" spans="4:6" hidden="1" x14ac:dyDescent="0.35">
      <c r="D41"/>
      <c r="E41"/>
    </row>
    <row r="42" spans="4:6" hidden="1" x14ac:dyDescent="0.35">
      <c r="D42"/>
      <c r="E42"/>
    </row>
    <row r="43" spans="4:6" hidden="1" x14ac:dyDescent="0.35">
      <c r="D43"/>
      <c r="E43"/>
    </row>
    <row r="44" spans="4:6" hidden="1" x14ac:dyDescent="0.35">
      <c r="D44"/>
      <c r="E44"/>
    </row>
    <row r="45" spans="4:6" hidden="1" x14ac:dyDescent="0.35">
      <c r="D45"/>
      <c r="E45"/>
    </row>
    <row r="46" spans="4:6" hidden="1" x14ac:dyDescent="0.35">
      <c r="D46"/>
      <c r="E46"/>
    </row>
    <row r="47" spans="4:6" hidden="1" x14ac:dyDescent="0.35">
      <c r="D47"/>
      <c r="E47"/>
    </row>
    <row r="48" spans="4:6" hidden="1" x14ac:dyDescent="0.35">
      <c r="D48"/>
      <c r="E48"/>
    </row>
    <row r="49" spans="4:5" hidden="1" x14ac:dyDescent="0.35">
      <c r="D49"/>
      <c r="E49"/>
    </row>
    <row r="50" spans="4:5" hidden="1" x14ac:dyDescent="0.35">
      <c r="D50"/>
      <c r="E50"/>
    </row>
    <row r="51" spans="4:5" hidden="1" x14ac:dyDescent="0.35">
      <c r="D51"/>
      <c r="E51"/>
    </row>
    <row r="52" spans="4:5" hidden="1" x14ac:dyDescent="0.35">
      <c r="D52"/>
      <c r="E52"/>
    </row>
    <row r="53" spans="4:5" hidden="1" x14ac:dyDescent="0.35">
      <c r="D53"/>
      <c r="E53"/>
    </row>
    <row r="54" spans="4:5" hidden="1" x14ac:dyDescent="0.35">
      <c r="D54"/>
      <c r="E54"/>
    </row>
    <row r="55" spans="4:5" hidden="1" x14ac:dyDescent="0.35">
      <c r="D55"/>
      <c r="E55"/>
    </row>
    <row r="56" spans="4:5" hidden="1" x14ac:dyDescent="0.35">
      <c r="D56"/>
      <c r="E56"/>
    </row>
    <row r="57" spans="4:5" hidden="1" x14ac:dyDescent="0.35">
      <c r="D57"/>
      <c r="E57"/>
    </row>
    <row r="58" spans="4:5" hidden="1" x14ac:dyDescent="0.35">
      <c r="D58"/>
      <c r="E58"/>
    </row>
    <row r="59" spans="4:5" hidden="1" x14ac:dyDescent="0.35">
      <c r="D59"/>
      <c r="E59"/>
    </row>
    <row r="60" spans="4:5" hidden="1" x14ac:dyDescent="0.35">
      <c r="D60"/>
      <c r="E60"/>
    </row>
    <row r="61" spans="4:5" hidden="1" x14ac:dyDescent="0.35">
      <c r="D61"/>
      <c r="E61"/>
    </row>
    <row r="62" spans="4:5" hidden="1" x14ac:dyDescent="0.35">
      <c r="D62"/>
      <c r="E62"/>
    </row>
    <row r="63" spans="4:5" hidden="1" x14ac:dyDescent="0.35">
      <c r="D63"/>
      <c r="E63"/>
    </row>
    <row r="64" spans="4:5" hidden="1" x14ac:dyDescent="0.35">
      <c r="D64"/>
      <c r="E64"/>
    </row>
    <row r="65" spans="4:5" hidden="1" x14ac:dyDescent="0.35">
      <c r="D65"/>
      <c r="E65"/>
    </row>
    <row r="66" spans="4:5" hidden="1" x14ac:dyDescent="0.35">
      <c r="D66"/>
      <c r="E66"/>
    </row>
    <row r="67" spans="4:5" hidden="1" x14ac:dyDescent="0.35">
      <c r="D67"/>
      <c r="E67"/>
    </row>
    <row r="68" spans="4:5" hidden="1" x14ac:dyDescent="0.35">
      <c r="D68"/>
      <c r="E68"/>
    </row>
    <row r="69" spans="4:5" hidden="1" x14ac:dyDescent="0.35">
      <c r="D69"/>
      <c r="E69"/>
    </row>
    <row r="70" spans="4:5" hidden="1" x14ac:dyDescent="0.35">
      <c r="D70"/>
      <c r="E70"/>
    </row>
    <row r="71" spans="4:5" hidden="1" x14ac:dyDescent="0.35">
      <c r="D71"/>
      <c r="E71"/>
    </row>
    <row r="72" spans="4:5" hidden="1" x14ac:dyDescent="0.35">
      <c r="D72"/>
      <c r="E72"/>
    </row>
    <row r="73" spans="4:5" hidden="1" x14ac:dyDescent="0.35">
      <c r="D73"/>
      <c r="E73"/>
    </row>
    <row r="74" spans="4:5" hidden="1" x14ac:dyDescent="0.35">
      <c r="D74"/>
      <c r="E74"/>
    </row>
    <row r="75" spans="4:5" hidden="1" x14ac:dyDescent="0.35">
      <c r="D75"/>
      <c r="E75"/>
    </row>
    <row r="76" spans="4:5" hidden="1" x14ac:dyDescent="0.35">
      <c r="D76"/>
      <c r="E76"/>
    </row>
    <row r="77" spans="4:5" hidden="1" x14ac:dyDescent="0.35">
      <c r="D77"/>
      <c r="E77"/>
    </row>
    <row r="78" spans="4:5" hidden="1" x14ac:dyDescent="0.35">
      <c r="D78"/>
      <c r="E78"/>
    </row>
    <row r="79" spans="4:5" hidden="1" x14ac:dyDescent="0.35">
      <c r="D79"/>
      <c r="E79"/>
    </row>
    <row r="80" spans="4:5" hidden="1" x14ac:dyDescent="0.35">
      <c r="D80"/>
      <c r="E80"/>
    </row>
    <row r="81" spans="4:5" hidden="1" x14ac:dyDescent="0.35">
      <c r="D81"/>
      <c r="E81"/>
    </row>
    <row r="82" spans="4:5" hidden="1" x14ac:dyDescent="0.35">
      <c r="D82"/>
      <c r="E82"/>
    </row>
    <row r="83" spans="4:5" hidden="1" x14ac:dyDescent="0.35">
      <c r="D83"/>
      <c r="E83"/>
    </row>
    <row r="84" spans="4:5" hidden="1" x14ac:dyDescent="0.35">
      <c r="D84"/>
      <c r="E84"/>
    </row>
    <row r="85" spans="4:5" hidden="1" x14ac:dyDescent="0.35">
      <c r="D85"/>
      <c r="E85"/>
    </row>
    <row r="86" spans="4:5" hidden="1" x14ac:dyDescent="0.35">
      <c r="D86"/>
      <c r="E86"/>
    </row>
    <row r="87" spans="4:5" hidden="1" x14ac:dyDescent="0.35">
      <c r="D87"/>
      <c r="E87"/>
    </row>
    <row r="88" spans="4:5" hidden="1" x14ac:dyDescent="0.35">
      <c r="D88"/>
      <c r="E88"/>
    </row>
    <row r="89" spans="4:5" hidden="1" x14ac:dyDescent="0.35">
      <c r="D89"/>
      <c r="E89"/>
    </row>
    <row r="90" spans="4:5" hidden="1" x14ac:dyDescent="0.35">
      <c r="D90"/>
      <c r="E90"/>
    </row>
    <row r="91" spans="4:5" hidden="1" x14ac:dyDescent="0.35">
      <c r="D91"/>
      <c r="E91"/>
    </row>
    <row r="92" spans="4:5" hidden="1" x14ac:dyDescent="0.35">
      <c r="D92"/>
      <c r="E92"/>
    </row>
    <row r="93" spans="4:5" hidden="1" x14ac:dyDescent="0.35">
      <c r="D93"/>
      <c r="E93"/>
    </row>
    <row r="94" spans="4:5" hidden="1" x14ac:dyDescent="0.35">
      <c r="D94"/>
      <c r="E94"/>
    </row>
    <row r="95" spans="4:5" hidden="1" x14ac:dyDescent="0.35">
      <c r="D95"/>
      <c r="E95"/>
    </row>
    <row r="96" spans="4:5" hidden="1" x14ac:dyDescent="0.35">
      <c r="D96"/>
      <c r="E96"/>
    </row>
    <row r="97" spans="4:5" hidden="1" x14ac:dyDescent="0.35">
      <c r="D97"/>
      <c r="E97"/>
    </row>
    <row r="98" spans="4:5" hidden="1" x14ac:dyDescent="0.35">
      <c r="D98"/>
      <c r="E98"/>
    </row>
    <row r="99" spans="4:5" hidden="1" x14ac:dyDescent="0.35">
      <c r="D99"/>
      <c r="E99"/>
    </row>
    <row r="100" spans="4:5" hidden="1" x14ac:dyDescent="0.35">
      <c r="D100"/>
      <c r="E100"/>
    </row>
    <row r="101" spans="4:5" hidden="1" x14ac:dyDescent="0.35">
      <c r="D101"/>
      <c r="E101"/>
    </row>
    <row r="102" spans="4:5" hidden="1" x14ac:dyDescent="0.35">
      <c r="D102"/>
      <c r="E102"/>
    </row>
    <row r="103" spans="4:5" hidden="1" x14ac:dyDescent="0.35">
      <c r="D103"/>
      <c r="E103"/>
    </row>
    <row r="104" spans="4:5" hidden="1" x14ac:dyDescent="0.35">
      <c r="D104"/>
      <c r="E104"/>
    </row>
    <row r="105" spans="4:5" hidden="1" x14ac:dyDescent="0.35">
      <c r="D105"/>
      <c r="E105"/>
    </row>
    <row r="106" spans="4:5" hidden="1" x14ac:dyDescent="0.35">
      <c r="D106"/>
      <c r="E106"/>
    </row>
    <row r="107" spans="4:5" hidden="1" x14ac:dyDescent="0.35">
      <c r="D107"/>
      <c r="E107"/>
    </row>
    <row r="108" spans="4:5" hidden="1" x14ac:dyDescent="0.35">
      <c r="D108"/>
      <c r="E108"/>
    </row>
    <row r="109" spans="4:5" hidden="1" x14ac:dyDescent="0.35">
      <c r="D109"/>
      <c r="E109"/>
    </row>
    <row r="110" spans="4:5" hidden="1" x14ac:dyDescent="0.35">
      <c r="D110"/>
      <c r="E110"/>
    </row>
    <row r="111" spans="4:5" hidden="1" x14ac:dyDescent="0.35">
      <c r="D111"/>
      <c r="E111"/>
    </row>
    <row r="112" spans="4:5" hidden="1" x14ac:dyDescent="0.35">
      <c r="D112"/>
      <c r="E112"/>
    </row>
    <row r="113" spans="4:5" hidden="1" x14ac:dyDescent="0.35">
      <c r="D113"/>
      <c r="E113"/>
    </row>
    <row r="114" spans="4:5" hidden="1" x14ac:dyDescent="0.35">
      <c r="D114"/>
      <c r="E114"/>
    </row>
    <row r="115" spans="4:5" hidden="1" x14ac:dyDescent="0.35">
      <c r="D115"/>
      <c r="E115"/>
    </row>
    <row r="116" spans="4:5" hidden="1" x14ac:dyDescent="0.35">
      <c r="D116"/>
      <c r="E116"/>
    </row>
    <row r="117" spans="4:5" hidden="1" x14ac:dyDescent="0.35">
      <c r="D117"/>
      <c r="E117"/>
    </row>
    <row r="118" spans="4:5" hidden="1" x14ac:dyDescent="0.35">
      <c r="D118"/>
      <c r="E118"/>
    </row>
    <row r="119" spans="4:5" hidden="1" x14ac:dyDescent="0.35">
      <c r="D119"/>
      <c r="E119"/>
    </row>
    <row r="120" spans="4:5" hidden="1" x14ac:dyDescent="0.35">
      <c r="D120"/>
      <c r="E120"/>
    </row>
    <row r="121" spans="4:5" hidden="1" x14ac:dyDescent="0.35">
      <c r="D121"/>
      <c r="E121"/>
    </row>
    <row r="122" spans="4:5" hidden="1" x14ac:dyDescent="0.35">
      <c r="D122"/>
      <c r="E122"/>
    </row>
    <row r="123" spans="4:5" hidden="1" x14ac:dyDescent="0.35">
      <c r="D123"/>
      <c r="E123"/>
    </row>
    <row r="124" spans="4:5" hidden="1" x14ac:dyDescent="0.35">
      <c r="D124"/>
      <c r="E124"/>
    </row>
    <row r="125" spans="4:5" hidden="1" x14ac:dyDescent="0.35">
      <c r="D125"/>
      <c r="E125"/>
    </row>
    <row r="126" spans="4:5" hidden="1" x14ac:dyDescent="0.35">
      <c r="D126"/>
      <c r="E126"/>
    </row>
    <row r="127" spans="4:5" hidden="1" x14ac:dyDescent="0.35">
      <c r="D127"/>
      <c r="E127"/>
    </row>
    <row r="128" spans="4:5" hidden="1" x14ac:dyDescent="0.35">
      <c r="D128"/>
      <c r="E128"/>
    </row>
    <row r="129" spans="4:5" hidden="1" x14ac:dyDescent="0.35">
      <c r="D129"/>
      <c r="E129"/>
    </row>
    <row r="130" spans="4:5" hidden="1" x14ac:dyDescent="0.35">
      <c r="D130"/>
      <c r="E130"/>
    </row>
    <row r="131" spans="4:5" hidden="1" x14ac:dyDescent="0.35">
      <c r="D131"/>
      <c r="E131"/>
    </row>
    <row r="132" spans="4:5" hidden="1" x14ac:dyDescent="0.35">
      <c r="D132"/>
      <c r="E132"/>
    </row>
    <row r="133" spans="4:5" hidden="1" x14ac:dyDescent="0.35">
      <c r="D133"/>
      <c r="E133"/>
    </row>
    <row r="134" spans="4:5" hidden="1" x14ac:dyDescent="0.35">
      <c r="D134"/>
      <c r="E134"/>
    </row>
    <row r="135" spans="4:5" hidden="1" x14ac:dyDescent="0.35">
      <c r="D135"/>
      <c r="E135"/>
    </row>
    <row r="136" spans="4:5" hidden="1" x14ac:dyDescent="0.35">
      <c r="D136"/>
      <c r="E136"/>
    </row>
    <row r="137" spans="4:5" hidden="1" x14ac:dyDescent="0.35">
      <c r="D137"/>
      <c r="E137"/>
    </row>
    <row r="138" spans="4:5" hidden="1" x14ac:dyDescent="0.35">
      <c r="D138"/>
      <c r="E138"/>
    </row>
    <row r="139" spans="4:5" hidden="1" x14ac:dyDescent="0.35">
      <c r="D139"/>
      <c r="E139"/>
    </row>
    <row r="140" spans="4:5" hidden="1" x14ac:dyDescent="0.35">
      <c r="D140"/>
      <c r="E140"/>
    </row>
    <row r="141" spans="4:5" hidden="1" x14ac:dyDescent="0.35">
      <c r="D141"/>
      <c r="E141"/>
    </row>
    <row r="142" spans="4:5" hidden="1" x14ac:dyDescent="0.35">
      <c r="D142"/>
      <c r="E142"/>
    </row>
    <row r="143" spans="4:5" hidden="1" x14ac:dyDescent="0.35">
      <c r="D143"/>
      <c r="E143"/>
    </row>
    <row r="144" spans="4:5" hidden="1" x14ac:dyDescent="0.35">
      <c r="D144"/>
      <c r="E144"/>
    </row>
    <row r="145" spans="4:5" hidden="1" x14ac:dyDescent="0.35">
      <c r="D145"/>
      <c r="E145"/>
    </row>
    <row r="146" spans="4:5" hidden="1" x14ac:dyDescent="0.35">
      <c r="D146"/>
      <c r="E146"/>
    </row>
    <row r="147" spans="4:5" hidden="1" x14ac:dyDescent="0.35">
      <c r="D147"/>
      <c r="E147"/>
    </row>
    <row r="148" spans="4:5" hidden="1" x14ac:dyDescent="0.35">
      <c r="D148"/>
      <c r="E148"/>
    </row>
    <row r="149" spans="4:5" hidden="1" x14ac:dyDescent="0.35">
      <c r="D149"/>
      <c r="E149"/>
    </row>
    <row r="150" spans="4:5" hidden="1" x14ac:dyDescent="0.35">
      <c r="D150"/>
      <c r="E150"/>
    </row>
    <row r="151" spans="4:5" hidden="1" x14ac:dyDescent="0.35">
      <c r="D151"/>
      <c r="E151"/>
    </row>
    <row r="152" spans="4:5" hidden="1" x14ac:dyDescent="0.35">
      <c r="D152"/>
      <c r="E152"/>
    </row>
    <row r="153" spans="4:5" hidden="1" x14ac:dyDescent="0.35">
      <c r="D153"/>
      <c r="E153"/>
    </row>
    <row r="154" spans="4:5" hidden="1" x14ac:dyDescent="0.35">
      <c r="D154"/>
      <c r="E154"/>
    </row>
    <row r="155" spans="4:5" hidden="1" x14ac:dyDescent="0.35">
      <c r="D155"/>
      <c r="E155"/>
    </row>
    <row r="156" spans="4:5" hidden="1" x14ac:dyDescent="0.35">
      <c r="D156"/>
      <c r="E156"/>
    </row>
    <row r="157" spans="4:5" hidden="1" x14ac:dyDescent="0.35">
      <c r="D157"/>
      <c r="E157"/>
    </row>
    <row r="158" spans="4:5" hidden="1" x14ac:dyDescent="0.35">
      <c r="D158"/>
      <c r="E158"/>
    </row>
    <row r="159" spans="4:5" hidden="1" x14ac:dyDescent="0.35">
      <c r="D159"/>
      <c r="E159"/>
    </row>
    <row r="160" spans="4:5" hidden="1" x14ac:dyDescent="0.35">
      <c r="D160"/>
      <c r="E160"/>
    </row>
    <row r="161" spans="4:5" hidden="1" x14ac:dyDescent="0.35">
      <c r="D161"/>
      <c r="E161"/>
    </row>
    <row r="162" spans="4:5" hidden="1" x14ac:dyDescent="0.35">
      <c r="D162"/>
      <c r="E162"/>
    </row>
    <row r="163" spans="4:5" hidden="1" x14ac:dyDescent="0.35">
      <c r="D163"/>
      <c r="E163"/>
    </row>
    <row r="164" spans="4:5" hidden="1" x14ac:dyDescent="0.35">
      <c r="D164"/>
      <c r="E164"/>
    </row>
    <row r="165" spans="4:5" hidden="1" x14ac:dyDescent="0.35">
      <c r="D165"/>
      <c r="E165"/>
    </row>
    <row r="166" spans="4:5" hidden="1" x14ac:dyDescent="0.35">
      <c r="D166"/>
      <c r="E166"/>
    </row>
    <row r="167" spans="4:5" hidden="1" x14ac:dyDescent="0.35">
      <c r="D167"/>
      <c r="E167"/>
    </row>
    <row r="168" spans="4:5" hidden="1" x14ac:dyDescent="0.35">
      <c r="D168"/>
      <c r="E168"/>
    </row>
    <row r="169" spans="4:5" hidden="1" x14ac:dyDescent="0.35">
      <c r="D169"/>
      <c r="E169"/>
    </row>
    <row r="170" spans="4:5" hidden="1" x14ac:dyDescent="0.35">
      <c r="D170"/>
      <c r="E170"/>
    </row>
    <row r="171" spans="4:5" hidden="1" x14ac:dyDescent="0.35">
      <c r="D171"/>
      <c r="E171"/>
    </row>
    <row r="172" spans="4:5" hidden="1" x14ac:dyDescent="0.35">
      <c r="D172"/>
      <c r="E172"/>
    </row>
    <row r="173" spans="4:5" hidden="1" x14ac:dyDescent="0.35">
      <c r="D173"/>
      <c r="E173"/>
    </row>
    <row r="174" spans="4:5" hidden="1" x14ac:dyDescent="0.35">
      <c r="D174"/>
      <c r="E174"/>
    </row>
    <row r="175" spans="4:5" hidden="1" x14ac:dyDescent="0.35">
      <c r="D175"/>
      <c r="E175"/>
    </row>
    <row r="176" spans="4:5" hidden="1" x14ac:dyDescent="0.35">
      <c r="D176"/>
      <c r="E176"/>
    </row>
    <row r="177" spans="4:5" hidden="1" x14ac:dyDescent="0.35">
      <c r="D177"/>
      <c r="E177"/>
    </row>
    <row r="178" spans="4:5" hidden="1" x14ac:dyDescent="0.35">
      <c r="D178"/>
      <c r="E178"/>
    </row>
    <row r="179" spans="4:5" hidden="1" x14ac:dyDescent="0.35">
      <c r="D179"/>
      <c r="E179"/>
    </row>
    <row r="180" spans="4:5" hidden="1" x14ac:dyDescent="0.35">
      <c r="D180"/>
      <c r="E180"/>
    </row>
    <row r="181" spans="4:5" hidden="1" x14ac:dyDescent="0.35">
      <c r="D181"/>
      <c r="E181"/>
    </row>
    <row r="182" spans="4:5" hidden="1" x14ac:dyDescent="0.35">
      <c r="D182"/>
      <c r="E182"/>
    </row>
    <row r="183" spans="4:5" hidden="1" x14ac:dyDescent="0.35">
      <c r="D183"/>
      <c r="E183"/>
    </row>
    <row r="184" spans="4:5" hidden="1" x14ac:dyDescent="0.35">
      <c r="D184"/>
      <c r="E184"/>
    </row>
    <row r="185" spans="4:5" hidden="1" x14ac:dyDescent="0.35">
      <c r="D185"/>
      <c r="E185"/>
    </row>
    <row r="186" spans="4:5" hidden="1" x14ac:dyDescent="0.35">
      <c r="D186"/>
      <c r="E186"/>
    </row>
    <row r="187" spans="4:5" hidden="1" x14ac:dyDescent="0.35">
      <c r="D187"/>
      <c r="E187"/>
    </row>
    <row r="188" spans="4:5" hidden="1" x14ac:dyDescent="0.35">
      <c r="D188"/>
      <c r="E188"/>
    </row>
    <row r="189" spans="4:5" hidden="1" x14ac:dyDescent="0.35">
      <c r="D189"/>
      <c r="E189"/>
    </row>
    <row r="190" spans="4:5" hidden="1" x14ac:dyDescent="0.35">
      <c r="D190"/>
      <c r="E190"/>
    </row>
    <row r="191" spans="4:5" hidden="1" x14ac:dyDescent="0.35">
      <c r="D191"/>
      <c r="E191"/>
    </row>
    <row r="192" spans="4:5" hidden="1" x14ac:dyDescent="0.35">
      <c r="D192"/>
      <c r="E192"/>
    </row>
    <row r="193" spans="4:5" hidden="1" x14ac:dyDescent="0.35">
      <c r="D193"/>
      <c r="E193"/>
    </row>
    <row r="194" spans="4:5" hidden="1" x14ac:dyDescent="0.35">
      <c r="D194"/>
      <c r="E194"/>
    </row>
    <row r="195" spans="4:5" hidden="1" x14ac:dyDescent="0.35">
      <c r="D195"/>
      <c r="E195"/>
    </row>
    <row r="196" spans="4:5" hidden="1" x14ac:dyDescent="0.35">
      <c r="D196"/>
      <c r="E196"/>
    </row>
    <row r="197" spans="4:5" hidden="1" x14ac:dyDescent="0.35">
      <c r="D197"/>
      <c r="E197"/>
    </row>
    <row r="198" spans="4:5" hidden="1" x14ac:dyDescent="0.35">
      <c r="D198"/>
      <c r="E198"/>
    </row>
    <row r="199" spans="4:5" hidden="1" x14ac:dyDescent="0.35">
      <c r="D199"/>
      <c r="E199"/>
    </row>
    <row r="200" spans="4:5" hidden="1" x14ac:dyDescent="0.35">
      <c r="D200"/>
      <c r="E200"/>
    </row>
    <row r="201" spans="4:5" hidden="1" x14ac:dyDescent="0.35">
      <c r="D201"/>
      <c r="E201"/>
    </row>
    <row r="202" spans="4:5" hidden="1" x14ac:dyDescent="0.35">
      <c r="D202"/>
      <c r="E202"/>
    </row>
    <row r="203" spans="4:5" hidden="1" x14ac:dyDescent="0.35">
      <c r="D203"/>
      <c r="E203"/>
    </row>
    <row r="204" spans="4:5" hidden="1" x14ac:dyDescent="0.35">
      <c r="D204"/>
      <c r="E204"/>
    </row>
    <row r="205" spans="4:5" hidden="1" x14ac:dyDescent="0.35">
      <c r="D205"/>
      <c r="E205"/>
    </row>
    <row r="206" spans="4:5" hidden="1" x14ac:dyDescent="0.35">
      <c r="D206"/>
      <c r="E206"/>
    </row>
    <row r="207" spans="4:5" hidden="1" x14ac:dyDescent="0.35">
      <c r="D207"/>
      <c r="E207"/>
    </row>
    <row r="208" spans="4:5" hidden="1" x14ac:dyDescent="0.35">
      <c r="D208"/>
      <c r="E208"/>
    </row>
    <row r="209" spans="4:5" hidden="1" x14ac:dyDescent="0.35">
      <c r="D209"/>
      <c r="E209"/>
    </row>
    <row r="210" spans="4:5" hidden="1" x14ac:dyDescent="0.35">
      <c r="D210"/>
      <c r="E210"/>
    </row>
    <row r="211" spans="4:5" hidden="1" x14ac:dyDescent="0.35">
      <c r="D211"/>
      <c r="E211"/>
    </row>
    <row r="212" spans="4:5" hidden="1" x14ac:dyDescent="0.35">
      <c r="D212"/>
      <c r="E212"/>
    </row>
    <row r="213" spans="4:5" hidden="1" x14ac:dyDescent="0.35">
      <c r="D213"/>
      <c r="E213"/>
    </row>
    <row r="214" spans="4:5" hidden="1" x14ac:dyDescent="0.35">
      <c r="D214"/>
      <c r="E214"/>
    </row>
    <row r="215" spans="4:5" hidden="1" x14ac:dyDescent="0.35">
      <c r="D215"/>
      <c r="E215"/>
    </row>
    <row r="216" spans="4:5" hidden="1" x14ac:dyDescent="0.35">
      <c r="D216"/>
      <c r="E216"/>
    </row>
    <row r="217" spans="4:5" hidden="1" x14ac:dyDescent="0.35">
      <c r="D217"/>
      <c r="E217"/>
    </row>
    <row r="218" spans="4:5" hidden="1" x14ac:dyDescent="0.35">
      <c r="D218"/>
      <c r="E218"/>
    </row>
    <row r="219" spans="4:5" hidden="1" x14ac:dyDescent="0.35">
      <c r="D219"/>
      <c r="E219"/>
    </row>
    <row r="220" spans="4:5" hidden="1" x14ac:dyDescent="0.35">
      <c r="D220"/>
      <c r="E220"/>
    </row>
    <row r="221" spans="4:5" hidden="1" x14ac:dyDescent="0.35">
      <c r="D221"/>
      <c r="E221"/>
    </row>
    <row r="222" spans="4:5" hidden="1" x14ac:dyDescent="0.35">
      <c r="D222"/>
      <c r="E222"/>
    </row>
    <row r="223" spans="4:5" hidden="1" x14ac:dyDescent="0.35">
      <c r="D223"/>
      <c r="E223"/>
    </row>
    <row r="224" spans="4:5" hidden="1" x14ac:dyDescent="0.35">
      <c r="D224"/>
      <c r="E224"/>
    </row>
    <row r="225" spans="4:5" hidden="1" x14ac:dyDescent="0.35">
      <c r="D225"/>
      <c r="E225"/>
    </row>
    <row r="226" spans="4:5" hidden="1" x14ac:dyDescent="0.35">
      <c r="D226"/>
      <c r="E226"/>
    </row>
    <row r="227" spans="4:5" hidden="1" x14ac:dyDescent="0.35">
      <c r="D227"/>
      <c r="E227"/>
    </row>
    <row r="228" spans="4:5" hidden="1" x14ac:dyDescent="0.35">
      <c r="D228"/>
      <c r="E228"/>
    </row>
    <row r="229" spans="4:5" hidden="1" x14ac:dyDescent="0.35">
      <c r="D229"/>
      <c r="E229"/>
    </row>
    <row r="230" spans="4:5" hidden="1" x14ac:dyDescent="0.35">
      <c r="D230"/>
      <c r="E230"/>
    </row>
    <row r="231" spans="4:5" hidden="1" x14ac:dyDescent="0.35">
      <c r="D231"/>
      <c r="E231"/>
    </row>
    <row r="232" spans="4:5" hidden="1" x14ac:dyDescent="0.35">
      <c r="D232"/>
      <c r="E232"/>
    </row>
    <row r="233" spans="4:5" hidden="1" x14ac:dyDescent="0.35">
      <c r="D233"/>
      <c r="E233"/>
    </row>
    <row r="234" spans="4:5" hidden="1" x14ac:dyDescent="0.35">
      <c r="D234"/>
      <c r="E234"/>
    </row>
    <row r="235" spans="4:5" hidden="1" x14ac:dyDescent="0.35">
      <c r="D235"/>
      <c r="E235"/>
    </row>
    <row r="236" spans="4:5" hidden="1" x14ac:dyDescent="0.35">
      <c r="D236"/>
      <c r="E236"/>
    </row>
    <row r="237" spans="4:5" hidden="1" x14ac:dyDescent="0.35">
      <c r="D237"/>
      <c r="E237"/>
    </row>
    <row r="238" spans="4:5" hidden="1" x14ac:dyDescent="0.35">
      <c r="D238"/>
      <c r="E238"/>
    </row>
    <row r="239" spans="4:5" hidden="1" x14ac:dyDescent="0.35">
      <c r="D239"/>
      <c r="E239"/>
    </row>
    <row r="240" spans="4:5" hidden="1" x14ac:dyDescent="0.35">
      <c r="D240"/>
      <c r="E240"/>
    </row>
    <row r="241" spans="4:5" hidden="1" x14ac:dyDescent="0.35">
      <c r="D241"/>
      <c r="E241"/>
    </row>
    <row r="242" spans="4:5" hidden="1" x14ac:dyDescent="0.35">
      <c r="D242"/>
      <c r="E242"/>
    </row>
    <row r="243" spans="4:5" hidden="1" x14ac:dyDescent="0.35">
      <c r="D243"/>
      <c r="E243"/>
    </row>
    <row r="244" spans="4:5" hidden="1" x14ac:dyDescent="0.35">
      <c r="D244"/>
      <c r="E244"/>
    </row>
    <row r="245" spans="4:5" hidden="1" x14ac:dyDescent="0.35">
      <c r="D245"/>
      <c r="E245"/>
    </row>
    <row r="246" spans="4:5" hidden="1" x14ac:dyDescent="0.35">
      <c r="D246"/>
      <c r="E246"/>
    </row>
    <row r="247" spans="4:5" hidden="1" x14ac:dyDescent="0.35">
      <c r="D247"/>
      <c r="E247"/>
    </row>
    <row r="248" spans="4:5" hidden="1" x14ac:dyDescent="0.35">
      <c r="D248"/>
      <c r="E248"/>
    </row>
    <row r="249" spans="4:5" hidden="1" x14ac:dyDescent="0.35">
      <c r="D249"/>
      <c r="E249"/>
    </row>
    <row r="250" spans="4:5" hidden="1" x14ac:dyDescent="0.35">
      <c r="D250"/>
      <c r="E250"/>
    </row>
    <row r="251" spans="4:5" hidden="1" x14ac:dyDescent="0.35">
      <c r="D251"/>
      <c r="E251"/>
    </row>
    <row r="252" spans="4:5" hidden="1" x14ac:dyDescent="0.35">
      <c r="D252"/>
      <c r="E252"/>
    </row>
    <row r="253" spans="4:5" hidden="1" x14ac:dyDescent="0.35">
      <c r="D253"/>
      <c r="E253"/>
    </row>
    <row r="254" spans="4:5" hidden="1" x14ac:dyDescent="0.35">
      <c r="D254"/>
      <c r="E254"/>
    </row>
    <row r="255" spans="4:5" hidden="1" x14ac:dyDescent="0.35">
      <c r="D255"/>
      <c r="E255"/>
    </row>
    <row r="256" spans="4:5" hidden="1" x14ac:dyDescent="0.35">
      <c r="D256"/>
      <c r="E256"/>
    </row>
    <row r="257" spans="4:5" hidden="1" x14ac:dyDescent="0.35">
      <c r="D257"/>
      <c r="E257"/>
    </row>
    <row r="258" spans="4:5" hidden="1" x14ac:dyDescent="0.35">
      <c r="D258"/>
      <c r="E258"/>
    </row>
    <row r="259" spans="4:5" hidden="1" x14ac:dyDescent="0.35">
      <c r="D259"/>
      <c r="E259"/>
    </row>
    <row r="260" spans="4:5" hidden="1" x14ac:dyDescent="0.35">
      <c r="D260"/>
      <c r="E260"/>
    </row>
    <row r="261" spans="4:5" hidden="1" x14ac:dyDescent="0.35">
      <c r="D261"/>
      <c r="E261"/>
    </row>
    <row r="262" spans="4:5" hidden="1" x14ac:dyDescent="0.35">
      <c r="D262"/>
      <c r="E262"/>
    </row>
    <row r="263" spans="4:5" hidden="1" x14ac:dyDescent="0.35">
      <c r="D263"/>
      <c r="E263"/>
    </row>
    <row r="264" spans="4:5" hidden="1" x14ac:dyDescent="0.35">
      <c r="D264"/>
      <c r="E264"/>
    </row>
    <row r="265" spans="4:5" hidden="1" x14ac:dyDescent="0.35">
      <c r="D265"/>
      <c r="E265"/>
    </row>
    <row r="266" spans="4:5" hidden="1" x14ac:dyDescent="0.35">
      <c r="D266"/>
      <c r="E266"/>
    </row>
    <row r="267" spans="4:5" hidden="1" x14ac:dyDescent="0.35">
      <c r="D267"/>
      <c r="E267"/>
    </row>
    <row r="268" spans="4:5" hidden="1" x14ac:dyDescent="0.35">
      <c r="D268"/>
      <c r="E268"/>
    </row>
    <row r="269" spans="4:5" hidden="1" x14ac:dyDescent="0.35">
      <c r="D269"/>
      <c r="E269"/>
    </row>
    <row r="270" spans="4:5" hidden="1" x14ac:dyDescent="0.35">
      <c r="D270"/>
      <c r="E270"/>
    </row>
    <row r="271" spans="4:5" hidden="1" x14ac:dyDescent="0.35">
      <c r="D271"/>
      <c r="E271"/>
    </row>
    <row r="272" spans="4:5" hidden="1" x14ac:dyDescent="0.35">
      <c r="D272"/>
      <c r="E272"/>
    </row>
    <row r="273" spans="4:5" hidden="1" x14ac:dyDescent="0.35">
      <c r="D273"/>
      <c r="E273"/>
    </row>
    <row r="274" spans="4:5" hidden="1" x14ac:dyDescent="0.35">
      <c r="D274"/>
      <c r="E274"/>
    </row>
    <row r="275" spans="4:5" hidden="1" x14ac:dyDescent="0.35">
      <c r="D275"/>
      <c r="E275"/>
    </row>
    <row r="276" spans="4:5" hidden="1" x14ac:dyDescent="0.35">
      <c r="D276"/>
      <c r="E276"/>
    </row>
    <row r="277" spans="4:5" hidden="1" x14ac:dyDescent="0.35">
      <c r="D277"/>
      <c r="E277"/>
    </row>
    <row r="278" spans="4:5" hidden="1" x14ac:dyDescent="0.35">
      <c r="D278"/>
      <c r="E278"/>
    </row>
    <row r="279" spans="4:5" hidden="1" x14ac:dyDescent="0.35">
      <c r="D279"/>
      <c r="E279"/>
    </row>
    <row r="280" spans="4:5" hidden="1" x14ac:dyDescent="0.35">
      <c r="D280"/>
      <c r="E280"/>
    </row>
    <row r="281" spans="4:5" hidden="1" x14ac:dyDescent="0.35">
      <c r="D281"/>
      <c r="E281"/>
    </row>
    <row r="282" spans="4:5" hidden="1" x14ac:dyDescent="0.35">
      <c r="D282"/>
      <c r="E282"/>
    </row>
    <row r="283" spans="4:5" hidden="1" x14ac:dyDescent="0.35">
      <c r="D283"/>
      <c r="E283"/>
    </row>
    <row r="284" spans="4:5" hidden="1" x14ac:dyDescent="0.35">
      <c r="D284"/>
      <c r="E284"/>
    </row>
    <row r="285" spans="4:5" hidden="1" x14ac:dyDescent="0.35">
      <c r="D285"/>
      <c r="E285"/>
    </row>
    <row r="286" spans="4:5" hidden="1" x14ac:dyDescent="0.35">
      <c r="D286"/>
      <c r="E286"/>
    </row>
    <row r="287" spans="4:5" hidden="1" x14ac:dyDescent="0.35">
      <c r="D287"/>
      <c r="E287"/>
    </row>
    <row r="288" spans="4:5" hidden="1" x14ac:dyDescent="0.35">
      <c r="D288"/>
      <c r="E288"/>
    </row>
    <row r="289" spans="4:5" hidden="1" x14ac:dyDescent="0.35">
      <c r="D289"/>
      <c r="E289"/>
    </row>
    <row r="290" spans="4:5" hidden="1" x14ac:dyDescent="0.35">
      <c r="D290"/>
      <c r="E290"/>
    </row>
    <row r="291" spans="4:5" hidden="1" x14ac:dyDescent="0.35">
      <c r="D291"/>
      <c r="E291"/>
    </row>
    <row r="292" spans="4:5" hidden="1" x14ac:dyDescent="0.35">
      <c r="D292"/>
      <c r="E292"/>
    </row>
    <row r="293" spans="4:5" hidden="1" x14ac:dyDescent="0.35">
      <c r="D293"/>
      <c r="E293"/>
    </row>
    <row r="294" spans="4:5" hidden="1" x14ac:dyDescent="0.35">
      <c r="D294"/>
      <c r="E294"/>
    </row>
    <row r="295" spans="4:5" hidden="1" x14ac:dyDescent="0.35">
      <c r="D295"/>
      <c r="E295"/>
    </row>
    <row r="296" spans="4:5" hidden="1" x14ac:dyDescent="0.35">
      <c r="D296"/>
      <c r="E296"/>
    </row>
    <row r="297" spans="4:5" hidden="1" x14ac:dyDescent="0.35">
      <c r="D297"/>
      <c r="E297"/>
    </row>
    <row r="298" spans="4:5" hidden="1" x14ac:dyDescent="0.35">
      <c r="D298"/>
      <c r="E298"/>
    </row>
    <row r="299" spans="4:5" hidden="1" x14ac:dyDescent="0.35">
      <c r="D299"/>
      <c r="E299"/>
    </row>
    <row r="300" spans="4:5" hidden="1" x14ac:dyDescent="0.35">
      <c r="D300"/>
      <c r="E300"/>
    </row>
    <row r="301" spans="4:5" hidden="1" x14ac:dyDescent="0.35">
      <c r="D301"/>
      <c r="E301"/>
    </row>
    <row r="302" spans="4:5" hidden="1" x14ac:dyDescent="0.35">
      <c r="D302"/>
      <c r="E302"/>
    </row>
    <row r="303" spans="4:5" hidden="1" x14ac:dyDescent="0.35">
      <c r="D303"/>
      <c r="E303"/>
    </row>
    <row r="304" spans="4:5" hidden="1" x14ac:dyDescent="0.35">
      <c r="D304"/>
      <c r="E304"/>
    </row>
    <row r="305" spans="4:5" hidden="1" x14ac:dyDescent="0.35">
      <c r="D305"/>
      <c r="E305"/>
    </row>
    <row r="306" spans="4:5" hidden="1" x14ac:dyDescent="0.35">
      <c r="D306"/>
      <c r="E306"/>
    </row>
    <row r="307" spans="4:5" hidden="1" x14ac:dyDescent="0.35">
      <c r="D307"/>
      <c r="E307"/>
    </row>
    <row r="308" spans="4:5" hidden="1" x14ac:dyDescent="0.35">
      <c r="D308"/>
      <c r="E308"/>
    </row>
    <row r="309" spans="4:5" hidden="1" x14ac:dyDescent="0.35">
      <c r="D309"/>
      <c r="E309"/>
    </row>
    <row r="310" spans="4:5" hidden="1" x14ac:dyDescent="0.35">
      <c r="D310"/>
      <c r="E310"/>
    </row>
    <row r="311" spans="4:5" hidden="1" x14ac:dyDescent="0.35">
      <c r="D311"/>
      <c r="E311"/>
    </row>
    <row r="312" spans="4:5" hidden="1" x14ac:dyDescent="0.35">
      <c r="D312"/>
      <c r="E312"/>
    </row>
    <row r="313" spans="4:5" hidden="1" x14ac:dyDescent="0.35">
      <c r="D313"/>
      <c r="E313"/>
    </row>
    <row r="314" spans="4:5" hidden="1" x14ac:dyDescent="0.35">
      <c r="D314"/>
      <c r="E314"/>
    </row>
    <row r="315" spans="4:5" hidden="1" x14ac:dyDescent="0.35">
      <c r="D315"/>
      <c r="E315"/>
    </row>
    <row r="316" spans="4:5" hidden="1" x14ac:dyDescent="0.35">
      <c r="D316"/>
      <c r="E316"/>
    </row>
    <row r="317" spans="4:5" hidden="1" x14ac:dyDescent="0.35">
      <c r="D317"/>
      <c r="E317"/>
    </row>
    <row r="318" spans="4:5" hidden="1" x14ac:dyDescent="0.35">
      <c r="D318"/>
      <c r="E318"/>
    </row>
    <row r="319" spans="4:5" hidden="1" x14ac:dyDescent="0.35">
      <c r="D319"/>
      <c r="E319"/>
    </row>
    <row r="320" spans="4:5" hidden="1" x14ac:dyDescent="0.35">
      <c r="D320"/>
      <c r="E320"/>
    </row>
    <row r="321" spans="4:5" hidden="1" x14ac:dyDescent="0.35">
      <c r="D321"/>
      <c r="E321"/>
    </row>
    <row r="322" spans="4:5" hidden="1" x14ac:dyDescent="0.35">
      <c r="D322"/>
      <c r="E322"/>
    </row>
    <row r="323" spans="4:5" hidden="1" x14ac:dyDescent="0.35">
      <c r="D323"/>
      <c r="E323"/>
    </row>
    <row r="324" spans="4:5" hidden="1" x14ac:dyDescent="0.35">
      <c r="D324"/>
      <c r="E324"/>
    </row>
    <row r="325" spans="4:5" hidden="1" x14ac:dyDescent="0.35">
      <c r="D325"/>
      <c r="E325"/>
    </row>
    <row r="326" spans="4:5" hidden="1" x14ac:dyDescent="0.35">
      <c r="D326"/>
      <c r="E326"/>
    </row>
    <row r="327" spans="4:5" hidden="1" x14ac:dyDescent="0.35">
      <c r="D327"/>
      <c r="E327"/>
    </row>
    <row r="328" spans="4:5" hidden="1" x14ac:dyDescent="0.35">
      <c r="D328"/>
      <c r="E328"/>
    </row>
    <row r="329" spans="4:5" hidden="1" x14ac:dyDescent="0.35">
      <c r="D329"/>
      <c r="E329"/>
    </row>
    <row r="330" spans="4:5" hidden="1" x14ac:dyDescent="0.35">
      <c r="D330"/>
      <c r="E330"/>
    </row>
    <row r="331" spans="4:5" hidden="1" x14ac:dyDescent="0.35">
      <c r="D331"/>
      <c r="E331"/>
    </row>
    <row r="332" spans="4:5" hidden="1" x14ac:dyDescent="0.35">
      <c r="D332"/>
      <c r="E332"/>
    </row>
    <row r="333" spans="4:5" hidden="1" x14ac:dyDescent="0.35">
      <c r="D333"/>
      <c r="E333"/>
    </row>
    <row r="334" spans="4:5" hidden="1" x14ac:dyDescent="0.35">
      <c r="D334"/>
      <c r="E334"/>
    </row>
    <row r="335" spans="4:5" hidden="1" x14ac:dyDescent="0.35">
      <c r="D335"/>
      <c r="E335"/>
    </row>
    <row r="336" spans="4:5" hidden="1" x14ac:dyDescent="0.35">
      <c r="D336"/>
      <c r="E336"/>
    </row>
    <row r="337" spans="4:5" hidden="1" x14ac:dyDescent="0.35">
      <c r="D337"/>
      <c r="E337"/>
    </row>
    <row r="338" spans="4:5" hidden="1" x14ac:dyDescent="0.35">
      <c r="D338"/>
      <c r="E338"/>
    </row>
    <row r="339" spans="4:5" hidden="1" x14ac:dyDescent="0.35">
      <c r="D339"/>
      <c r="E339"/>
    </row>
    <row r="340" spans="4:5" hidden="1" x14ac:dyDescent="0.35">
      <c r="D340"/>
      <c r="E340"/>
    </row>
    <row r="341" spans="4:5" hidden="1" x14ac:dyDescent="0.35">
      <c r="D341"/>
      <c r="E341"/>
    </row>
    <row r="342" spans="4:5" hidden="1" x14ac:dyDescent="0.35">
      <c r="D342"/>
      <c r="E342"/>
    </row>
    <row r="343" spans="4:5" hidden="1" x14ac:dyDescent="0.35">
      <c r="D343"/>
      <c r="E343"/>
    </row>
    <row r="344" spans="4:5" hidden="1" x14ac:dyDescent="0.35">
      <c r="D344"/>
      <c r="E344"/>
    </row>
    <row r="345" spans="4:5" hidden="1" x14ac:dyDescent="0.35">
      <c r="D345"/>
      <c r="E345"/>
    </row>
    <row r="346" spans="4:5" hidden="1" x14ac:dyDescent="0.35">
      <c r="D346"/>
      <c r="E346"/>
    </row>
    <row r="347" spans="4:5" hidden="1" x14ac:dyDescent="0.35">
      <c r="D347"/>
      <c r="E347"/>
    </row>
    <row r="348" spans="4:5" hidden="1" x14ac:dyDescent="0.35">
      <c r="D348"/>
      <c r="E348"/>
    </row>
    <row r="349" spans="4:5" hidden="1" x14ac:dyDescent="0.35">
      <c r="D349"/>
      <c r="E349"/>
    </row>
    <row r="350" spans="4:5" hidden="1" x14ac:dyDescent="0.35">
      <c r="D350"/>
      <c r="E350"/>
    </row>
    <row r="351" spans="4:5" hidden="1" x14ac:dyDescent="0.35">
      <c r="D351"/>
      <c r="E351"/>
    </row>
    <row r="352" spans="4:5" hidden="1" x14ac:dyDescent="0.35">
      <c r="D352"/>
      <c r="E352"/>
    </row>
    <row r="353" spans="4:5" hidden="1" x14ac:dyDescent="0.35">
      <c r="D353"/>
      <c r="E353"/>
    </row>
    <row r="354" spans="4:5" hidden="1" x14ac:dyDescent="0.35">
      <c r="D354"/>
      <c r="E354"/>
    </row>
    <row r="355" spans="4:5" hidden="1" x14ac:dyDescent="0.35">
      <c r="D355"/>
      <c r="E355"/>
    </row>
    <row r="356" spans="4:5" hidden="1" x14ac:dyDescent="0.35">
      <c r="D356"/>
      <c r="E356"/>
    </row>
    <row r="357" spans="4:5" hidden="1" x14ac:dyDescent="0.35">
      <c r="D357"/>
      <c r="E357"/>
    </row>
    <row r="358" spans="4:5" hidden="1" x14ac:dyDescent="0.35">
      <c r="D358"/>
      <c r="E358"/>
    </row>
    <row r="359" spans="4:5" hidden="1" x14ac:dyDescent="0.35">
      <c r="D359"/>
      <c r="E359"/>
    </row>
    <row r="360" spans="4:5" hidden="1" x14ac:dyDescent="0.35">
      <c r="D360"/>
      <c r="E360"/>
    </row>
    <row r="361" spans="4:5" hidden="1" x14ac:dyDescent="0.35">
      <c r="D361"/>
      <c r="E361"/>
    </row>
    <row r="362" spans="4:5" hidden="1" x14ac:dyDescent="0.35">
      <c r="D362"/>
      <c r="E362"/>
    </row>
    <row r="363" spans="4:5" hidden="1" x14ac:dyDescent="0.35">
      <c r="D363"/>
      <c r="E363"/>
    </row>
    <row r="364" spans="4:5" hidden="1" x14ac:dyDescent="0.35">
      <c r="D364"/>
      <c r="E364"/>
    </row>
    <row r="365" spans="4:5" hidden="1" x14ac:dyDescent="0.35">
      <c r="D365"/>
      <c r="E365"/>
    </row>
    <row r="366" spans="4:5" hidden="1" x14ac:dyDescent="0.35">
      <c r="D366"/>
      <c r="E366"/>
    </row>
    <row r="367" spans="4:5" hidden="1" x14ac:dyDescent="0.35">
      <c r="D367"/>
      <c r="E367"/>
    </row>
    <row r="368" spans="4:5" hidden="1" x14ac:dyDescent="0.35">
      <c r="D368"/>
      <c r="E368"/>
    </row>
    <row r="369" spans="4:5" hidden="1" x14ac:dyDescent="0.35">
      <c r="D369"/>
      <c r="E369"/>
    </row>
    <row r="370" spans="4:5" hidden="1" x14ac:dyDescent="0.35">
      <c r="D370"/>
      <c r="E370"/>
    </row>
    <row r="371" spans="4:5" hidden="1" x14ac:dyDescent="0.35">
      <c r="D371"/>
      <c r="E371"/>
    </row>
    <row r="372" spans="4:5" hidden="1" x14ac:dyDescent="0.35">
      <c r="D372"/>
      <c r="E372"/>
    </row>
    <row r="373" spans="4:5" hidden="1" x14ac:dyDescent="0.35">
      <c r="D373"/>
      <c r="E373"/>
    </row>
    <row r="374" spans="4:5" hidden="1" x14ac:dyDescent="0.35">
      <c r="D374"/>
      <c r="E374"/>
    </row>
    <row r="375" spans="4:5" hidden="1" x14ac:dyDescent="0.35">
      <c r="D375"/>
      <c r="E375"/>
    </row>
    <row r="376" spans="4:5" hidden="1" x14ac:dyDescent="0.35">
      <c r="D376"/>
      <c r="E376"/>
    </row>
    <row r="377" spans="4:5" hidden="1" x14ac:dyDescent="0.35">
      <c r="D377"/>
      <c r="E377"/>
    </row>
    <row r="378" spans="4:5" hidden="1" x14ac:dyDescent="0.35">
      <c r="D378"/>
      <c r="E378"/>
    </row>
    <row r="379" spans="4:5" hidden="1" x14ac:dyDescent="0.35">
      <c r="D379"/>
      <c r="E379"/>
    </row>
    <row r="380" spans="4:5" hidden="1" x14ac:dyDescent="0.35">
      <c r="D380"/>
      <c r="E380"/>
    </row>
    <row r="381" spans="4:5" hidden="1" x14ac:dyDescent="0.35">
      <c r="D381"/>
      <c r="E381"/>
    </row>
    <row r="382" spans="4:5" hidden="1" x14ac:dyDescent="0.35">
      <c r="D382"/>
      <c r="E382"/>
    </row>
    <row r="383" spans="4:5" hidden="1" x14ac:dyDescent="0.35">
      <c r="D383"/>
      <c r="E383"/>
    </row>
    <row r="384" spans="4:5" hidden="1" x14ac:dyDescent="0.35">
      <c r="D384"/>
      <c r="E384"/>
    </row>
    <row r="385" spans="4:5" hidden="1" x14ac:dyDescent="0.35">
      <c r="D385"/>
      <c r="E385"/>
    </row>
    <row r="386" spans="4:5" hidden="1" x14ac:dyDescent="0.35">
      <c r="D386"/>
      <c r="E386"/>
    </row>
    <row r="387" spans="4:5" hidden="1" x14ac:dyDescent="0.35">
      <c r="D387"/>
      <c r="E387"/>
    </row>
    <row r="388" spans="4:5" hidden="1" x14ac:dyDescent="0.35">
      <c r="D388"/>
      <c r="E388"/>
    </row>
    <row r="389" spans="4:5" hidden="1" x14ac:dyDescent="0.35">
      <c r="D389"/>
      <c r="E389"/>
    </row>
    <row r="390" spans="4:5" hidden="1" x14ac:dyDescent="0.35">
      <c r="D390"/>
      <c r="E390"/>
    </row>
    <row r="391" spans="4:5" hidden="1" x14ac:dyDescent="0.35">
      <c r="D391"/>
      <c r="E391"/>
    </row>
    <row r="392" spans="4:5" hidden="1" x14ac:dyDescent="0.35">
      <c r="D392"/>
      <c r="E392"/>
    </row>
    <row r="393" spans="4:5" hidden="1" x14ac:dyDescent="0.35">
      <c r="D393"/>
      <c r="E393"/>
    </row>
    <row r="394" spans="4:5" hidden="1" x14ac:dyDescent="0.35">
      <c r="D394"/>
      <c r="E394"/>
    </row>
    <row r="395" spans="4:5" hidden="1" x14ac:dyDescent="0.35">
      <c r="D395"/>
      <c r="E395"/>
    </row>
    <row r="396" spans="4:5" hidden="1" x14ac:dyDescent="0.35">
      <c r="D396"/>
      <c r="E396"/>
    </row>
    <row r="397" spans="4:5" hidden="1" x14ac:dyDescent="0.35">
      <c r="D397"/>
      <c r="E397"/>
    </row>
    <row r="398" spans="4:5" hidden="1" x14ac:dyDescent="0.35">
      <c r="D398"/>
      <c r="E398"/>
    </row>
    <row r="399" spans="4:5" hidden="1" x14ac:dyDescent="0.35">
      <c r="D399"/>
      <c r="E399"/>
    </row>
    <row r="400" spans="4:5" hidden="1" x14ac:dyDescent="0.35">
      <c r="D400"/>
      <c r="E400"/>
    </row>
    <row r="401" spans="4:5" hidden="1" x14ac:dyDescent="0.35">
      <c r="D401"/>
      <c r="E401"/>
    </row>
    <row r="402" spans="4:5" hidden="1" x14ac:dyDescent="0.35">
      <c r="D402"/>
      <c r="E402"/>
    </row>
    <row r="403" spans="4:5" hidden="1" x14ac:dyDescent="0.35">
      <c r="D403"/>
      <c r="E403"/>
    </row>
    <row r="404" spans="4:5" hidden="1" x14ac:dyDescent="0.35">
      <c r="D404"/>
      <c r="E404"/>
    </row>
    <row r="405" spans="4:5" hidden="1" x14ac:dyDescent="0.35">
      <c r="D405"/>
      <c r="E405"/>
    </row>
    <row r="406" spans="4:5" hidden="1" x14ac:dyDescent="0.35">
      <c r="D406"/>
      <c r="E406"/>
    </row>
    <row r="407" spans="4:5" hidden="1" x14ac:dyDescent="0.35">
      <c r="D407"/>
      <c r="E407"/>
    </row>
    <row r="408" spans="4:5" hidden="1" x14ac:dyDescent="0.35">
      <c r="D408"/>
      <c r="E408"/>
    </row>
    <row r="409" spans="4:5" hidden="1" x14ac:dyDescent="0.35">
      <c r="D409"/>
      <c r="E409"/>
    </row>
    <row r="410" spans="4:5" hidden="1" x14ac:dyDescent="0.35">
      <c r="D410"/>
      <c r="E410"/>
    </row>
    <row r="411" spans="4:5" hidden="1" x14ac:dyDescent="0.35">
      <c r="D411"/>
      <c r="E411"/>
    </row>
    <row r="412" spans="4:5" hidden="1" x14ac:dyDescent="0.35">
      <c r="D412"/>
      <c r="E412"/>
    </row>
    <row r="413" spans="4:5" hidden="1" x14ac:dyDescent="0.35">
      <c r="D413"/>
      <c r="E413"/>
    </row>
    <row r="414" spans="4:5" hidden="1" x14ac:dyDescent="0.35">
      <c r="D414"/>
      <c r="E414"/>
    </row>
    <row r="415" spans="4:5" hidden="1" x14ac:dyDescent="0.35">
      <c r="D415"/>
      <c r="E415"/>
    </row>
    <row r="416" spans="4:5" hidden="1" x14ac:dyDescent="0.35">
      <c r="D416"/>
      <c r="E416"/>
    </row>
    <row r="417" spans="4:5" hidden="1" x14ac:dyDescent="0.35">
      <c r="D417"/>
      <c r="E417"/>
    </row>
    <row r="418" spans="4:5" hidden="1" x14ac:dyDescent="0.35">
      <c r="D418"/>
      <c r="E418"/>
    </row>
    <row r="419" spans="4:5" hidden="1" x14ac:dyDescent="0.35">
      <c r="D419"/>
      <c r="E419"/>
    </row>
    <row r="420" spans="4:5" hidden="1" x14ac:dyDescent="0.35">
      <c r="D420"/>
      <c r="E420"/>
    </row>
    <row r="421" spans="4:5" hidden="1" x14ac:dyDescent="0.35">
      <c r="D421"/>
      <c r="E421"/>
    </row>
    <row r="422" spans="4:5" hidden="1" x14ac:dyDescent="0.35">
      <c r="D422"/>
      <c r="E422"/>
    </row>
    <row r="423" spans="4:5" hidden="1" x14ac:dyDescent="0.35">
      <c r="D423"/>
      <c r="E423"/>
    </row>
    <row r="424" spans="4:5" hidden="1" x14ac:dyDescent="0.35">
      <c r="D424"/>
      <c r="E424"/>
    </row>
    <row r="425" spans="4:5" hidden="1" x14ac:dyDescent="0.35">
      <c r="D425"/>
      <c r="E425"/>
    </row>
    <row r="426" spans="4:5" hidden="1" x14ac:dyDescent="0.35">
      <c r="D426"/>
      <c r="E426"/>
    </row>
    <row r="427" spans="4:5" hidden="1" x14ac:dyDescent="0.35">
      <c r="D427"/>
      <c r="E427"/>
    </row>
    <row r="428" spans="4:5" hidden="1" x14ac:dyDescent="0.35">
      <c r="D428"/>
      <c r="E428"/>
    </row>
    <row r="429" spans="4:5" hidden="1" x14ac:dyDescent="0.35">
      <c r="D429"/>
      <c r="E429"/>
    </row>
    <row r="430" spans="4:5" hidden="1" x14ac:dyDescent="0.35">
      <c r="D430"/>
      <c r="E430"/>
    </row>
    <row r="431" spans="4:5" hidden="1" x14ac:dyDescent="0.35">
      <c r="D431"/>
      <c r="E431"/>
    </row>
    <row r="432" spans="4:5" hidden="1" x14ac:dyDescent="0.35">
      <c r="D432"/>
      <c r="E432"/>
    </row>
    <row r="433" spans="4:5" hidden="1" x14ac:dyDescent="0.35">
      <c r="D433"/>
      <c r="E433"/>
    </row>
    <row r="434" spans="4:5" hidden="1" x14ac:dyDescent="0.35">
      <c r="D434"/>
      <c r="E434"/>
    </row>
    <row r="435" spans="4:5" hidden="1" x14ac:dyDescent="0.35">
      <c r="D435"/>
      <c r="E435"/>
    </row>
    <row r="436" spans="4:5" hidden="1" x14ac:dyDescent="0.35">
      <c r="D436"/>
      <c r="E436"/>
    </row>
    <row r="437" spans="4:5" hidden="1" x14ac:dyDescent="0.35">
      <c r="D437"/>
      <c r="E437"/>
    </row>
    <row r="438" spans="4:5" hidden="1" x14ac:dyDescent="0.35">
      <c r="D438"/>
      <c r="E438"/>
    </row>
    <row r="439" spans="4:5" hidden="1" x14ac:dyDescent="0.35">
      <c r="D439"/>
      <c r="E439"/>
    </row>
    <row r="440" spans="4:5" hidden="1" x14ac:dyDescent="0.35">
      <c r="D440"/>
      <c r="E440"/>
    </row>
    <row r="441" spans="4:5" hidden="1" x14ac:dyDescent="0.35">
      <c r="D441"/>
      <c r="E441"/>
    </row>
    <row r="442" spans="4:5" hidden="1" x14ac:dyDescent="0.35">
      <c r="D442"/>
      <c r="E442"/>
    </row>
    <row r="443" spans="4:5" hidden="1" x14ac:dyDescent="0.35">
      <c r="D443"/>
      <c r="E443"/>
    </row>
    <row r="444" spans="4:5" hidden="1" x14ac:dyDescent="0.35">
      <c r="D444"/>
      <c r="E444"/>
    </row>
    <row r="445" spans="4:5" hidden="1" x14ac:dyDescent="0.35">
      <c r="D445"/>
      <c r="E445"/>
    </row>
    <row r="446" spans="4:5" hidden="1" x14ac:dyDescent="0.35">
      <c r="D446"/>
      <c r="E446"/>
    </row>
    <row r="447" spans="4:5" hidden="1" x14ac:dyDescent="0.35">
      <c r="D447"/>
      <c r="E447"/>
    </row>
    <row r="448" spans="4:5" hidden="1" x14ac:dyDescent="0.35">
      <c r="D448"/>
      <c r="E448"/>
    </row>
    <row r="449" spans="4:5" hidden="1" x14ac:dyDescent="0.35">
      <c r="D449"/>
      <c r="E449"/>
    </row>
    <row r="450" spans="4:5" hidden="1" x14ac:dyDescent="0.35">
      <c r="D450"/>
      <c r="E450"/>
    </row>
    <row r="451" spans="4:5" hidden="1" x14ac:dyDescent="0.35">
      <c r="D451"/>
      <c r="E451"/>
    </row>
    <row r="452" spans="4:5" hidden="1" x14ac:dyDescent="0.35">
      <c r="D452"/>
      <c r="E452"/>
    </row>
    <row r="453" spans="4:5" hidden="1" x14ac:dyDescent="0.35">
      <c r="D453"/>
      <c r="E453"/>
    </row>
    <row r="454" spans="4:5" hidden="1" x14ac:dyDescent="0.35">
      <c r="D454"/>
      <c r="E454"/>
    </row>
    <row r="455" spans="4:5" hidden="1" x14ac:dyDescent="0.35">
      <c r="D455"/>
      <c r="E455"/>
    </row>
    <row r="456" spans="4:5" hidden="1" x14ac:dyDescent="0.35">
      <c r="D456"/>
      <c r="E456"/>
    </row>
    <row r="457" spans="4:5" hidden="1" x14ac:dyDescent="0.35">
      <c r="D457"/>
      <c r="E457"/>
    </row>
    <row r="458" spans="4:5" hidden="1" x14ac:dyDescent="0.35">
      <c r="D458"/>
      <c r="E458"/>
    </row>
    <row r="459" spans="4:5" hidden="1" x14ac:dyDescent="0.35">
      <c r="D459"/>
      <c r="E459"/>
    </row>
    <row r="460" spans="4:5" hidden="1" x14ac:dyDescent="0.35">
      <c r="D460"/>
      <c r="E460"/>
    </row>
    <row r="461" spans="4:5" hidden="1" x14ac:dyDescent="0.35">
      <c r="D461"/>
      <c r="E461"/>
    </row>
    <row r="462" spans="4:5" hidden="1" x14ac:dyDescent="0.35">
      <c r="D462"/>
      <c r="E462"/>
    </row>
    <row r="463" spans="4:5" hidden="1" x14ac:dyDescent="0.35">
      <c r="D463"/>
      <c r="E463"/>
    </row>
    <row r="464" spans="4:5" hidden="1" x14ac:dyDescent="0.35">
      <c r="D464"/>
      <c r="E464"/>
    </row>
    <row r="465" spans="4:5" hidden="1" x14ac:dyDescent="0.35">
      <c r="D465"/>
      <c r="E465"/>
    </row>
    <row r="466" spans="4:5" hidden="1" x14ac:dyDescent="0.35">
      <c r="D466"/>
      <c r="E466"/>
    </row>
    <row r="467" spans="4:5" hidden="1" x14ac:dyDescent="0.35">
      <c r="D467"/>
      <c r="E467"/>
    </row>
    <row r="468" spans="4:5" hidden="1" x14ac:dyDescent="0.35">
      <c r="D468"/>
      <c r="E468"/>
    </row>
    <row r="469" spans="4:5" hidden="1" x14ac:dyDescent="0.35">
      <c r="D469"/>
      <c r="E469"/>
    </row>
    <row r="470" spans="4:5" hidden="1" x14ac:dyDescent="0.35">
      <c r="D470"/>
      <c r="E470"/>
    </row>
    <row r="471" spans="4:5" hidden="1" x14ac:dyDescent="0.35">
      <c r="D471"/>
      <c r="E471"/>
    </row>
    <row r="472" spans="4:5" hidden="1" x14ac:dyDescent="0.35">
      <c r="D472"/>
      <c r="E472"/>
    </row>
    <row r="473" spans="4:5" hidden="1" x14ac:dyDescent="0.35">
      <c r="D473"/>
      <c r="E473"/>
    </row>
    <row r="474" spans="4:5" hidden="1" x14ac:dyDescent="0.35">
      <c r="D474"/>
      <c r="E474"/>
    </row>
    <row r="475" spans="4:5" hidden="1" x14ac:dyDescent="0.35">
      <c r="D475"/>
      <c r="E475"/>
    </row>
    <row r="476" spans="4:5" hidden="1" x14ac:dyDescent="0.35">
      <c r="D476"/>
      <c r="E476"/>
    </row>
    <row r="477" spans="4:5" hidden="1" x14ac:dyDescent="0.35">
      <c r="D477"/>
      <c r="E477"/>
    </row>
    <row r="478" spans="4:5" hidden="1" x14ac:dyDescent="0.35">
      <c r="D478"/>
      <c r="E478"/>
    </row>
    <row r="479" spans="4:5" hidden="1" x14ac:dyDescent="0.35">
      <c r="D479"/>
      <c r="E479"/>
    </row>
    <row r="480" spans="4:5" hidden="1" x14ac:dyDescent="0.35">
      <c r="D480"/>
      <c r="E480"/>
    </row>
    <row r="481" spans="4:5" hidden="1" x14ac:dyDescent="0.35">
      <c r="D481"/>
      <c r="E481"/>
    </row>
    <row r="482" spans="4:5" hidden="1" x14ac:dyDescent="0.35">
      <c r="D482"/>
      <c r="E482"/>
    </row>
    <row r="483" spans="4:5" hidden="1" x14ac:dyDescent="0.35">
      <c r="D483"/>
      <c r="E483"/>
    </row>
    <row r="484" spans="4:5" hidden="1" x14ac:dyDescent="0.35">
      <c r="D484"/>
      <c r="E484"/>
    </row>
    <row r="485" spans="4:5" hidden="1" x14ac:dyDescent="0.35">
      <c r="D485"/>
      <c r="E485"/>
    </row>
    <row r="486" spans="4:5" hidden="1" x14ac:dyDescent="0.35">
      <c r="D486"/>
      <c r="E486"/>
    </row>
    <row r="487" spans="4:5" hidden="1" x14ac:dyDescent="0.35">
      <c r="D487"/>
      <c r="E487"/>
    </row>
    <row r="488" spans="4:5" hidden="1" x14ac:dyDescent="0.35">
      <c r="D488"/>
      <c r="E488"/>
    </row>
    <row r="489" spans="4:5" hidden="1" x14ac:dyDescent="0.35">
      <c r="D489"/>
      <c r="E489"/>
    </row>
    <row r="490" spans="4:5" hidden="1" x14ac:dyDescent="0.35">
      <c r="D490"/>
      <c r="E490"/>
    </row>
    <row r="491" spans="4:5" hidden="1" x14ac:dyDescent="0.35">
      <c r="D491"/>
      <c r="E491"/>
    </row>
    <row r="492" spans="4:5" hidden="1" x14ac:dyDescent="0.35">
      <c r="D492"/>
      <c r="E492"/>
    </row>
    <row r="493" spans="4:5" hidden="1" x14ac:dyDescent="0.35">
      <c r="D493"/>
      <c r="E493"/>
    </row>
    <row r="494" spans="4:5" hidden="1" x14ac:dyDescent="0.35">
      <c r="D494"/>
      <c r="E494"/>
    </row>
    <row r="495" spans="4:5" hidden="1" x14ac:dyDescent="0.35">
      <c r="D495"/>
      <c r="E495"/>
    </row>
    <row r="496" spans="4:5" hidden="1" x14ac:dyDescent="0.35">
      <c r="D496"/>
      <c r="E496"/>
    </row>
    <row r="497" spans="4:5" hidden="1" x14ac:dyDescent="0.35">
      <c r="D497"/>
      <c r="E497"/>
    </row>
    <row r="498" spans="4:5" hidden="1" x14ac:dyDescent="0.35">
      <c r="D498"/>
      <c r="E498"/>
    </row>
    <row r="499" spans="4:5" hidden="1" x14ac:dyDescent="0.35">
      <c r="D499"/>
      <c r="E499"/>
    </row>
    <row r="500" spans="4:5" hidden="1" x14ac:dyDescent="0.35">
      <c r="D500"/>
      <c r="E500"/>
    </row>
    <row r="501" spans="4:5" hidden="1" x14ac:dyDescent="0.35">
      <c r="D501"/>
      <c r="E501"/>
    </row>
    <row r="502" spans="4:5" hidden="1" x14ac:dyDescent="0.35">
      <c r="D502"/>
      <c r="E502"/>
    </row>
    <row r="503" spans="4:5" hidden="1" x14ac:dyDescent="0.35">
      <c r="D503"/>
      <c r="E503"/>
    </row>
    <row r="504" spans="4:5" hidden="1" x14ac:dyDescent="0.35">
      <c r="D504"/>
      <c r="E504"/>
    </row>
    <row r="505" spans="4:5" hidden="1" x14ac:dyDescent="0.35">
      <c r="D505"/>
      <c r="E505"/>
    </row>
    <row r="506" spans="4:5" hidden="1" x14ac:dyDescent="0.35">
      <c r="D506"/>
      <c r="E506"/>
    </row>
    <row r="507" spans="4:5" hidden="1" x14ac:dyDescent="0.35">
      <c r="D507"/>
      <c r="E507"/>
    </row>
    <row r="508" spans="4:5" hidden="1" x14ac:dyDescent="0.35">
      <c r="D508"/>
      <c r="E508"/>
    </row>
    <row r="509" spans="4:5" hidden="1" x14ac:dyDescent="0.35">
      <c r="D509"/>
      <c r="E509"/>
    </row>
    <row r="510" spans="4:5" hidden="1" x14ac:dyDescent="0.35">
      <c r="D510"/>
      <c r="E510"/>
    </row>
    <row r="511" spans="4:5" hidden="1" x14ac:dyDescent="0.35">
      <c r="D511"/>
      <c r="E511"/>
    </row>
    <row r="512" spans="4:5" hidden="1" x14ac:dyDescent="0.35">
      <c r="D512"/>
      <c r="E512"/>
    </row>
    <row r="513" spans="4:5" hidden="1" x14ac:dyDescent="0.35">
      <c r="D513"/>
      <c r="E513"/>
    </row>
    <row r="514" spans="4:5" hidden="1" x14ac:dyDescent="0.35">
      <c r="D514"/>
      <c r="E514"/>
    </row>
    <row r="515" spans="4:5" hidden="1" x14ac:dyDescent="0.35">
      <c r="D515"/>
      <c r="E515"/>
    </row>
    <row r="516" spans="4:5" hidden="1" x14ac:dyDescent="0.35">
      <c r="D516"/>
      <c r="E516"/>
    </row>
    <row r="517" spans="4:5" hidden="1" x14ac:dyDescent="0.35">
      <c r="D517"/>
      <c r="E517"/>
    </row>
    <row r="518" spans="4:5" hidden="1" x14ac:dyDescent="0.35">
      <c r="D518"/>
      <c r="E518"/>
    </row>
    <row r="519" spans="4:5" hidden="1" x14ac:dyDescent="0.35">
      <c r="D519"/>
      <c r="E519"/>
    </row>
    <row r="520" spans="4:5" hidden="1" x14ac:dyDescent="0.35">
      <c r="D520"/>
      <c r="E520"/>
    </row>
    <row r="521" spans="4:5" hidden="1" x14ac:dyDescent="0.35">
      <c r="D521"/>
      <c r="E521"/>
    </row>
    <row r="522" spans="4:5" hidden="1" x14ac:dyDescent="0.35">
      <c r="D522"/>
      <c r="E522"/>
    </row>
    <row r="523" spans="4:5" hidden="1" x14ac:dyDescent="0.35">
      <c r="D523"/>
      <c r="E523"/>
    </row>
    <row r="524" spans="4:5" hidden="1" x14ac:dyDescent="0.35">
      <c r="D524"/>
      <c r="E524"/>
    </row>
    <row r="525" spans="4:5" hidden="1" x14ac:dyDescent="0.35">
      <c r="D525"/>
      <c r="E525"/>
    </row>
    <row r="526" spans="4:5" hidden="1" x14ac:dyDescent="0.35">
      <c r="D526"/>
      <c r="E526"/>
    </row>
    <row r="527" spans="4:5" hidden="1" x14ac:dyDescent="0.35">
      <c r="D527"/>
      <c r="E527"/>
    </row>
    <row r="528" spans="4:5" hidden="1" x14ac:dyDescent="0.35">
      <c r="D528"/>
      <c r="E528"/>
    </row>
    <row r="529" spans="4:5" hidden="1" x14ac:dyDescent="0.35">
      <c r="D529"/>
      <c r="E529"/>
    </row>
    <row r="530" spans="4:5" hidden="1" x14ac:dyDescent="0.35">
      <c r="D530"/>
      <c r="E530"/>
    </row>
    <row r="531" spans="4:5" hidden="1" x14ac:dyDescent="0.35">
      <c r="D531"/>
      <c r="E531"/>
    </row>
    <row r="532" spans="4:5" hidden="1" x14ac:dyDescent="0.35">
      <c r="D532"/>
      <c r="E532"/>
    </row>
    <row r="533" spans="4:5" hidden="1" x14ac:dyDescent="0.35">
      <c r="D533"/>
      <c r="E533"/>
    </row>
    <row r="534" spans="4:5" hidden="1" x14ac:dyDescent="0.35">
      <c r="D534"/>
      <c r="E534"/>
    </row>
    <row r="535" spans="4:5" hidden="1" x14ac:dyDescent="0.35">
      <c r="D535"/>
      <c r="E535"/>
    </row>
    <row r="536" spans="4:5" hidden="1" x14ac:dyDescent="0.35">
      <c r="D536"/>
      <c r="E536"/>
    </row>
    <row r="537" spans="4:5" hidden="1" x14ac:dyDescent="0.35">
      <c r="D537"/>
      <c r="E537"/>
    </row>
    <row r="538" spans="4:5" hidden="1" x14ac:dyDescent="0.35">
      <c r="D538"/>
      <c r="E538"/>
    </row>
    <row r="539" spans="4:5" hidden="1" x14ac:dyDescent="0.35">
      <c r="D539"/>
      <c r="E539"/>
    </row>
    <row r="540" spans="4:5" hidden="1" x14ac:dyDescent="0.35">
      <c r="D540"/>
      <c r="E540"/>
    </row>
    <row r="541" spans="4:5" hidden="1" x14ac:dyDescent="0.35">
      <c r="D541"/>
      <c r="E541"/>
    </row>
    <row r="542" spans="4:5" hidden="1" x14ac:dyDescent="0.35">
      <c r="D542"/>
      <c r="E542"/>
    </row>
    <row r="543" spans="4:5" hidden="1" x14ac:dyDescent="0.35">
      <c r="D543"/>
      <c r="E543"/>
    </row>
    <row r="544" spans="4:5" hidden="1" x14ac:dyDescent="0.35">
      <c r="D544"/>
      <c r="E544"/>
    </row>
    <row r="545" spans="4:5" hidden="1" x14ac:dyDescent="0.35">
      <c r="D545"/>
      <c r="E545"/>
    </row>
    <row r="546" spans="4:5" hidden="1" x14ac:dyDescent="0.35">
      <c r="D546"/>
      <c r="E546"/>
    </row>
    <row r="547" spans="4:5" hidden="1" x14ac:dyDescent="0.35">
      <c r="D547"/>
      <c r="E547"/>
    </row>
    <row r="548" spans="4:5" hidden="1" x14ac:dyDescent="0.35">
      <c r="D548"/>
      <c r="E548"/>
    </row>
    <row r="549" spans="4:5" hidden="1" x14ac:dyDescent="0.35">
      <c r="D549"/>
      <c r="E549"/>
    </row>
    <row r="550" spans="4:5" hidden="1" x14ac:dyDescent="0.35">
      <c r="D550"/>
      <c r="E550"/>
    </row>
    <row r="551" spans="4:5" hidden="1" x14ac:dyDescent="0.35">
      <c r="D551"/>
      <c r="E551"/>
    </row>
    <row r="552" spans="4:5" hidden="1" x14ac:dyDescent="0.35">
      <c r="D552"/>
      <c r="E552"/>
    </row>
    <row r="553" spans="4:5" hidden="1" x14ac:dyDescent="0.35">
      <c r="D553"/>
      <c r="E553"/>
    </row>
    <row r="554" spans="4:5" hidden="1" x14ac:dyDescent="0.35">
      <c r="D554"/>
      <c r="E554"/>
    </row>
    <row r="555" spans="4:5" hidden="1" x14ac:dyDescent="0.35">
      <c r="D555"/>
      <c r="E555"/>
    </row>
    <row r="556" spans="4:5" hidden="1" x14ac:dyDescent="0.35">
      <c r="D556"/>
      <c r="E556"/>
    </row>
    <row r="557" spans="4:5" hidden="1" x14ac:dyDescent="0.35">
      <c r="D557"/>
      <c r="E557"/>
    </row>
    <row r="558" spans="4:5" hidden="1" x14ac:dyDescent="0.35">
      <c r="D558"/>
      <c r="E558"/>
    </row>
    <row r="559" spans="4:5" hidden="1" x14ac:dyDescent="0.35">
      <c r="D559"/>
      <c r="E559"/>
    </row>
    <row r="560" spans="4:5" hidden="1" x14ac:dyDescent="0.35">
      <c r="D560"/>
      <c r="E560"/>
    </row>
    <row r="561" spans="4:5" hidden="1" x14ac:dyDescent="0.35">
      <c r="D561"/>
      <c r="E561"/>
    </row>
    <row r="562" spans="4:5" hidden="1" x14ac:dyDescent="0.35">
      <c r="D562"/>
      <c r="E562"/>
    </row>
    <row r="563" spans="4:5" hidden="1" x14ac:dyDescent="0.35">
      <c r="D563"/>
      <c r="E563"/>
    </row>
    <row r="564" spans="4:5" hidden="1" x14ac:dyDescent="0.35">
      <c r="D564"/>
      <c r="E564"/>
    </row>
    <row r="565" spans="4:5" hidden="1" x14ac:dyDescent="0.35">
      <c r="D565"/>
      <c r="E565"/>
    </row>
    <row r="566" spans="4:5" hidden="1" x14ac:dyDescent="0.35">
      <c r="D566"/>
      <c r="E566"/>
    </row>
    <row r="567" spans="4:5" hidden="1" x14ac:dyDescent="0.35">
      <c r="D567"/>
      <c r="E567"/>
    </row>
    <row r="568" spans="4:5" hidden="1" x14ac:dyDescent="0.35">
      <c r="D568"/>
      <c r="E568"/>
    </row>
    <row r="569" spans="4:5" hidden="1" x14ac:dyDescent="0.35">
      <c r="D569"/>
      <c r="E569"/>
    </row>
    <row r="570" spans="4:5" hidden="1" x14ac:dyDescent="0.35">
      <c r="D570"/>
      <c r="E570"/>
    </row>
    <row r="571" spans="4:5" hidden="1" x14ac:dyDescent="0.35">
      <c r="D571"/>
      <c r="E571"/>
    </row>
    <row r="572" spans="4:5" hidden="1" x14ac:dyDescent="0.35">
      <c r="D572"/>
      <c r="E572"/>
    </row>
    <row r="573" spans="4:5" hidden="1" x14ac:dyDescent="0.35">
      <c r="D573"/>
      <c r="E573"/>
    </row>
    <row r="574" spans="4:5" hidden="1" x14ac:dyDescent="0.35">
      <c r="D574"/>
      <c r="E574"/>
    </row>
    <row r="575" spans="4:5" hidden="1" x14ac:dyDescent="0.35">
      <c r="D575"/>
      <c r="E575"/>
    </row>
    <row r="576" spans="4:5" hidden="1" x14ac:dyDescent="0.35">
      <c r="D576"/>
      <c r="E576"/>
    </row>
    <row r="577" spans="4:5" hidden="1" x14ac:dyDescent="0.35">
      <c r="D577"/>
      <c r="E577"/>
    </row>
    <row r="578" spans="4:5" hidden="1" x14ac:dyDescent="0.35">
      <c r="D578"/>
      <c r="E578"/>
    </row>
    <row r="579" spans="4:5" hidden="1" x14ac:dyDescent="0.35">
      <c r="D579"/>
      <c r="E579"/>
    </row>
    <row r="580" spans="4:5" hidden="1" x14ac:dyDescent="0.35">
      <c r="D580"/>
      <c r="E580"/>
    </row>
    <row r="581" spans="4:5" hidden="1" x14ac:dyDescent="0.35">
      <c r="D581"/>
      <c r="E581"/>
    </row>
    <row r="582" spans="4:5" hidden="1" x14ac:dyDescent="0.35">
      <c r="D582"/>
      <c r="E582"/>
    </row>
    <row r="583" spans="4:5" hidden="1" x14ac:dyDescent="0.35">
      <c r="D583"/>
      <c r="E583"/>
    </row>
    <row r="584" spans="4:5" hidden="1" x14ac:dyDescent="0.35">
      <c r="D584"/>
      <c r="E584"/>
    </row>
    <row r="585" spans="4:5" hidden="1" x14ac:dyDescent="0.35">
      <c r="D585"/>
      <c r="E585"/>
    </row>
    <row r="586" spans="4:5" hidden="1" x14ac:dyDescent="0.35">
      <c r="D586"/>
      <c r="E586"/>
    </row>
    <row r="587" spans="4:5" hidden="1" x14ac:dyDescent="0.35">
      <c r="D587"/>
      <c r="E587"/>
    </row>
    <row r="588" spans="4:5" hidden="1" x14ac:dyDescent="0.35">
      <c r="D588"/>
      <c r="E588"/>
    </row>
    <row r="589" spans="4:5" hidden="1" x14ac:dyDescent="0.35">
      <c r="D589"/>
      <c r="E589"/>
    </row>
    <row r="590" spans="4:5" hidden="1" x14ac:dyDescent="0.35">
      <c r="D590"/>
      <c r="E590"/>
    </row>
    <row r="591" spans="4:5" hidden="1" x14ac:dyDescent="0.35">
      <c r="D591"/>
      <c r="E591"/>
    </row>
    <row r="592" spans="4:5" hidden="1" x14ac:dyDescent="0.35">
      <c r="D592"/>
      <c r="E592"/>
    </row>
    <row r="593" spans="4:5" hidden="1" x14ac:dyDescent="0.35">
      <c r="D593"/>
      <c r="E593"/>
    </row>
    <row r="594" spans="4:5" hidden="1" x14ac:dyDescent="0.35">
      <c r="D594"/>
      <c r="E594"/>
    </row>
    <row r="595" spans="4:5" hidden="1" x14ac:dyDescent="0.35">
      <c r="D595"/>
      <c r="E595"/>
    </row>
    <row r="596" spans="4:5" hidden="1" x14ac:dyDescent="0.35">
      <c r="D596"/>
      <c r="E596"/>
    </row>
    <row r="597" spans="4:5" hidden="1" x14ac:dyDescent="0.35">
      <c r="D597"/>
      <c r="E597"/>
    </row>
    <row r="598" spans="4:5" hidden="1" x14ac:dyDescent="0.35">
      <c r="D598"/>
      <c r="E598"/>
    </row>
    <row r="599" spans="4:5" hidden="1" x14ac:dyDescent="0.35">
      <c r="D599"/>
      <c r="E599"/>
    </row>
    <row r="600" spans="4:5" hidden="1" x14ac:dyDescent="0.35">
      <c r="D600"/>
      <c r="E600"/>
    </row>
    <row r="601" spans="4:5" hidden="1" x14ac:dyDescent="0.35">
      <c r="D601"/>
      <c r="E601"/>
    </row>
    <row r="602" spans="4:5" hidden="1" x14ac:dyDescent="0.35">
      <c r="D602"/>
      <c r="E602"/>
    </row>
    <row r="603" spans="4:5" hidden="1" x14ac:dyDescent="0.35">
      <c r="D603"/>
      <c r="E603"/>
    </row>
    <row r="604" spans="4:5" hidden="1" x14ac:dyDescent="0.35">
      <c r="D604"/>
      <c r="E604"/>
    </row>
    <row r="605" spans="4:5" hidden="1" x14ac:dyDescent="0.35">
      <c r="D605"/>
      <c r="E605"/>
    </row>
    <row r="606" spans="4:5" hidden="1" x14ac:dyDescent="0.35">
      <c r="D606"/>
      <c r="E606"/>
    </row>
    <row r="607" spans="4:5" hidden="1" x14ac:dyDescent="0.35">
      <c r="D607"/>
      <c r="E607"/>
    </row>
    <row r="608" spans="4:5" hidden="1" x14ac:dyDescent="0.35">
      <c r="D608"/>
      <c r="E608"/>
    </row>
    <row r="609" spans="4:5" hidden="1" x14ac:dyDescent="0.35">
      <c r="D609"/>
      <c r="E609"/>
    </row>
    <row r="610" spans="4:5" hidden="1" x14ac:dyDescent="0.35">
      <c r="D610"/>
      <c r="E610"/>
    </row>
    <row r="611" spans="4:5" hidden="1" x14ac:dyDescent="0.35">
      <c r="D611"/>
      <c r="E611"/>
    </row>
    <row r="612" spans="4:5" hidden="1" x14ac:dyDescent="0.35">
      <c r="D612"/>
      <c r="E612"/>
    </row>
    <row r="613" spans="4:5" hidden="1" x14ac:dyDescent="0.35">
      <c r="D613"/>
      <c r="E613"/>
    </row>
    <row r="614" spans="4:5" hidden="1" x14ac:dyDescent="0.35">
      <c r="D614"/>
      <c r="E614"/>
    </row>
    <row r="615" spans="4:5" hidden="1" x14ac:dyDescent="0.35">
      <c r="D615"/>
      <c r="E615"/>
    </row>
    <row r="616" spans="4:5" hidden="1" x14ac:dyDescent="0.35">
      <c r="D616"/>
      <c r="E616"/>
    </row>
    <row r="617" spans="4:5" hidden="1" x14ac:dyDescent="0.35">
      <c r="D617"/>
      <c r="E617"/>
    </row>
    <row r="618" spans="4:5" hidden="1" x14ac:dyDescent="0.35">
      <c r="D618"/>
      <c r="E618"/>
    </row>
    <row r="619" spans="4:5" hidden="1" x14ac:dyDescent="0.35">
      <c r="D619"/>
      <c r="E619"/>
    </row>
    <row r="620" spans="4:5" hidden="1" x14ac:dyDescent="0.35">
      <c r="D620"/>
      <c r="E620"/>
    </row>
    <row r="621" spans="4:5" hidden="1" x14ac:dyDescent="0.35">
      <c r="D621"/>
      <c r="E621"/>
    </row>
    <row r="622" spans="4:5" hidden="1" x14ac:dyDescent="0.35">
      <c r="D622"/>
      <c r="E622"/>
    </row>
    <row r="623" spans="4:5" hidden="1" x14ac:dyDescent="0.35">
      <c r="D623"/>
      <c r="E623"/>
    </row>
    <row r="624" spans="4:5" hidden="1" x14ac:dyDescent="0.35">
      <c r="D624"/>
      <c r="E624"/>
    </row>
    <row r="625" spans="4:5" hidden="1" x14ac:dyDescent="0.35">
      <c r="D625"/>
      <c r="E625"/>
    </row>
    <row r="626" spans="4:5" hidden="1" x14ac:dyDescent="0.35">
      <c r="D626"/>
      <c r="E626"/>
    </row>
    <row r="627" spans="4:5" hidden="1" x14ac:dyDescent="0.35">
      <c r="D627"/>
      <c r="E627"/>
    </row>
    <row r="628" spans="4:5" hidden="1" x14ac:dyDescent="0.35">
      <c r="D628"/>
      <c r="E628"/>
    </row>
    <row r="629" spans="4:5" hidden="1" x14ac:dyDescent="0.35">
      <c r="D629"/>
      <c r="E629"/>
    </row>
    <row r="630" spans="4:5" hidden="1" x14ac:dyDescent="0.35">
      <c r="D630"/>
      <c r="E630"/>
    </row>
    <row r="631" spans="4:5" hidden="1" x14ac:dyDescent="0.35">
      <c r="D631"/>
      <c r="E631"/>
    </row>
    <row r="632" spans="4:5" hidden="1" x14ac:dyDescent="0.35">
      <c r="D632"/>
      <c r="E632"/>
    </row>
    <row r="633" spans="4:5" hidden="1" x14ac:dyDescent="0.35">
      <c r="D633"/>
      <c r="E633"/>
    </row>
    <row r="634" spans="4:5" hidden="1" x14ac:dyDescent="0.35">
      <c r="D634"/>
      <c r="E634"/>
    </row>
    <row r="635" spans="4:5" hidden="1" x14ac:dyDescent="0.35">
      <c r="D635"/>
      <c r="E635"/>
    </row>
    <row r="636" spans="4:5" hidden="1" x14ac:dyDescent="0.35">
      <c r="D636"/>
      <c r="E636"/>
    </row>
    <row r="637" spans="4:5" hidden="1" x14ac:dyDescent="0.35">
      <c r="D637"/>
      <c r="E637"/>
    </row>
    <row r="638" spans="4:5" hidden="1" x14ac:dyDescent="0.35">
      <c r="D638"/>
      <c r="E638"/>
    </row>
    <row r="639" spans="4:5" hidden="1" x14ac:dyDescent="0.35">
      <c r="D639"/>
      <c r="E639"/>
    </row>
    <row r="640" spans="4:5" hidden="1" x14ac:dyDescent="0.35">
      <c r="D640"/>
      <c r="E640"/>
    </row>
    <row r="641" spans="4:5" hidden="1" x14ac:dyDescent="0.35">
      <c r="D641"/>
      <c r="E641"/>
    </row>
    <row r="642" spans="4:5" hidden="1" x14ac:dyDescent="0.35">
      <c r="D642"/>
      <c r="E642"/>
    </row>
    <row r="643" spans="4:5" hidden="1" x14ac:dyDescent="0.35">
      <c r="D643"/>
      <c r="E643"/>
    </row>
    <row r="644" spans="4:5" hidden="1" x14ac:dyDescent="0.35">
      <c r="D644"/>
      <c r="E644"/>
    </row>
    <row r="645" spans="4:5" hidden="1" x14ac:dyDescent="0.35">
      <c r="D645"/>
      <c r="E645"/>
    </row>
    <row r="646" spans="4:5" hidden="1" x14ac:dyDescent="0.35">
      <c r="D646"/>
      <c r="E646"/>
    </row>
    <row r="647" spans="4:5" hidden="1" x14ac:dyDescent="0.35">
      <c r="D647"/>
      <c r="E647"/>
    </row>
    <row r="648" spans="4:5" hidden="1" x14ac:dyDescent="0.35">
      <c r="D648"/>
      <c r="E648"/>
    </row>
    <row r="649" spans="4:5" hidden="1" x14ac:dyDescent="0.35">
      <c r="D649"/>
      <c r="E649"/>
    </row>
    <row r="650" spans="4:5" hidden="1" x14ac:dyDescent="0.35">
      <c r="D650"/>
      <c r="E650"/>
    </row>
    <row r="651" spans="4:5" hidden="1" x14ac:dyDescent="0.35">
      <c r="D651"/>
      <c r="E651"/>
    </row>
    <row r="652" spans="4:5" hidden="1" x14ac:dyDescent="0.35">
      <c r="D652"/>
      <c r="E652"/>
    </row>
    <row r="653" spans="4:5" hidden="1" x14ac:dyDescent="0.35">
      <c r="D653"/>
      <c r="E653"/>
    </row>
    <row r="654" spans="4:5" hidden="1" x14ac:dyDescent="0.35">
      <c r="D654"/>
      <c r="E654"/>
    </row>
    <row r="655" spans="4:5" hidden="1" x14ac:dyDescent="0.35">
      <c r="D655"/>
      <c r="E655"/>
    </row>
    <row r="656" spans="4:5" hidden="1" x14ac:dyDescent="0.35">
      <c r="D656"/>
      <c r="E656"/>
    </row>
    <row r="657" spans="4:5" hidden="1" x14ac:dyDescent="0.35">
      <c r="D657"/>
      <c r="E657"/>
    </row>
    <row r="658" spans="4:5" hidden="1" x14ac:dyDescent="0.35">
      <c r="D658"/>
      <c r="E658"/>
    </row>
    <row r="659" spans="4:5" hidden="1" x14ac:dyDescent="0.35">
      <c r="D659"/>
      <c r="E659"/>
    </row>
    <row r="660" spans="4:5" hidden="1" x14ac:dyDescent="0.35">
      <c r="D660"/>
      <c r="E660"/>
    </row>
    <row r="661" spans="4:5" hidden="1" x14ac:dyDescent="0.35">
      <c r="D661"/>
      <c r="E661"/>
    </row>
    <row r="662" spans="4:5" hidden="1" x14ac:dyDescent="0.35">
      <c r="D662"/>
      <c r="E662"/>
    </row>
    <row r="663" spans="4:5" hidden="1" x14ac:dyDescent="0.35">
      <c r="D663"/>
      <c r="E663"/>
    </row>
    <row r="664" spans="4:5" hidden="1" x14ac:dyDescent="0.35">
      <c r="D664"/>
      <c r="E664"/>
    </row>
    <row r="665" spans="4:5" hidden="1" x14ac:dyDescent="0.35">
      <c r="D665"/>
      <c r="E665"/>
    </row>
    <row r="666" spans="4:5" hidden="1" x14ac:dyDescent="0.35">
      <c r="D666"/>
      <c r="E666"/>
    </row>
    <row r="667" spans="4:5" hidden="1" x14ac:dyDescent="0.35">
      <c r="D667"/>
      <c r="E667"/>
    </row>
    <row r="668" spans="4:5" hidden="1" x14ac:dyDescent="0.35">
      <c r="D668"/>
      <c r="E668"/>
    </row>
    <row r="669" spans="4:5" hidden="1" x14ac:dyDescent="0.35">
      <c r="D669"/>
      <c r="E669"/>
    </row>
    <row r="670" spans="4:5" hidden="1" x14ac:dyDescent="0.35">
      <c r="D670"/>
      <c r="E670"/>
    </row>
    <row r="671" spans="4:5" hidden="1" x14ac:dyDescent="0.35">
      <c r="D671"/>
      <c r="E671"/>
    </row>
    <row r="672" spans="4:5" hidden="1" x14ac:dyDescent="0.35">
      <c r="D672"/>
      <c r="E672"/>
    </row>
    <row r="673" spans="4:5" hidden="1" x14ac:dyDescent="0.35">
      <c r="D673"/>
      <c r="E673"/>
    </row>
    <row r="674" spans="4:5" hidden="1" x14ac:dyDescent="0.35">
      <c r="D674"/>
      <c r="E674"/>
    </row>
    <row r="675" spans="4:5" hidden="1" x14ac:dyDescent="0.35">
      <c r="D675"/>
      <c r="E675"/>
    </row>
    <row r="676" spans="4:5" hidden="1" x14ac:dyDescent="0.35">
      <c r="D676"/>
      <c r="E676"/>
    </row>
    <row r="677" spans="4:5" hidden="1" x14ac:dyDescent="0.35">
      <c r="D677"/>
      <c r="E677"/>
    </row>
    <row r="678" spans="4:5" hidden="1" x14ac:dyDescent="0.35">
      <c r="D678"/>
      <c r="E678"/>
    </row>
    <row r="679" spans="4:5" hidden="1" x14ac:dyDescent="0.35">
      <c r="D679"/>
      <c r="E679"/>
    </row>
    <row r="680" spans="4:5" hidden="1" x14ac:dyDescent="0.35">
      <c r="D680"/>
      <c r="E680"/>
    </row>
    <row r="681" spans="4:5" hidden="1" x14ac:dyDescent="0.35">
      <c r="D681"/>
      <c r="E681"/>
    </row>
    <row r="682" spans="4:5" hidden="1" x14ac:dyDescent="0.35">
      <c r="D682"/>
      <c r="E682"/>
    </row>
    <row r="683" spans="4:5" hidden="1" x14ac:dyDescent="0.35">
      <c r="D683"/>
      <c r="E683"/>
    </row>
    <row r="684" spans="4:5" hidden="1" x14ac:dyDescent="0.35">
      <c r="D684"/>
      <c r="E684"/>
    </row>
    <row r="685" spans="4:5" hidden="1" x14ac:dyDescent="0.35">
      <c r="D685"/>
      <c r="E685"/>
    </row>
    <row r="686" spans="4:5" hidden="1" x14ac:dyDescent="0.35">
      <c r="D686"/>
      <c r="E686"/>
    </row>
    <row r="687" spans="4:5" hidden="1" x14ac:dyDescent="0.35">
      <c r="D687"/>
      <c r="E687"/>
    </row>
    <row r="688" spans="4:5" hidden="1" x14ac:dyDescent="0.35">
      <c r="D688"/>
      <c r="E688"/>
    </row>
    <row r="689" spans="4:5" hidden="1" x14ac:dyDescent="0.35">
      <c r="D689"/>
      <c r="E689"/>
    </row>
    <row r="690" spans="4:5" hidden="1" x14ac:dyDescent="0.35">
      <c r="D690"/>
      <c r="E690"/>
    </row>
    <row r="691" spans="4:5" hidden="1" x14ac:dyDescent="0.35">
      <c r="D691"/>
      <c r="E691"/>
    </row>
    <row r="692" spans="4:5" hidden="1" x14ac:dyDescent="0.35">
      <c r="D692"/>
      <c r="E692"/>
    </row>
    <row r="693" spans="4:5" hidden="1" x14ac:dyDescent="0.35">
      <c r="D693"/>
      <c r="E693"/>
    </row>
    <row r="694" spans="4:5" hidden="1" x14ac:dyDescent="0.35">
      <c r="D694"/>
      <c r="E694"/>
    </row>
    <row r="695" spans="4:5" hidden="1" x14ac:dyDescent="0.35">
      <c r="D695"/>
      <c r="E695"/>
    </row>
    <row r="696" spans="4:5" hidden="1" x14ac:dyDescent="0.35">
      <c r="D696"/>
      <c r="E696"/>
    </row>
    <row r="697" spans="4:5" hidden="1" x14ac:dyDescent="0.35">
      <c r="D697"/>
      <c r="E697"/>
    </row>
    <row r="698" spans="4:5" hidden="1" x14ac:dyDescent="0.35">
      <c r="D698"/>
      <c r="E698"/>
    </row>
    <row r="699" spans="4:5" hidden="1" x14ac:dyDescent="0.35">
      <c r="D699"/>
      <c r="E699"/>
    </row>
    <row r="700" spans="4:5" hidden="1" x14ac:dyDescent="0.35">
      <c r="D700"/>
      <c r="E700"/>
    </row>
    <row r="701" spans="4:5" hidden="1" x14ac:dyDescent="0.35">
      <c r="D701"/>
      <c r="E701"/>
    </row>
    <row r="702" spans="4:5" hidden="1" x14ac:dyDescent="0.35">
      <c r="D702"/>
      <c r="E702"/>
    </row>
    <row r="703" spans="4:5" hidden="1" x14ac:dyDescent="0.35">
      <c r="D703"/>
      <c r="E703"/>
    </row>
    <row r="704" spans="4:5" hidden="1" x14ac:dyDescent="0.35">
      <c r="D704"/>
      <c r="E704"/>
    </row>
    <row r="705" spans="4:5" hidden="1" x14ac:dyDescent="0.35">
      <c r="D705"/>
      <c r="E705"/>
    </row>
    <row r="706" spans="4:5" hidden="1" x14ac:dyDescent="0.35">
      <c r="D706"/>
      <c r="E706"/>
    </row>
    <row r="707" spans="4:5" hidden="1" x14ac:dyDescent="0.35">
      <c r="D707"/>
      <c r="E707"/>
    </row>
    <row r="708" spans="4:5" hidden="1" x14ac:dyDescent="0.35">
      <c r="D708"/>
      <c r="E708"/>
    </row>
    <row r="709" spans="4:5" hidden="1" x14ac:dyDescent="0.35">
      <c r="D709"/>
      <c r="E709"/>
    </row>
    <row r="710" spans="4:5" hidden="1" x14ac:dyDescent="0.35">
      <c r="D710"/>
      <c r="E710"/>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744F1C45-3723-422D-8D9B-289560DD9B5A}">
  <ds:schemaRefs/>
</ds:datastoreItem>
</file>

<file path=customXml/itemProps2.xml><?xml version="1.0" encoding="utf-8"?>
<ds:datastoreItem xmlns:ds="http://schemas.openxmlformats.org/officeDocument/2006/customXml" ds:itemID="{F918347B-F062-434F-AB72-40C77AA9E99A}">
  <ds:schemaRefs/>
</ds:datastoreItem>
</file>

<file path=customXml/itemProps3.xml><?xml version="1.0" encoding="utf-8"?>
<ds:datastoreItem xmlns:ds="http://schemas.openxmlformats.org/officeDocument/2006/customXml" ds:itemID="{DACE762C-38BD-4632-A426-EDABB87FC5DB}">
  <ds:schemaRefs/>
</ds:datastoreItem>
</file>

<file path=customXml/itemProps4.xml><?xml version="1.0" encoding="utf-8"?>
<ds:datastoreItem xmlns:ds="http://schemas.openxmlformats.org/officeDocument/2006/customXml" ds:itemID="{700B456A-8E5E-4715-9BFB-784E9CF696CC}">
  <ds:schemaRefs/>
</ds:datastoreItem>
</file>

<file path=customXml/itemProps5.xml><?xml version="1.0" encoding="utf-8"?>
<ds:datastoreItem xmlns:ds="http://schemas.openxmlformats.org/officeDocument/2006/customXml" ds:itemID="{4CF52D83-CC6F-4454-B7AE-AD2D9F3682C3}">
  <ds:schemaRefs/>
</ds:datastoreItem>
</file>

<file path=customXml/itemProps6.xml><?xml version="1.0" encoding="utf-8"?>
<ds:datastoreItem xmlns:ds="http://schemas.openxmlformats.org/officeDocument/2006/customXml" ds:itemID="{D4CB52EC-B028-4375-8A60-F24DD1845D75}">
  <ds:schemaRefs/>
</ds:datastoreItem>
</file>

<file path=customXml/itemProps7.xml><?xml version="1.0" encoding="utf-8"?>
<ds:datastoreItem xmlns:ds="http://schemas.openxmlformats.org/officeDocument/2006/customXml" ds:itemID="{30291427-5877-42F1-A2C4-72EC7D10068E}">
  <ds:schemaRefs/>
</ds:datastoreItem>
</file>

<file path=customXml/itemProps8.xml><?xml version="1.0" encoding="utf-8"?>
<ds:datastoreItem xmlns:ds="http://schemas.openxmlformats.org/officeDocument/2006/customXml" ds:itemID="{8153EA28-028C-4D5C-B211-DFD3C076F144}">
  <ds:schemaRefs/>
</ds:datastoreItem>
</file>

<file path=customXml/itemProps9.xml><?xml version="1.0" encoding="utf-8"?>
<ds:datastoreItem xmlns:ds="http://schemas.openxmlformats.org/officeDocument/2006/customXml" ds:itemID="{AF5FEF6F-699A-4EDF-8568-EB358A0265E1}">
  <ds:schemaRefs/>
</ds:datastoreItem>
</file>

<file path=customXml/itemProps10.xml><?xml version="1.0" encoding="utf-8"?>
<ds:datastoreItem xmlns:ds="http://schemas.openxmlformats.org/officeDocument/2006/customXml" ds:itemID="{77F638D7-4610-4B3E-8C01-17538CB19FB6}">
  <ds:schemaRefs/>
</ds:datastoreItem>
</file>

<file path=customXml/itemProps11.xml><?xml version="1.0" encoding="utf-8"?>
<ds:datastoreItem xmlns:ds="http://schemas.openxmlformats.org/officeDocument/2006/customXml" ds:itemID="{749FCB36-8995-48A7-9374-BFA2E4ECB831}">
  <ds:schemaRefs/>
</ds:datastoreItem>
</file>

<file path=customXml/itemProps12.xml><?xml version="1.0" encoding="utf-8"?>
<ds:datastoreItem xmlns:ds="http://schemas.openxmlformats.org/officeDocument/2006/customXml" ds:itemID="{D0C256DC-661E-49AF-89A1-759769B33E0C}">
  <ds:schemaRefs/>
</ds:datastoreItem>
</file>

<file path=customXml/itemProps13.xml><?xml version="1.0" encoding="utf-8"?>
<ds:datastoreItem xmlns:ds="http://schemas.openxmlformats.org/officeDocument/2006/customXml" ds:itemID="{FBC55A94-E84E-4746-A379-B5AAAB9ECB58}">
  <ds:schemaRefs/>
</ds:datastoreItem>
</file>

<file path=customXml/itemProps14.xml><?xml version="1.0" encoding="utf-8"?>
<ds:datastoreItem xmlns:ds="http://schemas.openxmlformats.org/officeDocument/2006/customXml" ds:itemID="{5D11326E-1AAE-45A8-9FAC-204C7E23F21E}">
  <ds:schemaRefs/>
</ds:datastoreItem>
</file>

<file path=customXml/itemProps15.xml><?xml version="1.0" encoding="utf-8"?>
<ds:datastoreItem xmlns:ds="http://schemas.openxmlformats.org/officeDocument/2006/customXml" ds:itemID="{07DABB70-CE3D-456B-BADA-0A5295187B05}">
  <ds:schemaRefs/>
</ds:datastoreItem>
</file>

<file path=customXml/itemProps16.xml><?xml version="1.0" encoding="utf-8"?>
<ds:datastoreItem xmlns:ds="http://schemas.openxmlformats.org/officeDocument/2006/customXml" ds:itemID="{6EA4E70A-26E5-4C97-8CE4-B6C6F4E3F255}">
  <ds:schemaRefs/>
</ds:datastoreItem>
</file>

<file path=customXml/itemProps17.xml><?xml version="1.0" encoding="utf-8"?>
<ds:datastoreItem xmlns:ds="http://schemas.openxmlformats.org/officeDocument/2006/customXml" ds:itemID="{08F38913-81AE-48EC-89F9-4EF7E22EFCFC}">
  <ds:schemaRefs/>
</ds:datastoreItem>
</file>

<file path=customXml/itemProps18.xml><?xml version="1.0" encoding="utf-8"?>
<ds:datastoreItem xmlns:ds="http://schemas.openxmlformats.org/officeDocument/2006/customXml" ds:itemID="{A5BF7957-D696-42C2-BF99-EE6C38E3C967}">
  <ds:schemaRefs/>
</ds:datastoreItem>
</file>

<file path=customXml/itemProps19.xml><?xml version="1.0" encoding="utf-8"?>
<ds:datastoreItem xmlns:ds="http://schemas.openxmlformats.org/officeDocument/2006/customXml" ds:itemID="{69597DBA-15CB-4C70-B360-7B8BB149D0F4}">
  <ds:schemaRefs/>
</ds:datastoreItem>
</file>

<file path=customXml/itemProps20.xml><?xml version="1.0" encoding="utf-8"?>
<ds:datastoreItem xmlns:ds="http://schemas.openxmlformats.org/officeDocument/2006/customXml" ds:itemID="{197FF349-7EC2-4750-A201-B4B712842E6F}">
  <ds:schemaRefs/>
</ds:datastoreItem>
</file>

<file path=customXml/itemProps21.xml><?xml version="1.0" encoding="utf-8"?>
<ds:datastoreItem xmlns:ds="http://schemas.openxmlformats.org/officeDocument/2006/customXml" ds:itemID="{CFCAE72E-734D-48FD-B1D4-4400A160580B}">
  <ds:schemaRefs/>
</ds:datastoreItem>
</file>

<file path=customXml/itemProps22.xml><?xml version="1.0" encoding="utf-8"?>
<ds:datastoreItem xmlns:ds="http://schemas.openxmlformats.org/officeDocument/2006/customXml" ds:itemID="{A28594AC-D63E-4F81-8B99-DBDADA63F716}">
  <ds:schemaRefs/>
</ds:datastoreItem>
</file>

<file path=customXml/itemProps23.xml><?xml version="1.0" encoding="utf-8"?>
<ds:datastoreItem xmlns:ds="http://schemas.openxmlformats.org/officeDocument/2006/customXml" ds:itemID="{5449012F-3246-4E07-903A-30E92253F3AE}">
  <ds:schemaRefs/>
</ds:datastoreItem>
</file>

<file path=customXml/itemProps24.xml><?xml version="1.0" encoding="utf-8"?>
<ds:datastoreItem xmlns:ds="http://schemas.openxmlformats.org/officeDocument/2006/customXml" ds:itemID="{1EB67F36-D62E-4945-A5E7-BD473F36A98C}">
  <ds:schemaRefs/>
</ds:datastoreItem>
</file>

<file path=customXml/itemProps25.xml><?xml version="1.0" encoding="utf-8"?>
<ds:datastoreItem xmlns:ds="http://schemas.openxmlformats.org/officeDocument/2006/customXml" ds:itemID="{A58471BD-7861-47BC-ADAD-75D792B975E1}">
  <ds:schemaRefs/>
</ds:datastoreItem>
</file>

<file path=customXml/itemProps26.xml><?xml version="1.0" encoding="utf-8"?>
<ds:datastoreItem xmlns:ds="http://schemas.openxmlformats.org/officeDocument/2006/customXml" ds:itemID="{3D706832-01AE-4026-B19A-0E4650131AE9}">
  <ds:schemaRefs/>
</ds:datastoreItem>
</file>

<file path=customXml/itemProps27.xml><?xml version="1.0" encoding="utf-8"?>
<ds:datastoreItem xmlns:ds="http://schemas.openxmlformats.org/officeDocument/2006/customXml" ds:itemID="{F0C4E215-2EF0-47A3-AB0B-6B22489F0AA1}">
  <ds:schemaRefs/>
</ds:datastoreItem>
</file>

<file path=customXml/itemProps28.xml><?xml version="1.0" encoding="utf-8"?>
<ds:datastoreItem xmlns:ds="http://schemas.openxmlformats.org/officeDocument/2006/customXml" ds:itemID="{2AF8031D-2693-407E-A869-7177164AF1AA}">
  <ds:schemaRefs/>
</ds:datastoreItem>
</file>

<file path=customXml/itemProps29.xml><?xml version="1.0" encoding="utf-8"?>
<ds:datastoreItem xmlns:ds="http://schemas.openxmlformats.org/officeDocument/2006/customXml" ds:itemID="{5C575A1A-9A4E-4BE9-9A43-49C2A8DD9B41}">
  <ds:schemaRefs/>
</ds:datastoreItem>
</file>

<file path=customXml/itemProps30.xml><?xml version="1.0" encoding="utf-8"?>
<ds:datastoreItem xmlns:ds="http://schemas.openxmlformats.org/officeDocument/2006/customXml" ds:itemID="{111AC379-6380-4F72-A016-6467E9BE7FC7}">
  <ds:schemaRefs/>
</ds:datastoreItem>
</file>

<file path=customXml/itemProps31.xml><?xml version="1.0" encoding="utf-8"?>
<ds:datastoreItem xmlns:ds="http://schemas.openxmlformats.org/officeDocument/2006/customXml" ds:itemID="{826627EB-FB30-4B42-A076-862FB1C3A71F}">
  <ds:schemaRefs/>
</ds:datastoreItem>
</file>

<file path=customXml/itemProps32.xml><?xml version="1.0" encoding="utf-8"?>
<ds:datastoreItem xmlns:ds="http://schemas.openxmlformats.org/officeDocument/2006/customXml" ds:itemID="{6EE1623E-B629-4BAE-9A0E-2FA4C99F844F}">
  <ds:schemaRefs/>
</ds:datastoreItem>
</file>

<file path=customXml/itemProps33.xml><?xml version="1.0" encoding="utf-8"?>
<ds:datastoreItem xmlns:ds="http://schemas.openxmlformats.org/officeDocument/2006/customXml" ds:itemID="{B3AB107A-DA86-417D-8D40-E3A07A15E84F}">
  <ds:schemaRefs/>
</ds:datastoreItem>
</file>

<file path=customXml/itemProps34.xml><?xml version="1.0" encoding="utf-8"?>
<ds:datastoreItem xmlns:ds="http://schemas.openxmlformats.org/officeDocument/2006/customXml" ds:itemID="{E551DAB9-9287-4F70-B55A-9E29F8AEB6B0}">
  <ds:schemaRefs/>
</ds:datastoreItem>
</file>

<file path=customXml/itemProps35.xml><?xml version="1.0" encoding="utf-8"?>
<ds:datastoreItem xmlns:ds="http://schemas.openxmlformats.org/officeDocument/2006/customXml" ds:itemID="{79D2AF64-8D80-4965-833F-0A838EAEFCDA}">
  <ds:schemaRefs/>
</ds:datastoreItem>
</file>

<file path=customXml/itemProps36.xml><?xml version="1.0" encoding="utf-8"?>
<ds:datastoreItem xmlns:ds="http://schemas.openxmlformats.org/officeDocument/2006/customXml" ds:itemID="{68B9C543-887B-446B-B7D7-E8DB77DBBA05}">
  <ds:schemaRefs/>
</ds:datastoreItem>
</file>

<file path=customXml/itemProps37.xml><?xml version="1.0" encoding="utf-8"?>
<ds:datastoreItem xmlns:ds="http://schemas.openxmlformats.org/officeDocument/2006/customXml" ds:itemID="{DC0270B1-E7B7-4C1D-8E0F-EE1525198BA5}">
  <ds:schemaRefs/>
</ds:datastoreItem>
</file>

<file path=customXml/itemProps38.xml><?xml version="1.0" encoding="utf-8"?>
<ds:datastoreItem xmlns:ds="http://schemas.openxmlformats.org/officeDocument/2006/customXml" ds:itemID="{16FD1508-B346-495F-9DAF-66453997ADCE}">
  <ds:schemaRefs/>
</ds:datastoreItem>
</file>

<file path=customXml/itemProps39.xml><?xml version="1.0" encoding="utf-8"?>
<ds:datastoreItem xmlns:ds="http://schemas.openxmlformats.org/officeDocument/2006/customXml" ds:itemID="{77A6C091-1DA4-408C-8EBF-25197D1A385D}">
  <ds:schemaRefs/>
</ds:datastoreItem>
</file>

<file path=customXml/itemProps40.xml><?xml version="1.0" encoding="utf-8"?>
<ds:datastoreItem xmlns:ds="http://schemas.openxmlformats.org/officeDocument/2006/customXml" ds:itemID="{C9C064A8-7EE1-4C0A-93CC-33F56C7E179C}">
  <ds:schemaRefs/>
</ds:datastoreItem>
</file>

<file path=customXml/itemProps41.xml><?xml version="1.0" encoding="utf-8"?>
<ds:datastoreItem xmlns:ds="http://schemas.openxmlformats.org/officeDocument/2006/customXml" ds:itemID="{0834A3C6-797D-440D-9C48-17798EA7BCED}">
  <ds:schemaRefs/>
</ds:datastoreItem>
</file>

<file path=customXml/itemProps42.xml><?xml version="1.0" encoding="utf-8"?>
<ds:datastoreItem xmlns:ds="http://schemas.openxmlformats.org/officeDocument/2006/customXml" ds:itemID="{B8D242AC-B8F4-4155-9F2C-4AC3C14A035C}">
  <ds:schemaRefs/>
</ds:datastoreItem>
</file>

<file path=customXml/itemProps43.xml><?xml version="1.0" encoding="utf-8"?>
<ds:datastoreItem xmlns:ds="http://schemas.openxmlformats.org/officeDocument/2006/customXml" ds:itemID="{492DC1F8-720B-4AA1-9135-DF93E4E01D49}">
  <ds:schemaRefs/>
</ds:datastoreItem>
</file>

<file path=customXml/itemProps44.xml><?xml version="1.0" encoding="utf-8"?>
<ds:datastoreItem xmlns:ds="http://schemas.openxmlformats.org/officeDocument/2006/customXml" ds:itemID="{34924F72-3E19-40DB-B7AA-8BC113192244}">
  <ds:schemaRefs/>
</ds:datastoreItem>
</file>

<file path=customXml/itemProps45.xml><?xml version="1.0" encoding="utf-8"?>
<ds:datastoreItem xmlns:ds="http://schemas.openxmlformats.org/officeDocument/2006/customXml" ds:itemID="{09E2E59E-A6B6-4ED4-805E-9FB199F95902}">
  <ds:schemaRefs/>
</ds:datastoreItem>
</file>

<file path=customXml/itemProps46.xml><?xml version="1.0" encoding="utf-8"?>
<ds:datastoreItem xmlns:ds="http://schemas.openxmlformats.org/officeDocument/2006/customXml" ds:itemID="{5F723614-9F5D-4980-844D-396C94E6F65A}">
  <ds:schemaRefs/>
</ds:datastoreItem>
</file>

<file path=customXml/itemProps47.xml><?xml version="1.0" encoding="utf-8"?>
<ds:datastoreItem xmlns:ds="http://schemas.openxmlformats.org/officeDocument/2006/customXml" ds:itemID="{79035851-811D-4BD8-8BB2-7D089D5819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Performance</vt:lpstr>
      <vt:lpstr>Customer Details</vt:lpstr>
      <vt:lpstr>Calendar</vt:lpstr>
      <vt:lpstr>Simple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Haikal Fahreza</dc:creator>
  <cp:lastModifiedBy>Hafiz Haikal Fahreza</cp:lastModifiedBy>
  <dcterms:created xsi:type="dcterms:W3CDTF">2026-07-17T09:36:19Z</dcterms:created>
  <dcterms:modified xsi:type="dcterms:W3CDTF">2026-08-05T12:53:30Z</dcterms:modified>
</cp:coreProperties>
</file>