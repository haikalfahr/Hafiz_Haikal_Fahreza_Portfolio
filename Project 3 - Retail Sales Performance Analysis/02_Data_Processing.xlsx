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a9f4e25a4fcebeb/Documents/Project Portfolio/Finished Projects/03_Superstore_Reports/Project 3 - Retail Sales Performance Analysis/"/>
    </mc:Choice>
  </mc:AlternateContent>
  <xr:revisionPtr revIDLastSave="282" documentId="8_{B408699A-63CE-4EF5-82B6-3E769D48D306}" xr6:coauthVersionLast="47" xr6:coauthVersionMax="47" xr10:uidLastSave="{CCFE07C0-AC87-4DA4-AD99-0088041CF871}"/>
  <bookViews>
    <workbookView xWindow="-110" yWindow="-110" windowWidth="19420" windowHeight="11500" activeTab="1" xr2:uid="{00000000-000D-0000-FFFF-FFFF00000000}"/>
  </bookViews>
  <sheets>
    <sheet name="Raw Sales" sheetId="11" r:id="rId1"/>
    <sheet name="Working Sales" sheetId="7" r:id="rId2"/>
    <sheet name="Clean Sales" sheetId="10" r:id="rId3"/>
  </sheets>
  <definedNames>
    <definedName name="ExternalData_1" localSheetId="0" hidden="1">'Raw Sales'!$A$1:$I$1025</definedName>
    <definedName name="ExternalData_1" localSheetId="1" hidden="1">'Working Sales'!$A$1:$AE$1001</definedName>
    <definedName name="ExternalData_2" localSheetId="2" hidden="1">'Clean Sales'!$A$1:$I$1001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7" l="1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E161" i="7" s="1"/>
  <c r="F161" i="7" s="1"/>
  <c r="G161" i="7" s="1"/>
  <c r="D162" i="7"/>
  <c r="E162" i="7" s="1"/>
  <c r="F162" i="7" s="1"/>
  <c r="G162" i="7" s="1"/>
  <c r="D163" i="7"/>
  <c r="E163" i="7" s="1"/>
  <c r="F163" i="7" s="1"/>
  <c r="G163" i="7" s="1"/>
  <c r="D164" i="7"/>
  <c r="E164" i="7" s="1"/>
  <c r="F164" i="7" s="1"/>
  <c r="G164" i="7" s="1"/>
  <c r="D165" i="7"/>
  <c r="E165" i="7" s="1"/>
  <c r="F165" i="7" s="1"/>
  <c r="G165" i="7" s="1"/>
  <c r="D166" i="7"/>
  <c r="E166" i="7" s="1"/>
  <c r="F166" i="7" s="1"/>
  <c r="G166" i="7" s="1"/>
  <c r="D167" i="7"/>
  <c r="E167" i="7" s="1"/>
  <c r="F167" i="7" s="1"/>
  <c r="G167" i="7" s="1"/>
  <c r="D168" i="7"/>
  <c r="E168" i="7" s="1"/>
  <c r="F168" i="7" s="1"/>
  <c r="G168" i="7" s="1"/>
  <c r="D169" i="7"/>
  <c r="E169" i="7" s="1"/>
  <c r="F169" i="7" s="1"/>
  <c r="G169" i="7" s="1"/>
  <c r="D170" i="7"/>
  <c r="E170" i="7" s="1"/>
  <c r="F170" i="7" s="1"/>
  <c r="G170" i="7" s="1"/>
  <c r="D171" i="7"/>
  <c r="E171" i="7" s="1"/>
  <c r="F171" i="7" s="1"/>
  <c r="G171" i="7" s="1"/>
  <c r="D172" i="7"/>
  <c r="E172" i="7" s="1"/>
  <c r="F172" i="7" s="1"/>
  <c r="G172" i="7" s="1"/>
  <c r="D173" i="7"/>
  <c r="E173" i="7" s="1"/>
  <c r="F173" i="7" s="1"/>
  <c r="G173" i="7" s="1"/>
  <c r="D174" i="7"/>
  <c r="E174" i="7" s="1"/>
  <c r="F174" i="7" s="1"/>
  <c r="G174" i="7" s="1"/>
  <c r="D175" i="7"/>
  <c r="E175" i="7" s="1"/>
  <c r="F175" i="7" s="1"/>
  <c r="G175" i="7" s="1"/>
  <c r="D176" i="7"/>
  <c r="E176" i="7" s="1"/>
  <c r="F176" i="7" s="1"/>
  <c r="G176" i="7" s="1"/>
  <c r="D177" i="7"/>
  <c r="E177" i="7" s="1"/>
  <c r="F177" i="7" s="1"/>
  <c r="G177" i="7" s="1"/>
  <c r="D178" i="7"/>
  <c r="E178" i="7" s="1"/>
  <c r="F178" i="7" s="1"/>
  <c r="G178" i="7" s="1"/>
  <c r="D179" i="7"/>
  <c r="E179" i="7" s="1"/>
  <c r="F179" i="7" s="1"/>
  <c r="G179" i="7" s="1"/>
  <c r="D180" i="7"/>
  <c r="E180" i="7" s="1"/>
  <c r="F180" i="7" s="1"/>
  <c r="G180" i="7" s="1"/>
  <c r="D181" i="7"/>
  <c r="E181" i="7" s="1"/>
  <c r="F181" i="7" s="1"/>
  <c r="G181" i="7" s="1"/>
  <c r="D182" i="7"/>
  <c r="E182" i="7" s="1"/>
  <c r="F182" i="7" s="1"/>
  <c r="G182" i="7" s="1"/>
  <c r="D183" i="7"/>
  <c r="E183" i="7" s="1"/>
  <c r="F183" i="7" s="1"/>
  <c r="G183" i="7" s="1"/>
  <c r="D184" i="7"/>
  <c r="E184" i="7" s="1"/>
  <c r="F184" i="7" s="1"/>
  <c r="G184" i="7" s="1"/>
  <c r="D185" i="7"/>
  <c r="E185" i="7" s="1"/>
  <c r="F185" i="7" s="1"/>
  <c r="G185" i="7" s="1"/>
  <c r="D186" i="7"/>
  <c r="E186" i="7" s="1"/>
  <c r="F186" i="7" s="1"/>
  <c r="G186" i="7" s="1"/>
  <c r="D187" i="7"/>
  <c r="E187" i="7" s="1"/>
  <c r="F187" i="7" s="1"/>
  <c r="G187" i="7" s="1"/>
  <c r="D188" i="7"/>
  <c r="E188" i="7" s="1"/>
  <c r="F188" i="7" s="1"/>
  <c r="G188" i="7" s="1"/>
  <c r="D189" i="7"/>
  <c r="E189" i="7" s="1"/>
  <c r="F189" i="7" s="1"/>
  <c r="G189" i="7" s="1"/>
  <c r="D190" i="7"/>
  <c r="E190" i="7" s="1"/>
  <c r="F190" i="7" s="1"/>
  <c r="G190" i="7" s="1"/>
  <c r="D191" i="7"/>
  <c r="E191" i="7" s="1"/>
  <c r="F191" i="7" s="1"/>
  <c r="G191" i="7" s="1"/>
  <c r="D192" i="7"/>
  <c r="E192" i="7" s="1"/>
  <c r="F192" i="7" s="1"/>
  <c r="G192" i="7" s="1"/>
  <c r="D193" i="7"/>
  <c r="E193" i="7" s="1"/>
  <c r="F193" i="7" s="1"/>
  <c r="G193" i="7" s="1"/>
  <c r="D194" i="7"/>
  <c r="E194" i="7" s="1"/>
  <c r="F194" i="7" s="1"/>
  <c r="G194" i="7" s="1"/>
  <c r="D195" i="7"/>
  <c r="E195" i="7" s="1"/>
  <c r="F195" i="7" s="1"/>
  <c r="G195" i="7" s="1"/>
  <c r="D196" i="7"/>
  <c r="E196" i="7" s="1"/>
  <c r="F196" i="7" s="1"/>
  <c r="G196" i="7" s="1"/>
  <c r="D197" i="7"/>
  <c r="E197" i="7" s="1"/>
  <c r="F197" i="7" s="1"/>
  <c r="G197" i="7" s="1"/>
  <c r="D198" i="7"/>
  <c r="E198" i="7" s="1"/>
  <c r="F198" i="7" s="1"/>
  <c r="G198" i="7" s="1"/>
  <c r="D199" i="7"/>
  <c r="E199" i="7" s="1"/>
  <c r="F199" i="7" s="1"/>
  <c r="G199" i="7" s="1"/>
  <c r="D200" i="7"/>
  <c r="E200" i="7" s="1"/>
  <c r="F200" i="7" s="1"/>
  <c r="G200" i="7" s="1"/>
  <c r="D201" i="7"/>
  <c r="E201" i="7" s="1"/>
  <c r="F201" i="7" s="1"/>
  <c r="G201" i="7" s="1"/>
  <c r="D202" i="7"/>
  <c r="E202" i="7" s="1"/>
  <c r="F202" i="7" s="1"/>
  <c r="G202" i="7" s="1"/>
  <c r="D203" i="7"/>
  <c r="E203" i="7" s="1"/>
  <c r="F203" i="7" s="1"/>
  <c r="G203" i="7" s="1"/>
  <c r="D204" i="7"/>
  <c r="E204" i="7" s="1"/>
  <c r="F204" i="7" s="1"/>
  <c r="G204" i="7" s="1"/>
  <c r="D205" i="7"/>
  <c r="E205" i="7" s="1"/>
  <c r="F205" i="7" s="1"/>
  <c r="G205" i="7" s="1"/>
  <c r="D206" i="7"/>
  <c r="E206" i="7" s="1"/>
  <c r="F206" i="7" s="1"/>
  <c r="G206" i="7" s="1"/>
  <c r="D207" i="7"/>
  <c r="E207" i="7" s="1"/>
  <c r="F207" i="7" s="1"/>
  <c r="G207" i="7" s="1"/>
  <c r="D208" i="7"/>
  <c r="E208" i="7" s="1"/>
  <c r="F208" i="7" s="1"/>
  <c r="G208" i="7" s="1"/>
  <c r="D209" i="7"/>
  <c r="E209" i="7" s="1"/>
  <c r="F209" i="7" s="1"/>
  <c r="G209" i="7" s="1"/>
  <c r="D210" i="7"/>
  <c r="E210" i="7" s="1"/>
  <c r="F210" i="7" s="1"/>
  <c r="G210" i="7" s="1"/>
  <c r="D211" i="7"/>
  <c r="E211" i="7" s="1"/>
  <c r="F211" i="7" s="1"/>
  <c r="G211" i="7" s="1"/>
  <c r="D212" i="7"/>
  <c r="E212" i="7" s="1"/>
  <c r="F212" i="7" s="1"/>
  <c r="G212" i="7" s="1"/>
  <c r="D213" i="7"/>
  <c r="E213" i="7" s="1"/>
  <c r="F213" i="7" s="1"/>
  <c r="G213" i="7" s="1"/>
  <c r="D214" i="7"/>
  <c r="E214" i="7" s="1"/>
  <c r="F214" i="7" s="1"/>
  <c r="G214" i="7" s="1"/>
  <c r="D215" i="7"/>
  <c r="E215" i="7" s="1"/>
  <c r="F215" i="7" s="1"/>
  <c r="G215" i="7" s="1"/>
  <c r="D216" i="7"/>
  <c r="E216" i="7" s="1"/>
  <c r="F216" i="7" s="1"/>
  <c r="G216" i="7" s="1"/>
  <c r="D217" i="7"/>
  <c r="E217" i="7" s="1"/>
  <c r="F217" i="7" s="1"/>
  <c r="G217" i="7" s="1"/>
  <c r="D218" i="7"/>
  <c r="E218" i="7" s="1"/>
  <c r="F218" i="7" s="1"/>
  <c r="G218" i="7" s="1"/>
  <c r="D219" i="7"/>
  <c r="E219" i="7" s="1"/>
  <c r="F219" i="7" s="1"/>
  <c r="G219" i="7" s="1"/>
  <c r="D220" i="7"/>
  <c r="E220" i="7" s="1"/>
  <c r="F220" i="7" s="1"/>
  <c r="G220" i="7" s="1"/>
  <c r="D221" i="7"/>
  <c r="E221" i="7" s="1"/>
  <c r="F221" i="7" s="1"/>
  <c r="G221" i="7" s="1"/>
  <c r="D222" i="7"/>
  <c r="E222" i="7" s="1"/>
  <c r="F222" i="7" s="1"/>
  <c r="G222" i="7" s="1"/>
  <c r="D223" i="7"/>
  <c r="E223" i="7" s="1"/>
  <c r="F223" i="7" s="1"/>
  <c r="G223" i="7" s="1"/>
  <c r="D224" i="7"/>
  <c r="E224" i="7" s="1"/>
  <c r="F224" i="7" s="1"/>
  <c r="G224" i="7" s="1"/>
  <c r="D225" i="7"/>
  <c r="E225" i="7" s="1"/>
  <c r="F225" i="7" s="1"/>
  <c r="G225" i="7" s="1"/>
  <c r="D226" i="7"/>
  <c r="E226" i="7" s="1"/>
  <c r="F226" i="7" s="1"/>
  <c r="G226" i="7" s="1"/>
  <c r="D227" i="7"/>
  <c r="E227" i="7" s="1"/>
  <c r="F227" i="7" s="1"/>
  <c r="G227" i="7" s="1"/>
  <c r="D228" i="7"/>
  <c r="E228" i="7" s="1"/>
  <c r="F228" i="7" s="1"/>
  <c r="G228" i="7" s="1"/>
  <c r="D229" i="7"/>
  <c r="E229" i="7" s="1"/>
  <c r="F229" i="7" s="1"/>
  <c r="G229" i="7" s="1"/>
  <c r="D230" i="7"/>
  <c r="E230" i="7" s="1"/>
  <c r="F230" i="7" s="1"/>
  <c r="G230" i="7" s="1"/>
  <c r="D231" i="7"/>
  <c r="E231" i="7" s="1"/>
  <c r="F231" i="7" s="1"/>
  <c r="G231" i="7" s="1"/>
  <c r="D232" i="7"/>
  <c r="E232" i="7" s="1"/>
  <c r="F232" i="7" s="1"/>
  <c r="G232" i="7" s="1"/>
  <c r="D233" i="7"/>
  <c r="E233" i="7" s="1"/>
  <c r="F233" i="7" s="1"/>
  <c r="G233" i="7" s="1"/>
  <c r="D234" i="7"/>
  <c r="E234" i="7" s="1"/>
  <c r="F234" i="7" s="1"/>
  <c r="G234" i="7" s="1"/>
  <c r="D235" i="7"/>
  <c r="E235" i="7" s="1"/>
  <c r="F235" i="7" s="1"/>
  <c r="G235" i="7" s="1"/>
  <c r="D236" i="7"/>
  <c r="E236" i="7" s="1"/>
  <c r="F236" i="7" s="1"/>
  <c r="G236" i="7" s="1"/>
  <c r="D237" i="7"/>
  <c r="E237" i="7" s="1"/>
  <c r="F237" i="7" s="1"/>
  <c r="G237" i="7" s="1"/>
  <c r="D238" i="7"/>
  <c r="E238" i="7" s="1"/>
  <c r="F238" i="7" s="1"/>
  <c r="G238" i="7" s="1"/>
  <c r="D239" i="7"/>
  <c r="E239" i="7" s="1"/>
  <c r="F239" i="7" s="1"/>
  <c r="G239" i="7" s="1"/>
  <c r="D240" i="7"/>
  <c r="E240" i="7" s="1"/>
  <c r="F240" i="7" s="1"/>
  <c r="G240" i="7" s="1"/>
  <c r="D241" i="7"/>
  <c r="E241" i="7" s="1"/>
  <c r="F241" i="7" s="1"/>
  <c r="G241" i="7" s="1"/>
  <c r="D242" i="7"/>
  <c r="E242" i="7" s="1"/>
  <c r="F242" i="7" s="1"/>
  <c r="G242" i="7" s="1"/>
  <c r="D243" i="7"/>
  <c r="E243" i="7" s="1"/>
  <c r="F243" i="7" s="1"/>
  <c r="G243" i="7" s="1"/>
  <c r="D244" i="7"/>
  <c r="E244" i="7" s="1"/>
  <c r="F244" i="7" s="1"/>
  <c r="G244" i="7" s="1"/>
  <c r="D245" i="7"/>
  <c r="E245" i="7" s="1"/>
  <c r="F245" i="7" s="1"/>
  <c r="G245" i="7" s="1"/>
  <c r="D246" i="7"/>
  <c r="E246" i="7" s="1"/>
  <c r="F246" i="7" s="1"/>
  <c r="G246" i="7" s="1"/>
  <c r="D247" i="7"/>
  <c r="E247" i="7" s="1"/>
  <c r="F247" i="7" s="1"/>
  <c r="G247" i="7" s="1"/>
  <c r="D248" i="7"/>
  <c r="E248" i="7" s="1"/>
  <c r="F248" i="7" s="1"/>
  <c r="G248" i="7" s="1"/>
  <c r="D249" i="7"/>
  <c r="E249" i="7" s="1"/>
  <c r="F249" i="7" s="1"/>
  <c r="G249" i="7" s="1"/>
  <c r="D250" i="7"/>
  <c r="E250" i="7" s="1"/>
  <c r="F250" i="7" s="1"/>
  <c r="G250" i="7" s="1"/>
  <c r="D251" i="7"/>
  <c r="E251" i="7" s="1"/>
  <c r="F251" i="7" s="1"/>
  <c r="G251" i="7" s="1"/>
  <c r="D252" i="7"/>
  <c r="E252" i="7" s="1"/>
  <c r="F252" i="7" s="1"/>
  <c r="G252" i="7" s="1"/>
  <c r="D253" i="7"/>
  <c r="E253" i="7" s="1"/>
  <c r="F253" i="7" s="1"/>
  <c r="G253" i="7" s="1"/>
  <c r="D254" i="7"/>
  <c r="E254" i="7" s="1"/>
  <c r="F254" i="7" s="1"/>
  <c r="G254" i="7" s="1"/>
  <c r="D255" i="7"/>
  <c r="E255" i="7" s="1"/>
  <c r="F255" i="7" s="1"/>
  <c r="G255" i="7" s="1"/>
  <c r="D256" i="7"/>
  <c r="E256" i="7" s="1"/>
  <c r="F256" i="7" s="1"/>
  <c r="G256" i="7" s="1"/>
  <c r="D257" i="7"/>
  <c r="E257" i="7" s="1"/>
  <c r="F257" i="7" s="1"/>
  <c r="G257" i="7" s="1"/>
  <c r="D258" i="7"/>
  <c r="E258" i="7" s="1"/>
  <c r="F258" i="7" s="1"/>
  <c r="G258" i="7" s="1"/>
  <c r="D259" i="7"/>
  <c r="E259" i="7" s="1"/>
  <c r="F259" i="7" s="1"/>
  <c r="G259" i="7" s="1"/>
  <c r="D260" i="7"/>
  <c r="E260" i="7" s="1"/>
  <c r="F260" i="7" s="1"/>
  <c r="G260" i="7" s="1"/>
  <c r="D261" i="7"/>
  <c r="E261" i="7" s="1"/>
  <c r="F261" i="7" s="1"/>
  <c r="G261" i="7" s="1"/>
  <c r="D262" i="7"/>
  <c r="E262" i="7" s="1"/>
  <c r="F262" i="7" s="1"/>
  <c r="G262" i="7" s="1"/>
  <c r="D263" i="7"/>
  <c r="E263" i="7" s="1"/>
  <c r="F263" i="7" s="1"/>
  <c r="G263" i="7" s="1"/>
  <c r="D264" i="7"/>
  <c r="E264" i="7" s="1"/>
  <c r="F264" i="7" s="1"/>
  <c r="G264" i="7" s="1"/>
  <c r="D265" i="7"/>
  <c r="E265" i="7" s="1"/>
  <c r="F265" i="7" s="1"/>
  <c r="G265" i="7" s="1"/>
  <c r="D266" i="7"/>
  <c r="E266" i="7" s="1"/>
  <c r="F266" i="7" s="1"/>
  <c r="G266" i="7" s="1"/>
  <c r="D267" i="7"/>
  <c r="E267" i="7" s="1"/>
  <c r="F267" i="7" s="1"/>
  <c r="G267" i="7" s="1"/>
  <c r="D268" i="7"/>
  <c r="E268" i="7" s="1"/>
  <c r="F268" i="7" s="1"/>
  <c r="G268" i="7" s="1"/>
  <c r="D269" i="7"/>
  <c r="E269" i="7" s="1"/>
  <c r="F269" i="7" s="1"/>
  <c r="G269" i="7" s="1"/>
  <c r="D270" i="7"/>
  <c r="E270" i="7" s="1"/>
  <c r="F270" i="7" s="1"/>
  <c r="G270" i="7" s="1"/>
  <c r="D271" i="7"/>
  <c r="E271" i="7" s="1"/>
  <c r="F271" i="7" s="1"/>
  <c r="G271" i="7" s="1"/>
  <c r="D272" i="7"/>
  <c r="E272" i="7" s="1"/>
  <c r="F272" i="7" s="1"/>
  <c r="G272" i="7" s="1"/>
  <c r="D273" i="7"/>
  <c r="E273" i="7" s="1"/>
  <c r="F273" i="7" s="1"/>
  <c r="G273" i="7" s="1"/>
  <c r="D274" i="7"/>
  <c r="E274" i="7" s="1"/>
  <c r="F274" i="7" s="1"/>
  <c r="G274" i="7" s="1"/>
  <c r="D275" i="7"/>
  <c r="E275" i="7" s="1"/>
  <c r="F275" i="7" s="1"/>
  <c r="G275" i="7" s="1"/>
  <c r="D276" i="7"/>
  <c r="E276" i="7" s="1"/>
  <c r="F276" i="7" s="1"/>
  <c r="G276" i="7" s="1"/>
  <c r="D277" i="7"/>
  <c r="E277" i="7" s="1"/>
  <c r="F277" i="7" s="1"/>
  <c r="G277" i="7" s="1"/>
  <c r="D278" i="7"/>
  <c r="E278" i="7" s="1"/>
  <c r="F278" i="7" s="1"/>
  <c r="G278" i="7" s="1"/>
  <c r="D279" i="7"/>
  <c r="E279" i="7" s="1"/>
  <c r="F279" i="7" s="1"/>
  <c r="G279" i="7" s="1"/>
  <c r="D280" i="7"/>
  <c r="E280" i="7" s="1"/>
  <c r="F280" i="7" s="1"/>
  <c r="G280" i="7" s="1"/>
  <c r="D281" i="7"/>
  <c r="E281" i="7" s="1"/>
  <c r="F281" i="7" s="1"/>
  <c r="G281" i="7" s="1"/>
  <c r="D282" i="7"/>
  <c r="E282" i="7" s="1"/>
  <c r="F282" i="7" s="1"/>
  <c r="G282" i="7" s="1"/>
  <c r="D283" i="7"/>
  <c r="E283" i="7" s="1"/>
  <c r="F283" i="7" s="1"/>
  <c r="G283" i="7" s="1"/>
  <c r="D284" i="7"/>
  <c r="E284" i="7" s="1"/>
  <c r="F284" i="7" s="1"/>
  <c r="G284" i="7" s="1"/>
  <c r="D285" i="7"/>
  <c r="E285" i="7" s="1"/>
  <c r="F285" i="7" s="1"/>
  <c r="G285" i="7" s="1"/>
  <c r="D286" i="7"/>
  <c r="E286" i="7" s="1"/>
  <c r="F286" i="7" s="1"/>
  <c r="G286" i="7" s="1"/>
  <c r="D287" i="7"/>
  <c r="E287" i="7" s="1"/>
  <c r="F287" i="7" s="1"/>
  <c r="G287" i="7" s="1"/>
  <c r="D288" i="7"/>
  <c r="E288" i="7" s="1"/>
  <c r="F288" i="7" s="1"/>
  <c r="G288" i="7" s="1"/>
  <c r="D289" i="7"/>
  <c r="E289" i="7" s="1"/>
  <c r="F289" i="7" s="1"/>
  <c r="G289" i="7" s="1"/>
  <c r="D290" i="7"/>
  <c r="E290" i="7" s="1"/>
  <c r="F290" i="7" s="1"/>
  <c r="G290" i="7" s="1"/>
  <c r="D291" i="7"/>
  <c r="E291" i="7" s="1"/>
  <c r="F291" i="7" s="1"/>
  <c r="G291" i="7" s="1"/>
  <c r="D292" i="7"/>
  <c r="E292" i="7" s="1"/>
  <c r="F292" i="7" s="1"/>
  <c r="G292" i="7" s="1"/>
  <c r="D293" i="7"/>
  <c r="E293" i="7" s="1"/>
  <c r="F293" i="7" s="1"/>
  <c r="G293" i="7" s="1"/>
  <c r="D294" i="7"/>
  <c r="E294" i="7" s="1"/>
  <c r="F294" i="7" s="1"/>
  <c r="G294" i="7" s="1"/>
  <c r="D295" i="7"/>
  <c r="E295" i="7" s="1"/>
  <c r="F295" i="7" s="1"/>
  <c r="G295" i="7" s="1"/>
  <c r="D296" i="7"/>
  <c r="E296" i="7" s="1"/>
  <c r="F296" i="7" s="1"/>
  <c r="G296" i="7" s="1"/>
  <c r="D297" i="7"/>
  <c r="E297" i="7" s="1"/>
  <c r="F297" i="7" s="1"/>
  <c r="G297" i="7" s="1"/>
  <c r="D298" i="7"/>
  <c r="E298" i="7" s="1"/>
  <c r="F298" i="7" s="1"/>
  <c r="G298" i="7" s="1"/>
  <c r="D299" i="7"/>
  <c r="E299" i="7" s="1"/>
  <c r="F299" i="7" s="1"/>
  <c r="G299" i="7" s="1"/>
  <c r="D300" i="7"/>
  <c r="E300" i="7" s="1"/>
  <c r="F300" i="7" s="1"/>
  <c r="G300" i="7" s="1"/>
  <c r="D301" i="7"/>
  <c r="E301" i="7" s="1"/>
  <c r="F301" i="7" s="1"/>
  <c r="G301" i="7" s="1"/>
  <c r="D302" i="7"/>
  <c r="E302" i="7" s="1"/>
  <c r="F302" i="7" s="1"/>
  <c r="G302" i="7" s="1"/>
  <c r="D303" i="7"/>
  <c r="E303" i="7" s="1"/>
  <c r="F303" i="7" s="1"/>
  <c r="G303" i="7" s="1"/>
  <c r="D304" i="7"/>
  <c r="E304" i="7" s="1"/>
  <c r="F304" i="7" s="1"/>
  <c r="G304" i="7" s="1"/>
  <c r="D305" i="7"/>
  <c r="E305" i="7" s="1"/>
  <c r="F305" i="7" s="1"/>
  <c r="G305" i="7" s="1"/>
  <c r="D306" i="7"/>
  <c r="E306" i="7" s="1"/>
  <c r="F306" i="7" s="1"/>
  <c r="G306" i="7" s="1"/>
  <c r="D307" i="7"/>
  <c r="E307" i="7" s="1"/>
  <c r="F307" i="7" s="1"/>
  <c r="G307" i="7" s="1"/>
  <c r="D308" i="7"/>
  <c r="E308" i="7" s="1"/>
  <c r="F308" i="7" s="1"/>
  <c r="G308" i="7" s="1"/>
  <c r="D309" i="7"/>
  <c r="E309" i="7" s="1"/>
  <c r="F309" i="7" s="1"/>
  <c r="G309" i="7" s="1"/>
  <c r="D310" i="7"/>
  <c r="E310" i="7" s="1"/>
  <c r="F310" i="7" s="1"/>
  <c r="G310" i="7" s="1"/>
  <c r="D311" i="7"/>
  <c r="E311" i="7" s="1"/>
  <c r="F311" i="7" s="1"/>
  <c r="G311" i="7" s="1"/>
  <c r="D312" i="7"/>
  <c r="E312" i="7" s="1"/>
  <c r="F312" i="7" s="1"/>
  <c r="G312" i="7" s="1"/>
  <c r="D313" i="7"/>
  <c r="E313" i="7" s="1"/>
  <c r="F313" i="7" s="1"/>
  <c r="G313" i="7" s="1"/>
  <c r="D314" i="7"/>
  <c r="E314" i="7" s="1"/>
  <c r="F314" i="7" s="1"/>
  <c r="G314" i="7" s="1"/>
  <c r="D315" i="7"/>
  <c r="E315" i="7" s="1"/>
  <c r="F315" i="7" s="1"/>
  <c r="G315" i="7" s="1"/>
  <c r="D316" i="7"/>
  <c r="E316" i="7" s="1"/>
  <c r="F316" i="7" s="1"/>
  <c r="G316" i="7" s="1"/>
  <c r="D317" i="7"/>
  <c r="E317" i="7" s="1"/>
  <c r="F317" i="7" s="1"/>
  <c r="G317" i="7" s="1"/>
  <c r="D318" i="7"/>
  <c r="E318" i="7" s="1"/>
  <c r="F318" i="7" s="1"/>
  <c r="G318" i="7" s="1"/>
  <c r="D319" i="7"/>
  <c r="E319" i="7" s="1"/>
  <c r="F319" i="7" s="1"/>
  <c r="G319" i="7" s="1"/>
  <c r="D320" i="7"/>
  <c r="E320" i="7" s="1"/>
  <c r="F320" i="7" s="1"/>
  <c r="G320" i="7" s="1"/>
  <c r="D321" i="7"/>
  <c r="E321" i="7" s="1"/>
  <c r="F321" i="7" s="1"/>
  <c r="G321" i="7" s="1"/>
  <c r="D322" i="7"/>
  <c r="E322" i="7" s="1"/>
  <c r="F322" i="7" s="1"/>
  <c r="G322" i="7" s="1"/>
  <c r="D323" i="7"/>
  <c r="E323" i="7" s="1"/>
  <c r="F323" i="7" s="1"/>
  <c r="G323" i="7" s="1"/>
  <c r="D324" i="7"/>
  <c r="E324" i="7" s="1"/>
  <c r="F324" i="7" s="1"/>
  <c r="G324" i="7" s="1"/>
  <c r="D325" i="7"/>
  <c r="E325" i="7" s="1"/>
  <c r="F325" i="7" s="1"/>
  <c r="G325" i="7" s="1"/>
  <c r="D326" i="7"/>
  <c r="E326" i="7" s="1"/>
  <c r="F326" i="7" s="1"/>
  <c r="G326" i="7" s="1"/>
  <c r="D327" i="7"/>
  <c r="E327" i="7" s="1"/>
  <c r="F327" i="7" s="1"/>
  <c r="G327" i="7" s="1"/>
  <c r="D328" i="7"/>
  <c r="E328" i="7" s="1"/>
  <c r="F328" i="7" s="1"/>
  <c r="G328" i="7" s="1"/>
  <c r="D329" i="7"/>
  <c r="E329" i="7" s="1"/>
  <c r="F329" i="7" s="1"/>
  <c r="G329" i="7" s="1"/>
  <c r="D330" i="7"/>
  <c r="E330" i="7" s="1"/>
  <c r="F330" i="7" s="1"/>
  <c r="G330" i="7" s="1"/>
  <c r="D331" i="7"/>
  <c r="E331" i="7" s="1"/>
  <c r="F331" i="7" s="1"/>
  <c r="G331" i="7" s="1"/>
  <c r="D332" i="7"/>
  <c r="E332" i="7" s="1"/>
  <c r="F332" i="7" s="1"/>
  <c r="G332" i="7" s="1"/>
  <c r="D333" i="7"/>
  <c r="E333" i="7" s="1"/>
  <c r="F333" i="7" s="1"/>
  <c r="G333" i="7" s="1"/>
  <c r="D334" i="7"/>
  <c r="E334" i="7" s="1"/>
  <c r="F334" i="7" s="1"/>
  <c r="G334" i="7" s="1"/>
  <c r="D335" i="7"/>
  <c r="E335" i="7" s="1"/>
  <c r="F335" i="7" s="1"/>
  <c r="G335" i="7" s="1"/>
  <c r="D336" i="7"/>
  <c r="E336" i="7" s="1"/>
  <c r="F336" i="7" s="1"/>
  <c r="G336" i="7" s="1"/>
  <c r="D337" i="7"/>
  <c r="E337" i="7" s="1"/>
  <c r="F337" i="7" s="1"/>
  <c r="G337" i="7" s="1"/>
  <c r="D338" i="7"/>
  <c r="E338" i="7" s="1"/>
  <c r="F338" i="7" s="1"/>
  <c r="G338" i="7" s="1"/>
  <c r="D339" i="7"/>
  <c r="E339" i="7" s="1"/>
  <c r="F339" i="7" s="1"/>
  <c r="G339" i="7" s="1"/>
  <c r="D340" i="7"/>
  <c r="E340" i="7" s="1"/>
  <c r="F340" i="7" s="1"/>
  <c r="G340" i="7" s="1"/>
  <c r="D341" i="7"/>
  <c r="E341" i="7" s="1"/>
  <c r="F341" i="7" s="1"/>
  <c r="G341" i="7" s="1"/>
  <c r="D342" i="7"/>
  <c r="E342" i="7" s="1"/>
  <c r="F342" i="7" s="1"/>
  <c r="G342" i="7" s="1"/>
  <c r="D343" i="7"/>
  <c r="E343" i="7" s="1"/>
  <c r="F343" i="7" s="1"/>
  <c r="G343" i="7" s="1"/>
  <c r="D344" i="7"/>
  <c r="E344" i="7" s="1"/>
  <c r="F344" i="7" s="1"/>
  <c r="G344" i="7" s="1"/>
  <c r="D345" i="7"/>
  <c r="E345" i="7" s="1"/>
  <c r="F345" i="7" s="1"/>
  <c r="G345" i="7" s="1"/>
  <c r="D346" i="7"/>
  <c r="E346" i="7" s="1"/>
  <c r="F346" i="7" s="1"/>
  <c r="G346" i="7" s="1"/>
  <c r="D347" i="7"/>
  <c r="E347" i="7" s="1"/>
  <c r="F347" i="7" s="1"/>
  <c r="G347" i="7" s="1"/>
  <c r="D348" i="7"/>
  <c r="E348" i="7" s="1"/>
  <c r="F348" i="7" s="1"/>
  <c r="G348" i="7" s="1"/>
  <c r="D349" i="7"/>
  <c r="E349" i="7" s="1"/>
  <c r="F349" i="7" s="1"/>
  <c r="G349" i="7" s="1"/>
  <c r="D350" i="7"/>
  <c r="E350" i="7" s="1"/>
  <c r="F350" i="7" s="1"/>
  <c r="G350" i="7" s="1"/>
  <c r="D351" i="7"/>
  <c r="E351" i="7" s="1"/>
  <c r="F351" i="7" s="1"/>
  <c r="G351" i="7" s="1"/>
  <c r="D352" i="7"/>
  <c r="E352" i="7" s="1"/>
  <c r="F352" i="7" s="1"/>
  <c r="G352" i="7" s="1"/>
  <c r="D353" i="7"/>
  <c r="E353" i="7" s="1"/>
  <c r="F353" i="7" s="1"/>
  <c r="G353" i="7" s="1"/>
  <c r="D354" i="7"/>
  <c r="E354" i="7" s="1"/>
  <c r="F354" i="7" s="1"/>
  <c r="G354" i="7" s="1"/>
  <c r="D355" i="7"/>
  <c r="E355" i="7" s="1"/>
  <c r="F355" i="7" s="1"/>
  <c r="G355" i="7" s="1"/>
  <c r="D356" i="7"/>
  <c r="E356" i="7" s="1"/>
  <c r="F356" i="7" s="1"/>
  <c r="G356" i="7" s="1"/>
  <c r="D357" i="7"/>
  <c r="E357" i="7" s="1"/>
  <c r="F357" i="7" s="1"/>
  <c r="G357" i="7" s="1"/>
  <c r="D358" i="7"/>
  <c r="E358" i="7" s="1"/>
  <c r="F358" i="7" s="1"/>
  <c r="G358" i="7" s="1"/>
  <c r="D359" i="7"/>
  <c r="E359" i="7" s="1"/>
  <c r="F359" i="7" s="1"/>
  <c r="G359" i="7" s="1"/>
  <c r="D360" i="7"/>
  <c r="E360" i="7" s="1"/>
  <c r="F360" i="7" s="1"/>
  <c r="G360" i="7" s="1"/>
  <c r="D361" i="7"/>
  <c r="E361" i="7" s="1"/>
  <c r="F361" i="7" s="1"/>
  <c r="G361" i="7" s="1"/>
  <c r="D362" i="7"/>
  <c r="E362" i="7" s="1"/>
  <c r="F362" i="7" s="1"/>
  <c r="G362" i="7" s="1"/>
  <c r="D363" i="7"/>
  <c r="E363" i="7" s="1"/>
  <c r="F363" i="7" s="1"/>
  <c r="G363" i="7" s="1"/>
  <c r="D364" i="7"/>
  <c r="E364" i="7" s="1"/>
  <c r="F364" i="7" s="1"/>
  <c r="G364" i="7" s="1"/>
  <c r="D365" i="7"/>
  <c r="E365" i="7" s="1"/>
  <c r="F365" i="7" s="1"/>
  <c r="G365" i="7" s="1"/>
  <c r="D366" i="7"/>
  <c r="E366" i="7" s="1"/>
  <c r="F366" i="7" s="1"/>
  <c r="G366" i="7" s="1"/>
  <c r="D367" i="7"/>
  <c r="E367" i="7" s="1"/>
  <c r="F367" i="7" s="1"/>
  <c r="G367" i="7" s="1"/>
  <c r="D368" i="7"/>
  <c r="E368" i="7" s="1"/>
  <c r="F368" i="7" s="1"/>
  <c r="G368" i="7" s="1"/>
  <c r="D369" i="7"/>
  <c r="E369" i="7" s="1"/>
  <c r="F369" i="7" s="1"/>
  <c r="G369" i="7" s="1"/>
  <c r="D370" i="7"/>
  <c r="E370" i="7" s="1"/>
  <c r="F370" i="7" s="1"/>
  <c r="G370" i="7" s="1"/>
  <c r="D371" i="7"/>
  <c r="E371" i="7" s="1"/>
  <c r="F371" i="7" s="1"/>
  <c r="G371" i="7" s="1"/>
  <c r="D372" i="7"/>
  <c r="E372" i="7" s="1"/>
  <c r="F372" i="7" s="1"/>
  <c r="G372" i="7" s="1"/>
  <c r="D373" i="7"/>
  <c r="E373" i="7" s="1"/>
  <c r="F373" i="7" s="1"/>
  <c r="G373" i="7" s="1"/>
  <c r="D374" i="7"/>
  <c r="E374" i="7" s="1"/>
  <c r="F374" i="7" s="1"/>
  <c r="G374" i="7" s="1"/>
  <c r="D375" i="7"/>
  <c r="E375" i="7" s="1"/>
  <c r="F375" i="7" s="1"/>
  <c r="G375" i="7" s="1"/>
  <c r="D376" i="7"/>
  <c r="E376" i="7" s="1"/>
  <c r="F376" i="7" s="1"/>
  <c r="G376" i="7" s="1"/>
  <c r="D377" i="7"/>
  <c r="E377" i="7" s="1"/>
  <c r="F377" i="7" s="1"/>
  <c r="G377" i="7" s="1"/>
  <c r="D378" i="7"/>
  <c r="E378" i="7" s="1"/>
  <c r="F378" i="7" s="1"/>
  <c r="G378" i="7" s="1"/>
  <c r="D379" i="7"/>
  <c r="E379" i="7" s="1"/>
  <c r="F379" i="7" s="1"/>
  <c r="G379" i="7" s="1"/>
  <c r="D380" i="7"/>
  <c r="E380" i="7" s="1"/>
  <c r="F380" i="7" s="1"/>
  <c r="G380" i="7" s="1"/>
  <c r="D381" i="7"/>
  <c r="E381" i="7" s="1"/>
  <c r="F381" i="7" s="1"/>
  <c r="G381" i="7" s="1"/>
  <c r="D382" i="7"/>
  <c r="E382" i="7" s="1"/>
  <c r="F382" i="7" s="1"/>
  <c r="G382" i="7" s="1"/>
  <c r="D383" i="7"/>
  <c r="E383" i="7" s="1"/>
  <c r="F383" i="7" s="1"/>
  <c r="G383" i="7" s="1"/>
  <c r="D384" i="7"/>
  <c r="E384" i="7" s="1"/>
  <c r="F384" i="7" s="1"/>
  <c r="G384" i="7" s="1"/>
  <c r="D385" i="7"/>
  <c r="E385" i="7" s="1"/>
  <c r="F385" i="7" s="1"/>
  <c r="G385" i="7" s="1"/>
  <c r="D386" i="7"/>
  <c r="E386" i="7" s="1"/>
  <c r="F386" i="7" s="1"/>
  <c r="G386" i="7" s="1"/>
  <c r="D387" i="7"/>
  <c r="E387" i="7" s="1"/>
  <c r="F387" i="7" s="1"/>
  <c r="G387" i="7" s="1"/>
  <c r="D388" i="7"/>
  <c r="E388" i="7" s="1"/>
  <c r="F388" i="7" s="1"/>
  <c r="G388" i="7" s="1"/>
  <c r="D389" i="7"/>
  <c r="E389" i="7" s="1"/>
  <c r="F389" i="7" s="1"/>
  <c r="G389" i="7" s="1"/>
  <c r="D390" i="7"/>
  <c r="E390" i="7" s="1"/>
  <c r="F390" i="7" s="1"/>
  <c r="G390" i="7" s="1"/>
  <c r="D391" i="7"/>
  <c r="E391" i="7" s="1"/>
  <c r="F391" i="7" s="1"/>
  <c r="G391" i="7" s="1"/>
  <c r="D392" i="7"/>
  <c r="E392" i="7" s="1"/>
  <c r="F392" i="7" s="1"/>
  <c r="G392" i="7" s="1"/>
  <c r="D393" i="7"/>
  <c r="E393" i="7" s="1"/>
  <c r="F393" i="7" s="1"/>
  <c r="G393" i="7" s="1"/>
  <c r="D394" i="7"/>
  <c r="E394" i="7" s="1"/>
  <c r="F394" i="7" s="1"/>
  <c r="G394" i="7" s="1"/>
  <c r="D395" i="7"/>
  <c r="E395" i="7" s="1"/>
  <c r="F395" i="7" s="1"/>
  <c r="G395" i="7" s="1"/>
  <c r="D396" i="7"/>
  <c r="E396" i="7" s="1"/>
  <c r="F396" i="7" s="1"/>
  <c r="G396" i="7" s="1"/>
  <c r="D397" i="7"/>
  <c r="E397" i="7" s="1"/>
  <c r="F397" i="7" s="1"/>
  <c r="G397" i="7" s="1"/>
  <c r="D398" i="7"/>
  <c r="E398" i="7" s="1"/>
  <c r="F398" i="7" s="1"/>
  <c r="G398" i="7" s="1"/>
  <c r="D399" i="7"/>
  <c r="E399" i="7" s="1"/>
  <c r="F399" i="7" s="1"/>
  <c r="G399" i="7" s="1"/>
  <c r="D400" i="7"/>
  <c r="E400" i="7" s="1"/>
  <c r="F400" i="7" s="1"/>
  <c r="G400" i="7" s="1"/>
  <c r="D401" i="7"/>
  <c r="E401" i="7" s="1"/>
  <c r="F401" i="7" s="1"/>
  <c r="G401" i="7" s="1"/>
  <c r="D402" i="7"/>
  <c r="E402" i="7" s="1"/>
  <c r="F402" i="7" s="1"/>
  <c r="G402" i="7" s="1"/>
  <c r="D403" i="7"/>
  <c r="E403" i="7" s="1"/>
  <c r="F403" i="7" s="1"/>
  <c r="G403" i="7" s="1"/>
  <c r="D404" i="7"/>
  <c r="E404" i="7" s="1"/>
  <c r="F404" i="7" s="1"/>
  <c r="G404" i="7" s="1"/>
  <c r="D405" i="7"/>
  <c r="E405" i="7" s="1"/>
  <c r="F405" i="7" s="1"/>
  <c r="G405" i="7" s="1"/>
  <c r="D406" i="7"/>
  <c r="E406" i="7" s="1"/>
  <c r="F406" i="7" s="1"/>
  <c r="G406" i="7" s="1"/>
  <c r="D407" i="7"/>
  <c r="E407" i="7" s="1"/>
  <c r="F407" i="7" s="1"/>
  <c r="G407" i="7" s="1"/>
  <c r="D408" i="7"/>
  <c r="E408" i="7" s="1"/>
  <c r="F408" i="7" s="1"/>
  <c r="G408" i="7" s="1"/>
  <c r="D409" i="7"/>
  <c r="E409" i="7" s="1"/>
  <c r="F409" i="7" s="1"/>
  <c r="G409" i="7" s="1"/>
  <c r="D410" i="7"/>
  <c r="E410" i="7" s="1"/>
  <c r="F410" i="7" s="1"/>
  <c r="G410" i="7" s="1"/>
  <c r="D411" i="7"/>
  <c r="E411" i="7" s="1"/>
  <c r="F411" i="7" s="1"/>
  <c r="G411" i="7" s="1"/>
  <c r="D412" i="7"/>
  <c r="E412" i="7" s="1"/>
  <c r="F412" i="7" s="1"/>
  <c r="G412" i="7" s="1"/>
  <c r="D413" i="7"/>
  <c r="E413" i="7" s="1"/>
  <c r="F413" i="7" s="1"/>
  <c r="G413" i="7" s="1"/>
  <c r="D414" i="7"/>
  <c r="E414" i="7" s="1"/>
  <c r="F414" i="7" s="1"/>
  <c r="G414" i="7" s="1"/>
  <c r="D415" i="7"/>
  <c r="E415" i="7" s="1"/>
  <c r="F415" i="7" s="1"/>
  <c r="G415" i="7" s="1"/>
  <c r="D416" i="7"/>
  <c r="E416" i="7" s="1"/>
  <c r="F416" i="7" s="1"/>
  <c r="G416" i="7" s="1"/>
  <c r="D417" i="7"/>
  <c r="E417" i="7" s="1"/>
  <c r="F417" i="7" s="1"/>
  <c r="G417" i="7" s="1"/>
  <c r="D418" i="7"/>
  <c r="E418" i="7" s="1"/>
  <c r="F418" i="7" s="1"/>
  <c r="G418" i="7" s="1"/>
  <c r="D419" i="7"/>
  <c r="E419" i="7" s="1"/>
  <c r="F419" i="7" s="1"/>
  <c r="G419" i="7" s="1"/>
  <c r="D420" i="7"/>
  <c r="E420" i="7" s="1"/>
  <c r="F420" i="7" s="1"/>
  <c r="G420" i="7" s="1"/>
  <c r="D421" i="7"/>
  <c r="E421" i="7" s="1"/>
  <c r="F421" i="7" s="1"/>
  <c r="G421" i="7" s="1"/>
  <c r="D422" i="7"/>
  <c r="E422" i="7" s="1"/>
  <c r="F422" i="7" s="1"/>
  <c r="G422" i="7" s="1"/>
  <c r="D423" i="7"/>
  <c r="E423" i="7" s="1"/>
  <c r="F423" i="7" s="1"/>
  <c r="G423" i="7" s="1"/>
  <c r="D424" i="7"/>
  <c r="E424" i="7" s="1"/>
  <c r="F424" i="7" s="1"/>
  <c r="G424" i="7" s="1"/>
  <c r="D425" i="7"/>
  <c r="E425" i="7" s="1"/>
  <c r="F425" i="7" s="1"/>
  <c r="G425" i="7" s="1"/>
  <c r="D426" i="7"/>
  <c r="E426" i="7" s="1"/>
  <c r="F426" i="7" s="1"/>
  <c r="G426" i="7" s="1"/>
  <c r="D427" i="7"/>
  <c r="E427" i="7" s="1"/>
  <c r="F427" i="7" s="1"/>
  <c r="G427" i="7" s="1"/>
  <c r="D428" i="7"/>
  <c r="E428" i="7" s="1"/>
  <c r="F428" i="7" s="1"/>
  <c r="G428" i="7" s="1"/>
  <c r="D429" i="7"/>
  <c r="E429" i="7" s="1"/>
  <c r="F429" i="7" s="1"/>
  <c r="G429" i="7" s="1"/>
  <c r="D430" i="7"/>
  <c r="E430" i="7" s="1"/>
  <c r="F430" i="7" s="1"/>
  <c r="G430" i="7" s="1"/>
  <c r="D431" i="7"/>
  <c r="E431" i="7" s="1"/>
  <c r="F431" i="7" s="1"/>
  <c r="G431" i="7" s="1"/>
  <c r="D432" i="7"/>
  <c r="E432" i="7" s="1"/>
  <c r="F432" i="7" s="1"/>
  <c r="G432" i="7" s="1"/>
  <c r="D433" i="7"/>
  <c r="E433" i="7" s="1"/>
  <c r="F433" i="7" s="1"/>
  <c r="G433" i="7" s="1"/>
  <c r="D434" i="7"/>
  <c r="E434" i="7" s="1"/>
  <c r="F434" i="7" s="1"/>
  <c r="G434" i="7" s="1"/>
  <c r="D435" i="7"/>
  <c r="E435" i="7" s="1"/>
  <c r="F435" i="7" s="1"/>
  <c r="G435" i="7" s="1"/>
  <c r="D436" i="7"/>
  <c r="E436" i="7" s="1"/>
  <c r="F436" i="7" s="1"/>
  <c r="G436" i="7" s="1"/>
  <c r="D437" i="7"/>
  <c r="E437" i="7" s="1"/>
  <c r="F437" i="7" s="1"/>
  <c r="G437" i="7" s="1"/>
  <c r="D438" i="7"/>
  <c r="E438" i="7" s="1"/>
  <c r="F438" i="7" s="1"/>
  <c r="G438" i="7" s="1"/>
  <c r="D439" i="7"/>
  <c r="E439" i="7" s="1"/>
  <c r="F439" i="7" s="1"/>
  <c r="G439" i="7" s="1"/>
  <c r="D440" i="7"/>
  <c r="E440" i="7" s="1"/>
  <c r="F440" i="7" s="1"/>
  <c r="G440" i="7" s="1"/>
  <c r="D441" i="7"/>
  <c r="E441" i="7" s="1"/>
  <c r="F441" i="7" s="1"/>
  <c r="G441" i="7" s="1"/>
  <c r="D442" i="7"/>
  <c r="E442" i="7" s="1"/>
  <c r="F442" i="7" s="1"/>
  <c r="G442" i="7" s="1"/>
  <c r="D443" i="7"/>
  <c r="E443" i="7" s="1"/>
  <c r="F443" i="7" s="1"/>
  <c r="G443" i="7" s="1"/>
  <c r="D444" i="7"/>
  <c r="E444" i="7" s="1"/>
  <c r="F444" i="7" s="1"/>
  <c r="G444" i="7" s="1"/>
  <c r="D445" i="7"/>
  <c r="E445" i="7" s="1"/>
  <c r="F445" i="7" s="1"/>
  <c r="G445" i="7" s="1"/>
  <c r="D446" i="7"/>
  <c r="E446" i="7" s="1"/>
  <c r="F446" i="7" s="1"/>
  <c r="G446" i="7" s="1"/>
  <c r="D447" i="7"/>
  <c r="E447" i="7" s="1"/>
  <c r="F447" i="7" s="1"/>
  <c r="G447" i="7" s="1"/>
  <c r="D448" i="7"/>
  <c r="E448" i="7" s="1"/>
  <c r="F448" i="7" s="1"/>
  <c r="G448" i="7" s="1"/>
  <c r="D449" i="7"/>
  <c r="E449" i="7" s="1"/>
  <c r="F449" i="7" s="1"/>
  <c r="G449" i="7" s="1"/>
  <c r="D450" i="7"/>
  <c r="E450" i="7" s="1"/>
  <c r="F450" i="7" s="1"/>
  <c r="G450" i="7" s="1"/>
  <c r="D451" i="7"/>
  <c r="E451" i="7" s="1"/>
  <c r="F451" i="7" s="1"/>
  <c r="G451" i="7" s="1"/>
  <c r="D452" i="7"/>
  <c r="E452" i="7" s="1"/>
  <c r="F452" i="7" s="1"/>
  <c r="G452" i="7" s="1"/>
  <c r="D453" i="7"/>
  <c r="E453" i="7" s="1"/>
  <c r="F453" i="7" s="1"/>
  <c r="G453" i="7" s="1"/>
  <c r="D454" i="7"/>
  <c r="E454" i="7" s="1"/>
  <c r="F454" i="7" s="1"/>
  <c r="G454" i="7" s="1"/>
  <c r="D455" i="7"/>
  <c r="E455" i="7" s="1"/>
  <c r="F455" i="7" s="1"/>
  <c r="G455" i="7" s="1"/>
  <c r="D456" i="7"/>
  <c r="E456" i="7" s="1"/>
  <c r="F456" i="7" s="1"/>
  <c r="G456" i="7" s="1"/>
  <c r="D457" i="7"/>
  <c r="E457" i="7" s="1"/>
  <c r="F457" i="7" s="1"/>
  <c r="G457" i="7" s="1"/>
  <c r="D458" i="7"/>
  <c r="E458" i="7" s="1"/>
  <c r="F458" i="7" s="1"/>
  <c r="G458" i="7" s="1"/>
  <c r="D459" i="7"/>
  <c r="E459" i="7" s="1"/>
  <c r="F459" i="7" s="1"/>
  <c r="G459" i="7" s="1"/>
  <c r="D460" i="7"/>
  <c r="E460" i="7" s="1"/>
  <c r="F460" i="7" s="1"/>
  <c r="G460" i="7" s="1"/>
  <c r="D461" i="7"/>
  <c r="E461" i="7" s="1"/>
  <c r="F461" i="7" s="1"/>
  <c r="G461" i="7" s="1"/>
  <c r="D462" i="7"/>
  <c r="E462" i="7" s="1"/>
  <c r="F462" i="7" s="1"/>
  <c r="G462" i="7" s="1"/>
  <c r="D463" i="7"/>
  <c r="E463" i="7" s="1"/>
  <c r="F463" i="7" s="1"/>
  <c r="G463" i="7" s="1"/>
  <c r="D464" i="7"/>
  <c r="E464" i="7" s="1"/>
  <c r="F464" i="7" s="1"/>
  <c r="G464" i="7" s="1"/>
  <c r="D465" i="7"/>
  <c r="E465" i="7" s="1"/>
  <c r="F465" i="7" s="1"/>
  <c r="G465" i="7" s="1"/>
  <c r="D466" i="7"/>
  <c r="E466" i="7" s="1"/>
  <c r="F466" i="7" s="1"/>
  <c r="G466" i="7" s="1"/>
  <c r="D467" i="7"/>
  <c r="E467" i="7" s="1"/>
  <c r="F467" i="7" s="1"/>
  <c r="G467" i="7" s="1"/>
  <c r="D468" i="7"/>
  <c r="E468" i="7" s="1"/>
  <c r="F468" i="7" s="1"/>
  <c r="G468" i="7" s="1"/>
  <c r="D469" i="7"/>
  <c r="E469" i="7" s="1"/>
  <c r="F469" i="7" s="1"/>
  <c r="G469" i="7" s="1"/>
  <c r="D470" i="7"/>
  <c r="E470" i="7" s="1"/>
  <c r="F470" i="7" s="1"/>
  <c r="G470" i="7" s="1"/>
  <c r="D471" i="7"/>
  <c r="E471" i="7" s="1"/>
  <c r="F471" i="7" s="1"/>
  <c r="G471" i="7" s="1"/>
  <c r="D472" i="7"/>
  <c r="E472" i="7" s="1"/>
  <c r="F472" i="7" s="1"/>
  <c r="G472" i="7" s="1"/>
  <c r="D473" i="7"/>
  <c r="E473" i="7" s="1"/>
  <c r="F473" i="7" s="1"/>
  <c r="G473" i="7" s="1"/>
  <c r="D474" i="7"/>
  <c r="E474" i="7" s="1"/>
  <c r="F474" i="7" s="1"/>
  <c r="G474" i="7" s="1"/>
  <c r="D475" i="7"/>
  <c r="E475" i="7" s="1"/>
  <c r="F475" i="7" s="1"/>
  <c r="G475" i="7" s="1"/>
  <c r="D476" i="7"/>
  <c r="E476" i="7" s="1"/>
  <c r="F476" i="7" s="1"/>
  <c r="G476" i="7" s="1"/>
  <c r="D477" i="7"/>
  <c r="E477" i="7" s="1"/>
  <c r="F477" i="7" s="1"/>
  <c r="G477" i="7" s="1"/>
  <c r="D478" i="7"/>
  <c r="E478" i="7" s="1"/>
  <c r="F478" i="7" s="1"/>
  <c r="G478" i="7" s="1"/>
  <c r="D479" i="7"/>
  <c r="E479" i="7" s="1"/>
  <c r="F479" i="7" s="1"/>
  <c r="G479" i="7" s="1"/>
  <c r="D480" i="7"/>
  <c r="E480" i="7" s="1"/>
  <c r="F480" i="7" s="1"/>
  <c r="G480" i="7" s="1"/>
  <c r="D481" i="7"/>
  <c r="E481" i="7" s="1"/>
  <c r="F481" i="7" s="1"/>
  <c r="G481" i="7" s="1"/>
  <c r="D482" i="7"/>
  <c r="E482" i="7" s="1"/>
  <c r="F482" i="7" s="1"/>
  <c r="G482" i="7" s="1"/>
  <c r="D483" i="7"/>
  <c r="E483" i="7" s="1"/>
  <c r="F483" i="7" s="1"/>
  <c r="G483" i="7" s="1"/>
  <c r="D484" i="7"/>
  <c r="E484" i="7" s="1"/>
  <c r="F484" i="7" s="1"/>
  <c r="G484" i="7" s="1"/>
  <c r="D485" i="7"/>
  <c r="E485" i="7" s="1"/>
  <c r="F485" i="7" s="1"/>
  <c r="G485" i="7" s="1"/>
  <c r="D486" i="7"/>
  <c r="E486" i="7" s="1"/>
  <c r="F486" i="7" s="1"/>
  <c r="G486" i="7" s="1"/>
  <c r="D487" i="7"/>
  <c r="E487" i="7" s="1"/>
  <c r="F487" i="7" s="1"/>
  <c r="G487" i="7" s="1"/>
  <c r="D488" i="7"/>
  <c r="E488" i="7" s="1"/>
  <c r="F488" i="7" s="1"/>
  <c r="G488" i="7" s="1"/>
  <c r="D489" i="7"/>
  <c r="E489" i="7" s="1"/>
  <c r="F489" i="7" s="1"/>
  <c r="G489" i="7" s="1"/>
  <c r="D490" i="7"/>
  <c r="E490" i="7" s="1"/>
  <c r="F490" i="7" s="1"/>
  <c r="G490" i="7" s="1"/>
  <c r="D491" i="7"/>
  <c r="E491" i="7" s="1"/>
  <c r="F491" i="7" s="1"/>
  <c r="G491" i="7" s="1"/>
  <c r="D492" i="7"/>
  <c r="E492" i="7" s="1"/>
  <c r="F492" i="7" s="1"/>
  <c r="G492" i="7" s="1"/>
  <c r="D493" i="7"/>
  <c r="E493" i="7" s="1"/>
  <c r="F493" i="7" s="1"/>
  <c r="G493" i="7" s="1"/>
  <c r="D494" i="7"/>
  <c r="E494" i="7" s="1"/>
  <c r="F494" i="7" s="1"/>
  <c r="G494" i="7" s="1"/>
  <c r="D495" i="7"/>
  <c r="E495" i="7" s="1"/>
  <c r="F495" i="7" s="1"/>
  <c r="G495" i="7" s="1"/>
  <c r="D496" i="7"/>
  <c r="E496" i="7" s="1"/>
  <c r="F496" i="7" s="1"/>
  <c r="G496" i="7" s="1"/>
  <c r="D497" i="7"/>
  <c r="E497" i="7" s="1"/>
  <c r="F497" i="7" s="1"/>
  <c r="G497" i="7" s="1"/>
  <c r="D498" i="7"/>
  <c r="E498" i="7" s="1"/>
  <c r="F498" i="7" s="1"/>
  <c r="G498" i="7" s="1"/>
  <c r="D499" i="7"/>
  <c r="E499" i="7" s="1"/>
  <c r="F499" i="7" s="1"/>
  <c r="G499" i="7" s="1"/>
  <c r="D500" i="7"/>
  <c r="E500" i="7" s="1"/>
  <c r="F500" i="7" s="1"/>
  <c r="G500" i="7" s="1"/>
  <c r="D501" i="7"/>
  <c r="E501" i="7" s="1"/>
  <c r="F501" i="7" s="1"/>
  <c r="G501" i="7" s="1"/>
  <c r="D502" i="7"/>
  <c r="E502" i="7" s="1"/>
  <c r="F502" i="7" s="1"/>
  <c r="G502" i="7" s="1"/>
  <c r="D503" i="7"/>
  <c r="E503" i="7" s="1"/>
  <c r="F503" i="7" s="1"/>
  <c r="G503" i="7" s="1"/>
  <c r="D504" i="7"/>
  <c r="E504" i="7" s="1"/>
  <c r="F504" i="7" s="1"/>
  <c r="G504" i="7" s="1"/>
  <c r="D505" i="7"/>
  <c r="E505" i="7" s="1"/>
  <c r="F505" i="7" s="1"/>
  <c r="G505" i="7" s="1"/>
  <c r="D506" i="7"/>
  <c r="E506" i="7" s="1"/>
  <c r="F506" i="7" s="1"/>
  <c r="G506" i="7" s="1"/>
  <c r="D507" i="7"/>
  <c r="E507" i="7" s="1"/>
  <c r="F507" i="7" s="1"/>
  <c r="G507" i="7" s="1"/>
  <c r="D508" i="7"/>
  <c r="E508" i="7" s="1"/>
  <c r="F508" i="7" s="1"/>
  <c r="G508" i="7" s="1"/>
  <c r="D509" i="7"/>
  <c r="E509" i="7" s="1"/>
  <c r="F509" i="7" s="1"/>
  <c r="G509" i="7" s="1"/>
  <c r="D510" i="7"/>
  <c r="E510" i="7" s="1"/>
  <c r="F510" i="7" s="1"/>
  <c r="G510" i="7" s="1"/>
  <c r="D511" i="7"/>
  <c r="E511" i="7" s="1"/>
  <c r="F511" i="7" s="1"/>
  <c r="G511" i="7" s="1"/>
  <c r="D512" i="7"/>
  <c r="E512" i="7" s="1"/>
  <c r="F512" i="7" s="1"/>
  <c r="G512" i="7" s="1"/>
  <c r="D513" i="7"/>
  <c r="E513" i="7" s="1"/>
  <c r="F513" i="7" s="1"/>
  <c r="G513" i="7" s="1"/>
  <c r="D514" i="7"/>
  <c r="E514" i="7" s="1"/>
  <c r="F514" i="7" s="1"/>
  <c r="G514" i="7" s="1"/>
  <c r="D515" i="7"/>
  <c r="E515" i="7" s="1"/>
  <c r="F515" i="7" s="1"/>
  <c r="G515" i="7" s="1"/>
  <c r="D516" i="7"/>
  <c r="E516" i="7" s="1"/>
  <c r="F516" i="7" s="1"/>
  <c r="G516" i="7" s="1"/>
  <c r="D517" i="7"/>
  <c r="E517" i="7" s="1"/>
  <c r="F517" i="7" s="1"/>
  <c r="G517" i="7" s="1"/>
  <c r="D518" i="7"/>
  <c r="E518" i="7" s="1"/>
  <c r="F518" i="7" s="1"/>
  <c r="G518" i="7" s="1"/>
  <c r="D519" i="7"/>
  <c r="E519" i="7" s="1"/>
  <c r="F519" i="7" s="1"/>
  <c r="G519" i="7" s="1"/>
  <c r="D520" i="7"/>
  <c r="E520" i="7" s="1"/>
  <c r="F520" i="7" s="1"/>
  <c r="G520" i="7" s="1"/>
  <c r="D521" i="7"/>
  <c r="E521" i="7" s="1"/>
  <c r="F521" i="7" s="1"/>
  <c r="G521" i="7" s="1"/>
  <c r="D522" i="7"/>
  <c r="E522" i="7" s="1"/>
  <c r="F522" i="7" s="1"/>
  <c r="G522" i="7" s="1"/>
  <c r="D523" i="7"/>
  <c r="E523" i="7" s="1"/>
  <c r="F523" i="7" s="1"/>
  <c r="G523" i="7" s="1"/>
  <c r="D524" i="7"/>
  <c r="E524" i="7" s="1"/>
  <c r="F524" i="7" s="1"/>
  <c r="G524" i="7" s="1"/>
  <c r="D525" i="7"/>
  <c r="E525" i="7" s="1"/>
  <c r="F525" i="7" s="1"/>
  <c r="G525" i="7" s="1"/>
  <c r="D526" i="7"/>
  <c r="E526" i="7" s="1"/>
  <c r="F526" i="7" s="1"/>
  <c r="G526" i="7" s="1"/>
  <c r="D527" i="7"/>
  <c r="E527" i="7" s="1"/>
  <c r="F527" i="7" s="1"/>
  <c r="G527" i="7" s="1"/>
  <c r="D528" i="7"/>
  <c r="E528" i="7" s="1"/>
  <c r="F528" i="7" s="1"/>
  <c r="G528" i="7" s="1"/>
  <c r="D529" i="7"/>
  <c r="E529" i="7" s="1"/>
  <c r="F529" i="7" s="1"/>
  <c r="G529" i="7" s="1"/>
  <c r="D530" i="7"/>
  <c r="E530" i="7" s="1"/>
  <c r="F530" i="7" s="1"/>
  <c r="G530" i="7" s="1"/>
  <c r="D531" i="7"/>
  <c r="E531" i="7" s="1"/>
  <c r="F531" i="7" s="1"/>
  <c r="G531" i="7" s="1"/>
  <c r="D532" i="7"/>
  <c r="E532" i="7" s="1"/>
  <c r="F532" i="7" s="1"/>
  <c r="G532" i="7" s="1"/>
  <c r="D533" i="7"/>
  <c r="E533" i="7" s="1"/>
  <c r="F533" i="7" s="1"/>
  <c r="G533" i="7" s="1"/>
  <c r="D534" i="7"/>
  <c r="E534" i="7" s="1"/>
  <c r="F534" i="7" s="1"/>
  <c r="G534" i="7" s="1"/>
  <c r="D535" i="7"/>
  <c r="E535" i="7" s="1"/>
  <c r="F535" i="7" s="1"/>
  <c r="G535" i="7" s="1"/>
  <c r="D536" i="7"/>
  <c r="E536" i="7" s="1"/>
  <c r="F536" i="7" s="1"/>
  <c r="G536" i="7" s="1"/>
  <c r="D537" i="7"/>
  <c r="E537" i="7" s="1"/>
  <c r="F537" i="7" s="1"/>
  <c r="G537" i="7" s="1"/>
  <c r="D538" i="7"/>
  <c r="E538" i="7" s="1"/>
  <c r="F538" i="7" s="1"/>
  <c r="G538" i="7" s="1"/>
  <c r="D539" i="7"/>
  <c r="E539" i="7" s="1"/>
  <c r="F539" i="7" s="1"/>
  <c r="G539" i="7" s="1"/>
  <c r="D540" i="7"/>
  <c r="E540" i="7" s="1"/>
  <c r="F540" i="7" s="1"/>
  <c r="G540" i="7" s="1"/>
  <c r="D541" i="7"/>
  <c r="E541" i="7" s="1"/>
  <c r="F541" i="7" s="1"/>
  <c r="G541" i="7" s="1"/>
  <c r="D542" i="7"/>
  <c r="E542" i="7" s="1"/>
  <c r="F542" i="7" s="1"/>
  <c r="G542" i="7" s="1"/>
  <c r="D543" i="7"/>
  <c r="E543" i="7" s="1"/>
  <c r="F543" i="7" s="1"/>
  <c r="G543" i="7" s="1"/>
  <c r="D544" i="7"/>
  <c r="E544" i="7" s="1"/>
  <c r="F544" i="7" s="1"/>
  <c r="G544" i="7" s="1"/>
  <c r="D545" i="7"/>
  <c r="E545" i="7" s="1"/>
  <c r="F545" i="7" s="1"/>
  <c r="G545" i="7" s="1"/>
  <c r="D546" i="7"/>
  <c r="E546" i="7" s="1"/>
  <c r="F546" i="7" s="1"/>
  <c r="G546" i="7" s="1"/>
  <c r="D547" i="7"/>
  <c r="E547" i="7" s="1"/>
  <c r="F547" i="7" s="1"/>
  <c r="G547" i="7" s="1"/>
  <c r="D548" i="7"/>
  <c r="E548" i="7" s="1"/>
  <c r="F548" i="7" s="1"/>
  <c r="G548" i="7" s="1"/>
  <c r="D549" i="7"/>
  <c r="E549" i="7" s="1"/>
  <c r="F549" i="7" s="1"/>
  <c r="G549" i="7" s="1"/>
  <c r="D550" i="7"/>
  <c r="E550" i="7" s="1"/>
  <c r="F550" i="7" s="1"/>
  <c r="G550" i="7" s="1"/>
  <c r="D551" i="7"/>
  <c r="E551" i="7" s="1"/>
  <c r="F551" i="7" s="1"/>
  <c r="G551" i="7" s="1"/>
  <c r="D552" i="7"/>
  <c r="E552" i="7" s="1"/>
  <c r="F552" i="7" s="1"/>
  <c r="G552" i="7" s="1"/>
  <c r="D553" i="7"/>
  <c r="E553" i="7" s="1"/>
  <c r="F553" i="7" s="1"/>
  <c r="G553" i="7" s="1"/>
  <c r="D554" i="7"/>
  <c r="E554" i="7" s="1"/>
  <c r="F554" i="7" s="1"/>
  <c r="G554" i="7" s="1"/>
  <c r="D555" i="7"/>
  <c r="E555" i="7" s="1"/>
  <c r="F555" i="7" s="1"/>
  <c r="G555" i="7" s="1"/>
  <c r="D556" i="7"/>
  <c r="E556" i="7" s="1"/>
  <c r="F556" i="7" s="1"/>
  <c r="G556" i="7" s="1"/>
  <c r="D557" i="7"/>
  <c r="E557" i="7" s="1"/>
  <c r="F557" i="7" s="1"/>
  <c r="G557" i="7" s="1"/>
  <c r="D558" i="7"/>
  <c r="E558" i="7" s="1"/>
  <c r="F558" i="7" s="1"/>
  <c r="G558" i="7" s="1"/>
  <c r="D559" i="7"/>
  <c r="E559" i="7" s="1"/>
  <c r="F559" i="7" s="1"/>
  <c r="G559" i="7" s="1"/>
  <c r="D560" i="7"/>
  <c r="E560" i="7" s="1"/>
  <c r="F560" i="7" s="1"/>
  <c r="G560" i="7" s="1"/>
  <c r="D561" i="7"/>
  <c r="E561" i="7" s="1"/>
  <c r="F561" i="7" s="1"/>
  <c r="G561" i="7" s="1"/>
  <c r="D562" i="7"/>
  <c r="E562" i="7" s="1"/>
  <c r="F562" i="7" s="1"/>
  <c r="G562" i="7" s="1"/>
  <c r="D563" i="7"/>
  <c r="E563" i="7" s="1"/>
  <c r="F563" i="7" s="1"/>
  <c r="G563" i="7" s="1"/>
  <c r="D564" i="7"/>
  <c r="E564" i="7" s="1"/>
  <c r="F564" i="7" s="1"/>
  <c r="G564" i="7" s="1"/>
  <c r="D565" i="7"/>
  <c r="E565" i="7" s="1"/>
  <c r="F565" i="7" s="1"/>
  <c r="G565" i="7" s="1"/>
  <c r="D566" i="7"/>
  <c r="E566" i="7" s="1"/>
  <c r="F566" i="7" s="1"/>
  <c r="G566" i="7" s="1"/>
  <c r="D567" i="7"/>
  <c r="E567" i="7" s="1"/>
  <c r="F567" i="7" s="1"/>
  <c r="G567" i="7" s="1"/>
  <c r="D568" i="7"/>
  <c r="E568" i="7" s="1"/>
  <c r="F568" i="7" s="1"/>
  <c r="G568" i="7" s="1"/>
  <c r="D569" i="7"/>
  <c r="E569" i="7" s="1"/>
  <c r="F569" i="7" s="1"/>
  <c r="G569" i="7" s="1"/>
  <c r="D570" i="7"/>
  <c r="E570" i="7" s="1"/>
  <c r="F570" i="7" s="1"/>
  <c r="G570" i="7" s="1"/>
  <c r="D571" i="7"/>
  <c r="E571" i="7" s="1"/>
  <c r="F571" i="7" s="1"/>
  <c r="G571" i="7" s="1"/>
  <c r="D572" i="7"/>
  <c r="E572" i="7" s="1"/>
  <c r="F572" i="7" s="1"/>
  <c r="G572" i="7" s="1"/>
  <c r="D573" i="7"/>
  <c r="E573" i="7" s="1"/>
  <c r="F573" i="7" s="1"/>
  <c r="G573" i="7" s="1"/>
  <c r="D574" i="7"/>
  <c r="E574" i="7" s="1"/>
  <c r="F574" i="7" s="1"/>
  <c r="G574" i="7" s="1"/>
  <c r="D575" i="7"/>
  <c r="E575" i="7" s="1"/>
  <c r="F575" i="7" s="1"/>
  <c r="G575" i="7" s="1"/>
  <c r="D576" i="7"/>
  <c r="E576" i="7" s="1"/>
  <c r="F576" i="7" s="1"/>
  <c r="G576" i="7" s="1"/>
  <c r="D577" i="7"/>
  <c r="E577" i="7" s="1"/>
  <c r="F577" i="7" s="1"/>
  <c r="G577" i="7" s="1"/>
  <c r="D578" i="7"/>
  <c r="E578" i="7" s="1"/>
  <c r="F578" i="7" s="1"/>
  <c r="G578" i="7" s="1"/>
  <c r="D579" i="7"/>
  <c r="E579" i="7" s="1"/>
  <c r="F579" i="7" s="1"/>
  <c r="G579" i="7" s="1"/>
  <c r="D580" i="7"/>
  <c r="E580" i="7" s="1"/>
  <c r="F580" i="7" s="1"/>
  <c r="G580" i="7" s="1"/>
  <c r="D581" i="7"/>
  <c r="E581" i="7" s="1"/>
  <c r="F581" i="7" s="1"/>
  <c r="G581" i="7" s="1"/>
  <c r="D582" i="7"/>
  <c r="E582" i="7" s="1"/>
  <c r="F582" i="7" s="1"/>
  <c r="G582" i="7" s="1"/>
  <c r="D583" i="7"/>
  <c r="E583" i="7" s="1"/>
  <c r="F583" i="7" s="1"/>
  <c r="G583" i="7" s="1"/>
  <c r="D584" i="7"/>
  <c r="E584" i="7" s="1"/>
  <c r="F584" i="7" s="1"/>
  <c r="G584" i="7" s="1"/>
  <c r="D585" i="7"/>
  <c r="E585" i="7" s="1"/>
  <c r="F585" i="7" s="1"/>
  <c r="G585" i="7" s="1"/>
  <c r="D586" i="7"/>
  <c r="E586" i="7" s="1"/>
  <c r="F586" i="7" s="1"/>
  <c r="G586" i="7" s="1"/>
  <c r="D587" i="7"/>
  <c r="E587" i="7" s="1"/>
  <c r="F587" i="7" s="1"/>
  <c r="G587" i="7" s="1"/>
  <c r="D588" i="7"/>
  <c r="E588" i="7" s="1"/>
  <c r="F588" i="7" s="1"/>
  <c r="G588" i="7" s="1"/>
  <c r="D589" i="7"/>
  <c r="E589" i="7" s="1"/>
  <c r="F589" i="7" s="1"/>
  <c r="G589" i="7" s="1"/>
  <c r="D590" i="7"/>
  <c r="E590" i="7" s="1"/>
  <c r="F590" i="7" s="1"/>
  <c r="G590" i="7" s="1"/>
  <c r="D591" i="7"/>
  <c r="E591" i="7" s="1"/>
  <c r="F591" i="7" s="1"/>
  <c r="G591" i="7" s="1"/>
  <c r="D592" i="7"/>
  <c r="E592" i="7" s="1"/>
  <c r="F592" i="7" s="1"/>
  <c r="G592" i="7" s="1"/>
  <c r="D593" i="7"/>
  <c r="E593" i="7" s="1"/>
  <c r="F593" i="7" s="1"/>
  <c r="G593" i="7" s="1"/>
  <c r="D594" i="7"/>
  <c r="E594" i="7" s="1"/>
  <c r="F594" i="7" s="1"/>
  <c r="G594" i="7" s="1"/>
  <c r="D595" i="7"/>
  <c r="E595" i="7" s="1"/>
  <c r="F595" i="7" s="1"/>
  <c r="G595" i="7" s="1"/>
  <c r="D596" i="7"/>
  <c r="E596" i="7" s="1"/>
  <c r="F596" i="7" s="1"/>
  <c r="G596" i="7" s="1"/>
  <c r="D597" i="7"/>
  <c r="E597" i="7" s="1"/>
  <c r="F597" i="7" s="1"/>
  <c r="G597" i="7" s="1"/>
  <c r="D598" i="7"/>
  <c r="E598" i="7" s="1"/>
  <c r="F598" i="7" s="1"/>
  <c r="G598" i="7" s="1"/>
  <c r="D599" i="7"/>
  <c r="E599" i="7" s="1"/>
  <c r="F599" i="7" s="1"/>
  <c r="G599" i="7" s="1"/>
  <c r="D600" i="7"/>
  <c r="E600" i="7" s="1"/>
  <c r="F600" i="7" s="1"/>
  <c r="G600" i="7" s="1"/>
  <c r="D601" i="7"/>
  <c r="E601" i="7" s="1"/>
  <c r="F601" i="7" s="1"/>
  <c r="G601" i="7" s="1"/>
  <c r="D602" i="7"/>
  <c r="E602" i="7" s="1"/>
  <c r="F602" i="7" s="1"/>
  <c r="G602" i="7" s="1"/>
  <c r="D603" i="7"/>
  <c r="E603" i="7" s="1"/>
  <c r="F603" i="7" s="1"/>
  <c r="G603" i="7" s="1"/>
  <c r="D604" i="7"/>
  <c r="E604" i="7" s="1"/>
  <c r="F604" i="7" s="1"/>
  <c r="G604" i="7" s="1"/>
  <c r="D605" i="7"/>
  <c r="E605" i="7" s="1"/>
  <c r="F605" i="7" s="1"/>
  <c r="G605" i="7" s="1"/>
  <c r="D606" i="7"/>
  <c r="E606" i="7" s="1"/>
  <c r="F606" i="7" s="1"/>
  <c r="G606" i="7" s="1"/>
  <c r="D607" i="7"/>
  <c r="E607" i="7" s="1"/>
  <c r="F607" i="7" s="1"/>
  <c r="G607" i="7" s="1"/>
  <c r="D608" i="7"/>
  <c r="E608" i="7" s="1"/>
  <c r="F608" i="7" s="1"/>
  <c r="G608" i="7" s="1"/>
  <c r="D609" i="7"/>
  <c r="E609" i="7" s="1"/>
  <c r="F609" i="7" s="1"/>
  <c r="G609" i="7" s="1"/>
  <c r="D610" i="7"/>
  <c r="E610" i="7" s="1"/>
  <c r="F610" i="7" s="1"/>
  <c r="G610" i="7" s="1"/>
  <c r="D611" i="7"/>
  <c r="E611" i="7" s="1"/>
  <c r="F611" i="7" s="1"/>
  <c r="G611" i="7" s="1"/>
  <c r="D612" i="7"/>
  <c r="E612" i="7" s="1"/>
  <c r="F612" i="7" s="1"/>
  <c r="G612" i="7" s="1"/>
  <c r="D613" i="7"/>
  <c r="E613" i="7" s="1"/>
  <c r="F613" i="7" s="1"/>
  <c r="G613" i="7" s="1"/>
  <c r="D614" i="7"/>
  <c r="E614" i="7" s="1"/>
  <c r="F614" i="7" s="1"/>
  <c r="G614" i="7" s="1"/>
  <c r="D615" i="7"/>
  <c r="E615" i="7" s="1"/>
  <c r="F615" i="7" s="1"/>
  <c r="G615" i="7" s="1"/>
  <c r="D616" i="7"/>
  <c r="E616" i="7" s="1"/>
  <c r="F616" i="7" s="1"/>
  <c r="G616" i="7" s="1"/>
  <c r="D617" i="7"/>
  <c r="E617" i="7" s="1"/>
  <c r="F617" i="7" s="1"/>
  <c r="G617" i="7" s="1"/>
  <c r="D618" i="7"/>
  <c r="E618" i="7" s="1"/>
  <c r="F618" i="7" s="1"/>
  <c r="G618" i="7" s="1"/>
  <c r="D619" i="7"/>
  <c r="E619" i="7" s="1"/>
  <c r="F619" i="7" s="1"/>
  <c r="G619" i="7" s="1"/>
  <c r="D620" i="7"/>
  <c r="E620" i="7" s="1"/>
  <c r="F620" i="7" s="1"/>
  <c r="G620" i="7" s="1"/>
  <c r="D621" i="7"/>
  <c r="E621" i="7" s="1"/>
  <c r="F621" i="7" s="1"/>
  <c r="G621" i="7" s="1"/>
  <c r="D622" i="7"/>
  <c r="E622" i="7" s="1"/>
  <c r="F622" i="7" s="1"/>
  <c r="G622" i="7" s="1"/>
  <c r="D623" i="7"/>
  <c r="E623" i="7" s="1"/>
  <c r="F623" i="7" s="1"/>
  <c r="G623" i="7" s="1"/>
  <c r="D624" i="7"/>
  <c r="E624" i="7" s="1"/>
  <c r="F624" i="7" s="1"/>
  <c r="G624" i="7" s="1"/>
  <c r="D625" i="7"/>
  <c r="E625" i="7" s="1"/>
  <c r="F625" i="7" s="1"/>
  <c r="G625" i="7" s="1"/>
  <c r="D626" i="7"/>
  <c r="E626" i="7" s="1"/>
  <c r="F626" i="7" s="1"/>
  <c r="G626" i="7" s="1"/>
  <c r="D627" i="7"/>
  <c r="E627" i="7" s="1"/>
  <c r="F627" i="7" s="1"/>
  <c r="G627" i="7" s="1"/>
  <c r="D628" i="7"/>
  <c r="E628" i="7" s="1"/>
  <c r="F628" i="7" s="1"/>
  <c r="G628" i="7" s="1"/>
  <c r="D629" i="7"/>
  <c r="E629" i="7" s="1"/>
  <c r="F629" i="7" s="1"/>
  <c r="G629" i="7" s="1"/>
  <c r="D630" i="7"/>
  <c r="E630" i="7" s="1"/>
  <c r="F630" i="7" s="1"/>
  <c r="G630" i="7" s="1"/>
  <c r="D631" i="7"/>
  <c r="E631" i="7" s="1"/>
  <c r="F631" i="7" s="1"/>
  <c r="G631" i="7" s="1"/>
  <c r="D632" i="7"/>
  <c r="E632" i="7" s="1"/>
  <c r="F632" i="7" s="1"/>
  <c r="G632" i="7" s="1"/>
  <c r="D633" i="7"/>
  <c r="E633" i="7" s="1"/>
  <c r="F633" i="7" s="1"/>
  <c r="G633" i="7" s="1"/>
  <c r="D634" i="7"/>
  <c r="E634" i="7" s="1"/>
  <c r="F634" i="7" s="1"/>
  <c r="G634" i="7" s="1"/>
  <c r="D635" i="7"/>
  <c r="E635" i="7" s="1"/>
  <c r="F635" i="7" s="1"/>
  <c r="G635" i="7" s="1"/>
  <c r="D636" i="7"/>
  <c r="E636" i="7" s="1"/>
  <c r="F636" i="7" s="1"/>
  <c r="G636" i="7" s="1"/>
  <c r="D637" i="7"/>
  <c r="E637" i="7" s="1"/>
  <c r="F637" i="7" s="1"/>
  <c r="G637" i="7" s="1"/>
  <c r="D638" i="7"/>
  <c r="E638" i="7" s="1"/>
  <c r="F638" i="7" s="1"/>
  <c r="G638" i="7" s="1"/>
  <c r="D639" i="7"/>
  <c r="E639" i="7" s="1"/>
  <c r="F639" i="7" s="1"/>
  <c r="G639" i="7" s="1"/>
  <c r="D640" i="7"/>
  <c r="E640" i="7" s="1"/>
  <c r="F640" i="7" s="1"/>
  <c r="G640" i="7" s="1"/>
  <c r="D641" i="7"/>
  <c r="E641" i="7" s="1"/>
  <c r="F641" i="7" s="1"/>
  <c r="G641" i="7" s="1"/>
  <c r="D642" i="7"/>
  <c r="E642" i="7" s="1"/>
  <c r="F642" i="7" s="1"/>
  <c r="G642" i="7" s="1"/>
  <c r="D643" i="7"/>
  <c r="E643" i="7" s="1"/>
  <c r="F643" i="7" s="1"/>
  <c r="G643" i="7" s="1"/>
  <c r="D644" i="7"/>
  <c r="E644" i="7" s="1"/>
  <c r="F644" i="7" s="1"/>
  <c r="G644" i="7" s="1"/>
  <c r="D645" i="7"/>
  <c r="E645" i="7" s="1"/>
  <c r="F645" i="7" s="1"/>
  <c r="G645" i="7" s="1"/>
  <c r="D646" i="7"/>
  <c r="E646" i="7" s="1"/>
  <c r="F646" i="7" s="1"/>
  <c r="G646" i="7" s="1"/>
  <c r="D647" i="7"/>
  <c r="E647" i="7" s="1"/>
  <c r="F647" i="7" s="1"/>
  <c r="G647" i="7" s="1"/>
  <c r="D648" i="7"/>
  <c r="E648" i="7" s="1"/>
  <c r="F648" i="7" s="1"/>
  <c r="G648" i="7" s="1"/>
  <c r="D649" i="7"/>
  <c r="E649" i="7" s="1"/>
  <c r="F649" i="7" s="1"/>
  <c r="G649" i="7" s="1"/>
  <c r="D650" i="7"/>
  <c r="E650" i="7" s="1"/>
  <c r="F650" i="7" s="1"/>
  <c r="G650" i="7" s="1"/>
  <c r="D651" i="7"/>
  <c r="E651" i="7" s="1"/>
  <c r="F651" i="7" s="1"/>
  <c r="G651" i="7" s="1"/>
  <c r="D652" i="7"/>
  <c r="E652" i="7" s="1"/>
  <c r="F652" i="7" s="1"/>
  <c r="G652" i="7" s="1"/>
  <c r="D653" i="7"/>
  <c r="E653" i="7" s="1"/>
  <c r="F653" i="7" s="1"/>
  <c r="G653" i="7" s="1"/>
  <c r="D654" i="7"/>
  <c r="E654" i="7" s="1"/>
  <c r="F654" i="7" s="1"/>
  <c r="G654" i="7" s="1"/>
  <c r="D655" i="7"/>
  <c r="E655" i="7" s="1"/>
  <c r="F655" i="7" s="1"/>
  <c r="G655" i="7" s="1"/>
  <c r="D656" i="7"/>
  <c r="E656" i="7" s="1"/>
  <c r="F656" i="7" s="1"/>
  <c r="G656" i="7" s="1"/>
  <c r="D657" i="7"/>
  <c r="E657" i="7" s="1"/>
  <c r="F657" i="7" s="1"/>
  <c r="G657" i="7" s="1"/>
  <c r="D658" i="7"/>
  <c r="E658" i="7" s="1"/>
  <c r="F658" i="7" s="1"/>
  <c r="G658" i="7" s="1"/>
  <c r="D659" i="7"/>
  <c r="E659" i="7" s="1"/>
  <c r="F659" i="7" s="1"/>
  <c r="G659" i="7" s="1"/>
  <c r="D660" i="7"/>
  <c r="E660" i="7" s="1"/>
  <c r="F660" i="7" s="1"/>
  <c r="G660" i="7" s="1"/>
  <c r="D661" i="7"/>
  <c r="E661" i="7" s="1"/>
  <c r="F661" i="7" s="1"/>
  <c r="G661" i="7" s="1"/>
  <c r="D662" i="7"/>
  <c r="E662" i="7" s="1"/>
  <c r="F662" i="7" s="1"/>
  <c r="G662" i="7" s="1"/>
  <c r="D663" i="7"/>
  <c r="E663" i="7" s="1"/>
  <c r="F663" i="7" s="1"/>
  <c r="G663" i="7" s="1"/>
  <c r="D664" i="7"/>
  <c r="E664" i="7" s="1"/>
  <c r="F664" i="7" s="1"/>
  <c r="G664" i="7" s="1"/>
  <c r="D665" i="7"/>
  <c r="E665" i="7" s="1"/>
  <c r="F665" i="7" s="1"/>
  <c r="G665" i="7" s="1"/>
  <c r="D666" i="7"/>
  <c r="E666" i="7" s="1"/>
  <c r="F666" i="7" s="1"/>
  <c r="G666" i="7" s="1"/>
  <c r="D667" i="7"/>
  <c r="E667" i="7" s="1"/>
  <c r="F667" i="7" s="1"/>
  <c r="G667" i="7" s="1"/>
  <c r="D668" i="7"/>
  <c r="E668" i="7" s="1"/>
  <c r="F668" i="7" s="1"/>
  <c r="G668" i="7" s="1"/>
  <c r="D669" i="7"/>
  <c r="E669" i="7" s="1"/>
  <c r="F669" i="7" s="1"/>
  <c r="G669" i="7" s="1"/>
  <c r="D670" i="7"/>
  <c r="E670" i="7" s="1"/>
  <c r="F670" i="7" s="1"/>
  <c r="G670" i="7" s="1"/>
  <c r="D671" i="7"/>
  <c r="E671" i="7" s="1"/>
  <c r="F671" i="7" s="1"/>
  <c r="G671" i="7" s="1"/>
  <c r="D672" i="7"/>
  <c r="E672" i="7" s="1"/>
  <c r="F672" i="7" s="1"/>
  <c r="G672" i="7" s="1"/>
  <c r="D673" i="7"/>
  <c r="E673" i="7" s="1"/>
  <c r="F673" i="7" s="1"/>
  <c r="G673" i="7" s="1"/>
  <c r="D674" i="7"/>
  <c r="E674" i="7" s="1"/>
  <c r="F674" i="7" s="1"/>
  <c r="G674" i="7" s="1"/>
  <c r="D675" i="7"/>
  <c r="E675" i="7" s="1"/>
  <c r="F675" i="7" s="1"/>
  <c r="G675" i="7" s="1"/>
  <c r="D676" i="7"/>
  <c r="E676" i="7" s="1"/>
  <c r="F676" i="7" s="1"/>
  <c r="G676" i="7" s="1"/>
  <c r="D677" i="7"/>
  <c r="E677" i="7" s="1"/>
  <c r="F677" i="7" s="1"/>
  <c r="G677" i="7" s="1"/>
  <c r="D678" i="7"/>
  <c r="E678" i="7" s="1"/>
  <c r="F678" i="7" s="1"/>
  <c r="G678" i="7" s="1"/>
  <c r="D679" i="7"/>
  <c r="E679" i="7" s="1"/>
  <c r="F679" i="7" s="1"/>
  <c r="G679" i="7" s="1"/>
  <c r="D680" i="7"/>
  <c r="E680" i="7" s="1"/>
  <c r="F680" i="7" s="1"/>
  <c r="G680" i="7" s="1"/>
  <c r="D681" i="7"/>
  <c r="E681" i="7" s="1"/>
  <c r="F681" i="7" s="1"/>
  <c r="G681" i="7" s="1"/>
  <c r="D682" i="7"/>
  <c r="E682" i="7" s="1"/>
  <c r="F682" i="7" s="1"/>
  <c r="G682" i="7" s="1"/>
  <c r="D683" i="7"/>
  <c r="E683" i="7" s="1"/>
  <c r="F683" i="7" s="1"/>
  <c r="G683" i="7" s="1"/>
  <c r="D684" i="7"/>
  <c r="E684" i="7" s="1"/>
  <c r="F684" i="7" s="1"/>
  <c r="G684" i="7" s="1"/>
  <c r="D685" i="7"/>
  <c r="E685" i="7" s="1"/>
  <c r="F685" i="7" s="1"/>
  <c r="G685" i="7" s="1"/>
  <c r="D686" i="7"/>
  <c r="E686" i="7" s="1"/>
  <c r="F686" i="7" s="1"/>
  <c r="G686" i="7" s="1"/>
  <c r="D687" i="7"/>
  <c r="E687" i="7" s="1"/>
  <c r="F687" i="7" s="1"/>
  <c r="G687" i="7" s="1"/>
  <c r="D688" i="7"/>
  <c r="E688" i="7" s="1"/>
  <c r="F688" i="7" s="1"/>
  <c r="G688" i="7" s="1"/>
  <c r="D689" i="7"/>
  <c r="E689" i="7" s="1"/>
  <c r="F689" i="7" s="1"/>
  <c r="G689" i="7" s="1"/>
  <c r="D690" i="7"/>
  <c r="E690" i="7" s="1"/>
  <c r="F690" i="7" s="1"/>
  <c r="G690" i="7" s="1"/>
  <c r="D691" i="7"/>
  <c r="E691" i="7" s="1"/>
  <c r="F691" i="7" s="1"/>
  <c r="G691" i="7" s="1"/>
  <c r="D692" i="7"/>
  <c r="E692" i="7" s="1"/>
  <c r="F692" i="7" s="1"/>
  <c r="G692" i="7" s="1"/>
  <c r="D693" i="7"/>
  <c r="E693" i="7" s="1"/>
  <c r="F693" i="7" s="1"/>
  <c r="G693" i="7" s="1"/>
  <c r="D694" i="7"/>
  <c r="E694" i="7" s="1"/>
  <c r="F694" i="7" s="1"/>
  <c r="G694" i="7" s="1"/>
  <c r="D695" i="7"/>
  <c r="E695" i="7" s="1"/>
  <c r="F695" i="7" s="1"/>
  <c r="G695" i="7" s="1"/>
  <c r="D696" i="7"/>
  <c r="E696" i="7" s="1"/>
  <c r="F696" i="7" s="1"/>
  <c r="G696" i="7" s="1"/>
  <c r="D697" i="7"/>
  <c r="E697" i="7" s="1"/>
  <c r="F697" i="7" s="1"/>
  <c r="G697" i="7" s="1"/>
  <c r="D698" i="7"/>
  <c r="E698" i="7" s="1"/>
  <c r="F698" i="7" s="1"/>
  <c r="G698" i="7" s="1"/>
  <c r="D699" i="7"/>
  <c r="E699" i="7" s="1"/>
  <c r="F699" i="7" s="1"/>
  <c r="G699" i="7" s="1"/>
  <c r="D700" i="7"/>
  <c r="E700" i="7" s="1"/>
  <c r="F700" i="7" s="1"/>
  <c r="G700" i="7" s="1"/>
  <c r="D701" i="7"/>
  <c r="E701" i="7" s="1"/>
  <c r="F701" i="7" s="1"/>
  <c r="G701" i="7" s="1"/>
  <c r="D702" i="7"/>
  <c r="E702" i="7" s="1"/>
  <c r="F702" i="7" s="1"/>
  <c r="G702" i="7" s="1"/>
  <c r="D703" i="7"/>
  <c r="E703" i="7" s="1"/>
  <c r="F703" i="7" s="1"/>
  <c r="G703" i="7" s="1"/>
  <c r="D704" i="7"/>
  <c r="E704" i="7" s="1"/>
  <c r="F704" i="7" s="1"/>
  <c r="G704" i="7" s="1"/>
  <c r="D705" i="7"/>
  <c r="E705" i="7" s="1"/>
  <c r="F705" i="7" s="1"/>
  <c r="G705" i="7" s="1"/>
  <c r="D706" i="7"/>
  <c r="E706" i="7" s="1"/>
  <c r="F706" i="7" s="1"/>
  <c r="G706" i="7" s="1"/>
  <c r="D707" i="7"/>
  <c r="E707" i="7" s="1"/>
  <c r="F707" i="7" s="1"/>
  <c r="G707" i="7" s="1"/>
  <c r="D708" i="7"/>
  <c r="E708" i="7" s="1"/>
  <c r="F708" i="7" s="1"/>
  <c r="G708" i="7" s="1"/>
  <c r="D709" i="7"/>
  <c r="E709" i="7" s="1"/>
  <c r="F709" i="7" s="1"/>
  <c r="G709" i="7" s="1"/>
  <c r="D710" i="7"/>
  <c r="E710" i="7" s="1"/>
  <c r="F710" i="7" s="1"/>
  <c r="G710" i="7" s="1"/>
  <c r="D711" i="7"/>
  <c r="E711" i="7" s="1"/>
  <c r="F711" i="7" s="1"/>
  <c r="G711" i="7" s="1"/>
  <c r="D712" i="7"/>
  <c r="E712" i="7" s="1"/>
  <c r="F712" i="7" s="1"/>
  <c r="G712" i="7" s="1"/>
  <c r="D713" i="7"/>
  <c r="E713" i="7" s="1"/>
  <c r="F713" i="7" s="1"/>
  <c r="G713" i="7" s="1"/>
  <c r="D714" i="7"/>
  <c r="E714" i="7" s="1"/>
  <c r="F714" i="7" s="1"/>
  <c r="G714" i="7" s="1"/>
  <c r="D715" i="7"/>
  <c r="E715" i="7" s="1"/>
  <c r="F715" i="7" s="1"/>
  <c r="G715" i="7" s="1"/>
  <c r="D716" i="7"/>
  <c r="E716" i="7" s="1"/>
  <c r="F716" i="7" s="1"/>
  <c r="G716" i="7" s="1"/>
  <c r="D717" i="7"/>
  <c r="E717" i="7" s="1"/>
  <c r="F717" i="7" s="1"/>
  <c r="G717" i="7" s="1"/>
  <c r="D718" i="7"/>
  <c r="E718" i="7" s="1"/>
  <c r="F718" i="7" s="1"/>
  <c r="G718" i="7" s="1"/>
  <c r="D719" i="7"/>
  <c r="E719" i="7" s="1"/>
  <c r="F719" i="7" s="1"/>
  <c r="G719" i="7" s="1"/>
  <c r="D720" i="7"/>
  <c r="E720" i="7" s="1"/>
  <c r="F720" i="7" s="1"/>
  <c r="G720" i="7" s="1"/>
  <c r="D721" i="7"/>
  <c r="E721" i="7" s="1"/>
  <c r="F721" i="7" s="1"/>
  <c r="G721" i="7" s="1"/>
  <c r="D722" i="7"/>
  <c r="E722" i="7" s="1"/>
  <c r="F722" i="7" s="1"/>
  <c r="G722" i="7" s="1"/>
  <c r="D723" i="7"/>
  <c r="E723" i="7" s="1"/>
  <c r="F723" i="7" s="1"/>
  <c r="G723" i="7" s="1"/>
  <c r="D724" i="7"/>
  <c r="E724" i="7" s="1"/>
  <c r="F724" i="7" s="1"/>
  <c r="G724" i="7" s="1"/>
  <c r="D725" i="7"/>
  <c r="E725" i="7" s="1"/>
  <c r="F725" i="7" s="1"/>
  <c r="G725" i="7" s="1"/>
  <c r="D726" i="7"/>
  <c r="E726" i="7" s="1"/>
  <c r="F726" i="7" s="1"/>
  <c r="G726" i="7" s="1"/>
  <c r="D727" i="7"/>
  <c r="E727" i="7" s="1"/>
  <c r="F727" i="7" s="1"/>
  <c r="G727" i="7" s="1"/>
  <c r="D728" i="7"/>
  <c r="E728" i="7" s="1"/>
  <c r="F728" i="7" s="1"/>
  <c r="G728" i="7" s="1"/>
  <c r="D729" i="7"/>
  <c r="E729" i="7" s="1"/>
  <c r="F729" i="7" s="1"/>
  <c r="G729" i="7" s="1"/>
  <c r="D730" i="7"/>
  <c r="E730" i="7" s="1"/>
  <c r="F730" i="7" s="1"/>
  <c r="G730" i="7" s="1"/>
  <c r="D731" i="7"/>
  <c r="E731" i="7" s="1"/>
  <c r="F731" i="7" s="1"/>
  <c r="G731" i="7" s="1"/>
  <c r="D732" i="7"/>
  <c r="E732" i="7" s="1"/>
  <c r="F732" i="7" s="1"/>
  <c r="G732" i="7" s="1"/>
  <c r="D733" i="7"/>
  <c r="E733" i="7" s="1"/>
  <c r="F733" i="7" s="1"/>
  <c r="G733" i="7" s="1"/>
  <c r="D734" i="7"/>
  <c r="E734" i="7" s="1"/>
  <c r="F734" i="7" s="1"/>
  <c r="G734" i="7" s="1"/>
  <c r="D735" i="7"/>
  <c r="E735" i="7" s="1"/>
  <c r="F735" i="7" s="1"/>
  <c r="G735" i="7" s="1"/>
  <c r="D736" i="7"/>
  <c r="E736" i="7" s="1"/>
  <c r="F736" i="7" s="1"/>
  <c r="G736" i="7" s="1"/>
  <c r="D737" i="7"/>
  <c r="E737" i="7" s="1"/>
  <c r="F737" i="7" s="1"/>
  <c r="G737" i="7" s="1"/>
  <c r="D738" i="7"/>
  <c r="E738" i="7" s="1"/>
  <c r="F738" i="7" s="1"/>
  <c r="G738" i="7" s="1"/>
  <c r="D739" i="7"/>
  <c r="E739" i="7" s="1"/>
  <c r="F739" i="7" s="1"/>
  <c r="G739" i="7" s="1"/>
  <c r="D740" i="7"/>
  <c r="E740" i="7" s="1"/>
  <c r="F740" i="7" s="1"/>
  <c r="G740" i="7" s="1"/>
  <c r="D741" i="7"/>
  <c r="E741" i="7" s="1"/>
  <c r="F741" i="7" s="1"/>
  <c r="G741" i="7" s="1"/>
  <c r="D742" i="7"/>
  <c r="E742" i="7" s="1"/>
  <c r="F742" i="7" s="1"/>
  <c r="G742" i="7" s="1"/>
  <c r="D743" i="7"/>
  <c r="E743" i="7" s="1"/>
  <c r="F743" i="7" s="1"/>
  <c r="G743" i="7" s="1"/>
  <c r="D744" i="7"/>
  <c r="E744" i="7" s="1"/>
  <c r="F744" i="7" s="1"/>
  <c r="G744" i="7" s="1"/>
  <c r="D745" i="7"/>
  <c r="E745" i="7" s="1"/>
  <c r="F745" i="7" s="1"/>
  <c r="G745" i="7" s="1"/>
  <c r="D746" i="7"/>
  <c r="E746" i="7" s="1"/>
  <c r="F746" i="7" s="1"/>
  <c r="G746" i="7" s="1"/>
  <c r="D747" i="7"/>
  <c r="E747" i="7" s="1"/>
  <c r="F747" i="7" s="1"/>
  <c r="G747" i="7" s="1"/>
  <c r="D748" i="7"/>
  <c r="E748" i="7" s="1"/>
  <c r="F748" i="7" s="1"/>
  <c r="G748" i="7" s="1"/>
  <c r="D749" i="7"/>
  <c r="E749" i="7" s="1"/>
  <c r="F749" i="7" s="1"/>
  <c r="G749" i="7" s="1"/>
  <c r="D750" i="7"/>
  <c r="E750" i="7" s="1"/>
  <c r="F750" i="7" s="1"/>
  <c r="G750" i="7" s="1"/>
  <c r="D751" i="7"/>
  <c r="E751" i="7" s="1"/>
  <c r="F751" i="7" s="1"/>
  <c r="G751" i="7" s="1"/>
  <c r="D752" i="7"/>
  <c r="E752" i="7" s="1"/>
  <c r="F752" i="7" s="1"/>
  <c r="G752" i="7" s="1"/>
  <c r="D753" i="7"/>
  <c r="E753" i="7" s="1"/>
  <c r="F753" i="7" s="1"/>
  <c r="G753" i="7" s="1"/>
  <c r="D754" i="7"/>
  <c r="E754" i="7" s="1"/>
  <c r="F754" i="7" s="1"/>
  <c r="G754" i="7" s="1"/>
  <c r="D755" i="7"/>
  <c r="E755" i="7" s="1"/>
  <c r="F755" i="7" s="1"/>
  <c r="G755" i="7" s="1"/>
  <c r="D756" i="7"/>
  <c r="E756" i="7" s="1"/>
  <c r="F756" i="7" s="1"/>
  <c r="G756" i="7" s="1"/>
  <c r="D757" i="7"/>
  <c r="E757" i="7" s="1"/>
  <c r="F757" i="7" s="1"/>
  <c r="G757" i="7" s="1"/>
  <c r="D758" i="7"/>
  <c r="E758" i="7" s="1"/>
  <c r="F758" i="7" s="1"/>
  <c r="G758" i="7" s="1"/>
  <c r="D759" i="7"/>
  <c r="E759" i="7" s="1"/>
  <c r="F759" i="7" s="1"/>
  <c r="G759" i="7" s="1"/>
  <c r="D760" i="7"/>
  <c r="E760" i="7" s="1"/>
  <c r="F760" i="7" s="1"/>
  <c r="G760" i="7" s="1"/>
  <c r="D761" i="7"/>
  <c r="E761" i="7" s="1"/>
  <c r="F761" i="7" s="1"/>
  <c r="G761" i="7" s="1"/>
  <c r="D762" i="7"/>
  <c r="E762" i="7" s="1"/>
  <c r="F762" i="7" s="1"/>
  <c r="G762" i="7" s="1"/>
  <c r="D763" i="7"/>
  <c r="E763" i="7" s="1"/>
  <c r="F763" i="7" s="1"/>
  <c r="G763" i="7" s="1"/>
  <c r="D764" i="7"/>
  <c r="E764" i="7" s="1"/>
  <c r="F764" i="7" s="1"/>
  <c r="G764" i="7" s="1"/>
  <c r="D765" i="7"/>
  <c r="E765" i="7" s="1"/>
  <c r="F765" i="7" s="1"/>
  <c r="G765" i="7" s="1"/>
  <c r="D766" i="7"/>
  <c r="E766" i="7" s="1"/>
  <c r="F766" i="7" s="1"/>
  <c r="G766" i="7" s="1"/>
  <c r="D767" i="7"/>
  <c r="E767" i="7" s="1"/>
  <c r="F767" i="7" s="1"/>
  <c r="G767" i="7" s="1"/>
  <c r="D768" i="7"/>
  <c r="E768" i="7" s="1"/>
  <c r="F768" i="7" s="1"/>
  <c r="G768" i="7" s="1"/>
  <c r="D769" i="7"/>
  <c r="E769" i="7" s="1"/>
  <c r="F769" i="7" s="1"/>
  <c r="G769" i="7" s="1"/>
  <c r="D770" i="7"/>
  <c r="E770" i="7" s="1"/>
  <c r="F770" i="7" s="1"/>
  <c r="G770" i="7" s="1"/>
  <c r="D771" i="7"/>
  <c r="E771" i="7" s="1"/>
  <c r="F771" i="7" s="1"/>
  <c r="G771" i="7" s="1"/>
  <c r="D772" i="7"/>
  <c r="E772" i="7" s="1"/>
  <c r="F772" i="7" s="1"/>
  <c r="G772" i="7" s="1"/>
  <c r="D773" i="7"/>
  <c r="E773" i="7" s="1"/>
  <c r="F773" i="7" s="1"/>
  <c r="G773" i="7" s="1"/>
  <c r="D774" i="7"/>
  <c r="E774" i="7" s="1"/>
  <c r="F774" i="7" s="1"/>
  <c r="G774" i="7" s="1"/>
  <c r="D775" i="7"/>
  <c r="E775" i="7" s="1"/>
  <c r="F775" i="7" s="1"/>
  <c r="G775" i="7" s="1"/>
  <c r="D776" i="7"/>
  <c r="E776" i="7" s="1"/>
  <c r="F776" i="7" s="1"/>
  <c r="G776" i="7" s="1"/>
  <c r="D777" i="7"/>
  <c r="E777" i="7" s="1"/>
  <c r="F777" i="7" s="1"/>
  <c r="G777" i="7" s="1"/>
  <c r="D778" i="7"/>
  <c r="E778" i="7" s="1"/>
  <c r="F778" i="7" s="1"/>
  <c r="G778" i="7" s="1"/>
  <c r="D779" i="7"/>
  <c r="E779" i="7" s="1"/>
  <c r="F779" i="7" s="1"/>
  <c r="G779" i="7" s="1"/>
  <c r="D780" i="7"/>
  <c r="E780" i="7" s="1"/>
  <c r="F780" i="7" s="1"/>
  <c r="G780" i="7" s="1"/>
  <c r="D781" i="7"/>
  <c r="E781" i="7" s="1"/>
  <c r="F781" i="7" s="1"/>
  <c r="G781" i="7" s="1"/>
  <c r="D782" i="7"/>
  <c r="E782" i="7" s="1"/>
  <c r="F782" i="7" s="1"/>
  <c r="G782" i="7" s="1"/>
  <c r="D783" i="7"/>
  <c r="E783" i="7" s="1"/>
  <c r="F783" i="7" s="1"/>
  <c r="G783" i="7" s="1"/>
  <c r="D784" i="7"/>
  <c r="E784" i="7" s="1"/>
  <c r="F784" i="7" s="1"/>
  <c r="G784" i="7" s="1"/>
  <c r="D785" i="7"/>
  <c r="E785" i="7" s="1"/>
  <c r="F785" i="7" s="1"/>
  <c r="G785" i="7" s="1"/>
  <c r="D786" i="7"/>
  <c r="E786" i="7" s="1"/>
  <c r="F786" i="7" s="1"/>
  <c r="G786" i="7" s="1"/>
  <c r="D787" i="7"/>
  <c r="E787" i="7" s="1"/>
  <c r="F787" i="7" s="1"/>
  <c r="G787" i="7" s="1"/>
  <c r="D788" i="7"/>
  <c r="E788" i="7" s="1"/>
  <c r="F788" i="7" s="1"/>
  <c r="G788" i="7" s="1"/>
  <c r="D789" i="7"/>
  <c r="E789" i="7" s="1"/>
  <c r="F789" i="7" s="1"/>
  <c r="G789" i="7" s="1"/>
  <c r="D790" i="7"/>
  <c r="E790" i="7" s="1"/>
  <c r="F790" i="7" s="1"/>
  <c r="G790" i="7" s="1"/>
  <c r="D791" i="7"/>
  <c r="E791" i="7" s="1"/>
  <c r="F791" i="7" s="1"/>
  <c r="G791" i="7" s="1"/>
  <c r="D792" i="7"/>
  <c r="E792" i="7" s="1"/>
  <c r="F792" i="7" s="1"/>
  <c r="G792" i="7" s="1"/>
  <c r="D793" i="7"/>
  <c r="E793" i="7" s="1"/>
  <c r="F793" i="7" s="1"/>
  <c r="G793" i="7" s="1"/>
  <c r="D794" i="7"/>
  <c r="E794" i="7" s="1"/>
  <c r="F794" i="7" s="1"/>
  <c r="G794" i="7" s="1"/>
  <c r="D795" i="7"/>
  <c r="E795" i="7" s="1"/>
  <c r="F795" i="7" s="1"/>
  <c r="G795" i="7" s="1"/>
  <c r="D796" i="7"/>
  <c r="E796" i="7" s="1"/>
  <c r="F796" i="7" s="1"/>
  <c r="G796" i="7" s="1"/>
  <c r="D797" i="7"/>
  <c r="E797" i="7" s="1"/>
  <c r="F797" i="7" s="1"/>
  <c r="G797" i="7" s="1"/>
  <c r="D798" i="7"/>
  <c r="E798" i="7" s="1"/>
  <c r="F798" i="7" s="1"/>
  <c r="G798" i="7" s="1"/>
  <c r="D799" i="7"/>
  <c r="E799" i="7" s="1"/>
  <c r="F799" i="7" s="1"/>
  <c r="G799" i="7" s="1"/>
  <c r="D800" i="7"/>
  <c r="E800" i="7" s="1"/>
  <c r="F800" i="7" s="1"/>
  <c r="G800" i="7" s="1"/>
  <c r="D801" i="7"/>
  <c r="E801" i="7" s="1"/>
  <c r="F801" i="7" s="1"/>
  <c r="G801" i="7" s="1"/>
  <c r="D802" i="7"/>
  <c r="E802" i="7" s="1"/>
  <c r="F802" i="7" s="1"/>
  <c r="G802" i="7" s="1"/>
  <c r="D803" i="7"/>
  <c r="E803" i="7" s="1"/>
  <c r="F803" i="7" s="1"/>
  <c r="G803" i="7" s="1"/>
  <c r="D804" i="7"/>
  <c r="E804" i="7" s="1"/>
  <c r="F804" i="7" s="1"/>
  <c r="G804" i="7" s="1"/>
  <c r="D805" i="7"/>
  <c r="E805" i="7" s="1"/>
  <c r="F805" i="7" s="1"/>
  <c r="G805" i="7" s="1"/>
  <c r="D806" i="7"/>
  <c r="E806" i="7" s="1"/>
  <c r="F806" i="7" s="1"/>
  <c r="G806" i="7" s="1"/>
  <c r="D807" i="7"/>
  <c r="E807" i="7" s="1"/>
  <c r="F807" i="7" s="1"/>
  <c r="G807" i="7" s="1"/>
  <c r="D808" i="7"/>
  <c r="E808" i="7" s="1"/>
  <c r="F808" i="7" s="1"/>
  <c r="G808" i="7" s="1"/>
  <c r="D809" i="7"/>
  <c r="E809" i="7" s="1"/>
  <c r="F809" i="7" s="1"/>
  <c r="G809" i="7" s="1"/>
  <c r="D810" i="7"/>
  <c r="E810" i="7" s="1"/>
  <c r="F810" i="7" s="1"/>
  <c r="G810" i="7" s="1"/>
  <c r="D811" i="7"/>
  <c r="E811" i="7" s="1"/>
  <c r="F811" i="7" s="1"/>
  <c r="G811" i="7" s="1"/>
  <c r="D812" i="7"/>
  <c r="E812" i="7" s="1"/>
  <c r="F812" i="7" s="1"/>
  <c r="G812" i="7" s="1"/>
  <c r="D813" i="7"/>
  <c r="E813" i="7" s="1"/>
  <c r="F813" i="7" s="1"/>
  <c r="G813" i="7" s="1"/>
  <c r="D814" i="7"/>
  <c r="E814" i="7" s="1"/>
  <c r="F814" i="7" s="1"/>
  <c r="G814" i="7" s="1"/>
  <c r="D815" i="7"/>
  <c r="E815" i="7" s="1"/>
  <c r="F815" i="7" s="1"/>
  <c r="G815" i="7" s="1"/>
  <c r="D816" i="7"/>
  <c r="E816" i="7" s="1"/>
  <c r="F816" i="7" s="1"/>
  <c r="G816" i="7" s="1"/>
  <c r="D817" i="7"/>
  <c r="E817" i="7" s="1"/>
  <c r="F817" i="7" s="1"/>
  <c r="G817" i="7" s="1"/>
  <c r="D818" i="7"/>
  <c r="E818" i="7" s="1"/>
  <c r="F818" i="7" s="1"/>
  <c r="G818" i="7" s="1"/>
  <c r="D819" i="7"/>
  <c r="E819" i="7" s="1"/>
  <c r="F819" i="7" s="1"/>
  <c r="G819" i="7" s="1"/>
  <c r="D820" i="7"/>
  <c r="E820" i="7" s="1"/>
  <c r="F820" i="7" s="1"/>
  <c r="G820" i="7" s="1"/>
  <c r="D821" i="7"/>
  <c r="E821" i="7" s="1"/>
  <c r="F821" i="7" s="1"/>
  <c r="G821" i="7" s="1"/>
  <c r="D822" i="7"/>
  <c r="E822" i="7" s="1"/>
  <c r="F822" i="7" s="1"/>
  <c r="G822" i="7" s="1"/>
  <c r="D823" i="7"/>
  <c r="E823" i="7" s="1"/>
  <c r="F823" i="7" s="1"/>
  <c r="G823" i="7" s="1"/>
  <c r="D824" i="7"/>
  <c r="E824" i="7" s="1"/>
  <c r="F824" i="7" s="1"/>
  <c r="G824" i="7" s="1"/>
  <c r="D825" i="7"/>
  <c r="E825" i="7" s="1"/>
  <c r="F825" i="7" s="1"/>
  <c r="G825" i="7" s="1"/>
  <c r="D826" i="7"/>
  <c r="E826" i="7" s="1"/>
  <c r="F826" i="7" s="1"/>
  <c r="G826" i="7" s="1"/>
  <c r="D827" i="7"/>
  <c r="E827" i="7" s="1"/>
  <c r="F827" i="7" s="1"/>
  <c r="G827" i="7" s="1"/>
  <c r="D828" i="7"/>
  <c r="E828" i="7" s="1"/>
  <c r="F828" i="7" s="1"/>
  <c r="G828" i="7" s="1"/>
  <c r="D829" i="7"/>
  <c r="E829" i="7" s="1"/>
  <c r="F829" i="7" s="1"/>
  <c r="G829" i="7" s="1"/>
  <c r="D830" i="7"/>
  <c r="E830" i="7" s="1"/>
  <c r="F830" i="7" s="1"/>
  <c r="G830" i="7" s="1"/>
  <c r="D831" i="7"/>
  <c r="E831" i="7" s="1"/>
  <c r="F831" i="7" s="1"/>
  <c r="G831" i="7" s="1"/>
  <c r="D832" i="7"/>
  <c r="E832" i="7" s="1"/>
  <c r="F832" i="7" s="1"/>
  <c r="G832" i="7" s="1"/>
  <c r="D833" i="7"/>
  <c r="E833" i="7" s="1"/>
  <c r="F833" i="7" s="1"/>
  <c r="G833" i="7" s="1"/>
  <c r="D834" i="7"/>
  <c r="E834" i="7" s="1"/>
  <c r="F834" i="7" s="1"/>
  <c r="G834" i="7" s="1"/>
  <c r="D835" i="7"/>
  <c r="E835" i="7" s="1"/>
  <c r="F835" i="7" s="1"/>
  <c r="G835" i="7" s="1"/>
  <c r="D836" i="7"/>
  <c r="E836" i="7" s="1"/>
  <c r="F836" i="7" s="1"/>
  <c r="G836" i="7" s="1"/>
  <c r="D837" i="7"/>
  <c r="E837" i="7" s="1"/>
  <c r="F837" i="7" s="1"/>
  <c r="G837" i="7" s="1"/>
  <c r="D838" i="7"/>
  <c r="E838" i="7" s="1"/>
  <c r="F838" i="7" s="1"/>
  <c r="G838" i="7" s="1"/>
  <c r="D839" i="7"/>
  <c r="E839" i="7" s="1"/>
  <c r="F839" i="7" s="1"/>
  <c r="G839" i="7" s="1"/>
  <c r="D840" i="7"/>
  <c r="E840" i="7" s="1"/>
  <c r="F840" i="7" s="1"/>
  <c r="G840" i="7" s="1"/>
  <c r="D841" i="7"/>
  <c r="E841" i="7" s="1"/>
  <c r="F841" i="7" s="1"/>
  <c r="G841" i="7" s="1"/>
  <c r="D842" i="7"/>
  <c r="E842" i="7" s="1"/>
  <c r="F842" i="7" s="1"/>
  <c r="G842" i="7" s="1"/>
  <c r="D843" i="7"/>
  <c r="E843" i="7" s="1"/>
  <c r="F843" i="7" s="1"/>
  <c r="G843" i="7" s="1"/>
  <c r="D844" i="7"/>
  <c r="E844" i="7" s="1"/>
  <c r="F844" i="7" s="1"/>
  <c r="G844" i="7" s="1"/>
  <c r="D845" i="7"/>
  <c r="E845" i="7" s="1"/>
  <c r="F845" i="7" s="1"/>
  <c r="G845" i="7" s="1"/>
  <c r="D846" i="7"/>
  <c r="E846" i="7" s="1"/>
  <c r="F846" i="7" s="1"/>
  <c r="G846" i="7" s="1"/>
  <c r="D847" i="7"/>
  <c r="E847" i="7" s="1"/>
  <c r="F847" i="7" s="1"/>
  <c r="G847" i="7" s="1"/>
  <c r="D848" i="7"/>
  <c r="E848" i="7" s="1"/>
  <c r="F848" i="7" s="1"/>
  <c r="G848" i="7" s="1"/>
  <c r="D849" i="7"/>
  <c r="E849" i="7" s="1"/>
  <c r="F849" i="7" s="1"/>
  <c r="G849" i="7" s="1"/>
  <c r="D850" i="7"/>
  <c r="E850" i="7" s="1"/>
  <c r="F850" i="7" s="1"/>
  <c r="G850" i="7" s="1"/>
  <c r="D851" i="7"/>
  <c r="E851" i="7" s="1"/>
  <c r="F851" i="7" s="1"/>
  <c r="G851" i="7" s="1"/>
  <c r="D852" i="7"/>
  <c r="E852" i="7" s="1"/>
  <c r="F852" i="7" s="1"/>
  <c r="G852" i="7" s="1"/>
  <c r="D853" i="7"/>
  <c r="E853" i="7" s="1"/>
  <c r="F853" i="7" s="1"/>
  <c r="G853" i="7" s="1"/>
  <c r="D854" i="7"/>
  <c r="E854" i="7" s="1"/>
  <c r="F854" i="7" s="1"/>
  <c r="G854" i="7" s="1"/>
  <c r="D855" i="7"/>
  <c r="E855" i="7" s="1"/>
  <c r="F855" i="7" s="1"/>
  <c r="G855" i="7" s="1"/>
  <c r="D856" i="7"/>
  <c r="E856" i="7" s="1"/>
  <c r="F856" i="7" s="1"/>
  <c r="G856" i="7" s="1"/>
  <c r="D857" i="7"/>
  <c r="E857" i="7" s="1"/>
  <c r="F857" i="7" s="1"/>
  <c r="G857" i="7" s="1"/>
  <c r="D858" i="7"/>
  <c r="E858" i="7" s="1"/>
  <c r="F858" i="7" s="1"/>
  <c r="G858" i="7" s="1"/>
  <c r="D859" i="7"/>
  <c r="E859" i="7" s="1"/>
  <c r="F859" i="7" s="1"/>
  <c r="G859" i="7" s="1"/>
  <c r="D860" i="7"/>
  <c r="E860" i="7" s="1"/>
  <c r="F860" i="7" s="1"/>
  <c r="G860" i="7" s="1"/>
  <c r="D861" i="7"/>
  <c r="E861" i="7" s="1"/>
  <c r="F861" i="7" s="1"/>
  <c r="G861" i="7" s="1"/>
  <c r="D862" i="7"/>
  <c r="E862" i="7" s="1"/>
  <c r="F862" i="7" s="1"/>
  <c r="G862" i="7" s="1"/>
  <c r="D863" i="7"/>
  <c r="E863" i="7" s="1"/>
  <c r="F863" i="7" s="1"/>
  <c r="G863" i="7" s="1"/>
  <c r="D864" i="7"/>
  <c r="E864" i="7" s="1"/>
  <c r="F864" i="7" s="1"/>
  <c r="G864" i="7" s="1"/>
  <c r="D865" i="7"/>
  <c r="E865" i="7" s="1"/>
  <c r="F865" i="7" s="1"/>
  <c r="G865" i="7" s="1"/>
  <c r="D866" i="7"/>
  <c r="E866" i="7" s="1"/>
  <c r="F866" i="7" s="1"/>
  <c r="G866" i="7" s="1"/>
  <c r="D867" i="7"/>
  <c r="E867" i="7" s="1"/>
  <c r="F867" i="7" s="1"/>
  <c r="G867" i="7" s="1"/>
  <c r="D868" i="7"/>
  <c r="E868" i="7" s="1"/>
  <c r="F868" i="7" s="1"/>
  <c r="G868" i="7" s="1"/>
  <c r="D869" i="7"/>
  <c r="E869" i="7" s="1"/>
  <c r="F869" i="7" s="1"/>
  <c r="G869" i="7" s="1"/>
  <c r="D870" i="7"/>
  <c r="E870" i="7" s="1"/>
  <c r="F870" i="7" s="1"/>
  <c r="G870" i="7" s="1"/>
  <c r="D871" i="7"/>
  <c r="E871" i="7" s="1"/>
  <c r="F871" i="7" s="1"/>
  <c r="G871" i="7" s="1"/>
  <c r="D872" i="7"/>
  <c r="E872" i="7" s="1"/>
  <c r="F872" i="7" s="1"/>
  <c r="G872" i="7" s="1"/>
  <c r="D873" i="7"/>
  <c r="E873" i="7" s="1"/>
  <c r="F873" i="7" s="1"/>
  <c r="G873" i="7" s="1"/>
  <c r="D874" i="7"/>
  <c r="E874" i="7" s="1"/>
  <c r="F874" i="7" s="1"/>
  <c r="G874" i="7" s="1"/>
  <c r="D875" i="7"/>
  <c r="E875" i="7" s="1"/>
  <c r="F875" i="7" s="1"/>
  <c r="G875" i="7" s="1"/>
  <c r="D876" i="7"/>
  <c r="E876" i="7" s="1"/>
  <c r="F876" i="7" s="1"/>
  <c r="G876" i="7" s="1"/>
  <c r="D877" i="7"/>
  <c r="E877" i="7" s="1"/>
  <c r="F877" i="7" s="1"/>
  <c r="G877" i="7" s="1"/>
  <c r="D878" i="7"/>
  <c r="E878" i="7" s="1"/>
  <c r="F878" i="7" s="1"/>
  <c r="G878" i="7" s="1"/>
  <c r="D879" i="7"/>
  <c r="E879" i="7" s="1"/>
  <c r="F879" i="7" s="1"/>
  <c r="G879" i="7" s="1"/>
  <c r="D880" i="7"/>
  <c r="E880" i="7" s="1"/>
  <c r="F880" i="7" s="1"/>
  <c r="G880" i="7" s="1"/>
  <c r="D881" i="7"/>
  <c r="E881" i="7" s="1"/>
  <c r="F881" i="7" s="1"/>
  <c r="G881" i="7" s="1"/>
  <c r="D882" i="7"/>
  <c r="E882" i="7" s="1"/>
  <c r="F882" i="7" s="1"/>
  <c r="G882" i="7" s="1"/>
  <c r="D883" i="7"/>
  <c r="E883" i="7" s="1"/>
  <c r="F883" i="7" s="1"/>
  <c r="G883" i="7" s="1"/>
  <c r="D884" i="7"/>
  <c r="E884" i="7" s="1"/>
  <c r="F884" i="7" s="1"/>
  <c r="G884" i="7" s="1"/>
  <c r="D885" i="7"/>
  <c r="E885" i="7" s="1"/>
  <c r="F885" i="7" s="1"/>
  <c r="G885" i="7" s="1"/>
  <c r="D886" i="7"/>
  <c r="E886" i="7" s="1"/>
  <c r="F886" i="7" s="1"/>
  <c r="G886" i="7" s="1"/>
  <c r="D887" i="7"/>
  <c r="E887" i="7" s="1"/>
  <c r="F887" i="7" s="1"/>
  <c r="G887" i="7" s="1"/>
  <c r="D888" i="7"/>
  <c r="E888" i="7" s="1"/>
  <c r="F888" i="7" s="1"/>
  <c r="G888" i="7" s="1"/>
  <c r="D889" i="7"/>
  <c r="E889" i="7" s="1"/>
  <c r="F889" i="7" s="1"/>
  <c r="G889" i="7" s="1"/>
  <c r="D890" i="7"/>
  <c r="E890" i="7" s="1"/>
  <c r="F890" i="7" s="1"/>
  <c r="G890" i="7" s="1"/>
  <c r="D891" i="7"/>
  <c r="E891" i="7" s="1"/>
  <c r="F891" i="7" s="1"/>
  <c r="G891" i="7" s="1"/>
  <c r="D892" i="7"/>
  <c r="E892" i="7" s="1"/>
  <c r="F892" i="7" s="1"/>
  <c r="G892" i="7" s="1"/>
  <c r="D893" i="7"/>
  <c r="E893" i="7" s="1"/>
  <c r="F893" i="7" s="1"/>
  <c r="G893" i="7" s="1"/>
  <c r="D894" i="7"/>
  <c r="E894" i="7" s="1"/>
  <c r="F894" i="7" s="1"/>
  <c r="G894" i="7" s="1"/>
  <c r="D895" i="7"/>
  <c r="E895" i="7" s="1"/>
  <c r="F895" i="7" s="1"/>
  <c r="G895" i="7" s="1"/>
  <c r="D896" i="7"/>
  <c r="E896" i="7" s="1"/>
  <c r="F896" i="7" s="1"/>
  <c r="G896" i="7" s="1"/>
  <c r="D897" i="7"/>
  <c r="E897" i="7" s="1"/>
  <c r="F897" i="7" s="1"/>
  <c r="G897" i="7" s="1"/>
  <c r="D898" i="7"/>
  <c r="E898" i="7" s="1"/>
  <c r="F898" i="7" s="1"/>
  <c r="G898" i="7" s="1"/>
  <c r="D899" i="7"/>
  <c r="E899" i="7" s="1"/>
  <c r="F899" i="7" s="1"/>
  <c r="G899" i="7" s="1"/>
  <c r="D900" i="7"/>
  <c r="E900" i="7" s="1"/>
  <c r="F900" i="7" s="1"/>
  <c r="G900" i="7" s="1"/>
  <c r="D901" i="7"/>
  <c r="E901" i="7" s="1"/>
  <c r="F901" i="7" s="1"/>
  <c r="G901" i="7" s="1"/>
  <c r="D902" i="7"/>
  <c r="E902" i="7" s="1"/>
  <c r="F902" i="7" s="1"/>
  <c r="G902" i="7" s="1"/>
  <c r="D903" i="7"/>
  <c r="E903" i="7" s="1"/>
  <c r="F903" i="7" s="1"/>
  <c r="G903" i="7" s="1"/>
  <c r="D904" i="7"/>
  <c r="E904" i="7" s="1"/>
  <c r="F904" i="7" s="1"/>
  <c r="G904" i="7" s="1"/>
  <c r="D905" i="7"/>
  <c r="E905" i="7" s="1"/>
  <c r="F905" i="7" s="1"/>
  <c r="G905" i="7" s="1"/>
  <c r="D906" i="7"/>
  <c r="E906" i="7" s="1"/>
  <c r="F906" i="7" s="1"/>
  <c r="G906" i="7" s="1"/>
  <c r="D907" i="7"/>
  <c r="E907" i="7" s="1"/>
  <c r="F907" i="7" s="1"/>
  <c r="G907" i="7" s="1"/>
  <c r="D908" i="7"/>
  <c r="E908" i="7" s="1"/>
  <c r="F908" i="7" s="1"/>
  <c r="G908" i="7" s="1"/>
  <c r="D909" i="7"/>
  <c r="E909" i="7" s="1"/>
  <c r="F909" i="7" s="1"/>
  <c r="G909" i="7" s="1"/>
  <c r="D910" i="7"/>
  <c r="E910" i="7" s="1"/>
  <c r="F910" i="7" s="1"/>
  <c r="G910" i="7" s="1"/>
  <c r="D911" i="7"/>
  <c r="E911" i="7" s="1"/>
  <c r="F911" i="7" s="1"/>
  <c r="G911" i="7" s="1"/>
  <c r="D912" i="7"/>
  <c r="E912" i="7" s="1"/>
  <c r="F912" i="7" s="1"/>
  <c r="G912" i="7" s="1"/>
  <c r="D913" i="7"/>
  <c r="E913" i="7" s="1"/>
  <c r="F913" i="7" s="1"/>
  <c r="G913" i="7" s="1"/>
  <c r="D914" i="7"/>
  <c r="E914" i="7" s="1"/>
  <c r="F914" i="7" s="1"/>
  <c r="G914" i="7" s="1"/>
  <c r="D915" i="7"/>
  <c r="E915" i="7" s="1"/>
  <c r="F915" i="7" s="1"/>
  <c r="G915" i="7" s="1"/>
  <c r="D916" i="7"/>
  <c r="E916" i="7" s="1"/>
  <c r="F916" i="7" s="1"/>
  <c r="G916" i="7" s="1"/>
  <c r="D917" i="7"/>
  <c r="E917" i="7" s="1"/>
  <c r="F917" i="7" s="1"/>
  <c r="G917" i="7" s="1"/>
  <c r="D918" i="7"/>
  <c r="E918" i="7" s="1"/>
  <c r="F918" i="7" s="1"/>
  <c r="G918" i="7" s="1"/>
  <c r="D919" i="7"/>
  <c r="E919" i="7" s="1"/>
  <c r="F919" i="7" s="1"/>
  <c r="G919" i="7" s="1"/>
  <c r="D920" i="7"/>
  <c r="E920" i="7" s="1"/>
  <c r="F920" i="7" s="1"/>
  <c r="G920" i="7" s="1"/>
  <c r="D921" i="7"/>
  <c r="E921" i="7" s="1"/>
  <c r="F921" i="7" s="1"/>
  <c r="G921" i="7" s="1"/>
  <c r="D922" i="7"/>
  <c r="E922" i="7" s="1"/>
  <c r="F922" i="7" s="1"/>
  <c r="G922" i="7" s="1"/>
  <c r="D923" i="7"/>
  <c r="E923" i="7" s="1"/>
  <c r="F923" i="7" s="1"/>
  <c r="G923" i="7" s="1"/>
  <c r="D924" i="7"/>
  <c r="E924" i="7" s="1"/>
  <c r="F924" i="7" s="1"/>
  <c r="G924" i="7" s="1"/>
  <c r="D925" i="7"/>
  <c r="E925" i="7" s="1"/>
  <c r="F925" i="7" s="1"/>
  <c r="G925" i="7" s="1"/>
  <c r="D926" i="7"/>
  <c r="E926" i="7" s="1"/>
  <c r="F926" i="7" s="1"/>
  <c r="G926" i="7" s="1"/>
  <c r="D927" i="7"/>
  <c r="E927" i="7" s="1"/>
  <c r="F927" i="7" s="1"/>
  <c r="G927" i="7" s="1"/>
  <c r="D928" i="7"/>
  <c r="E928" i="7" s="1"/>
  <c r="F928" i="7" s="1"/>
  <c r="G928" i="7" s="1"/>
  <c r="D929" i="7"/>
  <c r="E929" i="7" s="1"/>
  <c r="F929" i="7" s="1"/>
  <c r="G929" i="7" s="1"/>
  <c r="D930" i="7"/>
  <c r="E930" i="7" s="1"/>
  <c r="F930" i="7" s="1"/>
  <c r="G930" i="7" s="1"/>
  <c r="D931" i="7"/>
  <c r="E931" i="7" s="1"/>
  <c r="F931" i="7" s="1"/>
  <c r="G931" i="7" s="1"/>
  <c r="D932" i="7"/>
  <c r="E932" i="7" s="1"/>
  <c r="F932" i="7" s="1"/>
  <c r="G932" i="7" s="1"/>
  <c r="D933" i="7"/>
  <c r="E933" i="7" s="1"/>
  <c r="F933" i="7" s="1"/>
  <c r="G933" i="7" s="1"/>
  <c r="D934" i="7"/>
  <c r="E934" i="7" s="1"/>
  <c r="F934" i="7" s="1"/>
  <c r="G934" i="7" s="1"/>
  <c r="D935" i="7"/>
  <c r="E935" i="7" s="1"/>
  <c r="F935" i="7" s="1"/>
  <c r="G935" i="7" s="1"/>
  <c r="D936" i="7"/>
  <c r="E936" i="7" s="1"/>
  <c r="F936" i="7" s="1"/>
  <c r="G936" i="7" s="1"/>
  <c r="D937" i="7"/>
  <c r="E937" i="7" s="1"/>
  <c r="F937" i="7" s="1"/>
  <c r="G937" i="7" s="1"/>
  <c r="D938" i="7"/>
  <c r="E938" i="7" s="1"/>
  <c r="F938" i="7" s="1"/>
  <c r="G938" i="7" s="1"/>
  <c r="D939" i="7"/>
  <c r="E939" i="7" s="1"/>
  <c r="F939" i="7" s="1"/>
  <c r="G939" i="7" s="1"/>
  <c r="D940" i="7"/>
  <c r="E940" i="7" s="1"/>
  <c r="F940" i="7" s="1"/>
  <c r="G940" i="7" s="1"/>
  <c r="D941" i="7"/>
  <c r="E941" i="7" s="1"/>
  <c r="F941" i="7" s="1"/>
  <c r="G941" i="7" s="1"/>
  <c r="D942" i="7"/>
  <c r="E942" i="7" s="1"/>
  <c r="F942" i="7" s="1"/>
  <c r="G942" i="7" s="1"/>
  <c r="D943" i="7"/>
  <c r="E943" i="7" s="1"/>
  <c r="F943" i="7" s="1"/>
  <c r="G943" i="7" s="1"/>
  <c r="D944" i="7"/>
  <c r="E944" i="7" s="1"/>
  <c r="F944" i="7" s="1"/>
  <c r="G944" i="7" s="1"/>
  <c r="D945" i="7"/>
  <c r="E945" i="7" s="1"/>
  <c r="F945" i="7" s="1"/>
  <c r="G945" i="7" s="1"/>
  <c r="D946" i="7"/>
  <c r="E946" i="7" s="1"/>
  <c r="F946" i="7" s="1"/>
  <c r="G946" i="7" s="1"/>
  <c r="D947" i="7"/>
  <c r="E947" i="7" s="1"/>
  <c r="F947" i="7" s="1"/>
  <c r="G947" i="7" s="1"/>
  <c r="D948" i="7"/>
  <c r="E948" i="7" s="1"/>
  <c r="F948" i="7" s="1"/>
  <c r="G948" i="7" s="1"/>
  <c r="D949" i="7"/>
  <c r="E949" i="7" s="1"/>
  <c r="F949" i="7" s="1"/>
  <c r="G949" i="7" s="1"/>
  <c r="D950" i="7"/>
  <c r="E950" i="7" s="1"/>
  <c r="F950" i="7" s="1"/>
  <c r="G950" i="7" s="1"/>
  <c r="D951" i="7"/>
  <c r="E951" i="7" s="1"/>
  <c r="F951" i="7" s="1"/>
  <c r="G951" i="7" s="1"/>
  <c r="D952" i="7"/>
  <c r="E952" i="7" s="1"/>
  <c r="F952" i="7" s="1"/>
  <c r="G952" i="7" s="1"/>
  <c r="D953" i="7"/>
  <c r="E953" i="7" s="1"/>
  <c r="F953" i="7" s="1"/>
  <c r="G953" i="7" s="1"/>
  <c r="D954" i="7"/>
  <c r="E954" i="7" s="1"/>
  <c r="F954" i="7" s="1"/>
  <c r="G954" i="7" s="1"/>
  <c r="D955" i="7"/>
  <c r="E955" i="7" s="1"/>
  <c r="F955" i="7" s="1"/>
  <c r="G955" i="7" s="1"/>
  <c r="D956" i="7"/>
  <c r="E956" i="7" s="1"/>
  <c r="F956" i="7" s="1"/>
  <c r="G956" i="7" s="1"/>
  <c r="D957" i="7"/>
  <c r="E957" i="7" s="1"/>
  <c r="F957" i="7" s="1"/>
  <c r="G957" i="7" s="1"/>
  <c r="D958" i="7"/>
  <c r="E958" i="7" s="1"/>
  <c r="F958" i="7" s="1"/>
  <c r="G958" i="7" s="1"/>
  <c r="D959" i="7"/>
  <c r="E959" i="7" s="1"/>
  <c r="F959" i="7" s="1"/>
  <c r="G959" i="7" s="1"/>
  <c r="D960" i="7"/>
  <c r="E960" i="7" s="1"/>
  <c r="F960" i="7" s="1"/>
  <c r="G960" i="7" s="1"/>
  <c r="D961" i="7"/>
  <c r="E961" i="7" s="1"/>
  <c r="F961" i="7" s="1"/>
  <c r="G961" i="7" s="1"/>
  <c r="D962" i="7"/>
  <c r="E962" i="7" s="1"/>
  <c r="F962" i="7" s="1"/>
  <c r="G962" i="7" s="1"/>
  <c r="D963" i="7"/>
  <c r="E963" i="7" s="1"/>
  <c r="F963" i="7" s="1"/>
  <c r="G963" i="7" s="1"/>
  <c r="D964" i="7"/>
  <c r="E964" i="7" s="1"/>
  <c r="F964" i="7" s="1"/>
  <c r="G964" i="7" s="1"/>
  <c r="D965" i="7"/>
  <c r="E965" i="7" s="1"/>
  <c r="F965" i="7" s="1"/>
  <c r="G965" i="7" s="1"/>
  <c r="D966" i="7"/>
  <c r="E966" i="7" s="1"/>
  <c r="F966" i="7" s="1"/>
  <c r="G966" i="7" s="1"/>
  <c r="D967" i="7"/>
  <c r="E967" i="7" s="1"/>
  <c r="F967" i="7" s="1"/>
  <c r="G967" i="7" s="1"/>
  <c r="D968" i="7"/>
  <c r="E968" i="7" s="1"/>
  <c r="F968" i="7" s="1"/>
  <c r="G968" i="7" s="1"/>
  <c r="D969" i="7"/>
  <c r="E969" i="7" s="1"/>
  <c r="F969" i="7" s="1"/>
  <c r="G969" i="7" s="1"/>
  <c r="D970" i="7"/>
  <c r="E970" i="7" s="1"/>
  <c r="F970" i="7" s="1"/>
  <c r="G970" i="7" s="1"/>
  <c r="D971" i="7"/>
  <c r="E971" i="7" s="1"/>
  <c r="F971" i="7" s="1"/>
  <c r="G971" i="7" s="1"/>
  <c r="D972" i="7"/>
  <c r="E972" i="7" s="1"/>
  <c r="F972" i="7" s="1"/>
  <c r="G972" i="7" s="1"/>
  <c r="D973" i="7"/>
  <c r="E973" i="7" s="1"/>
  <c r="F973" i="7" s="1"/>
  <c r="G973" i="7" s="1"/>
  <c r="D974" i="7"/>
  <c r="E974" i="7" s="1"/>
  <c r="F974" i="7" s="1"/>
  <c r="G974" i="7" s="1"/>
  <c r="D975" i="7"/>
  <c r="E975" i="7" s="1"/>
  <c r="F975" i="7" s="1"/>
  <c r="G975" i="7" s="1"/>
  <c r="D976" i="7"/>
  <c r="E976" i="7" s="1"/>
  <c r="F976" i="7" s="1"/>
  <c r="G976" i="7" s="1"/>
  <c r="D977" i="7"/>
  <c r="E977" i="7" s="1"/>
  <c r="F977" i="7" s="1"/>
  <c r="G977" i="7" s="1"/>
  <c r="D978" i="7"/>
  <c r="E978" i="7" s="1"/>
  <c r="F978" i="7" s="1"/>
  <c r="G978" i="7" s="1"/>
  <c r="D979" i="7"/>
  <c r="E979" i="7" s="1"/>
  <c r="F979" i="7" s="1"/>
  <c r="G979" i="7" s="1"/>
  <c r="D980" i="7"/>
  <c r="E980" i="7" s="1"/>
  <c r="F980" i="7" s="1"/>
  <c r="G980" i="7" s="1"/>
  <c r="D981" i="7"/>
  <c r="E981" i="7" s="1"/>
  <c r="F981" i="7" s="1"/>
  <c r="G981" i="7" s="1"/>
  <c r="D982" i="7"/>
  <c r="E982" i="7" s="1"/>
  <c r="F982" i="7" s="1"/>
  <c r="G982" i="7" s="1"/>
  <c r="D983" i="7"/>
  <c r="E983" i="7" s="1"/>
  <c r="F983" i="7" s="1"/>
  <c r="G983" i="7" s="1"/>
  <c r="D984" i="7"/>
  <c r="E984" i="7" s="1"/>
  <c r="F984" i="7" s="1"/>
  <c r="G984" i="7" s="1"/>
  <c r="D985" i="7"/>
  <c r="E985" i="7" s="1"/>
  <c r="F985" i="7" s="1"/>
  <c r="G985" i="7" s="1"/>
  <c r="D986" i="7"/>
  <c r="E986" i="7" s="1"/>
  <c r="F986" i="7" s="1"/>
  <c r="G986" i="7" s="1"/>
  <c r="D987" i="7"/>
  <c r="E987" i="7" s="1"/>
  <c r="F987" i="7" s="1"/>
  <c r="G987" i="7" s="1"/>
  <c r="D988" i="7"/>
  <c r="E988" i="7" s="1"/>
  <c r="F988" i="7" s="1"/>
  <c r="G988" i="7" s="1"/>
  <c r="D989" i="7"/>
  <c r="E989" i="7" s="1"/>
  <c r="F989" i="7" s="1"/>
  <c r="G989" i="7" s="1"/>
  <c r="D990" i="7"/>
  <c r="E990" i="7" s="1"/>
  <c r="F990" i="7" s="1"/>
  <c r="G990" i="7" s="1"/>
  <c r="D991" i="7"/>
  <c r="E991" i="7" s="1"/>
  <c r="F991" i="7" s="1"/>
  <c r="G991" i="7" s="1"/>
  <c r="D992" i="7"/>
  <c r="E992" i="7" s="1"/>
  <c r="F992" i="7" s="1"/>
  <c r="G992" i="7" s="1"/>
  <c r="D993" i="7"/>
  <c r="E993" i="7" s="1"/>
  <c r="F993" i="7" s="1"/>
  <c r="G993" i="7" s="1"/>
  <c r="D994" i="7"/>
  <c r="E994" i="7" s="1"/>
  <c r="F994" i="7" s="1"/>
  <c r="G994" i="7" s="1"/>
  <c r="D995" i="7"/>
  <c r="E995" i="7" s="1"/>
  <c r="F995" i="7" s="1"/>
  <c r="G995" i="7" s="1"/>
  <c r="D996" i="7"/>
  <c r="E996" i="7" s="1"/>
  <c r="F996" i="7" s="1"/>
  <c r="G996" i="7" s="1"/>
  <c r="D997" i="7"/>
  <c r="E997" i="7" s="1"/>
  <c r="F997" i="7" s="1"/>
  <c r="G997" i="7" s="1"/>
  <c r="D998" i="7"/>
  <c r="E998" i="7" s="1"/>
  <c r="F998" i="7" s="1"/>
  <c r="G998" i="7" s="1"/>
  <c r="D999" i="7"/>
  <c r="E999" i="7" s="1"/>
  <c r="F999" i="7" s="1"/>
  <c r="G999" i="7" s="1"/>
  <c r="D1000" i="7"/>
  <c r="E1000" i="7" s="1"/>
  <c r="F1000" i="7" s="1"/>
  <c r="G1000" i="7" s="1"/>
  <c r="D1001" i="7"/>
  <c r="E1001" i="7" s="1"/>
  <c r="F1001" i="7" s="1"/>
  <c r="G1001" i="7" s="1"/>
  <c r="E2" i="7"/>
  <c r="F2" i="7" s="1"/>
  <c r="G2" i="7" s="1"/>
  <c r="E3" i="7"/>
  <c r="F3" i="7" s="1"/>
  <c r="G3" i="7" s="1"/>
  <c r="E4" i="7"/>
  <c r="F4" i="7" s="1"/>
  <c r="G4" i="7" s="1"/>
  <c r="E5" i="7"/>
  <c r="F5" i="7" s="1"/>
  <c r="G5" i="7" s="1"/>
  <c r="E6" i="7"/>
  <c r="F6" i="7" s="1"/>
  <c r="G6" i="7" s="1"/>
  <c r="E7" i="7"/>
  <c r="F7" i="7" s="1"/>
  <c r="G7" i="7" s="1"/>
  <c r="E8" i="7"/>
  <c r="F8" i="7" s="1"/>
  <c r="G8" i="7" s="1"/>
  <c r="E9" i="7"/>
  <c r="F9" i="7" s="1"/>
  <c r="G9" i="7" s="1"/>
  <c r="E10" i="7"/>
  <c r="F10" i="7" s="1"/>
  <c r="G10" i="7" s="1"/>
  <c r="E11" i="7"/>
  <c r="F11" i="7" s="1"/>
  <c r="G11" i="7" s="1"/>
  <c r="E12" i="7"/>
  <c r="F12" i="7" s="1"/>
  <c r="G12" i="7" s="1"/>
  <c r="E13" i="7"/>
  <c r="F13" i="7" s="1"/>
  <c r="G13" i="7" s="1"/>
  <c r="E14" i="7"/>
  <c r="F14" i="7" s="1"/>
  <c r="G14" i="7" s="1"/>
  <c r="E15" i="7"/>
  <c r="F15" i="7" s="1"/>
  <c r="G15" i="7" s="1"/>
  <c r="E16" i="7"/>
  <c r="F16" i="7" s="1"/>
  <c r="G16" i="7" s="1"/>
  <c r="E17" i="7"/>
  <c r="F17" i="7" s="1"/>
  <c r="G17" i="7" s="1"/>
  <c r="E18" i="7"/>
  <c r="F18" i="7" s="1"/>
  <c r="G18" i="7" s="1"/>
  <c r="E19" i="7"/>
  <c r="F19" i="7" s="1"/>
  <c r="G19" i="7" s="1"/>
  <c r="E20" i="7"/>
  <c r="F20" i="7" s="1"/>
  <c r="G20" i="7" s="1"/>
  <c r="E21" i="7"/>
  <c r="F21" i="7" s="1"/>
  <c r="G21" i="7" s="1"/>
  <c r="E22" i="7"/>
  <c r="F22" i="7" s="1"/>
  <c r="G22" i="7" s="1"/>
  <c r="E23" i="7"/>
  <c r="F23" i="7" s="1"/>
  <c r="G23" i="7" s="1"/>
  <c r="E24" i="7"/>
  <c r="F24" i="7" s="1"/>
  <c r="G24" i="7" s="1"/>
  <c r="E25" i="7"/>
  <c r="F25" i="7" s="1"/>
  <c r="G25" i="7" s="1"/>
  <c r="E26" i="7"/>
  <c r="F26" i="7" s="1"/>
  <c r="G26" i="7" s="1"/>
  <c r="E27" i="7"/>
  <c r="F27" i="7" s="1"/>
  <c r="G27" i="7" s="1"/>
  <c r="E28" i="7"/>
  <c r="F28" i="7" s="1"/>
  <c r="G28" i="7" s="1"/>
  <c r="E29" i="7"/>
  <c r="F29" i="7" s="1"/>
  <c r="G29" i="7" s="1"/>
  <c r="E30" i="7"/>
  <c r="F30" i="7" s="1"/>
  <c r="G30" i="7" s="1"/>
  <c r="E31" i="7"/>
  <c r="F31" i="7" s="1"/>
  <c r="G31" i="7" s="1"/>
  <c r="E32" i="7"/>
  <c r="F32" i="7" s="1"/>
  <c r="G32" i="7" s="1"/>
  <c r="E33" i="7"/>
  <c r="F33" i="7" s="1"/>
  <c r="G33" i="7" s="1"/>
  <c r="E34" i="7"/>
  <c r="F34" i="7" s="1"/>
  <c r="G34" i="7" s="1"/>
  <c r="E35" i="7"/>
  <c r="F35" i="7" s="1"/>
  <c r="G35" i="7" s="1"/>
  <c r="E36" i="7"/>
  <c r="F36" i="7" s="1"/>
  <c r="G36" i="7" s="1"/>
  <c r="E37" i="7"/>
  <c r="F37" i="7" s="1"/>
  <c r="G37" i="7" s="1"/>
  <c r="E38" i="7"/>
  <c r="F38" i="7" s="1"/>
  <c r="G38" i="7" s="1"/>
  <c r="E39" i="7"/>
  <c r="F39" i="7" s="1"/>
  <c r="G39" i="7" s="1"/>
  <c r="E40" i="7"/>
  <c r="F40" i="7" s="1"/>
  <c r="G40" i="7" s="1"/>
  <c r="E41" i="7"/>
  <c r="F41" i="7" s="1"/>
  <c r="G41" i="7" s="1"/>
  <c r="E42" i="7"/>
  <c r="F42" i="7" s="1"/>
  <c r="G42" i="7" s="1"/>
  <c r="E43" i="7"/>
  <c r="F43" i="7" s="1"/>
  <c r="G43" i="7" s="1"/>
  <c r="E44" i="7"/>
  <c r="F44" i="7" s="1"/>
  <c r="G44" i="7" s="1"/>
  <c r="E45" i="7"/>
  <c r="F45" i="7" s="1"/>
  <c r="G45" i="7" s="1"/>
  <c r="E46" i="7"/>
  <c r="F46" i="7" s="1"/>
  <c r="G46" i="7" s="1"/>
  <c r="E47" i="7"/>
  <c r="F47" i="7" s="1"/>
  <c r="G47" i="7" s="1"/>
  <c r="E48" i="7"/>
  <c r="F48" i="7" s="1"/>
  <c r="G48" i="7" s="1"/>
  <c r="E49" i="7"/>
  <c r="F49" i="7" s="1"/>
  <c r="G49" i="7" s="1"/>
  <c r="E50" i="7"/>
  <c r="F50" i="7" s="1"/>
  <c r="G50" i="7" s="1"/>
  <c r="E51" i="7"/>
  <c r="F51" i="7" s="1"/>
  <c r="G51" i="7" s="1"/>
  <c r="E52" i="7"/>
  <c r="F52" i="7" s="1"/>
  <c r="G52" i="7" s="1"/>
  <c r="E53" i="7"/>
  <c r="F53" i="7" s="1"/>
  <c r="G53" i="7" s="1"/>
  <c r="E54" i="7"/>
  <c r="F54" i="7" s="1"/>
  <c r="G54" i="7" s="1"/>
  <c r="E55" i="7"/>
  <c r="F55" i="7" s="1"/>
  <c r="G55" i="7" s="1"/>
  <c r="E56" i="7"/>
  <c r="F56" i="7" s="1"/>
  <c r="G56" i="7" s="1"/>
  <c r="E57" i="7"/>
  <c r="F57" i="7" s="1"/>
  <c r="G57" i="7" s="1"/>
  <c r="E58" i="7"/>
  <c r="F58" i="7" s="1"/>
  <c r="G58" i="7" s="1"/>
  <c r="E59" i="7"/>
  <c r="F59" i="7" s="1"/>
  <c r="G59" i="7" s="1"/>
  <c r="E60" i="7"/>
  <c r="F60" i="7" s="1"/>
  <c r="G60" i="7" s="1"/>
  <c r="E61" i="7"/>
  <c r="F61" i="7" s="1"/>
  <c r="G61" i="7" s="1"/>
  <c r="E62" i="7"/>
  <c r="F62" i="7" s="1"/>
  <c r="G62" i="7" s="1"/>
  <c r="E63" i="7"/>
  <c r="F63" i="7" s="1"/>
  <c r="G63" i="7" s="1"/>
  <c r="E64" i="7"/>
  <c r="F64" i="7" s="1"/>
  <c r="G64" i="7" s="1"/>
  <c r="E65" i="7"/>
  <c r="F65" i="7" s="1"/>
  <c r="G65" i="7" s="1"/>
  <c r="E66" i="7"/>
  <c r="F66" i="7" s="1"/>
  <c r="G66" i="7" s="1"/>
  <c r="E67" i="7"/>
  <c r="F67" i="7" s="1"/>
  <c r="G67" i="7" s="1"/>
  <c r="E68" i="7"/>
  <c r="F68" i="7" s="1"/>
  <c r="G68" i="7" s="1"/>
  <c r="E69" i="7"/>
  <c r="F69" i="7" s="1"/>
  <c r="G69" i="7" s="1"/>
  <c r="E70" i="7"/>
  <c r="F70" i="7" s="1"/>
  <c r="G70" i="7" s="1"/>
  <c r="E71" i="7"/>
  <c r="F71" i="7" s="1"/>
  <c r="G71" i="7" s="1"/>
  <c r="E72" i="7"/>
  <c r="F72" i="7" s="1"/>
  <c r="G72" i="7" s="1"/>
  <c r="E73" i="7"/>
  <c r="F73" i="7" s="1"/>
  <c r="G73" i="7" s="1"/>
  <c r="E74" i="7"/>
  <c r="F74" i="7" s="1"/>
  <c r="G74" i="7" s="1"/>
  <c r="E75" i="7"/>
  <c r="F75" i="7" s="1"/>
  <c r="G75" i="7" s="1"/>
  <c r="E76" i="7"/>
  <c r="F76" i="7" s="1"/>
  <c r="G76" i="7" s="1"/>
  <c r="E77" i="7"/>
  <c r="F77" i="7" s="1"/>
  <c r="G77" i="7" s="1"/>
  <c r="E78" i="7"/>
  <c r="F78" i="7" s="1"/>
  <c r="G78" i="7" s="1"/>
  <c r="E79" i="7"/>
  <c r="F79" i="7" s="1"/>
  <c r="G79" i="7" s="1"/>
  <c r="E80" i="7"/>
  <c r="F80" i="7" s="1"/>
  <c r="G80" i="7" s="1"/>
  <c r="E81" i="7"/>
  <c r="F81" i="7" s="1"/>
  <c r="G81" i="7" s="1"/>
  <c r="E82" i="7"/>
  <c r="F82" i="7" s="1"/>
  <c r="G82" i="7" s="1"/>
  <c r="E83" i="7"/>
  <c r="F83" i="7" s="1"/>
  <c r="G83" i="7" s="1"/>
  <c r="E84" i="7"/>
  <c r="F84" i="7" s="1"/>
  <c r="G84" i="7" s="1"/>
  <c r="E85" i="7"/>
  <c r="F85" i="7" s="1"/>
  <c r="G85" i="7" s="1"/>
  <c r="E86" i="7"/>
  <c r="F86" i="7" s="1"/>
  <c r="G86" i="7" s="1"/>
  <c r="E87" i="7"/>
  <c r="F87" i="7" s="1"/>
  <c r="G87" i="7" s="1"/>
  <c r="E88" i="7"/>
  <c r="F88" i="7" s="1"/>
  <c r="G88" i="7" s="1"/>
  <c r="E89" i="7"/>
  <c r="F89" i="7" s="1"/>
  <c r="G89" i="7" s="1"/>
  <c r="E90" i="7"/>
  <c r="F90" i="7" s="1"/>
  <c r="G90" i="7" s="1"/>
  <c r="E91" i="7"/>
  <c r="F91" i="7" s="1"/>
  <c r="G91" i="7" s="1"/>
  <c r="E92" i="7"/>
  <c r="F92" i="7" s="1"/>
  <c r="G92" i="7" s="1"/>
  <c r="E93" i="7"/>
  <c r="F93" i="7" s="1"/>
  <c r="G93" i="7" s="1"/>
  <c r="E94" i="7"/>
  <c r="F94" i="7" s="1"/>
  <c r="G94" i="7" s="1"/>
  <c r="E95" i="7"/>
  <c r="F95" i="7" s="1"/>
  <c r="G95" i="7" s="1"/>
  <c r="E96" i="7"/>
  <c r="F96" i="7" s="1"/>
  <c r="G96" i="7" s="1"/>
  <c r="E97" i="7"/>
  <c r="F97" i="7" s="1"/>
  <c r="G97" i="7" s="1"/>
  <c r="E98" i="7"/>
  <c r="F98" i="7" s="1"/>
  <c r="G98" i="7" s="1"/>
  <c r="E99" i="7"/>
  <c r="F99" i="7" s="1"/>
  <c r="G99" i="7" s="1"/>
  <c r="E100" i="7"/>
  <c r="F100" i="7" s="1"/>
  <c r="G100" i="7" s="1"/>
  <c r="E101" i="7"/>
  <c r="F101" i="7" s="1"/>
  <c r="G101" i="7" s="1"/>
  <c r="E102" i="7"/>
  <c r="F102" i="7" s="1"/>
  <c r="G102" i="7" s="1"/>
  <c r="E103" i="7"/>
  <c r="F103" i="7" s="1"/>
  <c r="G103" i="7" s="1"/>
  <c r="E104" i="7"/>
  <c r="F104" i="7" s="1"/>
  <c r="G104" i="7" s="1"/>
  <c r="E105" i="7"/>
  <c r="F105" i="7" s="1"/>
  <c r="G105" i="7" s="1"/>
  <c r="E106" i="7"/>
  <c r="F106" i="7" s="1"/>
  <c r="G106" i="7" s="1"/>
  <c r="E107" i="7"/>
  <c r="F107" i="7" s="1"/>
  <c r="G107" i="7" s="1"/>
  <c r="E108" i="7"/>
  <c r="F108" i="7" s="1"/>
  <c r="G108" i="7" s="1"/>
  <c r="E109" i="7"/>
  <c r="F109" i="7" s="1"/>
  <c r="G109" i="7" s="1"/>
  <c r="E110" i="7"/>
  <c r="F110" i="7" s="1"/>
  <c r="G110" i="7" s="1"/>
  <c r="E111" i="7"/>
  <c r="F111" i="7" s="1"/>
  <c r="G111" i="7" s="1"/>
  <c r="E112" i="7"/>
  <c r="F112" i="7" s="1"/>
  <c r="G112" i="7" s="1"/>
  <c r="E113" i="7"/>
  <c r="F113" i="7" s="1"/>
  <c r="G113" i="7" s="1"/>
  <c r="E114" i="7"/>
  <c r="F114" i="7" s="1"/>
  <c r="G114" i="7" s="1"/>
  <c r="E115" i="7"/>
  <c r="F115" i="7" s="1"/>
  <c r="G115" i="7" s="1"/>
  <c r="E116" i="7"/>
  <c r="F116" i="7" s="1"/>
  <c r="G116" i="7" s="1"/>
  <c r="E117" i="7"/>
  <c r="F117" i="7" s="1"/>
  <c r="G117" i="7" s="1"/>
  <c r="E118" i="7"/>
  <c r="F118" i="7" s="1"/>
  <c r="G118" i="7" s="1"/>
  <c r="E119" i="7"/>
  <c r="F119" i="7" s="1"/>
  <c r="G119" i="7" s="1"/>
  <c r="E120" i="7"/>
  <c r="F120" i="7" s="1"/>
  <c r="G120" i="7" s="1"/>
  <c r="E121" i="7"/>
  <c r="F121" i="7" s="1"/>
  <c r="G121" i="7" s="1"/>
  <c r="E122" i="7"/>
  <c r="F122" i="7" s="1"/>
  <c r="G122" i="7" s="1"/>
  <c r="E123" i="7"/>
  <c r="F123" i="7" s="1"/>
  <c r="G123" i="7" s="1"/>
  <c r="E124" i="7"/>
  <c r="F124" i="7" s="1"/>
  <c r="G124" i="7" s="1"/>
  <c r="E125" i="7"/>
  <c r="F125" i="7" s="1"/>
  <c r="G125" i="7" s="1"/>
  <c r="E126" i="7"/>
  <c r="F126" i="7" s="1"/>
  <c r="G126" i="7" s="1"/>
  <c r="E127" i="7"/>
  <c r="F127" i="7" s="1"/>
  <c r="G127" i="7" s="1"/>
  <c r="E128" i="7"/>
  <c r="F128" i="7" s="1"/>
  <c r="G128" i="7" s="1"/>
  <c r="E129" i="7"/>
  <c r="F129" i="7" s="1"/>
  <c r="G129" i="7" s="1"/>
  <c r="E130" i="7"/>
  <c r="F130" i="7" s="1"/>
  <c r="G130" i="7" s="1"/>
  <c r="E131" i="7"/>
  <c r="F131" i="7" s="1"/>
  <c r="G131" i="7" s="1"/>
  <c r="E132" i="7"/>
  <c r="F132" i="7" s="1"/>
  <c r="G132" i="7" s="1"/>
  <c r="E133" i="7"/>
  <c r="F133" i="7" s="1"/>
  <c r="G133" i="7" s="1"/>
  <c r="E134" i="7"/>
  <c r="F134" i="7" s="1"/>
  <c r="G134" i="7" s="1"/>
  <c r="E135" i="7"/>
  <c r="F135" i="7" s="1"/>
  <c r="G135" i="7" s="1"/>
  <c r="E136" i="7"/>
  <c r="F136" i="7" s="1"/>
  <c r="G136" i="7" s="1"/>
  <c r="E137" i="7"/>
  <c r="F137" i="7" s="1"/>
  <c r="G137" i="7" s="1"/>
  <c r="E138" i="7"/>
  <c r="F138" i="7" s="1"/>
  <c r="G138" i="7" s="1"/>
  <c r="E139" i="7"/>
  <c r="F139" i="7" s="1"/>
  <c r="G139" i="7" s="1"/>
  <c r="E140" i="7"/>
  <c r="F140" i="7" s="1"/>
  <c r="G140" i="7" s="1"/>
  <c r="E141" i="7"/>
  <c r="F141" i="7" s="1"/>
  <c r="G141" i="7" s="1"/>
  <c r="E142" i="7"/>
  <c r="F142" i="7" s="1"/>
  <c r="G142" i="7" s="1"/>
  <c r="E143" i="7"/>
  <c r="F143" i="7" s="1"/>
  <c r="G143" i="7" s="1"/>
  <c r="E144" i="7"/>
  <c r="F144" i="7" s="1"/>
  <c r="G144" i="7" s="1"/>
  <c r="E145" i="7"/>
  <c r="F145" i="7" s="1"/>
  <c r="G145" i="7" s="1"/>
  <c r="E146" i="7"/>
  <c r="F146" i="7" s="1"/>
  <c r="G146" i="7" s="1"/>
  <c r="E147" i="7"/>
  <c r="F147" i="7" s="1"/>
  <c r="G147" i="7" s="1"/>
  <c r="E148" i="7"/>
  <c r="F148" i="7" s="1"/>
  <c r="G148" i="7" s="1"/>
  <c r="E149" i="7"/>
  <c r="F149" i="7" s="1"/>
  <c r="G149" i="7" s="1"/>
  <c r="E150" i="7"/>
  <c r="F150" i="7" s="1"/>
  <c r="G150" i="7" s="1"/>
  <c r="E151" i="7"/>
  <c r="F151" i="7" s="1"/>
  <c r="G151" i="7" s="1"/>
  <c r="E152" i="7"/>
  <c r="F152" i="7" s="1"/>
  <c r="G152" i="7" s="1"/>
  <c r="E153" i="7"/>
  <c r="F153" i="7" s="1"/>
  <c r="G153" i="7" s="1"/>
  <c r="E154" i="7"/>
  <c r="F154" i="7" s="1"/>
  <c r="G154" i="7" s="1"/>
  <c r="E155" i="7"/>
  <c r="F155" i="7" s="1"/>
  <c r="G155" i="7" s="1"/>
  <c r="E156" i="7"/>
  <c r="F156" i="7" s="1"/>
  <c r="G156" i="7" s="1"/>
  <c r="E157" i="7"/>
  <c r="F157" i="7" s="1"/>
  <c r="G157" i="7" s="1"/>
  <c r="E158" i="7"/>
  <c r="F158" i="7" s="1"/>
  <c r="G158" i="7" s="1"/>
  <c r="E159" i="7"/>
  <c r="F159" i="7" s="1"/>
  <c r="G159" i="7" s="1"/>
  <c r="E160" i="7"/>
  <c r="F160" i="7" s="1"/>
  <c r="G160" i="7" s="1"/>
  <c r="I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J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322" i="7"/>
  <c r="J323" i="7"/>
  <c r="J324" i="7"/>
  <c r="J325" i="7"/>
  <c r="J326" i="7"/>
  <c r="J327" i="7"/>
  <c r="J328" i="7"/>
  <c r="J329" i="7"/>
  <c r="J330" i="7"/>
  <c r="J331" i="7"/>
  <c r="J332" i="7"/>
  <c r="J333" i="7"/>
  <c r="J334" i="7"/>
  <c r="J335" i="7"/>
  <c r="J336" i="7"/>
  <c r="J337" i="7"/>
  <c r="J338" i="7"/>
  <c r="J339" i="7"/>
  <c r="J340" i="7"/>
  <c r="J341" i="7"/>
  <c r="J342" i="7"/>
  <c r="J343" i="7"/>
  <c r="J344" i="7"/>
  <c r="J345" i="7"/>
  <c r="J346" i="7"/>
  <c r="J347" i="7"/>
  <c r="J348" i="7"/>
  <c r="J349" i="7"/>
  <c r="J350" i="7"/>
  <c r="J351" i="7"/>
  <c r="J352" i="7"/>
  <c r="J353" i="7"/>
  <c r="J354" i="7"/>
  <c r="J355" i="7"/>
  <c r="J356" i="7"/>
  <c r="J357" i="7"/>
  <c r="J358" i="7"/>
  <c r="J359" i="7"/>
  <c r="J360" i="7"/>
  <c r="J361" i="7"/>
  <c r="J362" i="7"/>
  <c r="J363" i="7"/>
  <c r="J364" i="7"/>
  <c r="J365" i="7"/>
  <c r="J366" i="7"/>
  <c r="J367" i="7"/>
  <c r="J368" i="7"/>
  <c r="J369" i="7"/>
  <c r="J370" i="7"/>
  <c r="J371" i="7"/>
  <c r="J372" i="7"/>
  <c r="J373" i="7"/>
  <c r="J374" i="7"/>
  <c r="J375" i="7"/>
  <c r="J376" i="7"/>
  <c r="J377" i="7"/>
  <c r="J378" i="7"/>
  <c r="J379" i="7"/>
  <c r="J380" i="7"/>
  <c r="J381" i="7"/>
  <c r="J382" i="7"/>
  <c r="J383" i="7"/>
  <c r="J384" i="7"/>
  <c r="J385" i="7"/>
  <c r="J386" i="7"/>
  <c r="J387" i="7"/>
  <c r="J388" i="7"/>
  <c r="J389" i="7"/>
  <c r="J390" i="7"/>
  <c r="J391" i="7"/>
  <c r="J392" i="7"/>
  <c r="J393" i="7"/>
  <c r="J394" i="7"/>
  <c r="J395" i="7"/>
  <c r="J396" i="7"/>
  <c r="J397" i="7"/>
  <c r="J398" i="7"/>
  <c r="J399" i="7"/>
  <c r="J400" i="7"/>
  <c r="J401" i="7"/>
  <c r="J402" i="7"/>
  <c r="J403" i="7"/>
  <c r="J404" i="7"/>
  <c r="J405" i="7"/>
  <c r="J406" i="7"/>
  <c r="J407" i="7"/>
  <c r="J408" i="7"/>
  <c r="J409" i="7"/>
  <c r="J410" i="7"/>
  <c r="J411" i="7"/>
  <c r="J412" i="7"/>
  <c r="J413" i="7"/>
  <c r="J414" i="7"/>
  <c r="J415" i="7"/>
  <c r="J416" i="7"/>
  <c r="J417" i="7"/>
  <c r="J418" i="7"/>
  <c r="J419" i="7"/>
  <c r="J420" i="7"/>
  <c r="J421" i="7"/>
  <c r="J422" i="7"/>
  <c r="J423" i="7"/>
  <c r="J424" i="7"/>
  <c r="J425" i="7"/>
  <c r="J426" i="7"/>
  <c r="J427" i="7"/>
  <c r="J428" i="7"/>
  <c r="J429" i="7"/>
  <c r="J430" i="7"/>
  <c r="J431" i="7"/>
  <c r="J432" i="7"/>
  <c r="J433" i="7"/>
  <c r="J434" i="7"/>
  <c r="J435" i="7"/>
  <c r="J436" i="7"/>
  <c r="J437" i="7"/>
  <c r="J438" i="7"/>
  <c r="J439" i="7"/>
  <c r="J440" i="7"/>
  <c r="J441" i="7"/>
  <c r="J442" i="7"/>
  <c r="J443" i="7"/>
  <c r="J444" i="7"/>
  <c r="J445" i="7"/>
  <c r="J446" i="7"/>
  <c r="J447" i="7"/>
  <c r="J448" i="7"/>
  <c r="J449" i="7"/>
  <c r="J450" i="7"/>
  <c r="J451" i="7"/>
  <c r="J452" i="7"/>
  <c r="J453" i="7"/>
  <c r="J454" i="7"/>
  <c r="J455" i="7"/>
  <c r="J456" i="7"/>
  <c r="J457" i="7"/>
  <c r="J458" i="7"/>
  <c r="J459" i="7"/>
  <c r="J460" i="7"/>
  <c r="J461" i="7"/>
  <c r="J462" i="7"/>
  <c r="J463" i="7"/>
  <c r="J464" i="7"/>
  <c r="J465" i="7"/>
  <c r="J466" i="7"/>
  <c r="J467" i="7"/>
  <c r="J468" i="7"/>
  <c r="J469" i="7"/>
  <c r="J470" i="7"/>
  <c r="J471" i="7"/>
  <c r="J472" i="7"/>
  <c r="J473" i="7"/>
  <c r="J474" i="7"/>
  <c r="J475" i="7"/>
  <c r="J476" i="7"/>
  <c r="J477" i="7"/>
  <c r="J478" i="7"/>
  <c r="J479" i="7"/>
  <c r="J480" i="7"/>
  <c r="J481" i="7"/>
  <c r="J482" i="7"/>
  <c r="J483" i="7"/>
  <c r="J484" i="7"/>
  <c r="J485" i="7"/>
  <c r="J486" i="7"/>
  <c r="J487" i="7"/>
  <c r="J488" i="7"/>
  <c r="J489" i="7"/>
  <c r="J490" i="7"/>
  <c r="J491" i="7"/>
  <c r="J492" i="7"/>
  <c r="J493" i="7"/>
  <c r="J494" i="7"/>
  <c r="J495" i="7"/>
  <c r="J496" i="7"/>
  <c r="J497" i="7"/>
  <c r="J498" i="7"/>
  <c r="J499" i="7"/>
  <c r="J500" i="7"/>
  <c r="J501" i="7"/>
  <c r="J502" i="7"/>
  <c r="J503" i="7"/>
  <c r="J504" i="7"/>
  <c r="J505" i="7"/>
  <c r="J506" i="7"/>
  <c r="J507" i="7"/>
  <c r="J508" i="7"/>
  <c r="J509" i="7"/>
  <c r="J510" i="7"/>
  <c r="J511" i="7"/>
  <c r="J512" i="7"/>
  <c r="J513" i="7"/>
  <c r="J514" i="7"/>
  <c r="J515" i="7"/>
  <c r="J516" i="7"/>
  <c r="J517" i="7"/>
  <c r="J518" i="7"/>
  <c r="J519" i="7"/>
  <c r="J520" i="7"/>
  <c r="J521" i="7"/>
  <c r="J522" i="7"/>
  <c r="J523" i="7"/>
  <c r="J524" i="7"/>
  <c r="J525" i="7"/>
  <c r="J526" i="7"/>
  <c r="J527" i="7"/>
  <c r="J528" i="7"/>
  <c r="J529" i="7"/>
  <c r="J530" i="7"/>
  <c r="J531" i="7"/>
  <c r="J532" i="7"/>
  <c r="J533" i="7"/>
  <c r="J534" i="7"/>
  <c r="J535" i="7"/>
  <c r="J536" i="7"/>
  <c r="J537" i="7"/>
  <c r="J538" i="7"/>
  <c r="J539" i="7"/>
  <c r="J540" i="7"/>
  <c r="J541" i="7"/>
  <c r="J542" i="7"/>
  <c r="J543" i="7"/>
  <c r="J544" i="7"/>
  <c r="J545" i="7"/>
  <c r="J546" i="7"/>
  <c r="J547" i="7"/>
  <c r="J548" i="7"/>
  <c r="J549" i="7"/>
  <c r="J550" i="7"/>
  <c r="J551" i="7"/>
  <c r="J552" i="7"/>
  <c r="J553" i="7"/>
  <c r="J554" i="7"/>
  <c r="J555" i="7"/>
  <c r="J556" i="7"/>
  <c r="J557" i="7"/>
  <c r="J558" i="7"/>
  <c r="J559" i="7"/>
  <c r="J560" i="7"/>
  <c r="J561" i="7"/>
  <c r="J562" i="7"/>
  <c r="J563" i="7"/>
  <c r="J564" i="7"/>
  <c r="J565" i="7"/>
  <c r="J566" i="7"/>
  <c r="J567" i="7"/>
  <c r="J568" i="7"/>
  <c r="J569" i="7"/>
  <c r="J570" i="7"/>
  <c r="J571" i="7"/>
  <c r="J572" i="7"/>
  <c r="J573" i="7"/>
  <c r="J574" i="7"/>
  <c r="J575" i="7"/>
  <c r="J576" i="7"/>
  <c r="J577" i="7"/>
  <c r="J578" i="7"/>
  <c r="J579" i="7"/>
  <c r="J580" i="7"/>
  <c r="J581" i="7"/>
  <c r="J582" i="7"/>
  <c r="J583" i="7"/>
  <c r="J584" i="7"/>
  <c r="J585" i="7"/>
  <c r="J586" i="7"/>
  <c r="J587" i="7"/>
  <c r="J588" i="7"/>
  <c r="J589" i="7"/>
  <c r="J590" i="7"/>
  <c r="J591" i="7"/>
  <c r="J592" i="7"/>
  <c r="J593" i="7"/>
  <c r="J594" i="7"/>
  <c r="J595" i="7"/>
  <c r="J596" i="7"/>
  <c r="J597" i="7"/>
  <c r="J598" i="7"/>
  <c r="J599" i="7"/>
  <c r="J600" i="7"/>
  <c r="J601" i="7"/>
  <c r="J602" i="7"/>
  <c r="J603" i="7"/>
  <c r="J604" i="7"/>
  <c r="J605" i="7"/>
  <c r="J606" i="7"/>
  <c r="J607" i="7"/>
  <c r="J608" i="7"/>
  <c r="J609" i="7"/>
  <c r="J610" i="7"/>
  <c r="J611" i="7"/>
  <c r="J612" i="7"/>
  <c r="J613" i="7"/>
  <c r="J614" i="7"/>
  <c r="J615" i="7"/>
  <c r="J616" i="7"/>
  <c r="J617" i="7"/>
  <c r="J618" i="7"/>
  <c r="J619" i="7"/>
  <c r="J620" i="7"/>
  <c r="J621" i="7"/>
  <c r="J622" i="7"/>
  <c r="J623" i="7"/>
  <c r="J624" i="7"/>
  <c r="J625" i="7"/>
  <c r="J626" i="7"/>
  <c r="J627" i="7"/>
  <c r="J628" i="7"/>
  <c r="J629" i="7"/>
  <c r="J630" i="7"/>
  <c r="J631" i="7"/>
  <c r="J632" i="7"/>
  <c r="J633" i="7"/>
  <c r="J634" i="7"/>
  <c r="J635" i="7"/>
  <c r="J636" i="7"/>
  <c r="J637" i="7"/>
  <c r="J638" i="7"/>
  <c r="J639" i="7"/>
  <c r="J640" i="7"/>
  <c r="J641" i="7"/>
  <c r="J642" i="7"/>
  <c r="J643" i="7"/>
  <c r="J644" i="7"/>
  <c r="J645" i="7"/>
  <c r="J646" i="7"/>
  <c r="J647" i="7"/>
  <c r="J648" i="7"/>
  <c r="J649" i="7"/>
  <c r="J650" i="7"/>
  <c r="J651" i="7"/>
  <c r="J652" i="7"/>
  <c r="J653" i="7"/>
  <c r="J654" i="7"/>
  <c r="J655" i="7"/>
  <c r="J656" i="7"/>
  <c r="J657" i="7"/>
  <c r="J658" i="7"/>
  <c r="J659" i="7"/>
  <c r="J660" i="7"/>
  <c r="J661" i="7"/>
  <c r="J662" i="7"/>
  <c r="J663" i="7"/>
  <c r="J664" i="7"/>
  <c r="J665" i="7"/>
  <c r="J666" i="7"/>
  <c r="J667" i="7"/>
  <c r="J668" i="7"/>
  <c r="J669" i="7"/>
  <c r="J670" i="7"/>
  <c r="J671" i="7"/>
  <c r="J672" i="7"/>
  <c r="J673" i="7"/>
  <c r="J674" i="7"/>
  <c r="J675" i="7"/>
  <c r="J676" i="7"/>
  <c r="J677" i="7"/>
  <c r="J678" i="7"/>
  <c r="J679" i="7"/>
  <c r="J680" i="7"/>
  <c r="J681" i="7"/>
  <c r="J682" i="7"/>
  <c r="J683" i="7"/>
  <c r="J684" i="7"/>
  <c r="J685" i="7"/>
  <c r="J686" i="7"/>
  <c r="J687" i="7"/>
  <c r="J688" i="7"/>
  <c r="J689" i="7"/>
  <c r="J690" i="7"/>
  <c r="J691" i="7"/>
  <c r="J692" i="7"/>
  <c r="J693" i="7"/>
  <c r="J694" i="7"/>
  <c r="J695" i="7"/>
  <c r="J696" i="7"/>
  <c r="J697" i="7"/>
  <c r="J698" i="7"/>
  <c r="J699" i="7"/>
  <c r="J700" i="7"/>
  <c r="J701" i="7"/>
  <c r="J702" i="7"/>
  <c r="J703" i="7"/>
  <c r="J704" i="7"/>
  <c r="J705" i="7"/>
  <c r="J706" i="7"/>
  <c r="J707" i="7"/>
  <c r="J708" i="7"/>
  <c r="J709" i="7"/>
  <c r="J710" i="7"/>
  <c r="J711" i="7"/>
  <c r="J712" i="7"/>
  <c r="J713" i="7"/>
  <c r="J714" i="7"/>
  <c r="J715" i="7"/>
  <c r="J716" i="7"/>
  <c r="J717" i="7"/>
  <c r="J718" i="7"/>
  <c r="J719" i="7"/>
  <c r="J720" i="7"/>
  <c r="J721" i="7"/>
  <c r="J722" i="7"/>
  <c r="J723" i="7"/>
  <c r="J724" i="7"/>
  <c r="J725" i="7"/>
  <c r="J726" i="7"/>
  <c r="J727" i="7"/>
  <c r="J728" i="7"/>
  <c r="J729" i="7"/>
  <c r="J730" i="7"/>
  <c r="J731" i="7"/>
  <c r="J732" i="7"/>
  <c r="J733" i="7"/>
  <c r="J734" i="7"/>
  <c r="J735" i="7"/>
  <c r="J736" i="7"/>
  <c r="J737" i="7"/>
  <c r="J738" i="7"/>
  <c r="J739" i="7"/>
  <c r="J740" i="7"/>
  <c r="J741" i="7"/>
  <c r="J742" i="7"/>
  <c r="J743" i="7"/>
  <c r="J744" i="7"/>
  <c r="J745" i="7"/>
  <c r="J746" i="7"/>
  <c r="J747" i="7"/>
  <c r="J748" i="7"/>
  <c r="J749" i="7"/>
  <c r="J750" i="7"/>
  <c r="J751" i="7"/>
  <c r="J752" i="7"/>
  <c r="J753" i="7"/>
  <c r="J754" i="7"/>
  <c r="J755" i="7"/>
  <c r="J756" i="7"/>
  <c r="J757" i="7"/>
  <c r="J758" i="7"/>
  <c r="J759" i="7"/>
  <c r="J760" i="7"/>
  <c r="J761" i="7"/>
  <c r="J762" i="7"/>
  <c r="J763" i="7"/>
  <c r="J764" i="7"/>
  <c r="J765" i="7"/>
  <c r="J766" i="7"/>
  <c r="J767" i="7"/>
  <c r="J768" i="7"/>
  <c r="J769" i="7"/>
  <c r="J770" i="7"/>
  <c r="J771" i="7"/>
  <c r="J772" i="7"/>
  <c r="J773" i="7"/>
  <c r="J774" i="7"/>
  <c r="J775" i="7"/>
  <c r="J776" i="7"/>
  <c r="J777" i="7"/>
  <c r="J778" i="7"/>
  <c r="J779" i="7"/>
  <c r="J780" i="7"/>
  <c r="J781" i="7"/>
  <c r="J782" i="7"/>
  <c r="J783" i="7"/>
  <c r="J784" i="7"/>
  <c r="J785" i="7"/>
  <c r="J786" i="7"/>
  <c r="J787" i="7"/>
  <c r="J788" i="7"/>
  <c r="J789" i="7"/>
  <c r="J790" i="7"/>
  <c r="J791" i="7"/>
  <c r="J792" i="7"/>
  <c r="J793" i="7"/>
  <c r="J794" i="7"/>
  <c r="J795" i="7"/>
  <c r="J796" i="7"/>
  <c r="J797" i="7"/>
  <c r="J798" i="7"/>
  <c r="J799" i="7"/>
  <c r="J800" i="7"/>
  <c r="J801" i="7"/>
  <c r="J802" i="7"/>
  <c r="J803" i="7"/>
  <c r="J804" i="7"/>
  <c r="J805" i="7"/>
  <c r="J806" i="7"/>
  <c r="J807" i="7"/>
  <c r="J808" i="7"/>
  <c r="J809" i="7"/>
  <c r="J810" i="7"/>
  <c r="J811" i="7"/>
  <c r="J812" i="7"/>
  <c r="J813" i="7"/>
  <c r="J814" i="7"/>
  <c r="J815" i="7"/>
  <c r="J816" i="7"/>
  <c r="J817" i="7"/>
  <c r="J818" i="7"/>
  <c r="J819" i="7"/>
  <c r="J820" i="7"/>
  <c r="J821" i="7"/>
  <c r="J822" i="7"/>
  <c r="J823" i="7"/>
  <c r="J824" i="7"/>
  <c r="J825" i="7"/>
  <c r="J826" i="7"/>
  <c r="J827" i="7"/>
  <c r="J828" i="7"/>
  <c r="J829" i="7"/>
  <c r="J830" i="7"/>
  <c r="J831" i="7"/>
  <c r="J832" i="7"/>
  <c r="J833" i="7"/>
  <c r="J834" i="7"/>
  <c r="J835" i="7"/>
  <c r="J836" i="7"/>
  <c r="J837" i="7"/>
  <c r="J838" i="7"/>
  <c r="J839" i="7"/>
  <c r="J840" i="7"/>
  <c r="J841" i="7"/>
  <c r="J842" i="7"/>
  <c r="J843" i="7"/>
  <c r="J844" i="7"/>
  <c r="J845" i="7"/>
  <c r="J846" i="7"/>
  <c r="J847" i="7"/>
  <c r="J848" i="7"/>
  <c r="J849" i="7"/>
  <c r="J850" i="7"/>
  <c r="J851" i="7"/>
  <c r="J852" i="7"/>
  <c r="J853" i="7"/>
  <c r="J854" i="7"/>
  <c r="J855" i="7"/>
  <c r="J856" i="7"/>
  <c r="J857" i="7"/>
  <c r="J858" i="7"/>
  <c r="J859" i="7"/>
  <c r="J860" i="7"/>
  <c r="J861" i="7"/>
  <c r="J862" i="7"/>
  <c r="J863" i="7"/>
  <c r="J864" i="7"/>
  <c r="J865" i="7"/>
  <c r="J866" i="7"/>
  <c r="J867" i="7"/>
  <c r="J868" i="7"/>
  <c r="J869" i="7"/>
  <c r="J870" i="7"/>
  <c r="J871" i="7"/>
  <c r="J872" i="7"/>
  <c r="J873" i="7"/>
  <c r="J874" i="7"/>
  <c r="J875" i="7"/>
  <c r="J876" i="7"/>
  <c r="J877" i="7"/>
  <c r="J878" i="7"/>
  <c r="J879" i="7"/>
  <c r="J880" i="7"/>
  <c r="J881" i="7"/>
  <c r="J882" i="7"/>
  <c r="J883" i="7"/>
  <c r="J884" i="7"/>
  <c r="J885" i="7"/>
  <c r="J886" i="7"/>
  <c r="J887" i="7"/>
  <c r="J888" i="7"/>
  <c r="J889" i="7"/>
  <c r="J890" i="7"/>
  <c r="J891" i="7"/>
  <c r="J892" i="7"/>
  <c r="J893" i="7"/>
  <c r="J894" i="7"/>
  <c r="J895" i="7"/>
  <c r="J896" i="7"/>
  <c r="J897" i="7"/>
  <c r="J898" i="7"/>
  <c r="J899" i="7"/>
  <c r="J900" i="7"/>
  <c r="J901" i="7"/>
  <c r="J902" i="7"/>
  <c r="J903" i="7"/>
  <c r="J904" i="7"/>
  <c r="J905" i="7"/>
  <c r="J906" i="7"/>
  <c r="J907" i="7"/>
  <c r="J908" i="7"/>
  <c r="J909" i="7"/>
  <c r="J910" i="7"/>
  <c r="J911" i="7"/>
  <c r="J912" i="7"/>
  <c r="J913" i="7"/>
  <c r="J914" i="7"/>
  <c r="J915" i="7"/>
  <c r="J916" i="7"/>
  <c r="J917" i="7"/>
  <c r="J918" i="7"/>
  <c r="J919" i="7"/>
  <c r="J920" i="7"/>
  <c r="J921" i="7"/>
  <c r="J922" i="7"/>
  <c r="J923" i="7"/>
  <c r="J924" i="7"/>
  <c r="J925" i="7"/>
  <c r="J926" i="7"/>
  <c r="J927" i="7"/>
  <c r="J928" i="7"/>
  <c r="J929" i="7"/>
  <c r="J930" i="7"/>
  <c r="J931" i="7"/>
  <c r="J932" i="7"/>
  <c r="J933" i="7"/>
  <c r="J934" i="7"/>
  <c r="J935" i="7"/>
  <c r="J936" i="7"/>
  <c r="J937" i="7"/>
  <c r="J938" i="7"/>
  <c r="J939" i="7"/>
  <c r="J940" i="7"/>
  <c r="J941" i="7"/>
  <c r="J942" i="7"/>
  <c r="J943" i="7"/>
  <c r="J944" i="7"/>
  <c r="J945" i="7"/>
  <c r="J946" i="7"/>
  <c r="J947" i="7"/>
  <c r="J948" i="7"/>
  <c r="J949" i="7"/>
  <c r="J950" i="7"/>
  <c r="J951" i="7"/>
  <c r="J952" i="7"/>
  <c r="J953" i="7"/>
  <c r="J954" i="7"/>
  <c r="J955" i="7"/>
  <c r="J956" i="7"/>
  <c r="J957" i="7"/>
  <c r="J958" i="7"/>
  <c r="J959" i="7"/>
  <c r="J960" i="7"/>
  <c r="J961" i="7"/>
  <c r="J962" i="7"/>
  <c r="J963" i="7"/>
  <c r="J964" i="7"/>
  <c r="J965" i="7"/>
  <c r="J966" i="7"/>
  <c r="J967" i="7"/>
  <c r="J968" i="7"/>
  <c r="J969" i="7"/>
  <c r="J970" i="7"/>
  <c r="J971" i="7"/>
  <c r="J972" i="7"/>
  <c r="J973" i="7"/>
  <c r="J974" i="7"/>
  <c r="J975" i="7"/>
  <c r="J976" i="7"/>
  <c r="J977" i="7"/>
  <c r="J978" i="7"/>
  <c r="J979" i="7"/>
  <c r="J980" i="7"/>
  <c r="J981" i="7"/>
  <c r="J982" i="7"/>
  <c r="J983" i="7"/>
  <c r="J984" i="7"/>
  <c r="J985" i="7"/>
  <c r="J986" i="7"/>
  <c r="J987" i="7"/>
  <c r="J988" i="7"/>
  <c r="J989" i="7"/>
  <c r="J990" i="7"/>
  <c r="J991" i="7"/>
  <c r="J992" i="7"/>
  <c r="J993" i="7"/>
  <c r="J994" i="7"/>
  <c r="J995" i="7"/>
  <c r="J996" i="7"/>
  <c r="J997" i="7"/>
  <c r="J998" i="7"/>
  <c r="J999" i="7"/>
  <c r="J1000" i="7"/>
  <c r="J1001" i="7"/>
  <c r="K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0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3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322" i="7"/>
  <c r="K323" i="7"/>
  <c r="K324" i="7"/>
  <c r="K325" i="7"/>
  <c r="K326" i="7"/>
  <c r="K327" i="7"/>
  <c r="K328" i="7"/>
  <c r="K329" i="7"/>
  <c r="K330" i="7"/>
  <c r="K331" i="7"/>
  <c r="K332" i="7"/>
  <c r="K333" i="7"/>
  <c r="K334" i="7"/>
  <c r="K335" i="7"/>
  <c r="K336" i="7"/>
  <c r="K337" i="7"/>
  <c r="K338" i="7"/>
  <c r="K339" i="7"/>
  <c r="K340" i="7"/>
  <c r="K341" i="7"/>
  <c r="K342" i="7"/>
  <c r="K343" i="7"/>
  <c r="K344" i="7"/>
  <c r="K345" i="7"/>
  <c r="K346" i="7"/>
  <c r="K347" i="7"/>
  <c r="K348" i="7"/>
  <c r="K349" i="7"/>
  <c r="K350" i="7"/>
  <c r="K351" i="7"/>
  <c r="K352" i="7"/>
  <c r="K353" i="7"/>
  <c r="K354" i="7"/>
  <c r="K355" i="7"/>
  <c r="K356" i="7"/>
  <c r="K357" i="7"/>
  <c r="K358" i="7"/>
  <c r="K359" i="7"/>
  <c r="K360" i="7"/>
  <c r="K361" i="7"/>
  <c r="K362" i="7"/>
  <c r="K363" i="7"/>
  <c r="K364" i="7"/>
  <c r="K365" i="7"/>
  <c r="K366" i="7"/>
  <c r="K367" i="7"/>
  <c r="K368" i="7"/>
  <c r="K369" i="7"/>
  <c r="K370" i="7"/>
  <c r="K371" i="7"/>
  <c r="K372" i="7"/>
  <c r="K373" i="7"/>
  <c r="K374" i="7"/>
  <c r="K375" i="7"/>
  <c r="K376" i="7"/>
  <c r="K377" i="7"/>
  <c r="K378" i="7"/>
  <c r="K379" i="7"/>
  <c r="K380" i="7"/>
  <c r="K381" i="7"/>
  <c r="K382" i="7"/>
  <c r="K383" i="7"/>
  <c r="K384" i="7"/>
  <c r="K385" i="7"/>
  <c r="K386" i="7"/>
  <c r="K387" i="7"/>
  <c r="K388" i="7"/>
  <c r="K389" i="7"/>
  <c r="K390" i="7"/>
  <c r="K391" i="7"/>
  <c r="K392" i="7"/>
  <c r="K393" i="7"/>
  <c r="K394" i="7"/>
  <c r="K395" i="7"/>
  <c r="K396" i="7"/>
  <c r="K397" i="7"/>
  <c r="K398" i="7"/>
  <c r="K399" i="7"/>
  <c r="K400" i="7"/>
  <c r="K401" i="7"/>
  <c r="K402" i="7"/>
  <c r="K403" i="7"/>
  <c r="K404" i="7"/>
  <c r="K405" i="7"/>
  <c r="K406" i="7"/>
  <c r="K407" i="7"/>
  <c r="K408" i="7"/>
  <c r="K409" i="7"/>
  <c r="K410" i="7"/>
  <c r="K411" i="7"/>
  <c r="K412" i="7"/>
  <c r="K413" i="7"/>
  <c r="K414" i="7"/>
  <c r="K415" i="7"/>
  <c r="K416" i="7"/>
  <c r="K417" i="7"/>
  <c r="K418" i="7"/>
  <c r="K419" i="7"/>
  <c r="K420" i="7"/>
  <c r="K421" i="7"/>
  <c r="K422" i="7"/>
  <c r="K423" i="7"/>
  <c r="K424" i="7"/>
  <c r="K425" i="7"/>
  <c r="K426" i="7"/>
  <c r="K427" i="7"/>
  <c r="K428" i="7"/>
  <c r="K429" i="7"/>
  <c r="K430" i="7"/>
  <c r="K431" i="7"/>
  <c r="K432" i="7"/>
  <c r="K433" i="7"/>
  <c r="K434" i="7"/>
  <c r="K435" i="7"/>
  <c r="K436" i="7"/>
  <c r="K437" i="7"/>
  <c r="K438" i="7"/>
  <c r="K439" i="7"/>
  <c r="K440" i="7"/>
  <c r="K441" i="7"/>
  <c r="K442" i="7"/>
  <c r="K443" i="7"/>
  <c r="K444" i="7"/>
  <c r="K445" i="7"/>
  <c r="K446" i="7"/>
  <c r="K447" i="7"/>
  <c r="K448" i="7"/>
  <c r="K449" i="7"/>
  <c r="K450" i="7"/>
  <c r="K451" i="7"/>
  <c r="K452" i="7"/>
  <c r="K453" i="7"/>
  <c r="K454" i="7"/>
  <c r="K455" i="7"/>
  <c r="K456" i="7"/>
  <c r="K457" i="7"/>
  <c r="K458" i="7"/>
  <c r="K459" i="7"/>
  <c r="K460" i="7"/>
  <c r="K461" i="7"/>
  <c r="K462" i="7"/>
  <c r="K463" i="7"/>
  <c r="K464" i="7"/>
  <c r="K465" i="7"/>
  <c r="K466" i="7"/>
  <c r="K467" i="7"/>
  <c r="K468" i="7"/>
  <c r="K469" i="7"/>
  <c r="K470" i="7"/>
  <c r="K471" i="7"/>
  <c r="K472" i="7"/>
  <c r="K473" i="7"/>
  <c r="K474" i="7"/>
  <c r="K475" i="7"/>
  <c r="K476" i="7"/>
  <c r="K477" i="7"/>
  <c r="K478" i="7"/>
  <c r="K479" i="7"/>
  <c r="K480" i="7"/>
  <c r="K481" i="7"/>
  <c r="K482" i="7"/>
  <c r="K483" i="7"/>
  <c r="K484" i="7"/>
  <c r="K485" i="7"/>
  <c r="K486" i="7"/>
  <c r="K487" i="7"/>
  <c r="K488" i="7"/>
  <c r="K489" i="7"/>
  <c r="K490" i="7"/>
  <c r="K491" i="7"/>
  <c r="K492" i="7"/>
  <c r="K493" i="7"/>
  <c r="K494" i="7"/>
  <c r="K495" i="7"/>
  <c r="K496" i="7"/>
  <c r="K497" i="7"/>
  <c r="K498" i="7"/>
  <c r="K499" i="7"/>
  <c r="K500" i="7"/>
  <c r="K501" i="7"/>
  <c r="K502" i="7"/>
  <c r="K503" i="7"/>
  <c r="K504" i="7"/>
  <c r="K505" i="7"/>
  <c r="K506" i="7"/>
  <c r="K507" i="7"/>
  <c r="K508" i="7"/>
  <c r="K509" i="7"/>
  <c r="K510" i="7"/>
  <c r="K511" i="7"/>
  <c r="K512" i="7"/>
  <c r="K513" i="7"/>
  <c r="K514" i="7"/>
  <c r="K515" i="7"/>
  <c r="K516" i="7"/>
  <c r="K517" i="7"/>
  <c r="K518" i="7"/>
  <c r="K519" i="7"/>
  <c r="K520" i="7"/>
  <c r="K521" i="7"/>
  <c r="K522" i="7"/>
  <c r="K523" i="7"/>
  <c r="K524" i="7"/>
  <c r="K525" i="7"/>
  <c r="K526" i="7"/>
  <c r="K527" i="7"/>
  <c r="K528" i="7"/>
  <c r="K529" i="7"/>
  <c r="K530" i="7"/>
  <c r="K531" i="7"/>
  <c r="K532" i="7"/>
  <c r="K533" i="7"/>
  <c r="K534" i="7"/>
  <c r="K535" i="7"/>
  <c r="K536" i="7"/>
  <c r="K537" i="7"/>
  <c r="K538" i="7"/>
  <c r="K539" i="7"/>
  <c r="K540" i="7"/>
  <c r="K541" i="7"/>
  <c r="K542" i="7"/>
  <c r="K543" i="7"/>
  <c r="K544" i="7"/>
  <c r="K545" i="7"/>
  <c r="K546" i="7"/>
  <c r="K547" i="7"/>
  <c r="K548" i="7"/>
  <c r="K549" i="7"/>
  <c r="K550" i="7"/>
  <c r="K551" i="7"/>
  <c r="K552" i="7"/>
  <c r="K553" i="7"/>
  <c r="K554" i="7"/>
  <c r="K555" i="7"/>
  <c r="K556" i="7"/>
  <c r="K557" i="7"/>
  <c r="K558" i="7"/>
  <c r="K559" i="7"/>
  <c r="K560" i="7"/>
  <c r="K561" i="7"/>
  <c r="K562" i="7"/>
  <c r="K563" i="7"/>
  <c r="K564" i="7"/>
  <c r="K565" i="7"/>
  <c r="K566" i="7"/>
  <c r="K567" i="7"/>
  <c r="K568" i="7"/>
  <c r="K569" i="7"/>
  <c r="K570" i="7"/>
  <c r="K571" i="7"/>
  <c r="K572" i="7"/>
  <c r="K573" i="7"/>
  <c r="K574" i="7"/>
  <c r="K575" i="7"/>
  <c r="K576" i="7"/>
  <c r="K577" i="7"/>
  <c r="K578" i="7"/>
  <c r="K579" i="7"/>
  <c r="K580" i="7"/>
  <c r="K581" i="7"/>
  <c r="K582" i="7"/>
  <c r="K583" i="7"/>
  <c r="K584" i="7"/>
  <c r="K585" i="7"/>
  <c r="K586" i="7"/>
  <c r="K587" i="7"/>
  <c r="K588" i="7"/>
  <c r="K589" i="7"/>
  <c r="K590" i="7"/>
  <c r="K591" i="7"/>
  <c r="K592" i="7"/>
  <c r="K593" i="7"/>
  <c r="K594" i="7"/>
  <c r="K595" i="7"/>
  <c r="K596" i="7"/>
  <c r="K597" i="7"/>
  <c r="K598" i="7"/>
  <c r="K599" i="7"/>
  <c r="K600" i="7"/>
  <c r="K601" i="7"/>
  <c r="K602" i="7"/>
  <c r="K603" i="7"/>
  <c r="K604" i="7"/>
  <c r="K605" i="7"/>
  <c r="K606" i="7"/>
  <c r="K607" i="7"/>
  <c r="K608" i="7"/>
  <c r="K609" i="7"/>
  <c r="K610" i="7"/>
  <c r="K611" i="7"/>
  <c r="K612" i="7"/>
  <c r="K613" i="7"/>
  <c r="K614" i="7"/>
  <c r="K615" i="7"/>
  <c r="K616" i="7"/>
  <c r="K617" i="7"/>
  <c r="K618" i="7"/>
  <c r="K619" i="7"/>
  <c r="K620" i="7"/>
  <c r="K621" i="7"/>
  <c r="K622" i="7"/>
  <c r="K623" i="7"/>
  <c r="K624" i="7"/>
  <c r="K625" i="7"/>
  <c r="K626" i="7"/>
  <c r="K627" i="7"/>
  <c r="K628" i="7"/>
  <c r="K629" i="7"/>
  <c r="K630" i="7"/>
  <c r="K631" i="7"/>
  <c r="K632" i="7"/>
  <c r="K633" i="7"/>
  <c r="K634" i="7"/>
  <c r="K635" i="7"/>
  <c r="K636" i="7"/>
  <c r="K637" i="7"/>
  <c r="K638" i="7"/>
  <c r="K639" i="7"/>
  <c r="K640" i="7"/>
  <c r="K641" i="7"/>
  <c r="K642" i="7"/>
  <c r="K643" i="7"/>
  <c r="K644" i="7"/>
  <c r="K645" i="7"/>
  <c r="K646" i="7"/>
  <c r="K647" i="7"/>
  <c r="K648" i="7"/>
  <c r="K649" i="7"/>
  <c r="K650" i="7"/>
  <c r="K651" i="7"/>
  <c r="K652" i="7"/>
  <c r="K653" i="7"/>
  <c r="K654" i="7"/>
  <c r="K655" i="7"/>
  <c r="K656" i="7"/>
  <c r="K657" i="7"/>
  <c r="K658" i="7"/>
  <c r="K659" i="7"/>
  <c r="K660" i="7"/>
  <c r="K661" i="7"/>
  <c r="K662" i="7"/>
  <c r="K663" i="7"/>
  <c r="K664" i="7"/>
  <c r="K665" i="7"/>
  <c r="K666" i="7"/>
  <c r="K667" i="7"/>
  <c r="K668" i="7"/>
  <c r="K669" i="7"/>
  <c r="K670" i="7"/>
  <c r="K671" i="7"/>
  <c r="K672" i="7"/>
  <c r="K673" i="7"/>
  <c r="K674" i="7"/>
  <c r="K675" i="7"/>
  <c r="K676" i="7"/>
  <c r="K677" i="7"/>
  <c r="K678" i="7"/>
  <c r="K679" i="7"/>
  <c r="K680" i="7"/>
  <c r="K681" i="7"/>
  <c r="K682" i="7"/>
  <c r="K683" i="7"/>
  <c r="K684" i="7"/>
  <c r="K685" i="7"/>
  <c r="K686" i="7"/>
  <c r="K687" i="7"/>
  <c r="K688" i="7"/>
  <c r="K689" i="7"/>
  <c r="K690" i="7"/>
  <c r="K691" i="7"/>
  <c r="K692" i="7"/>
  <c r="K693" i="7"/>
  <c r="K694" i="7"/>
  <c r="K695" i="7"/>
  <c r="K696" i="7"/>
  <c r="K697" i="7"/>
  <c r="K698" i="7"/>
  <c r="K699" i="7"/>
  <c r="K700" i="7"/>
  <c r="K701" i="7"/>
  <c r="K702" i="7"/>
  <c r="K703" i="7"/>
  <c r="K704" i="7"/>
  <c r="K705" i="7"/>
  <c r="K706" i="7"/>
  <c r="K707" i="7"/>
  <c r="K708" i="7"/>
  <c r="K709" i="7"/>
  <c r="K710" i="7"/>
  <c r="K711" i="7"/>
  <c r="K712" i="7"/>
  <c r="K713" i="7"/>
  <c r="K714" i="7"/>
  <c r="K715" i="7"/>
  <c r="K716" i="7"/>
  <c r="K717" i="7"/>
  <c r="K718" i="7"/>
  <c r="K719" i="7"/>
  <c r="K720" i="7"/>
  <c r="K721" i="7"/>
  <c r="K722" i="7"/>
  <c r="K723" i="7"/>
  <c r="K724" i="7"/>
  <c r="K725" i="7"/>
  <c r="K726" i="7"/>
  <c r="K727" i="7"/>
  <c r="K728" i="7"/>
  <c r="K729" i="7"/>
  <c r="K730" i="7"/>
  <c r="K731" i="7"/>
  <c r="K732" i="7"/>
  <c r="K733" i="7"/>
  <c r="K734" i="7"/>
  <c r="K735" i="7"/>
  <c r="K736" i="7"/>
  <c r="K737" i="7"/>
  <c r="K738" i="7"/>
  <c r="K739" i="7"/>
  <c r="K740" i="7"/>
  <c r="K741" i="7"/>
  <c r="K742" i="7"/>
  <c r="K743" i="7"/>
  <c r="K744" i="7"/>
  <c r="K745" i="7"/>
  <c r="K746" i="7"/>
  <c r="K747" i="7"/>
  <c r="K748" i="7"/>
  <c r="K749" i="7"/>
  <c r="K750" i="7"/>
  <c r="K751" i="7"/>
  <c r="K752" i="7"/>
  <c r="K753" i="7"/>
  <c r="K754" i="7"/>
  <c r="K755" i="7"/>
  <c r="K756" i="7"/>
  <c r="K757" i="7"/>
  <c r="K758" i="7"/>
  <c r="K759" i="7"/>
  <c r="K760" i="7"/>
  <c r="K761" i="7"/>
  <c r="K762" i="7"/>
  <c r="K763" i="7"/>
  <c r="K764" i="7"/>
  <c r="K765" i="7"/>
  <c r="K766" i="7"/>
  <c r="K767" i="7"/>
  <c r="K768" i="7"/>
  <c r="K769" i="7"/>
  <c r="K770" i="7"/>
  <c r="K771" i="7"/>
  <c r="K772" i="7"/>
  <c r="K773" i="7"/>
  <c r="K774" i="7"/>
  <c r="K775" i="7"/>
  <c r="K776" i="7"/>
  <c r="K777" i="7"/>
  <c r="K778" i="7"/>
  <c r="K779" i="7"/>
  <c r="K780" i="7"/>
  <c r="K781" i="7"/>
  <c r="K782" i="7"/>
  <c r="K783" i="7"/>
  <c r="K784" i="7"/>
  <c r="K785" i="7"/>
  <c r="K786" i="7"/>
  <c r="K787" i="7"/>
  <c r="K788" i="7"/>
  <c r="K789" i="7"/>
  <c r="K790" i="7"/>
  <c r="K791" i="7"/>
  <c r="K792" i="7"/>
  <c r="K793" i="7"/>
  <c r="K794" i="7"/>
  <c r="K795" i="7"/>
  <c r="K796" i="7"/>
  <c r="K797" i="7"/>
  <c r="K798" i="7"/>
  <c r="K799" i="7"/>
  <c r="K800" i="7"/>
  <c r="K801" i="7"/>
  <c r="K802" i="7"/>
  <c r="K803" i="7"/>
  <c r="K804" i="7"/>
  <c r="K805" i="7"/>
  <c r="K806" i="7"/>
  <c r="K807" i="7"/>
  <c r="K808" i="7"/>
  <c r="K809" i="7"/>
  <c r="K810" i="7"/>
  <c r="K811" i="7"/>
  <c r="K812" i="7"/>
  <c r="K813" i="7"/>
  <c r="K814" i="7"/>
  <c r="K815" i="7"/>
  <c r="K816" i="7"/>
  <c r="K817" i="7"/>
  <c r="K818" i="7"/>
  <c r="K819" i="7"/>
  <c r="K820" i="7"/>
  <c r="K821" i="7"/>
  <c r="K822" i="7"/>
  <c r="K823" i="7"/>
  <c r="K824" i="7"/>
  <c r="K825" i="7"/>
  <c r="K826" i="7"/>
  <c r="K827" i="7"/>
  <c r="K828" i="7"/>
  <c r="K829" i="7"/>
  <c r="K830" i="7"/>
  <c r="K831" i="7"/>
  <c r="K832" i="7"/>
  <c r="K833" i="7"/>
  <c r="K834" i="7"/>
  <c r="K835" i="7"/>
  <c r="K836" i="7"/>
  <c r="K837" i="7"/>
  <c r="K838" i="7"/>
  <c r="K839" i="7"/>
  <c r="K840" i="7"/>
  <c r="K841" i="7"/>
  <c r="K842" i="7"/>
  <c r="K843" i="7"/>
  <c r="K844" i="7"/>
  <c r="K845" i="7"/>
  <c r="K846" i="7"/>
  <c r="K847" i="7"/>
  <c r="K848" i="7"/>
  <c r="K849" i="7"/>
  <c r="K850" i="7"/>
  <c r="K851" i="7"/>
  <c r="K852" i="7"/>
  <c r="K853" i="7"/>
  <c r="K854" i="7"/>
  <c r="K855" i="7"/>
  <c r="K856" i="7"/>
  <c r="K857" i="7"/>
  <c r="K858" i="7"/>
  <c r="K859" i="7"/>
  <c r="K860" i="7"/>
  <c r="K861" i="7"/>
  <c r="K862" i="7"/>
  <c r="K863" i="7"/>
  <c r="K864" i="7"/>
  <c r="K865" i="7"/>
  <c r="K866" i="7"/>
  <c r="K867" i="7"/>
  <c r="K868" i="7"/>
  <c r="K869" i="7"/>
  <c r="K870" i="7"/>
  <c r="K871" i="7"/>
  <c r="K872" i="7"/>
  <c r="K873" i="7"/>
  <c r="K874" i="7"/>
  <c r="K875" i="7"/>
  <c r="K876" i="7"/>
  <c r="K877" i="7"/>
  <c r="K878" i="7"/>
  <c r="K879" i="7"/>
  <c r="K880" i="7"/>
  <c r="K881" i="7"/>
  <c r="K882" i="7"/>
  <c r="K883" i="7"/>
  <c r="K884" i="7"/>
  <c r="K885" i="7"/>
  <c r="K886" i="7"/>
  <c r="K887" i="7"/>
  <c r="K888" i="7"/>
  <c r="K889" i="7"/>
  <c r="K890" i="7"/>
  <c r="K891" i="7"/>
  <c r="K892" i="7"/>
  <c r="K893" i="7"/>
  <c r="K894" i="7"/>
  <c r="K895" i="7"/>
  <c r="K896" i="7"/>
  <c r="K897" i="7"/>
  <c r="K898" i="7"/>
  <c r="K899" i="7"/>
  <c r="K900" i="7"/>
  <c r="K901" i="7"/>
  <c r="K902" i="7"/>
  <c r="K903" i="7"/>
  <c r="K904" i="7"/>
  <c r="K905" i="7"/>
  <c r="K906" i="7"/>
  <c r="K907" i="7"/>
  <c r="K908" i="7"/>
  <c r="K909" i="7"/>
  <c r="K910" i="7"/>
  <c r="K911" i="7"/>
  <c r="K912" i="7"/>
  <c r="K913" i="7"/>
  <c r="K914" i="7"/>
  <c r="K915" i="7"/>
  <c r="K916" i="7"/>
  <c r="K917" i="7"/>
  <c r="K918" i="7"/>
  <c r="K919" i="7"/>
  <c r="K920" i="7"/>
  <c r="K921" i="7"/>
  <c r="K922" i="7"/>
  <c r="K923" i="7"/>
  <c r="K924" i="7"/>
  <c r="K925" i="7"/>
  <c r="K926" i="7"/>
  <c r="K927" i="7"/>
  <c r="K928" i="7"/>
  <c r="K929" i="7"/>
  <c r="K930" i="7"/>
  <c r="K931" i="7"/>
  <c r="K932" i="7"/>
  <c r="K933" i="7"/>
  <c r="K934" i="7"/>
  <c r="K935" i="7"/>
  <c r="K936" i="7"/>
  <c r="K937" i="7"/>
  <c r="K938" i="7"/>
  <c r="K939" i="7"/>
  <c r="K940" i="7"/>
  <c r="K941" i="7"/>
  <c r="K942" i="7"/>
  <c r="K943" i="7"/>
  <c r="K944" i="7"/>
  <c r="K945" i="7"/>
  <c r="K946" i="7"/>
  <c r="K947" i="7"/>
  <c r="K948" i="7"/>
  <c r="K949" i="7"/>
  <c r="K950" i="7"/>
  <c r="K951" i="7"/>
  <c r="K952" i="7"/>
  <c r="K953" i="7"/>
  <c r="K954" i="7"/>
  <c r="K955" i="7"/>
  <c r="K956" i="7"/>
  <c r="K957" i="7"/>
  <c r="K958" i="7"/>
  <c r="K959" i="7"/>
  <c r="K960" i="7"/>
  <c r="K961" i="7"/>
  <c r="K962" i="7"/>
  <c r="K963" i="7"/>
  <c r="K964" i="7"/>
  <c r="K965" i="7"/>
  <c r="K966" i="7"/>
  <c r="K967" i="7"/>
  <c r="K968" i="7"/>
  <c r="K969" i="7"/>
  <c r="K970" i="7"/>
  <c r="K971" i="7"/>
  <c r="K972" i="7"/>
  <c r="K973" i="7"/>
  <c r="K974" i="7"/>
  <c r="K975" i="7"/>
  <c r="K976" i="7"/>
  <c r="K977" i="7"/>
  <c r="K978" i="7"/>
  <c r="K979" i="7"/>
  <c r="K980" i="7"/>
  <c r="K981" i="7"/>
  <c r="K982" i="7"/>
  <c r="K983" i="7"/>
  <c r="K984" i="7"/>
  <c r="K985" i="7"/>
  <c r="K986" i="7"/>
  <c r="K987" i="7"/>
  <c r="K988" i="7"/>
  <c r="K989" i="7"/>
  <c r="K990" i="7"/>
  <c r="K991" i="7"/>
  <c r="K992" i="7"/>
  <c r="K993" i="7"/>
  <c r="K994" i="7"/>
  <c r="K995" i="7"/>
  <c r="K996" i="7"/>
  <c r="K997" i="7"/>
  <c r="K998" i="7"/>
  <c r="K999" i="7"/>
  <c r="K1000" i="7"/>
  <c r="K1001" i="7"/>
  <c r="M2" i="7"/>
  <c r="N2" i="7" s="1" a="1"/>
  <c r="O2" i="7" s="1"/>
  <c r="M3" i="7"/>
  <c r="N3" i="7" s="1" a="1"/>
  <c r="O3" i="7" s="1"/>
  <c r="M4" i="7"/>
  <c r="N4" i="7" s="1" a="1"/>
  <c r="O4" i="7" s="1"/>
  <c r="M5" i="7"/>
  <c r="N5" i="7" s="1" a="1"/>
  <c r="O5" i="7" s="1"/>
  <c r="M6" i="7"/>
  <c r="N6" i="7" s="1" a="1"/>
  <c r="O6" i="7" s="1"/>
  <c r="M7" i="7"/>
  <c r="N7" i="7" s="1" a="1"/>
  <c r="O7" i="7" s="1"/>
  <c r="M8" i="7"/>
  <c r="N8" i="7" s="1" a="1"/>
  <c r="O8" i="7" s="1"/>
  <c r="M9" i="7"/>
  <c r="N9" i="7" s="1" a="1"/>
  <c r="O9" i="7" s="1"/>
  <c r="M10" i="7"/>
  <c r="N10" i="7" s="1" a="1"/>
  <c r="O10" i="7" s="1"/>
  <c r="M11" i="7"/>
  <c r="N11" i="7" s="1" a="1"/>
  <c r="O11" i="7" s="1"/>
  <c r="M12" i="7"/>
  <c r="N12" i="7" s="1" a="1"/>
  <c r="O12" i="7" s="1"/>
  <c r="M13" i="7"/>
  <c r="N13" i="7" s="1" a="1"/>
  <c r="O13" i="7" s="1"/>
  <c r="M14" i="7"/>
  <c r="N14" i="7" s="1" a="1"/>
  <c r="O14" i="7" s="1"/>
  <c r="M15" i="7"/>
  <c r="N15" i="7" s="1" a="1"/>
  <c r="O15" i="7" s="1"/>
  <c r="M16" i="7"/>
  <c r="N16" i="7" s="1" a="1"/>
  <c r="O16" i="7" s="1"/>
  <c r="M17" i="7"/>
  <c r="N17" i="7" s="1" a="1"/>
  <c r="O17" i="7" s="1"/>
  <c r="M18" i="7"/>
  <c r="N18" i="7" s="1" a="1"/>
  <c r="O18" i="7" s="1"/>
  <c r="M19" i="7"/>
  <c r="N19" i="7" s="1" a="1"/>
  <c r="O19" i="7" s="1"/>
  <c r="M20" i="7"/>
  <c r="N20" i="7" s="1" a="1"/>
  <c r="O20" i="7" s="1"/>
  <c r="M21" i="7"/>
  <c r="N21" i="7" s="1" a="1"/>
  <c r="O21" i="7" s="1"/>
  <c r="M22" i="7"/>
  <c r="N22" i="7" s="1" a="1"/>
  <c r="O22" i="7" s="1"/>
  <c r="M23" i="7"/>
  <c r="N23" i="7" s="1" a="1"/>
  <c r="O23" i="7" s="1"/>
  <c r="M24" i="7"/>
  <c r="N24" i="7" s="1" a="1"/>
  <c r="O24" i="7" s="1"/>
  <c r="M25" i="7"/>
  <c r="N25" i="7" s="1" a="1"/>
  <c r="O25" i="7" s="1"/>
  <c r="M26" i="7"/>
  <c r="N26" i="7" s="1" a="1"/>
  <c r="O26" i="7" s="1"/>
  <c r="M27" i="7"/>
  <c r="N27" i="7" s="1" a="1"/>
  <c r="O27" i="7" s="1"/>
  <c r="M28" i="7"/>
  <c r="N28" i="7" s="1" a="1"/>
  <c r="O28" i="7" s="1"/>
  <c r="M29" i="7"/>
  <c r="N29" i="7" s="1" a="1"/>
  <c r="O29" i="7" s="1"/>
  <c r="M30" i="7"/>
  <c r="N30" i="7" s="1" a="1"/>
  <c r="O30" i="7" s="1"/>
  <c r="M31" i="7"/>
  <c r="N31" i="7" s="1" a="1"/>
  <c r="O31" i="7" s="1"/>
  <c r="M32" i="7"/>
  <c r="N32" i="7" s="1" a="1"/>
  <c r="O32" i="7" s="1"/>
  <c r="M33" i="7"/>
  <c r="N33" i="7" s="1" a="1"/>
  <c r="O33" i="7" s="1"/>
  <c r="M34" i="7"/>
  <c r="N34" i="7" s="1" a="1"/>
  <c r="O34" i="7" s="1"/>
  <c r="M35" i="7"/>
  <c r="N35" i="7" s="1" a="1"/>
  <c r="O35" i="7" s="1"/>
  <c r="M36" i="7"/>
  <c r="N36" i="7" s="1" a="1"/>
  <c r="O36" i="7" s="1"/>
  <c r="M37" i="7"/>
  <c r="N37" i="7" s="1" a="1"/>
  <c r="O37" i="7" s="1"/>
  <c r="M38" i="7"/>
  <c r="N38" i="7" s="1" a="1"/>
  <c r="O38" i="7" s="1"/>
  <c r="M39" i="7"/>
  <c r="N39" i="7" s="1" a="1"/>
  <c r="O39" i="7" s="1"/>
  <c r="M40" i="7"/>
  <c r="N40" i="7" s="1" a="1"/>
  <c r="O40" i="7" s="1"/>
  <c r="M41" i="7"/>
  <c r="N41" i="7" s="1" a="1"/>
  <c r="O41" i="7" s="1"/>
  <c r="M42" i="7"/>
  <c r="N42" i="7" s="1" a="1"/>
  <c r="O42" i="7" s="1"/>
  <c r="M43" i="7"/>
  <c r="N43" i="7" s="1" a="1"/>
  <c r="O43" i="7" s="1"/>
  <c r="M44" i="7"/>
  <c r="N44" i="7" s="1" a="1"/>
  <c r="O44" i="7" s="1"/>
  <c r="M45" i="7"/>
  <c r="N45" i="7" s="1" a="1"/>
  <c r="O45" i="7" s="1"/>
  <c r="M46" i="7"/>
  <c r="N46" i="7" s="1" a="1"/>
  <c r="O46" i="7" s="1"/>
  <c r="M47" i="7"/>
  <c r="N47" i="7" s="1" a="1"/>
  <c r="O47" i="7" s="1"/>
  <c r="M48" i="7"/>
  <c r="N48" i="7" s="1" a="1"/>
  <c r="O48" i="7" s="1"/>
  <c r="M49" i="7"/>
  <c r="N49" i="7" s="1" a="1"/>
  <c r="O49" i="7" s="1"/>
  <c r="M50" i="7"/>
  <c r="N50" i="7" s="1" a="1"/>
  <c r="O50" i="7" s="1"/>
  <c r="M51" i="7"/>
  <c r="N51" i="7" s="1" a="1"/>
  <c r="O51" i="7" s="1"/>
  <c r="M52" i="7"/>
  <c r="N52" i="7" s="1" a="1"/>
  <c r="O52" i="7" s="1"/>
  <c r="M53" i="7"/>
  <c r="N53" i="7" s="1" a="1"/>
  <c r="O53" i="7" s="1"/>
  <c r="M54" i="7"/>
  <c r="N54" i="7" s="1" a="1"/>
  <c r="O54" i="7" s="1"/>
  <c r="M55" i="7"/>
  <c r="N55" i="7" s="1" a="1"/>
  <c r="O55" i="7" s="1"/>
  <c r="M56" i="7"/>
  <c r="N56" i="7" s="1" a="1"/>
  <c r="O56" i="7" s="1"/>
  <c r="M57" i="7"/>
  <c r="N57" i="7" s="1" a="1"/>
  <c r="O57" i="7" s="1"/>
  <c r="M58" i="7"/>
  <c r="N58" i="7" s="1" a="1"/>
  <c r="O58" i="7" s="1"/>
  <c r="M59" i="7"/>
  <c r="N59" i="7" s="1" a="1"/>
  <c r="O59" i="7" s="1"/>
  <c r="M60" i="7"/>
  <c r="N60" i="7" s="1" a="1"/>
  <c r="O60" i="7" s="1"/>
  <c r="M61" i="7"/>
  <c r="N61" i="7" s="1" a="1"/>
  <c r="O61" i="7" s="1"/>
  <c r="M62" i="7"/>
  <c r="N62" i="7" s="1" a="1"/>
  <c r="O62" i="7" s="1"/>
  <c r="M63" i="7"/>
  <c r="N63" i="7" s="1" a="1"/>
  <c r="O63" i="7" s="1"/>
  <c r="M64" i="7"/>
  <c r="N64" i="7" s="1" a="1"/>
  <c r="O64" i="7" s="1"/>
  <c r="M65" i="7"/>
  <c r="N65" i="7" s="1" a="1"/>
  <c r="O65" i="7" s="1"/>
  <c r="M66" i="7"/>
  <c r="N66" i="7" s="1" a="1"/>
  <c r="O66" i="7" s="1"/>
  <c r="M67" i="7"/>
  <c r="N67" i="7" s="1" a="1"/>
  <c r="O67" i="7" s="1"/>
  <c r="M68" i="7"/>
  <c r="N68" i="7" s="1" a="1"/>
  <c r="O68" i="7" s="1"/>
  <c r="M69" i="7"/>
  <c r="N69" i="7" s="1" a="1"/>
  <c r="O69" i="7" s="1"/>
  <c r="M70" i="7"/>
  <c r="N70" i="7" s="1" a="1"/>
  <c r="O70" i="7" s="1"/>
  <c r="M71" i="7"/>
  <c r="N71" i="7" s="1" a="1"/>
  <c r="O71" i="7" s="1"/>
  <c r="M72" i="7"/>
  <c r="N72" i="7" s="1" a="1"/>
  <c r="O72" i="7" s="1"/>
  <c r="M73" i="7"/>
  <c r="N73" i="7" s="1" a="1"/>
  <c r="O73" i="7" s="1"/>
  <c r="M74" i="7"/>
  <c r="N74" i="7" s="1" a="1"/>
  <c r="O74" i="7" s="1"/>
  <c r="M75" i="7"/>
  <c r="N75" i="7" s="1" a="1"/>
  <c r="O75" i="7" s="1"/>
  <c r="M76" i="7"/>
  <c r="N76" i="7" s="1" a="1"/>
  <c r="O76" i="7" s="1"/>
  <c r="M77" i="7"/>
  <c r="N77" i="7" s="1" a="1"/>
  <c r="O77" i="7" s="1"/>
  <c r="M78" i="7"/>
  <c r="N78" i="7" s="1" a="1"/>
  <c r="O78" i="7" s="1"/>
  <c r="M79" i="7"/>
  <c r="N79" i="7" s="1" a="1"/>
  <c r="O79" i="7" s="1"/>
  <c r="M80" i="7"/>
  <c r="N80" i="7" s="1" a="1"/>
  <c r="O80" i="7" s="1"/>
  <c r="M81" i="7"/>
  <c r="N81" i="7" s="1" a="1"/>
  <c r="O81" i="7" s="1"/>
  <c r="M82" i="7"/>
  <c r="N82" i="7" s="1" a="1"/>
  <c r="O82" i="7" s="1"/>
  <c r="M83" i="7"/>
  <c r="N83" i="7" s="1" a="1"/>
  <c r="O83" i="7" s="1"/>
  <c r="M84" i="7"/>
  <c r="N84" i="7" s="1" a="1"/>
  <c r="O84" i="7" s="1"/>
  <c r="M85" i="7"/>
  <c r="N85" i="7" s="1" a="1"/>
  <c r="O85" i="7" s="1"/>
  <c r="M86" i="7"/>
  <c r="N86" i="7" s="1" a="1"/>
  <c r="O86" i="7" s="1"/>
  <c r="M87" i="7"/>
  <c r="N87" i="7" s="1" a="1"/>
  <c r="O87" i="7" s="1"/>
  <c r="M88" i="7"/>
  <c r="N88" i="7" s="1" a="1"/>
  <c r="O88" i="7" s="1"/>
  <c r="M89" i="7"/>
  <c r="N89" i="7" s="1" a="1"/>
  <c r="O89" i="7" s="1"/>
  <c r="M90" i="7"/>
  <c r="N90" i="7" s="1" a="1"/>
  <c r="O90" i="7" s="1"/>
  <c r="M91" i="7"/>
  <c r="N91" i="7" s="1" a="1"/>
  <c r="O91" i="7" s="1"/>
  <c r="M92" i="7"/>
  <c r="N92" i="7" s="1" a="1"/>
  <c r="O92" i="7" s="1"/>
  <c r="M93" i="7"/>
  <c r="N93" i="7" s="1" a="1"/>
  <c r="O93" i="7" s="1"/>
  <c r="M94" i="7"/>
  <c r="N94" i="7" s="1" a="1"/>
  <c r="O94" i="7" s="1"/>
  <c r="M95" i="7"/>
  <c r="N95" i="7" s="1" a="1"/>
  <c r="O95" i="7" s="1"/>
  <c r="M96" i="7"/>
  <c r="N96" i="7" s="1" a="1"/>
  <c r="O96" i="7" s="1"/>
  <c r="M97" i="7"/>
  <c r="N97" i="7" s="1" a="1"/>
  <c r="O97" i="7" s="1"/>
  <c r="M98" i="7"/>
  <c r="N98" i="7" s="1" a="1"/>
  <c r="O98" i="7" s="1"/>
  <c r="M99" i="7"/>
  <c r="N99" i="7" s="1" a="1"/>
  <c r="O99" i="7" s="1"/>
  <c r="M100" i="7"/>
  <c r="N100" i="7" s="1" a="1"/>
  <c r="O100" i="7" s="1"/>
  <c r="M101" i="7"/>
  <c r="N101" i="7" s="1" a="1"/>
  <c r="O101" i="7" s="1"/>
  <c r="M102" i="7"/>
  <c r="N102" i="7" s="1" a="1"/>
  <c r="O102" i="7" s="1"/>
  <c r="M103" i="7"/>
  <c r="N103" i="7" s="1" a="1"/>
  <c r="O103" i="7" s="1"/>
  <c r="M104" i="7"/>
  <c r="N104" i="7" s="1" a="1"/>
  <c r="O104" i="7" s="1"/>
  <c r="M105" i="7"/>
  <c r="N105" i="7" s="1" a="1"/>
  <c r="O105" i="7" s="1"/>
  <c r="M106" i="7"/>
  <c r="N106" i="7" s="1" a="1"/>
  <c r="O106" i="7" s="1"/>
  <c r="M107" i="7"/>
  <c r="N107" i="7" s="1" a="1"/>
  <c r="O107" i="7" s="1"/>
  <c r="M108" i="7"/>
  <c r="N108" i="7" s="1" a="1"/>
  <c r="O108" i="7" s="1"/>
  <c r="M109" i="7"/>
  <c r="N109" i="7" s="1" a="1"/>
  <c r="O109" i="7" s="1"/>
  <c r="M110" i="7"/>
  <c r="N110" i="7" s="1" a="1"/>
  <c r="O110" i="7" s="1"/>
  <c r="M111" i="7"/>
  <c r="N111" i="7" s="1" a="1"/>
  <c r="O111" i="7" s="1"/>
  <c r="M112" i="7"/>
  <c r="N112" i="7" s="1" a="1"/>
  <c r="O112" i="7" s="1"/>
  <c r="M113" i="7"/>
  <c r="N113" i="7" s="1" a="1"/>
  <c r="O113" i="7" s="1"/>
  <c r="M114" i="7"/>
  <c r="N114" i="7" s="1" a="1"/>
  <c r="O114" i="7" s="1"/>
  <c r="M115" i="7"/>
  <c r="N115" i="7" s="1" a="1"/>
  <c r="O115" i="7" s="1"/>
  <c r="M116" i="7"/>
  <c r="N116" i="7" s="1" a="1"/>
  <c r="O116" i="7" s="1"/>
  <c r="M117" i="7"/>
  <c r="N117" i="7" s="1" a="1"/>
  <c r="O117" i="7" s="1"/>
  <c r="M118" i="7"/>
  <c r="N118" i="7" s="1" a="1"/>
  <c r="O118" i="7" s="1"/>
  <c r="M119" i="7"/>
  <c r="N119" i="7" s="1" a="1"/>
  <c r="O119" i="7" s="1"/>
  <c r="M120" i="7"/>
  <c r="N120" i="7" s="1" a="1"/>
  <c r="O120" i="7" s="1"/>
  <c r="M121" i="7"/>
  <c r="N121" i="7" s="1" a="1"/>
  <c r="O121" i="7" s="1"/>
  <c r="M122" i="7"/>
  <c r="N122" i="7" s="1" a="1"/>
  <c r="O122" i="7" s="1"/>
  <c r="M123" i="7"/>
  <c r="N123" i="7" s="1" a="1"/>
  <c r="O123" i="7" s="1"/>
  <c r="M124" i="7"/>
  <c r="N124" i="7" s="1" a="1"/>
  <c r="O124" i="7" s="1"/>
  <c r="M125" i="7"/>
  <c r="N125" i="7" s="1" a="1"/>
  <c r="O125" i="7" s="1"/>
  <c r="M126" i="7"/>
  <c r="N126" i="7" s="1" a="1"/>
  <c r="O126" i="7" s="1"/>
  <c r="M127" i="7"/>
  <c r="N127" i="7" s="1" a="1"/>
  <c r="O127" i="7" s="1"/>
  <c r="M128" i="7"/>
  <c r="N128" i="7" s="1" a="1"/>
  <c r="O128" i="7" s="1"/>
  <c r="M129" i="7"/>
  <c r="N129" i="7" s="1" a="1"/>
  <c r="O129" i="7" s="1"/>
  <c r="M130" i="7"/>
  <c r="N130" i="7" s="1" a="1"/>
  <c r="O130" i="7" s="1"/>
  <c r="M131" i="7"/>
  <c r="N131" i="7" s="1" a="1"/>
  <c r="O131" i="7" s="1"/>
  <c r="M132" i="7"/>
  <c r="N132" i="7" s="1" a="1"/>
  <c r="O132" i="7" s="1"/>
  <c r="M133" i="7"/>
  <c r="N133" i="7" s="1" a="1"/>
  <c r="O133" i="7" s="1"/>
  <c r="M134" i="7"/>
  <c r="N134" i="7" s="1" a="1"/>
  <c r="O134" i="7" s="1"/>
  <c r="M135" i="7"/>
  <c r="N135" i="7" s="1" a="1"/>
  <c r="O135" i="7" s="1"/>
  <c r="M136" i="7"/>
  <c r="N136" i="7" s="1" a="1"/>
  <c r="O136" i="7" s="1"/>
  <c r="M137" i="7"/>
  <c r="N137" i="7" s="1" a="1"/>
  <c r="O137" i="7" s="1"/>
  <c r="M138" i="7"/>
  <c r="N138" i="7" s="1" a="1"/>
  <c r="O138" i="7" s="1"/>
  <c r="M139" i="7"/>
  <c r="N139" i="7" s="1" a="1"/>
  <c r="O139" i="7" s="1"/>
  <c r="M140" i="7"/>
  <c r="N140" i="7" s="1" a="1"/>
  <c r="O140" i="7" s="1"/>
  <c r="M141" i="7"/>
  <c r="N141" i="7" s="1" a="1"/>
  <c r="O141" i="7" s="1"/>
  <c r="M142" i="7"/>
  <c r="N142" i="7" s="1" a="1"/>
  <c r="O142" i="7" s="1"/>
  <c r="M143" i="7"/>
  <c r="N143" i="7" s="1" a="1"/>
  <c r="O143" i="7" s="1"/>
  <c r="M144" i="7"/>
  <c r="N144" i="7" s="1" a="1"/>
  <c r="O144" i="7" s="1"/>
  <c r="M145" i="7"/>
  <c r="N145" i="7" s="1" a="1"/>
  <c r="O145" i="7" s="1"/>
  <c r="M146" i="7"/>
  <c r="N146" i="7" s="1" a="1"/>
  <c r="O146" i="7" s="1"/>
  <c r="M147" i="7"/>
  <c r="N147" i="7" s="1" a="1"/>
  <c r="O147" i="7" s="1"/>
  <c r="M148" i="7"/>
  <c r="N148" i="7" s="1" a="1"/>
  <c r="O148" i="7" s="1"/>
  <c r="M149" i="7"/>
  <c r="N149" i="7" s="1" a="1"/>
  <c r="O149" i="7" s="1"/>
  <c r="M150" i="7"/>
  <c r="N150" i="7" s="1" a="1"/>
  <c r="O150" i="7" s="1"/>
  <c r="M151" i="7"/>
  <c r="N151" i="7" s="1" a="1"/>
  <c r="O151" i="7" s="1"/>
  <c r="M152" i="7"/>
  <c r="N152" i="7" s="1" a="1"/>
  <c r="O152" i="7" s="1"/>
  <c r="M153" i="7"/>
  <c r="N153" i="7" s="1" a="1"/>
  <c r="O153" i="7" s="1"/>
  <c r="M154" i="7"/>
  <c r="N154" i="7" s="1" a="1"/>
  <c r="O154" i="7" s="1"/>
  <c r="M155" i="7"/>
  <c r="N155" i="7" s="1" a="1"/>
  <c r="O155" i="7" s="1"/>
  <c r="M156" i="7"/>
  <c r="N156" i="7" s="1" a="1"/>
  <c r="O156" i="7" s="1"/>
  <c r="M157" i="7"/>
  <c r="N157" i="7" s="1" a="1"/>
  <c r="O157" i="7" s="1"/>
  <c r="M158" i="7"/>
  <c r="N158" i="7" s="1" a="1"/>
  <c r="O158" i="7" s="1"/>
  <c r="M159" i="7"/>
  <c r="N159" i="7" s="1" a="1"/>
  <c r="O159" i="7" s="1"/>
  <c r="M160" i="7"/>
  <c r="N160" i="7" s="1" a="1"/>
  <c r="O160" i="7" s="1"/>
  <c r="M161" i="7"/>
  <c r="N161" i="7" s="1" a="1"/>
  <c r="O161" i="7" s="1"/>
  <c r="M162" i="7"/>
  <c r="N162" i="7" s="1" a="1"/>
  <c r="O162" i="7" s="1"/>
  <c r="M163" i="7"/>
  <c r="N163" i="7" s="1" a="1"/>
  <c r="O163" i="7" s="1"/>
  <c r="M164" i="7"/>
  <c r="N164" i="7" s="1" a="1"/>
  <c r="O164" i="7" s="1"/>
  <c r="M165" i="7"/>
  <c r="N165" i="7" s="1" a="1"/>
  <c r="O165" i="7" s="1"/>
  <c r="M166" i="7"/>
  <c r="N166" i="7" s="1" a="1"/>
  <c r="O166" i="7" s="1"/>
  <c r="M167" i="7"/>
  <c r="N167" i="7" s="1" a="1"/>
  <c r="O167" i="7" s="1"/>
  <c r="M168" i="7"/>
  <c r="N168" i="7" s="1" a="1"/>
  <c r="O168" i="7" s="1"/>
  <c r="M169" i="7"/>
  <c r="N169" i="7" s="1" a="1"/>
  <c r="O169" i="7" s="1"/>
  <c r="M170" i="7"/>
  <c r="N170" i="7" s="1" a="1"/>
  <c r="O170" i="7" s="1"/>
  <c r="M171" i="7"/>
  <c r="N171" i="7" s="1" a="1"/>
  <c r="O171" i="7" s="1"/>
  <c r="M172" i="7"/>
  <c r="N172" i="7" s="1" a="1"/>
  <c r="O172" i="7" s="1"/>
  <c r="M173" i="7"/>
  <c r="N173" i="7" s="1" a="1"/>
  <c r="O173" i="7" s="1"/>
  <c r="M174" i="7"/>
  <c r="N174" i="7" s="1" a="1"/>
  <c r="O174" i="7" s="1"/>
  <c r="M175" i="7"/>
  <c r="N175" i="7" s="1" a="1"/>
  <c r="O175" i="7" s="1"/>
  <c r="M176" i="7"/>
  <c r="N176" i="7" s="1" a="1"/>
  <c r="O176" i="7" s="1"/>
  <c r="M177" i="7"/>
  <c r="N177" i="7" s="1" a="1"/>
  <c r="O177" i="7" s="1"/>
  <c r="M178" i="7"/>
  <c r="N178" i="7" s="1" a="1"/>
  <c r="O178" i="7" s="1"/>
  <c r="M179" i="7"/>
  <c r="N179" i="7" s="1" a="1"/>
  <c r="O179" i="7" s="1"/>
  <c r="M180" i="7"/>
  <c r="N180" i="7" s="1" a="1"/>
  <c r="O180" i="7" s="1"/>
  <c r="M181" i="7"/>
  <c r="N181" i="7" s="1" a="1"/>
  <c r="O181" i="7" s="1"/>
  <c r="M182" i="7"/>
  <c r="N182" i="7" s="1" a="1"/>
  <c r="O182" i="7" s="1"/>
  <c r="M183" i="7"/>
  <c r="N183" i="7" s="1" a="1"/>
  <c r="O183" i="7" s="1"/>
  <c r="M184" i="7"/>
  <c r="N184" i="7" s="1" a="1"/>
  <c r="O184" i="7" s="1"/>
  <c r="M185" i="7"/>
  <c r="N185" i="7" s="1" a="1"/>
  <c r="O185" i="7" s="1"/>
  <c r="M186" i="7"/>
  <c r="N186" i="7" s="1" a="1"/>
  <c r="O186" i="7" s="1"/>
  <c r="M187" i="7"/>
  <c r="N187" i="7" s="1" a="1"/>
  <c r="O187" i="7" s="1"/>
  <c r="M188" i="7"/>
  <c r="N188" i="7" s="1" a="1"/>
  <c r="O188" i="7" s="1"/>
  <c r="M189" i="7"/>
  <c r="N189" i="7" s="1" a="1"/>
  <c r="O189" i="7" s="1"/>
  <c r="M190" i="7"/>
  <c r="N190" i="7" s="1" a="1"/>
  <c r="O190" i="7" s="1"/>
  <c r="M191" i="7"/>
  <c r="N191" i="7" s="1" a="1"/>
  <c r="O191" i="7" s="1"/>
  <c r="M192" i="7"/>
  <c r="N192" i="7" s="1" a="1"/>
  <c r="O192" i="7" s="1"/>
  <c r="M193" i="7"/>
  <c r="N193" i="7" s="1" a="1"/>
  <c r="O193" i="7" s="1"/>
  <c r="M194" i="7"/>
  <c r="N194" i="7" s="1" a="1"/>
  <c r="O194" i="7" s="1"/>
  <c r="M195" i="7"/>
  <c r="N195" i="7" s="1" a="1"/>
  <c r="O195" i="7" s="1"/>
  <c r="M196" i="7"/>
  <c r="N196" i="7" s="1" a="1"/>
  <c r="O196" i="7" s="1"/>
  <c r="M197" i="7"/>
  <c r="N197" i="7" s="1" a="1"/>
  <c r="O197" i="7" s="1"/>
  <c r="M198" i="7"/>
  <c r="N198" i="7" s="1" a="1"/>
  <c r="O198" i="7" s="1"/>
  <c r="M199" i="7"/>
  <c r="N199" i="7" s="1" a="1"/>
  <c r="O199" i="7" s="1"/>
  <c r="M200" i="7"/>
  <c r="N200" i="7" s="1" a="1"/>
  <c r="O200" i="7" s="1"/>
  <c r="M201" i="7"/>
  <c r="N201" i="7" s="1" a="1"/>
  <c r="O201" i="7" s="1"/>
  <c r="M202" i="7"/>
  <c r="N202" i="7" s="1" a="1"/>
  <c r="O202" i="7" s="1"/>
  <c r="M203" i="7"/>
  <c r="N203" i="7" s="1" a="1"/>
  <c r="O203" i="7" s="1"/>
  <c r="M204" i="7"/>
  <c r="N204" i="7" s="1" a="1"/>
  <c r="O204" i="7" s="1"/>
  <c r="M205" i="7"/>
  <c r="N205" i="7" s="1" a="1"/>
  <c r="O205" i="7" s="1"/>
  <c r="M206" i="7"/>
  <c r="N206" i="7" s="1" a="1"/>
  <c r="O206" i="7" s="1"/>
  <c r="M207" i="7"/>
  <c r="N207" i="7" s="1" a="1"/>
  <c r="O207" i="7" s="1"/>
  <c r="M208" i="7"/>
  <c r="N208" i="7" s="1" a="1"/>
  <c r="O208" i="7" s="1"/>
  <c r="M209" i="7"/>
  <c r="N209" i="7" s="1" a="1"/>
  <c r="O209" i="7" s="1"/>
  <c r="M210" i="7"/>
  <c r="N210" i="7" s="1" a="1"/>
  <c r="O210" i="7" s="1"/>
  <c r="M211" i="7"/>
  <c r="N211" i="7" s="1" a="1"/>
  <c r="O211" i="7" s="1"/>
  <c r="M212" i="7"/>
  <c r="N212" i="7" s="1" a="1"/>
  <c r="O212" i="7" s="1"/>
  <c r="M213" i="7"/>
  <c r="N213" i="7" s="1" a="1"/>
  <c r="O213" i="7" s="1"/>
  <c r="M214" i="7"/>
  <c r="N214" i="7" s="1" a="1"/>
  <c r="O214" i="7" s="1"/>
  <c r="M215" i="7"/>
  <c r="N215" i="7" s="1" a="1"/>
  <c r="O215" i="7" s="1"/>
  <c r="M216" i="7"/>
  <c r="N216" i="7" s="1" a="1"/>
  <c r="O216" i="7" s="1"/>
  <c r="M217" i="7"/>
  <c r="N217" i="7" s="1" a="1"/>
  <c r="O217" i="7" s="1"/>
  <c r="M218" i="7"/>
  <c r="N218" i="7" s="1" a="1"/>
  <c r="O218" i="7" s="1"/>
  <c r="M219" i="7"/>
  <c r="N219" i="7" s="1" a="1"/>
  <c r="O219" i="7" s="1"/>
  <c r="M220" i="7"/>
  <c r="N220" i="7" s="1" a="1"/>
  <c r="O220" i="7" s="1"/>
  <c r="M221" i="7"/>
  <c r="N221" i="7" s="1" a="1"/>
  <c r="O221" i="7" s="1"/>
  <c r="M222" i="7"/>
  <c r="N222" i="7" s="1" a="1"/>
  <c r="O222" i="7" s="1"/>
  <c r="M223" i="7"/>
  <c r="N223" i="7" s="1" a="1"/>
  <c r="O223" i="7" s="1"/>
  <c r="M224" i="7"/>
  <c r="N224" i="7" s="1" a="1"/>
  <c r="O224" i="7" s="1"/>
  <c r="M225" i="7"/>
  <c r="N225" i="7" s="1" a="1"/>
  <c r="O225" i="7" s="1"/>
  <c r="M226" i="7"/>
  <c r="N226" i="7" s="1" a="1"/>
  <c r="O226" i="7" s="1"/>
  <c r="M227" i="7"/>
  <c r="N227" i="7" s="1" a="1"/>
  <c r="O227" i="7" s="1"/>
  <c r="M228" i="7"/>
  <c r="N228" i="7" s="1" a="1"/>
  <c r="O228" i="7" s="1"/>
  <c r="M229" i="7"/>
  <c r="N229" i="7" s="1" a="1"/>
  <c r="O229" i="7" s="1"/>
  <c r="M230" i="7"/>
  <c r="N230" i="7" s="1" a="1"/>
  <c r="O230" i="7" s="1"/>
  <c r="M231" i="7"/>
  <c r="N231" i="7" s="1" a="1"/>
  <c r="O231" i="7" s="1"/>
  <c r="M232" i="7"/>
  <c r="N232" i="7" s="1" a="1"/>
  <c r="O232" i="7" s="1"/>
  <c r="M233" i="7"/>
  <c r="N233" i="7" s="1" a="1"/>
  <c r="O233" i="7" s="1"/>
  <c r="M234" i="7"/>
  <c r="N234" i="7" s="1" a="1"/>
  <c r="O234" i="7" s="1"/>
  <c r="M235" i="7"/>
  <c r="N235" i="7" s="1" a="1"/>
  <c r="O235" i="7" s="1"/>
  <c r="M236" i="7"/>
  <c r="N236" i="7" s="1" a="1"/>
  <c r="O236" i="7" s="1"/>
  <c r="M237" i="7"/>
  <c r="N237" i="7" s="1" a="1"/>
  <c r="O237" i="7" s="1"/>
  <c r="M238" i="7"/>
  <c r="N238" i="7" s="1" a="1"/>
  <c r="O238" i="7" s="1"/>
  <c r="M239" i="7"/>
  <c r="N239" i="7" s="1" a="1"/>
  <c r="O239" i="7" s="1"/>
  <c r="M240" i="7"/>
  <c r="N240" i="7" s="1" a="1"/>
  <c r="O240" i="7" s="1"/>
  <c r="M241" i="7"/>
  <c r="N241" i="7" s="1" a="1"/>
  <c r="O241" i="7" s="1"/>
  <c r="M242" i="7"/>
  <c r="N242" i="7" s="1" a="1"/>
  <c r="O242" i="7" s="1"/>
  <c r="M243" i="7"/>
  <c r="N243" i="7" s="1" a="1"/>
  <c r="O243" i="7" s="1"/>
  <c r="M244" i="7"/>
  <c r="N244" i="7" s="1" a="1"/>
  <c r="O244" i="7" s="1"/>
  <c r="M245" i="7"/>
  <c r="N245" i="7" s="1" a="1"/>
  <c r="O245" i="7" s="1"/>
  <c r="M246" i="7"/>
  <c r="N246" i="7" s="1" a="1"/>
  <c r="O246" i="7" s="1"/>
  <c r="M247" i="7"/>
  <c r="N247" i="7" s="1" a="1"/>
  <c r="O247" i="7" s="1"/>
  <c r="M248" i="7"/>
  <c r="N248" i="7" s="1" a="1"/>
  <c r="O248" i="7" s="1"/>
  <c r="M249" i="7"/>
  <c r="N249" i="7" s="1" a="1"/>
  <c r="O249" i="7" s="1"/>
  <c r="M250" i="7"/>
  <c r="N250" i="7" s="1" a="1"/>
  <c r="O250" i="7" s="1"/>
  <c r="M251" i="7"/>
  <c r="N251" i="7" s="1" a="1"/>
  <c r="O251" i="7" s="1"/>
  <c r="M252" i="7"/>
  <c r="N252" i="7" s="1" a="1"/>
  <c r="O252" i="7" s="1"/>
  <c r="M253" i="7"/>
  <c r="N253" i="7" s="1" a="1"/>
  <c r="O253" i="7" s="1"/>
  <c r="M254" i="7"/>
  <c r="N254" i="7" s="1" a="1"/>
  <c r="O254" i="7" s="1"/>
  <c r="M255" i="7"/>
  <c r="N255" i="7" s="1" a="1"/>
  <c r="O255" i="7" s="1"/>
  <c r="M256" i="7"/>
  <c r="N256" i="7" s="1" a="1"/>
  <c r="O256" i="7" s="1"/>
  <c r="M257" i="7"/>
  <c r="N257" i="7" s="1" a="1"/>
  <c r="O257" i="7" s="1"/>
  <c r="M258" i="7"/>
  <c r="N258" i="7" s="1" a="1"/>
  <c r="O258" i="7" s="1"/>
  <c r="M259" i="7"/>
  <c r="N259" i="7" s="1" a="1"/>
  <c r="O259" i="7" s="1"/>
  <c r="M260" i="7"/>
  <c r="N260" i="7" s="1" a="1"/>
  <c r="O260" i="7" s="1"/>
  <c r="M261" i="7"/>
  <c r="N261" i="7" s="1" a="1"/>
  <c r="O261" i="7" s="1"/>
  <c r="M262" i="7"/>
  <c r="N262" i="7" s="1" a="1"/>
  <c r="O262" i="7" s="1"/>
  <c r="M263" i="7"/>
  <c r="N263" i="7" s="1" a="1"/>
  <c r="O263" i="7" s="1"/>
  <c r="M264" i="7"/>
  <c r="N264" i="7" s="1" a="1"/>
  <c r="O264" i="7" s="1"/>
  <c r="M265" i="7"/>
  <c r="N265" i="7" s="1" a="1"/>
  <c r="O265" i="7" s="1"/>
  <c r="M266" i="7"/>
  <c r="N266" i="7" s="1" a="1"/>
  <c r="O266" i="7" s="1"/>
  <c r="M267" i="7"/>
  <c r="N267" i="7" s="1" a="1"/>
  <c r="O267" i="7" s="1"/>
  <c r="M268" i="7"/>
  <c r="N268" i="7" s="1" a="1"/>
  <c r="O268" i="7" s="1"/>
  <c r="M269" i="7"/>
  <c r="N269" i="7" s="1" a="1"/>
  <c r="O269" i="7" s="1"/>
  <c r="M270" i="7"/>
  <c r="N270" i="7" s="1" a="1"/>
  <c r="O270" i="7" s="1"/>
  <c r="M271" i="7"/>
  <c r="N271" i="7" s="1" a="1"/>
  <c r="O271" i="7" s="1"/>
  <c r="M272" i="7"/>
  <c r="N272" i="7" s="1" a="1"/>
  <c r="O272" i="7" s="1"/>
  <c r="M273" i="7"/>
  <c r="N273" i="7" s="1" a="1"/>
  <c r="O273" i="7" s="1"/>
  <c r="M274" i="7"/>
  <c r="N274" i="7" s="1" a="1"/>
  <c r="O274" i="7" s="1"/>
  <c r="M275" i="7"/>
  <c r="N275" i="7" s="1" a="1"/>
  <c r="O275" i="7" s="1"/>
  <c r="M276" i="7"/>
  <c r="N276" i="7" s="1" a="1"/>
  <c r="O276" i="7" s="1"/>
  <c r="M277" i="7"/>
  <c r="N277" i="7" s="1" a="1"/>
  <c r="O277" i="7" s="1"/>
  <c r="M278" i="7"/>
  <c r="N278" i="7" s="1" a="1"/>
  <c r="O278" i="7" s="1"/>
  <c r="M279" i="7"/>
  <c r="N279" i="7" s="1" a="1"/>
  <c r="O279" i="7" s="1"/>
  <c r="M280" i="7"/>
  <c r="N280" i="7" s="1" a="1"/>
  <c r="O280" i="7" s="1"/>
  <c r="M281" i="7"/>
  <c r="N281" i="7" s="1" a="1"/>
  <c r="O281" i="7" s="1"/>
  <c r="M282" i="7"/>
  <c r="N282" i="7" s="1" a="1"/>
  <c r="O282" i="7" s="1"/>
  <c r="M283" i="7"/>
  <c r="N283" i="7" s="1" a="1"/>
  <c r="O283" i="7" s="1"/>
  <c r="M284" i="7"/>
  <c r="N284" i="7" s="1" a="1"/>
  <c r="O284" i="7" s="1"/>
  <c r="M285" i="7"/>
  <c r="N285" i="7" s="1" a="1"/>
  <c r="O285" i="7" s="1"/>
  <c r="M286" i="7"/>
  <c r="N286" i="7" s="1" a="1"/>
  <c r="O286" i="7" s="1"/>
  <c r="M287" i="7"/>
  <c r="N287" i="7" s="1" a="1"/>
  <c r="O287" i="7" s="1"/>
  <c r="M288" i="7"/>
  <c r="N288" i="7" s="1" a="1"/>
  <c r="O288" i="7" s="1"/>
  <c r="M289" i="7"/>
  <c r="N289" i="7" s="1" a="1"/>
  <c r="O289" i="7" s="1"/>
  <c r="M290" i="7"/>
  <c r="N290" i="7" s="1" a="1"/>
  <c r="O290" i="7" s="1"/>
  <c r="M291" i="7"/>
  <c r="N291" i="7" s="1" a="1"/>
  <c r="O291" i="7" s="1"/>
  <c r="M292" i="7"/>
  <c r="N292" i="7" s="1" a="1"/>
  <c r="O292" i="7" s="1"/>
  <c r="M293" i="7"/>
  <c r="N293" i="7" s="1" a="1"/>
  <c r="O293" i="7" s="1"/>
  <c r="M294" i="7"/>
  <c r="N294" i="7" s="1" a="1"/>
  <c r="O294" i="7" s="1"/>
  <c r="M295" i="7"/>
  <c r="N295" i="7" s="1" a="1"/>
  <c r="O295" i="7" s="1"/>
  <c r="M296" i="7"/>
  <c r="N296" i="7" s="1" a="1"/>
  <c r="O296" i="7" s="1"/>
  <c r="M297" i="7"/>
  <c r="N297" i="7" s="1" a="1"/>
  <c r="O297" i="7" s="1"/>
  <c r="M298" i="7"/>
  <c r="N298" i="7" s="1" a="1"/>
  <c r="O298" i="7" s="1"/>
  <c r="M299" i="7"/>
  <c r="N299" i="7" s="1" a="1"/>
  <c r="O299" i="7" s="1"/>
  <c r="M300" i="7"/>
  <c r="N300" i="7" s="1" a="1"/>
  <c r="O300" i="7" s="1"/>
  <c r="M301" i="7"/>
  <c r="N301" i="7" s="1" a="1"/>
  <c r="O301" i="7" s="1"/>
  <c r="M302" i="7"/>
  <c r="N302" i="7" s="1" a="1"/>
  <c r="O302" i="7" s="1"/>
  <c r="M303" i="7"/>
  <c r="N303" i="7" s="1" a="1"/>
  <c r="O303" i="7" s="1"/>
  <c r="M304" i="7"/>
  <c r="N304" i="7" s="1" a="1"/>
  <c r="O304" i="7" s="1"/>
  <c r="M305" i="7"/>
  <c r="N305" i="7" s="1" a="1"/>
  <c r="O305" i="7" s="1"/>
  <c r="M306" i="7"/>
  <c r="N306" i="7" s="1" a="1"/>
  <c r="O306" i="7" s="1"/>
  <c r="M307" i="7"/>
  <c r="N307" i="7" s="1" a="1"/>
  <c r="O307" i="7" s="1"/>
  <c r="M308" i="7"/>
  <c r="N308" i="7" s="1" a="1"/>
  <c r="O308" i="7" s="1"/>
  <c r="M309" i="7"/>
  <c r="N309" i="7" s="1" a="1"/>
  <c r="O309" i="7" s="1"/>
  <c r="M310" i="7"/>
  <c r="N310" i="7" s="1" a="1"/>
  <c r="O310" i="7" s="1"/>
  <c r="M311" i="7"/>
  <c r="N311" i="7" s="1" a="1"/>
  <c r="O311" i="7" s="1"/>
  <c r="M312" i="7"/>
  <c r="N312" i="7" s="1" a="1"/>
  <c r="O312" i="7" s="1"/>
  <c r="M313" i="7"/>
  <c r="N313" i="7" s="1" a="1"/>
  <c r="O313" i="7" s="1"/>
  <c r="M314" i="7"/>
  <c r="N314" i="7" s="1" a="1"/>
  <c r="O314" i="7" s="1"/>
  <c r="M315" i="7"/>
  <c r="N315" i="7" s="1" a="1"/>
  <c r="O315" i="7" s="1"/>
  <c r="M316" i="7"/>
  <c r="N316" i="7" s="1" a="1"/>
  <c r="O316" i="7" s="1"/>
  <c r="M317" i="7"/>
  <c r="N317" i="7" s="1" a="1"/>
  <c r="O317" i="7" s="1"/>
  <c r="M318" i="7"/>
  <c r="N318" i="7" s="1" a="1"/>
  <c r="O318" i="7" s="1"/>
  <c r="M319" i="7"/>
  <c r="N319" i="7" s="1" a="1"/>
  <c r="O319" i="7" s="1"/>
  <c r="M320" i="7"/>
  <c r="N320" i="7" s="1" a="1"/>
  <c r="O320" i="7" s="1"/>
  <c r="M321" i="7"/>
  <c r="N321" i="7" s="1" a="1"/>
  <c r="O321" i="7" s="1"/>
  <c r="M322" i="7"/>
  <c r="N322" i="7" s="1" a="1"/>
  <c r="O322" i="7" s="1"/>
  <c r="M323" i="7"/>
  <c r="N323" i="7" s="1" a="1"/>
  <c r="O323" i="7" s="1"/>
  <c r="M324" i="7"/>
  <c r="N324" i="7" s="1" a="1"/>
  <c r="O324" i="7" s="1"/>
  <c r="M325" i="7"/>
  <c r="N325" i="7" s="1" a="1"/>
  <c r="O325" i="7" s="1"/>
  <c r="M326" i="7"/>
  <c r="N326" i="7" s="1" a="1"/>
  <c r="O326" i="7" s="1"/>
  <c r="M327" i="7"/>
  <c r="N327" i="7" s="1" a="1"/>
  <c r="O327" i="7" s="1"/>
  <c r="M328" i="7"/>
  <c r="N328" i="7" s="1" a="1"/>
  <c r="O328" i="7" s="1"/>
  <c r="M329" i="7"/>
  <c r="N329" i="7" s="1" a="1"/>
  <c r="O329" i="7" s="1"/>
  <c r="M330" i="7"/>
  <c r="N330" i="7" s="1" a="1"/>
  <c r="O330" i="7" s="1"/>
  <c r="M331" i="7"/>
  <c r="N331" i="7" s="1" a="1"/>
  <c r="O331" i="7" s="1"/>
  <c r="M332" i="7"/>
  <c r="N332" i="7" s="1" a="1"/>
  <c r="O332" i="7" s="1"/>
  <c r="M333" i="7"/>
  <c r="N333" i="7" s="1" a="1"/>
  <c r="O333" i="7" s="1"/>
  <c r="M334" i="7"/>
  <c r="N334" i="7" s="1" a="1"/>
  <c r="O334" i="7" s="1"/>
  <c r="M335" i="7"/>
  <c r="N335" i="7" s="1" a="1"/>
  <c r="O335" i="7" s="1"/>
  <c r="M336" i="7"/>
  <c r="N336" i="7" s="1" a="1"/>
  <c r="O336" i="7" s="1"/>
  <c r="M337" i="7"/>
  <c r="N337" i="7" s="1" a="1"/>
  <c r="O337" i="7" s="1"/>
  <c r="M338" i="7"/>
  <c r="N338" i="7" s="1" a="1"/>
  <c r="O338" i="7" s="1"/>
  <c r="M339" i="7"/>
  <c r="N339" i="7" s="1" a="1"/>
  <c r="O339" i="7" s="1"/>
  <c r="M340" i="7"/>
  <c r="N340" i="7" s="1" a="1"/>
  <c r="O340" i="7" s="1"/>
  <c r="M341" i="7"/>
  <c r="N341" i="7" s="1" a="1"/>
  <c r="O341" i="7" s="1"/>
  <c r="M342" i="7"/>
  <c r="N342" i="7" s="1" a="1"/>
  <c r="O342" i="7" s="1"/>
  <c r="M343" i="7"/>
  <c r="N343" i="7" s="1" a="1"/>
  <c r="O343" i="7" s="1"/>
  <c r="M344" i="7"/>
  <c r="N344" i="7" s="1" a="1"/>
  <c r="O344" i="7" s="1"/>
  <c r="M345" i="7"/>
  <c r="N345" i="7" s="1" a="1"/>
  <c r="O345" i="7" s="1"/>
  <c r="M346" i="7"/>
  <c r="N346" i="7" s="1" a="1"/>
  <c r="O346" i="7" s="1"/>
  <c r="M347" i="7"/>
  <c r="N347" i="7" s="1" a="1"/>
  <c r="O347" i="7" s="1"/>
  <c r="M348" i="7"/>
  <c r="N348" i="7" s="1" a="1"/>
  <c r="O348" i="7" s="1"/>
  <c r="M349" i="7"/>
  <c r="N349" i="7" s="1" a="1"/>
  <c r="O349" i="7" s="1"/>
  <c r="M350" i="7"/>
  <c r="N350" i="7" s="1" a="1"/>
  <c r="O350" i="7" s="1"/>
  <c r="M351" i="7"/>
  <c r="N351" i="7" s="1" a="1"/>
  <c r="O351" i="7" s="1"/>
  <c r="M352" i="7"/>
  <c r="N352" i="7" s="1" a="1"/>
  <c r="O352" i="7" s="1"/>
  <c r="M353" i="7"/>
  <c r="N353" i="7" s="1" a="1"/>
  <c r="O353" i="7" s="1"/>
  <c r="M354" i="7"/>
  <c r="N354" i="7" s="1" a="1"/>
  <c r="O354" i="7" s="1"/>
  <c r="M355" i="7"/>
  <c r="N355" i="7" s="1" a="1"/>
  <c r="O355" i="7" s="1"/>
  <c r="M356" i="7"/>
  <c r="N356" i="7" s="1" a="1"/>
  <c r="O356" i="7" s="1"/>
  <c r="M357" i="7"/>
  <c r="N357" i="7" s="1" a="1"/>
  <c r="O357" i="7" s="1"/>
  <c r="M358" i="7"/>
  <c r="N358" i="7" s="1" a="1"/>
  <c r="O358" i="7" s="1"/>
  <c r="M359" i="7"/>
  <c r="N359" i="7" s="1" a="1"/>
  <c r="O359" i="7" s="1"/>
  <c r="M360" i="7"/>
  <c r="N360" i="7" s="1" a="1"/>
  <c r="O360" i="7" s="1"/>
  <c r="M361" i="7"/>
  <c r="N361" i="7" s="1" a="1"/>
  <c r="O361" i="7" s="1"/>
  <c r="M362" i="7"/>
  <c r="N362" i="7" s="1" a="1"/>
  <c r="O362" i="7" s="1"/>
  <c r="M363" i="7"/>
  <c r="N363" i="7" s="1" a="1"/>
  <c r="O363" i="7" s="1"/>
  <c r="M364" i="7"/>
  <c r="N364" i="7" s="1" a="1"/>
  <c r="O364" i="7" s="1"/>
  <c r="M365" i="7"/>
  <c r="N365" i="7" s="1" a="1"/>
  <c r="O365" i="7" s="1"/>
  <c r="M366" i="7"/>
  <c r="N366" i="7" s="1" a="1"/>
  <c r="O366" i="7" s="1"/>
  <c r="M367" i="7"/>
  <c r="N367" i="7" s="1" a="1"/>
  <c r="O367" i="7" s="1"/>
  <c r="M368" i="7"/>
  <c r="N368" i="7" s="1" a="1"/>
  <c r="O368" i="7" s="1"/>
  <c r="M369" i="7"/>
  <c r="N369" i="7" s="1" a="1"/>
  <c r="O369" i="7" s="1"/>
  <c r="M370" i="7"/>
  <c r="N370" i="7" s="1" a="1"/>
  <c r="O370" i="7" s="1"/>
  <c r="M371" i="7"/>
  <c r="N371" i="7" s="1" a="1"/>
  <c r="O371" i="7" s="1"/>
  <c r="M372" i="7"/>
  <c r="N372" i="7" s="1" a="1"/>
  <c r="O372" i="7" s="1"/>
  <c r="M373" i="7"/>
  <c r="N373" i="7" s="1" a="1"/>
  <c r="O373" i="7" s="1"/>
  <c r="M374" i="7"/>
  <c r="N374" i="7" s="1" a="1"/>
  <c r="O374" i="7" s="1"/>
  <c r="M375" i="7"/>
  <c r="N375" i="7" s="1" a="1"/>
  <c r="O375" i="7" s="1"/>
  <c r="M376" i="7"/>
  <c r="N376" i="7" s="1" a="1"/>
  <c r="O376" i="7" s="1"/>
  <c r="M377" i="7"/>
  <c r="N377" i="7" s="1" a="1"/>
  <c r="O377" i="7" s="1"/>
  <c r="M378" i="7"/>
  <c r="N378" i="7" s="1" a="1"/>
  <c r="O378" i="7" s="1"/>
  <c r="M379" i="7"/>
  <c r="N379" i="7" s="1" a="1"/>
  <c r="O379" i="7" s="1"/>
  <c r="M380" i="7"/>
  <c r="N380" i="7" s="1" a="1"/>
  <c r="O380" i="7" s="1"/>
  <c r="M381" i="7"/>
  <c r="N381" i="7" s="1" a="1"/>
  <c r="O381" i="7" s="1"/>
  <c r="M382" i="7"/>
  <c r="N382" i="7" s="1" a="1"/>
  <c r="O382" i="7" s="1"/>
  <c r="M383" i="7"/>
  <c r="N383" i="7" s="1" a="1"/>
  <c r="O383" i="7" s="1"/>
  <c r="M384" i="7"/>
  <c r="N384" i="7" s="1" a="1"/>
  <c r="O384" i="7" s="1"/>
  <c r="M385" i="7"/>
  <c r="N385" i="7" s="1" a="1"/>
  <c r="O385" i="7" s="1"/>
  <c r="M386" i="7"/>
  <c r="N386" i="7" s="1" a="1"/>
  <c r="O386" i="7" s="1"/>
  <c r="M387" i="7"/>
  <c r="N387" i="7" s="1" a="1"/>
  <c r="O387" i="7" s="1"/>
  <c r="M388" i="7"/>
  <c r="N388" i="7" s="1" a="1"/>
  <c r="O388" i="7" s="1"/>
  <c r="M389" i="7"/>
  <c r="N389" i="7" s="1" a="1"/>
  <c r="O389" i="7" s="1"/>
  <c r="M390" i="7"/>
  <c r="N390" i="7" s="1" a="1"/>
  <c r="O390" i="7" s="1"/>
  <c r="M391" i="7"/>
  <c r="N391" i="7" s="1" a="1"/>
  <c r="O391" i="7" s="1"/>
  <c r="M392" i="7"/>
  <c r="N392" i="7" s="1" a="1"/>
  <c r="O392" i="7" s="1"/>
  <c r="M393" i="7"/>
  <c r="N393" i="7" s="1" a="1"/>
  <c r="O393" i="7" s="1"/>
  <c r="M394" i="7"/>
  <c r="N394" i="7" s="1" a="1"/>
  <c r="O394" i="7" s="1"/>
  <c r="M395" i="7"/>
  <c r="N395" i="7" s="1" a="1"/>
  <c r="O395" i="7" s="1"/>
  <c r="M396" i="7"/>
  <c r="N396" i="7" s="1" a="1"/>
  <c r="O396" i="7" s="1"/>
  <c r="M397" i="7"/>
  <c r="N397" i="7" s="1" a="1"/>
  <c r="O397" i="7" s="1"/>
  <c r="M398" i="7"/>
  <c r="N398" i="7" s="1" a="1"/>
  <c r="O398" i="7" s="1"/>
  <c r="M399" i="7"/>
  <c r="N399" i="7" s="1" a="1"/>
  <c r="O399" i="7" s="1"/>
  <c r="M400" i="7"/>
  <c r="N400" i="7" s="1" a="1"/>
  <c r="O400" i="7" s="1"/>
  <c r="M401" i="7"/>
  <c r="N401" i="7" s="1" a="1"/>
  <c r="O401" i="7" s="1"/>
  <c r="M402" i="7"/>
  <c r="N402" i="7" s="1" a="1"/>
  <c r="O402" i="7" s="1"/>
  <c r="M403" i="7"/>
  <c r="N403" i="7" s="1" a="1"/>
  <c r="O403" i="7" s="1"/>
  <c r="M404" i="7"/>
  <c r="N404" i="7" s="1" a="1"/>
  <c r="O404" i="7" s="1"/>
  <c r="M405" i="7"/>
  <c r="N405" i="7" s="1" a="1"/>
  <c r="O405" i="7" s="1"/>
  <c r="M406" i="7"/>
  <c r="N406" i="7" s="1" a="1"/>
  <c r="O406" i="7" s="1"/>
  <c r="M407" i="7"/>
  <c r="N407" i="7" s="1" a="1"/>
  <c r="O407" i="7" s="1"/>
  <c r="M408" i="7"/>
  <c r="N408" i="7" s="1" a="1"/>
  <c r="O408" i="7" s="1"/>
  <c r="M409" i="7"/>
  <c r="N409" i="7" s="1" a="1"/>
  <c r="O409" i="7" s="1"/>
  <c r="M410" i="7"/>
  <c r="N410" i="7" s="1" a="1"/>
  <c r="O410" i="7" s="1"/>
  <c r="M411" i="7"/>
  <c r="N411" i="7" s="1" a="1"/>
  <c r="O411" i="7" s="1"/>
  <c r="M412" i="7"/>
  <c r="N412" i="7" s="1" a="1"/>
  <c r="O412" i="7" s="1"/>
  <c r="M413" i="7"/>
  <c r="N413" i="7" s="1" a="1"/>
  <c r="O413" i="7" s="1"/>
  <c r="M414" i="7"/>
  <c r="N414" i="7" s="1" a="1"/>
  <c r="O414" i="7" s="1"/>
  <c r="M415" i="7"/>
  <c r="N415" i="7" s="1" a="1"/>
  <c r="O415" i="7" s="1"/>
  <c r="M416" i="7"/>
  <c r="N416" i="7" s="1" a="1"/>
  <c r="O416" i="7" s="1"/>
  <c r="M417" i="7"/>
  <c r="N417" i="7" s="1" a="1"/>
  <c r="O417" i="7" s="1"/>
  <c r="M418" i="7"/>
  <c r="N418" i="7" s="1" a="1"/>
  <c r="O418" i="7" s="1"/>
  <c r="M419" i="7"/>
  <c r="N419" i="7" s="1" a="1"/>
  <c r="O419" i="7" s="1"/>
  <c r="M420" i="7"/>
  <c r="N420" i="7" s="1" a="1"/>
  <c r="O420" i="7" s="1"/>
  <c r="M421" i="7"/>
  <c r="N421" i="7" s="1" a="1"/>
  <c r="O421" i="7" s="1"/>
  <c r="M422" i="7"/>
  <c r="N422" i="7" s="1" a="1"/>
  <c r="O422" i="7" s="1"/>
  <c r="M423" i="7"/>
  <c r="N423" i="7" s="1" a="1"/>
  <c r="O423" i="7" s="1"/>
  <c r="M424" i="7"/>
  <c r="N424" i="7" s="1" a="1"/>
  <c r="O424" i="7" s="1"/>
  <c r="M425" i="7"/>
  <c r="N425" i="7" s="1" a="1"/>
  <c r="O425" i="7" s="1"/>
  <c r="M426" i="7"/>
  <c r="N426" i="7" s="1" a="1"/>
  <c r="O426" i="7" s="1"/>
  <c r="M427" i="7"/>
  <c r="N427" i="7" s="1" a="1"/>
  <c r="O427" i="7" s="1"/>
  <c r="M428" i="7"/>
  <c r="N428" i="7" s="1" a="1"/>
  <c r="O428" i="7" s="1"/>
  <c r="M429" i="7"/>
  <c r="N429" i="7" s="1" a="1"/>
  <c r="O429" i="7" s="1"/>
  <c r="M430" i="7"/>
  <c r="N430" i="7" s="1" a="1"/>
  <c r="O430" i="7" s="1"/>
  <c r="M431" i="7"/>
  <c r="N431" i="7" s="1" a="1"/>
  <c r="O431" i="7" s="1"/>
  <c r="M432" i="7"/>
  <c r="N432" i="7" s="1" a="1"/>
  <c r="O432" i="7" s="1"/>
  <c r="M433" i="7"/>
  <c r="N433" i="7" s="1" a="1"/>
  <c r="O433" i="7" s="1"/>
  <c r="M434" i="7"/>
  <c r="N434" i="7" s="1" a="1"/>
  <c r="O434" i="7" s="1"/>
  <c r="M435" i="7"/>
  <c r="N435" i="7" s="1" a="1"/>
  <c r="O435" i="7" s="1"/>
  <c r="M436" i="7"/>
  <c r="N436" i="7" s="1" a="1"/>
  <c r="O436" i="7" s="1"/>
  <c r="M437" i="7"/>
  <c r="N437" i="7" s="1" a="1"/>
  <c r="O437" i="7" s="1"/>
  <c r="M438" i="7"/>
  <c r="N438" i="7" s="1" a="1"/>
  <c r="O438" i="7" s="1"/>
  <c r="M439" i="7"/>
  <c r="N439" i="7" s="1" a="1"/>
  <c r="O439" i="7" s="1"/>
  <c r="M440" i="7"/>
  <c r="N440" i="7" s="1" a="1"/>
  <c r="O440" i="7" s="1"/>
  <c r="M441" i="7"/>
  <c r="N441" i="7" s="1" a="1"/>
  <c r="O441" i="7" s="1"/>
  <c r="M442" i="7"/>
  <c r="N442" i="7" s="1" a="1"/>
  <c r="O442" i="7" s="1"/>
  <c r="M443" i="7"/>
  <c r="N443" i="7" s="1" a="1"/>
  <c r="O443" i="7" s="1"/>
  <c r="M444" i="7"/>
  <c r="N444" i="7" s="1" a="1"/>
  <c r="O444" i="7" s="1"/>
  <c r="M445" i="7"/>
  <c r="N445" i="7" s="1" a="1"/>
  <c r="O445" i="7" s="1"/>
  <c r="M446" i="7"/>
  <c r="N446" i="7" s="1" a="1"/>
  <c r="O446" i="7" s="1"/>
  <c r="M447" i="7"/>
  <c r="N447" i="7" s="1" a="1"/>
  <c r="O447" i="7" s="1"/>
  <c r="M448" i="7"/>
  <c r="N448" i="7" s="1" a="1"/>
  <c r="O448" i="7" s="1"/>
  <c r="M449" i="7"/>
  <c r="N449" i="7" s="1" a="1"/>
  <c r="O449" i="7" s="1"/>
  <c r="M450" i="7"/>
  <c r="N450" i="7" s="1" a="1"/>
  <c r="O450" i="7" s="1"/>
  <c r="M451" i="7"/>
  <c r="N451" i="7" s="1" a="1"/>
  <c r="O451" i="7" s="1"/>
  <c r="M452" i="7"/>
  <c r="N452" i="7" s="1" a="1"/>
  <c r="O452" i="7" s="1"/>
  <c r="M453" i="7"/>
  <c r="N453" i="7" s="1" a="1"/>
  <c r="O453" i="7" s="1"/>
  <c r="M454" i="7"/>
  <c r="N454" i="7" s="1" a="1"/>
  <c r="O454" i="7" s="1"/>
  <c r="M455" i="7"/>
  <c r="N455" i="7" s="1" a="1"/>
  <c r="O455" i="7" s="1"/>
  <c r="M456" i="7"/>
  <c r="N456" i="7" s="1" a="1"/>
  <c r="O456" i="7" s="1"/>
  <c r="M457" i="7"/>
  <c r="N457" i="7" s="1" a="1"/>
  <c r="O457" i="7" s="1"/>
  <c r="M458" i="7"/>
  <c r="N458" i="7" s="1" a="1"/>
  <c r="O458" i="7" s="1"/>
  <c r="M459" i="7"/>
  <c r="N459" i="7" s="1" a="1"/>
  <c r="O459" i="7" s="1"/>
  <c r="M460" i="7"/>
  <c r="N460" i="7" s="1" a="1"/>
  <c r="O460" i="7" s="1"/>
  <c r="M461" i="7"/>
  <c r="N461" i="7" s="1" a="1"/>
  <c r="O461" i="7" s="1"/>
  <c r="M462" i="7"/>
  <c r="N462" i="7" s="1" a="1"/>
  <c r="O462" i="7" s="1"/>
  <c r="M463" i="7"/>
  <c r="N463" i="7" s="1" a="1"/>
  <c r="O463" i="7" s="1"/>
  <c r="M464" i="7"/>
  <c r="N464" i="7" s="1" a="1"/>
  <c r="O464" i="7" s="1"/>
  <c r="M465" i="7"/>
  <c r="N465" i="7" s="1" a="1"/>
  <c r="O465" i="7" s="1"/>
  <c r="M466" i="7"/>
  <c r="N466" i="7" s="1" a="1"/>
  <c r="O466" i="7" s="1"/>
  <c r="M467" i="7"/>
  <c r="N467" i="7" s="1" a="1"/>
  <c r="O467" i="7" s="1"/>
  <c r="M468" i="7"/>
  <c r="N468" i="7" s="1" a="1"/>
  <c r="O468" i="7" s="1"/>
  <c r="M469" i="7"/>
  <c r="N469" i="7" s="1" a="1"/>
  <c r="O469" i="7" s="1"/>
  <c r="M470" i="7"/>
  <c r="N470" i="7" s="1" a="1"/>
  <c r="O470" i="7" s="1"/>
  <c r="M471" i="7"/>
  <c r="N471" i="7" s="1" a="1"/>
  <c r="O471" i="7" s="1"/>
  <c r="M472" i="7"/>
  <c r="N472" i="7" s="1" a="1"/>
  <c r="O472" i="7" s="1"/>
  <c r="M473" i="7"/>
  <c r="N473" i="7" s="1" a="1"/>
  <c r="O473" i="7" s="1"/>
  <c r="M474" i="7"/>
  <c r="N474" i="7" s="1" a="1"/>
  <c r="O474" i="7" s="1"/>
  <c r="M475" i="7"/>
  <c r="N475" i="7" s="1" a="1"/>
  <c r="O475" i="7" s="1"/>
  <c r="M476" i="7"/>
  <c r="N476" i="7" s="1" a="1"/>
  <c r="O476" i="7" s="1"/>
  <c r="M477" i="7"/>
  <c r="N477" i="7" s="1" a="1"/>
  <c r="O477" i="7" s="1"/>
  <c r="M478" i="7"/>
  <c r="N478" i="7" s="1" a="1"/>
  <c r="O478" i="7" s="1"/>
  <c r="M479" i="7"/>
  <c r="N479" i="7" s="1" a="1"/>
  <c r="O479" i="7" s="1"/>
  <c r="M480" i="7"/>
  <c r="N480" i="7" s="1" a="1"/>
  <c r="O480" i="7" s="1"/>
  <c r="M481" i="7"/>
  <c r="N481" i="7" s="1" a="1"/>
  <c r="O481" i="7" s="1"/>
  <c r="M482" i="7"/>
  <c r="N482" i="7" s="1" a="1"/>
  <c r="O482" i="7" s="1"/>
  <c r="M483" i="7"/>
  <c r="N483" i="7" s="1" a="1"/>
  <c r="O483" i="7" s="1"/>
  <c r="M484" i="7"/>
  <c r="N484" i="7" s="1" a="1"/>
  <c r="O484" i="7" s="1"/>
  <c r="M485" i="7"/>
  <c r="N485" i="7" s="1" a="1"/>
  <c r="O485" i="7" s="1"/>
  <c r="M486" i="7"/>
  <c r="N486" i="7" s="1" a="1"/>
  <c r="O486" i="7" s="1"/>
  <c r="M487" i="7"/>
  <c r="N487" i="7" s="1" a="1"/>
  <c r="O487" i="7" s="1"/>
  <c r="M488" i="7"/>
  <c r="N488" i="7" s="1" a="1"/>
  <c r="O488" i="7" s="1"/>
  <c r="M489" i="7"/>
  <c r="N489" i="7" s="1" a="1"/>
  <c r="O489" i="7" s="1"/>
  <c r="M490" i="7"/>
  <c r="N490" i="7" s="1" a="1"/>
  <c r="O490" i="7" s="1"/>
  <c r="M491" i="7"/>
  <c r="N491" i="7" s="1" a="1"/>
  <c r="O491" i="7" s="1"/>
  <c r="M492" i="7"/>
  <c r="N492" i="7" s="1" a="1"/>
  <c r="O492" i="7" s="1"/>
  <c r="M493" i="7"/>
  <c r="N493" i="7" s="1" a="1"/>
  <c r="O493" i="7" s="1"/>
  <c r="M494" i="7"/>
  <c r="N494" i="7" s="1" a="1"/>
  <c r="O494" i="7" s="1"/>
  <c r="M495" i="7"/>
  <c r="N495" i="7" s="1" a="1"/>
  <c r="O495" i="7" s="1"/>
  <c r="M496" i="7"/>
  <c r="N496" i="7" s="1" a="1"/>
  <c r="O496" i="7" s="1"/>
  <c r="M497" i="7"/>
  <c r="N497" i="7" s="1" a="1"/>
  <c r="O497" i="7" s="1"/>
  <c r="M498" i="7"/>
  <c r="N498" i="7" s="1" a="1"/>
  <c r="O498" i="7" s="1"/>
  <c r="M499" i="7"/>
  <c r="N499" i="7" s="1" a="1"/>
  <c r="O499" i="7" s="1"/>
  <c r="M500" i="7"/>
  <c r="N500" i="7" s="1" a="1"/>
  <c r="O500" i="7" s="1"/>
  <c r="M501" i="7"/>
  <c r="N501" i="7" s="1" a="1"/>
  <c r="O501" i="7" s="1"/>
  <c r="M502" i="7"/>
  <c r="N502" i="7" s="1" a="1"/>
  <c r="O502" i="7" s="1"/>
  <c r="M503" i="7"/>
  <c r="N503" i="7" s="1" a="1"/>
  <c r="O503" i="7" s="1"/>
  <c r="M504" i="7"/>
  <c r="N504" i="7" s="1" a="1"/>
  <c r="O504" i="7" s="1"/>
  <c r="M505" i="7"/>
  <c r="N505" i="7" s="1" a="1"/>
  <c r="O505" i="7" s="1"/>
  <c r="M506" i="7"/>
  <c r="N506" i="7" s="1" a="1"/>
  <c r="O506" i="7" s="1"/>
  <c r="M507" i="7"/>
  <c r="N507" i="7" s="1" a="1"/>
  <c r="O507" i="7" s="1"/>
  <c r="M508" i="7"/>
  <c r="N508" i="7" s="1" a="1"/>
  <c r="O508" i="7" s="1"/>
  <c r="M509" i="7"/>
  <c r="N509" i="7" s="1" a="1"/>
  <c r="O509" i="7" s="1"/>
  <c r="M510" i="7"/>
  <c r="N510" i="7" s="1" a="1"/>
  <c r="O510" i="7" s="1"/>
  <c r="M511" i="7"/>
  <c r="N511" i="7" s="1" a="1"/>
  <c r="O511" i="7" s="1"/>
  <c r="M512" i="7"/>
  <c r="N512" i="7" s="1" a="1"/>
  <c r="O512" i="7" s="1"/>
  <c r="M513" i="7"/>
  <c r="N513" i="7" s="1" a="1"/>
  <c r="O513" i="7" s="1"/>
  <c r="M514" i="7"/>
  <c r="N514" i="7" s="1" a="1"/>
  <c r="O514" i="7" s="1"/>
  <c r="M515" i="7"/>
  <c r="N515" i="7" s="1" a="1"/>
  <c r="O515" i="7" s="1"/>
  <c r="M516" i="7"/>
  <c r="N516" i="7" s="1" a="1"/>
  <c r="O516" i="7" s="1"/>
  <c r="M517" i="7"/>
  <c r="N517" i="7" s="1" a="1"/>
  <c r="O517" i="7" s="1"/>
  <c r="M518" i="7"/>
  <c r="N518" i="7" s="1" a="1"/>
  <c r="O518" i="7" s="1"/>
  <c r="M519" i="7"/>
  <c r="N519" i="7" s="1" a="1"/>
  <c r="O519" i="7" s="1"/>
  <c r="M520" i="7"/>
  <c r="N520" i="7" s="1" a="1"/>
  <c r="O520" i="7" s="1"/>
  <c r="M521" i="7"/>
  <c r="N521" i="7" s="1" a="1"/>
  <c r="O521" i="7" s="1"/>
  <c r="M522" i="7"/>
  <c r="N522" i="7" s="1" a="1"/>
  <c r="O522" i="7" s="1"/>
  <c r="M523" i="7"/>
  <c r="N523" i="7" s="1" a="1"/>
  <c r="O523" i="7" s="1"/>
  <c r="M524" i="7"/>
  <c r="N524" i="7" s="1" a="1"/>
  <c r="O524" i="7" s="1"/>
  <c r="M525" i="7"/>
  <c r="N525" i="7" s="1" a="1"/>
  <c r="O525" i="7" s="1"/>
  <c r="M526" i="7"/>
  <c r="N526" i="7" s="1" a="1"/>
  <c r="O526" i="7" s="1"/>
  <c r="M527" i="7"/>
  <c r="N527" i="7" s="1" a="1"/>
  <c r="O527" i="7" s="1"/>
  <c r="M528" i="7"/>
  <c r="N528" i="7" s="1" a="1"/>
  <c r="O528" i="7" s="1"/>
  <c r="M529" i="7"/>
  <c r="N529" i="7" s="1" a="1"/>
  <c r="O529" i="7" s="1"/>
  <c r="M530" i="7"/>
  <c r="N530" i="7" s="1" a="1"/>
  <c r="O530" i="7" s="1"/>
  <c r="M531" i="7"/>
  <c r="N531" i="7" s="1" a="1"/>
  <c r="O531" i="7" s="1"/>
  <c r="M532" i="7"/>
  <c r="N532" i="7" s="1" a="1"/>
  <c r="O532" i="7" s="1"/>
  <c r="M533" i="7"/>
  <c r="N533" i="7" s="1" a="1"/>
  <c r="O533" i="7" s="1"/>
  <c r="M534" i="7"/>
  <c r="N534" i="7" s="1" a="1"/>
  <c r="O534" i="7" s="1"/>
  <c r="M535" i="7"/>
  <c r="N535" i="7" s="1" a="1"/>
  <c r="O535" i="7" s="1"/>
  <c r="M536" i="7"/>
  <c r="N536" i="7" s="1" a="1"/>
  <c r="O536" i="7" s="1"/>
  <c r="M537" i="7"/>
  <c r="N537" i="7" s="1" a="1"/>
  <c r="O537" i="7" s="1"/>
  <c r="M538" i="7"/>
  <c r="N538" i="7" s="1" a="1"/>
  <c r="O538" i="7" s="1"/>
  <c r="M539" i="7"/>
  <c r="N539" i="7" s="1" a="1"/>
  <c r="O539" i="7" s="1"/>
  <c r="M540" i="7"/>
  <c r="N540" i="7" s="1" a="1"/>
  <c r="O540" i="7" s="1"/>
  <c r="M541" i="7"/>
  <c r="N541" i="7" s="1" a="1"/>
  <c r="O541" i="7" s="1"/>
  <c r="M542" i="7"/>
  <c r="N542" i="7" s="1" a="1"/>
  <c r="O542" i="7" s="1"/>
  <c r="M543" i="7"/>
  <c r="N543" i="7" s="1" a="1"/>
  <c r="O543" i="7" s="1"/>
  <c r="M544" i="7"/>
  <c r="N544" i="7" s="1" a="1"/>
  <c r="O544" i="7" s="1"/>
  <c r="M545" i="7"/>
  <c r="N545" i="7" s="1" a="1"/>
  <c r="O545" i="7" s="1"/>
  <c r="M546" i="7"/>
  <c r="N546" i="7" s="1" a="1"/>
  <c r="O546" i="7" s="1"/>
  <c r="M547" i="7"/>
  <c r="N547" i="7" s="1" a="1"/>
  <c r="O547" i="7" s="1"/>
  <c r="M548" i="7"/>
  <c r="N548" i="7" s="1" a="1"/>
  <c r="O548" i="7" s="1"/>
  <c r="M549" i="7"/>
  <c r="N549" i="7" s="1" a="1"/>
  <c r="O549" i="7" s="1"/>
  <c r="M550" i="7"/>
  <c r="N550" i="7" s="1" a="1"/>
  <c r="O550" i="7" s="1"/>
  <c r="M551" i="7"/>
  <c r="N551" i="7" s="1" a="1"/>
  <c r="O551" i="7" s="1"/>
  <c r="M552" i="7"/>
  <c r="N552" i="7" s="1" a="1"/>
  <c r="O552" i="7" s="1"/>
  <c r="M553" i="7"/>
  <c r="N553" i="7" s="1" a="1"/>
  <c r="O553" i="7" s="1"/>
  <c r="M554" i="7"/>
  <c r="N554" i="7" s="1" a="1"/>
  <c r="O554" i="7" s="1"/>
  <c r="M555" i="7"/>
  <c r="N555" i="7" s="1" a="1"/>
  <c r="O555" i="7" s="1"/>
  <c r="M556" i="7"/>
  <c r="N556" i="7" s="1" a="1"/>
  <c r="O556" i="7" s="1"/>
  <c r="M557" i="7"/>
  <c r="N557" i="7" s="1" a="1"/>
  <c r="O557" i="7" s="1"/>
  <c r="M558" i="7"/>
  <c r="N558" i="7" s="1" a="1"/>
  <c r="O558" i="7" s="1"/>
  <c r="M559" i="7"/>
  <c r="N559" i="7" s="1" a="1"/>
  <c r="O559" i="7" s="1"/>
  <c r="M560" i="7"/>
  <c r="N560" i="7" s="1" a="1"/>
  <c r="O560" i="7" s="1"/>
  <c r="M561" i="7"/>
  <c r="N561" i="7" s="1" a="1"/>
  <c r="O561" i="7" s="1"/>
  <c r="M562" i="7"/>
  <c r="N562" i="7" s="1" a="1"/>
  <c r="O562" i="7" s="1"/>
  <c r="M563" i="7"/>
  <c r="N563" i="7" s="1" a="1"/>
  <c r="O563" i="7" s="1"/>
  <c r="M564" i="7"/>
  <c r="N564" i="7" s="1" a="1"/>
  <c r="O564" i="7" s="1"/>
  <c r="M565" i="7"/>
  <c r="N565" i="7" s="1" a="1"/>
  <c r="O565" i="7" s="1"/>
  <c r="M566" i="7"/>
  <c r="N566" i="7" s="1" a="1"/>
  <c r="O566" i="7" s="1"/>
  <c r="M567" i="7"/>
  <c r="N567" i="7" s="1" a="1"/>
  <c r="O567" i="7" s="1"/>
  <c r="M568" i="7"/>
  <c r="N568" i="7" s="1" a="1"/>
  <c r="O568" i="7" s="1"/>
  <c r="M569" i="7"/>
  <c r="N569" i="7" s="1" a="1"/>
  <c r="O569" i="7" s="1"/>
  <c r="M570" i="7"/>
  <c r="N570" i="7" s="1" a="1"/>
  <c r="O570" i="7" s="1"/>
  <c r="M571" i="7"/>
  <c r="N571" i="7" s="1" a="1"/>
  <c r="O571" i="7" s="1"/>
  <c r="M572" i="7"/>
  <c r="N572" i="7" s="1" a="1"/>
  <c r="O572" i="7" s="1"/>
  <c r="M573" i="7"/>
  <c r="N573" i="7" s="1" a="1"/>
  <c r="O573" i="7" s="1"/>
  <c r="M574" i="7"/>
  <c r="N574" i="7" s="1" a="1"/>
  <c r="O574" i="7" s="1"/>
  <c r="M575" i="7"/>
  <c r="N575" i="7" s="1" a="1"/>
  <c r="O575" i="7" s="1"/>
  <c r="M576" i="7"/>
  <c r="N576" i="7" s="1" a="1"/>
  <c r="O576" i="7" s="1"/>
  <c r="M577" i="7"/>
  <c r="N577" i="7" s="1" a="1"/>
  <c r="O577" i="7" s="1"/>
  <c r="M578" i="7"/>
  <c r="N578" i="7" s="1" a="1"/>
  <c r="O578" i="7" s="1"/>
  <c r="M579" i="7"/>
  <c r="N579" i="7" s="1" a="1"/>
  <c r="O579" i="7" s="1"/>
  <c r="M580" i="7"/>
  <c r="N580" i="7" s="1" a="1"/>
  <c r="O580" i="7" s="1"/>
  <c r="M581" i="7"/>
  <c r="N581" i="7" s="1" a="1"/>
  <c r="O581" i="7" s="1"/>
  <c r="M582" i="7"/>
  <c r="N582" i="7" s="1" a="1"/>
  <c r="O582" i="7" s="1"/>
  <c r="M583" i="7"/>
  <c r="N583" i="7" s="1" a="1"/>
  <c r="O583" i="7" s="1"/>
  <c r="M584" i="7"/>
  <c r="N584" i="7" s="1" a="1"/>
  <c r="O584" i="7" s="1"/>
  <c r="M585" i="7"/>
  <c r="N585" i="7" s="1" a="1"/>
  <c r="O585" i="7" s="1"/>
  <c r="M586" i="7"/>
  <c r="N586" i="7" s="1" a="1"/>
  <c r="O586" i="7" s="1"/>
  <c r="M587" i="7"/>
  <c r="N587" i="7" s="1" a="1"/>
  <c r="O587" i="7" s="1"/>
  <c r="M588" i="7"/>
  <c r="N588" i="7" s="1" a="1"/>
  <c r="O588" i="7" s="1"/>
  <c r="M589" i="7"/>
  <c r="N589" i="7" s="1" a="1"/>
  <c r="O589" i="7" s="1"/>
  <c r="M590" i="7"/>
  <c r="N590" i="7" s="1" a="1"/>
  <c r="O590" i="7" s="1"/>
  <c r="M591" i="7"/>
  <c r="N591" i="7" s="1" a="1"/>
  <c r="O591" i="7" s="1"/>
  <c r="M592" i="7"/>
  <c r="N592" i="7" s="1" a="1"/>
  <c r="O592" i="7" s="1"/>
  <c r="M593" i="7"/>
  <c r="N593" i="7" s="1" a="1"/>
  <c r="O593" i="7" s="1"/>
  <c r="M594" i="7"/>
  <c r="N594" i="7" s="1" a="1"/>
  <c r="O594" i="7" s="1"/>
  <c r="M595" i="7"/>
  <c r="N595" i="7" s="1" a="1"/>
  <c r="O595" i="7" s="1"/>
  <c r="M596" i="7"/>
  <c r="N596" i="7" s="1" a="1"/>
  <c r="O596" i="7" s="1"/>
  <c r="M597" i="7"/>
  <c r="N597" i="7" s="1" a="1"/>
  <c r="O597" i="7" s="1"/>
  <c r="M598" i="7"/>
  <c r="N598" i="7" s="1" a="1"/>
  <c r="O598" i="7" s="1"/>
  <c r="M599" i="7"/>
  <c r="N599" i="7" s="1" a="1"/>
  <c r="O599" i="7" s="1"/>
  <c r="M600" i="7"/>
  <c r="N600" i="7" s="1" a="1"/>
  <c r="O600" i="7" s="1"/>
  <c r="M601" i="7"/>
  <c r="N601" i="7" s="1" a="1"/>
  <c r="O601" i="7" s="1"/>
  <c r="M602" i="7"/>
  <c r="N602" i="7" s="1" a="1"/>
  <c r="O602" i="7" s="1"/>
  <c r="M603" i="7"/>
  <c r="N603" i="7" s="1" a="1"/>
  <c r="O603" i="7" s="1"/>
  <c r="M604" i="7"/>
  <c r="N604" i="7" s="1" a="1"/>
  <c r="O604" i="7" s="1"/>
  <c r="M605" i="7"/>
  <c r="N605" i="7" s="1" a="1"/>
  <c r="O605" i="7" s="1"/>
  <c r="M606" i="7"/>
  <c r="N606" i="7" s="1" a="1"/>
  <c r="O606" i="7" s="1"/>
  <c r="M607" i="7"/>
  <c r="N607" i="7" s="1" a="1"/>
  <c r="O607" i="7" s="1"/>
  <c r="M608" i="7"/>
  <c r="N608" i="7" s="1" a="1"/>
  <c r="O608" i="7" s="1"/>
  <c r="M609" i="7"/>
  <c r="N609" i="7" s="1" a="1"/>
  <c r="O609" i="7" s="1"/>
  <c r="M610" i="7"/>
  <c r="N610" i="7" s="1" a="1"/>
  <c r="O610" i="7" s="1"/>
  <c r="M611" i="7"/>
  <c r="N611" i="7" s="1" a="1"/>
  <c r="O611" i="7" s="1"/>
  <c r="M612" i="7"/>
  <c r="N612" i="7" s="1" a="1"/>
  <c r="O612" i="7" s="1"/>
  <c r="M613" i="7"/>
  <c r="N613" i="7" s="1" a="1"/>
  <c r="O613" i="7" s="1"/>
  <c r="M614" i="7"/>
  <c r="N614" i="7" s="1" a="1"/>
  <c r="O614" i="7" s="1"/>
  <c r="M615" i="7"/>
  <c r="N615" i="7" s="1" a="1"/>
  <c r="O615" i="7" s="1"/>
  <c r="M616" i="7"/>
  <c r="N616" i="7" s="1" a="1"/>
  <c r="O616" i="7" s="1"/>
  <c r="M617" i="7"/>
  <c r="N617" i="7" s="1" a="1"/>
  <c r="O617" i="7" s="1"/>
  <c r="M618" i="7"/>
  <c r="N618" i="7" s="1" a="1"/>
  <c r="O618" i="7" s="1"/>
  <c r="M619" i="7"/>
  <c r="N619" i="7" s="1" a="1"/>
  <c r="O619" i="7" s="1"/>
  <c r="M620" i="7"/>
  <c r="N620" i="7" s="1" a="1"/>
  <c r="O620" i="7" s="1"/>
  <c r="M621" i="7"/>
  <c r="N621" i="7" s="1" a="1"/>
  <c r="O621" i="7" s="1"/>
  <c r="M622" i="7"/>
  <c r="N622" i="7" s="1" a="1"/>
  <c r="O622" i="7" s="1"/>
  <c r="M623" i="7"/>
  <c r="N623" i="7" s="1" a="1"/>
  <c r="O623" i="7" s="1"/>
  <c r="M624" i="7"/>
  <c r="N624" i="7" s="1" a="1"/>
  <c r="O624" i="7" s="1"/>
  <c r="M625" i="7"/>
  <c r="N625" i="7" s="1" a="1"/>
  <c r="O625" i="7" s="1"/>
  <c r="M626" i="7"/>
  <c r="N626" i="7" s="1" a="1"/>
  <c r="O626" i="7" s="1"/>
  <c r="M627" i="7"/>
  <c r="N627" i="7" s="1" a="1"/>
  <c r="O627" i="7" s="1"/>
  <c r="M628" i="7"/>
  <c r="N628" i="7" s="1" a="1"/>
  <c r="O628" i="7" s="1"/>
  <c r="M629" i="7"/>
  <c r="N629" i="7" s="1" a="1"/>
  <c r="O629" i="7" s="1"/>
  <c r="M630" i="7"/>
  <c r="N630" i="7" s="1" a="1"/>
  <c r="O630" i="7" s="1"/>
  <c r="M631" i="7"/>
  <c r="N631" i="7" s="1" a="1"/>
  <c r="O631" i="7" s="1"/>
  <c r="M632" i="7"/>
  <c r="N632" i="7" s="1" a="1"/>
  <c r="O632" i="7" s="1"/>
  <c r="M633" i="7"/>
  <c r="N633" i="7" s="1" a="1"/>
  <c r="O633" i="7" s="1"/>
  <c r="M634" i="7"/>
  <c r="N634" i="7" s="1" a="1"/>
  <c r="O634" i="7" s="1"/>
  <c r="M635" i="7"/>
  <c r="N635" i="7" s="1" a="1"/>
  <c r="O635" i="7" s="1"/>
  <c r="M636" i="7"/>
  <c r="N636" i="7" s="1" a="1"/>
  <c r="O636" i="7" s="1"/>
  <c r="M637" i="7"/>
  <c r="N637" i="7" s="1" a="1"/>
  <c r="O637" i="7" s="1"/>
  <c r="M638" i="7"/>
  <c r="N638" i="7" s="1" a="1"/>
  <c r="O638" i="7" s="1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N639" i="7" a="1"/>
  <c r="N640" i="7" a="1"/>
  <c r="N641" i="7" a="1"/>
  <c r="N642" i="7" a="1"/>
  <c r="N643" i="7" a="1"/>
  <c r="N644" i="7" a="1"/>
  <c r="N645" i="7" a="1"/>
  <c r="N646" i="7" a="1"/>
  <c r="N647" i="7" a="1"/>
  <c r="N648" i="7" a="1"/>
  <c r="N649" i="7" a="1"/>
  <c r="N650" i="7" a="1"/>
  <c r="N651" i="7" a="1"/>
  <c r="N652" i="7" a="1"/>
  <c r="N653" i="7" a="1"/>
  <c r="N654" i="7" a="1"/>
  <c r="N655" i="7" a="1"/>
  <c r="N656" i="7" a="1"/>
  <c r="N657" i="7" a="1"/>
  <c r="N658" i="7" a="1"/>
  <c r="N659" i="7" a="1"/>
  <c r="N660" i="7" a="1"/>
  <c r="N661" i="7" a="1"/>
  <c r="N662" i="7" a="1"/>
  <c r="N663" i="7" a="1"/>
  <c r="N664" i="7" a="1"/>
  <c r="N665" i="7" a="1"/>
  <c r="N666" i="7" a="1"/>
  <c r="N667" i="7" a="1"/>
  <c r="N668" i="7" a="1"/>
  <c r="N669" i="7" a="1"/>
  <c r="N670" i="7" a="1"/>
  <c r="N671" i="7" a="1"/>
  <c r="N672" i="7" a="1"/>
  <c r="N673" i="7" a="1"/>
  <c r="N674" i="7" a="1"/>
  <c r="N675" i="7" a="1"/>
  <c r="N676" i="7" a="1"/>
  <c r="N677" i="7" a="1"/>
  <c r="N678" i="7" a="1"/>
  <c r="N679" i="7" a="1"/>
  <c r="N680" i="7" a="1"/>
  <c r="N681" i="7" a="1"/>
  <c r="N682" i="7" a="1"/>
  <c r="N683" i="7" a="1"/>
  <c r="N684" i="7" a="1"/>
  <c r="N685" i="7" a="1"/>
  <c r="N686" i="7" a="1"/>
  <c r="N687" i="7" a="1"/>
  <c r="N688" i="7" a="1"/>
  <c r="N689" i="7" a="1"/>
  <c r="N690" i="7" a="1"/>
  <c r="N691" i="7" a="1"/>
  <c r="N692" i="7" a="1"/>
  <c r="N693" i="7" a="1"/>
  <c r="N694" i="7" a="1"/>
  <c r="N695" i="7" a="1"/>
  <c r="N696" i="7" a="1"/>
  <c r="N697" i="7" a="1"/>
  <c r="N698" i="7" a="1"/>
  <c r="N699" i="7" a="1"/>
  <c r="N700" i="7" a="1"/>
  <c r="N701" i="7" a="1"/>
  <c r="N702" i="7" a="1"/>
  <c r="N703" i="7" a="1"/>
  <c r="N704" i="7" a="1"/>
  <c r="N705" i="7" a="1"/>
  <c r="N706" i="7" a="1"/>
  <c r="N707" i="7" a="1"/>
  <c r="N708" i="7" a="1"/>
  <c r="N709" i="7" a="1"/>
  <c r="N710" i="7" a="1"/>
  <c r="N711" i="7" a="1"/>
  <c r="N712" i="7" a="1"/>
  <c r="N713" i="7" a="1"/>
  <c r="N714" i="7" a="1"/>
  <c r="N715" i="7" a="1"/>
  <c r="N716" i="7" a="1"/>
  <c r="N717" i="7" a="1"/>
  <c r="N718" i="7" a="1"/>
  <c r="N719" i="7" a="1"/>
  <c r="N720" i="7" a="1"/>
  <c r="N721" i="7" a="1"/>
  <c r="N722" i="7" a="1"/>
  <c r="N723" i="7" a="1"/>
  <c r="N724" i="7" a="1"/>
  <c r="N725" i="7" a="1"/>
  <c r="N726" i="7" a="1"/>
  <c r="N727" i="7" a="1"/>
  <c r="N728" i="7" a="1"/>
  <c r="N729" i="7" a="1"/>
  <c r="N730" i="7" a="1"/>
  <c r="N731" i="7" a="1"/>
  <c r="N732" i="7" a="1"/>
  <c r="N733" i="7" a="1"/>
  <c r="N734" i="7" a="1"/>
  <c r="N735" i="7" a="1"/>
  <c r="N736" i="7" a="1"/>
  <c r="N737" i="7" a="1"/>
  <c r="N738" i="7" a="1"/>
  <c r="N739" i="7" a="1"/>
  <c r="N740" i="7" a="1"/>
  <c r="N741" i="7" a="1"/>
  <c r="N742" i="7" a="1"/>
  <c r="N743" i="7" a="1"/>
  <c r="N744" i="7" a="1"/>
  <c r="N745" i="7" a="1"/>
  <c r="N746" i="7" a="1"/>
  <c r="N747" i="7" a="1"/>
  <c r="N748" i="7" a="1"/>
  <c r="N749" i="7" a="1"/>
  <c r="N750" i="7" a="1"/>
  <c r="N751" i="7" a="1"/>
  <c r="N752" i="7" a="1"/>
  <c r="N753" i="7" a="1"/>
  <c r="N754" i="7" a="1"/>
  <c r="N755" i="7" a="1"/>
  <c r="N756" i="7" a="1"/>
  <c r="N757" i="7" a="1"/>
  <c r="N758" i="7" a="1"/>
  <c r="N759" i="7" a="1"/>
  <c r="N760" i="7" a="1"/>
  <c r="N761" i="7" a="1"/>
  <c r="N762" i="7" a="1"/>
  <c r="N763" i="7" a="1"/>
  <c r="N764" i="7" a="1"/>
  <c r="N765" i="7" a="1"/>
  <c r="N766" i="7" a="1"/>
  <c r="N767" i="7" a="1"/>
  <c r="N768" i="7" a="1"/>
  <c r="N769" i="7" a="1"/>
  <c r="N770" i="7" a="1"/>
  <c r="N771" i="7" a="1"/>
  <c r="N772" i="7" a="1"/>
  <c r="N773" i="7" a="1"/>
  <c r="N774" i="7" a="1"/>
  <c r="N775" i="7" a="1"/>
  <c r="N776" i="7" a="1"/>
  <c r="N777" i="7" a="1"/>
  <c r="N778" i="7" a="1"/>
  <c r="N779" i="7" a="1"/>
  <c r="N780" i="7" a="1"/>
  <c r="N781" i="7" a="1"/>
  <c r="N782" i="7" a="1"/>
  <c r="N783" i="7" a="1"/>
  <c r="N784" i="7" a="1"/>
  <c r="N785" i="7" a="1"/>
  <c r="N786" i="7" a="1"/>
  <c r="N787" i="7" a="1"/>
  <c r="N788" i="7" a="1"/>
  <c r="N789" i="7" a="1"/>
  <c r="N790" i="7" a="1"/>
  <c r="N791" i="7" a="1"/>
  <c r="N792" i="7" a="1"/>
  <c r="N793" i="7" a="1"/>
  <c r="N794" i="7" a="1"/>
  <c r="N795" i="7" a="1"/>
  <c r="N796" i="7" a="1"/>
  <c r="N797" i="7" a="1"/>
  <c r="N798" i="7" a="1"/>
  <c r="O798" i="7" s="1"/>
  <c r="N799" i="7" a="1"/>
  <c r="O799" i="7" s="1"/>
  <c r="N800" i="7" a="1"/>
  <c r="O800" i="7" s="1"/>
  <c r="N801" i="7" a="1"/>
  <c r="O801" i="7" s="1"/>
  <c r="N802" i="7" a="1"/>
  <c r="O802" i="7" s="1"/>
  <c r="N803" i="7" a="1"/>
  <c r="O803" i="7" s="1"/>
  <c r="N804" i="7" a="1"/>
  <c r="O804" i="7" s="1"/>
  <c r="N805" i="7" a="1"/>
  <c r="O805" i="7" s="1"/>
  <c r="N806" i="7" a="1"/>
  <c r="O806" i="7" s="1"/>
  <c r="N807" i="7" a="1"/>
  <c r="O807" i="7" s="1"/>
  <c r="N808" i="7" a="1"/>
  <c r="O808" i="7" s="1"/>
  <c r="N809" i="7" a="1"/>
  <c r="O809" i="7" s="1"/>
  <c r="N810" i="7" a="1"/>
  <c r="O810" i="7" s="1"/>
  <c r="N811" i="7" a="1"/>
  <c r="O811" i="7" s="1"/>
  <c r="N812" i="7" a="1"/>
  <c r="O812" i="7" s="1"/>
  <c r="N813" i="7" a="1"/>
  <c r="O813" i="7" s="1"/>
  <c r="N814" i="7" a="1"/>
  <c r="O814" i="7" s="1"/>
  <c r="N815" i="7" a="1"/>
  <c r="O815" i="7" s="1"/>
  <c r="N816" i="7" a="1"/>
  <c r="O816" i="7" s="1"/>
  <c r="N817" i="7" a="1"/>
  <c r="O817" i="7" s="1"/>
  <c r="N818" i="7" a="1"/>
  <c r="O818" i="7" s="1"/>
  <c r="N819" i="7" a="1"/>
  <c r="O819" i="7" s="1"/>
  <c r="N820" i="7" a="1"/>
  <c r="O820" i="7" s="1"/>
  <c r="N821" i="7" a="1"/>
  <c r="O821" i="7" s="1"/>
  <c r="N822" i="7" a="1"/>
  <c r="O822" i="7" s="1"/>
  <c r="N823" i="7" a="1"/>
  <c r="O823" i="7" s="1"/>
  <c r="N824" i="7" a="1"/>
  <c r="O824" i="7" s="1"/>
  <c r="N825" i="7" a="1"/>
  <c r="O825" i="7" s="1"/>
  <c r="N826" i="7" a="1"/>
  <c r="O826" i="7" s="1"/>
  <c r="N827" i="7" a="1"/>
  <c r="O827" i="7" s="1"/>
  <c r="N828" i="7" a="1"/>
  <c r="O828" i="7" s="1"/>
  <c r="N829" i="7" a="1"/>
  <c r="O829" i="7" s="1"/>
  <c r="N830" i="7" a="1"/>
  <c r="O830" i="7" s="1"/>
  <c r="N831" i="7" a="1"/>
  <c r="O831" i="7" s="1"/>
  <c r="N832" i="7" a="1"/>
  <c r="O832" i="7" s="1"/>
  <c r="N833" i="7" a="1"/>
  <c r="O833" i="7" s="1"/>
  <c r="N834" i="7" a="1"/>
  <c r="O834" i="7" s="1"/>
  <c r="N835" i="7" a="1"/>
  <c r="O835" i="7" s="1"/>
  <c r="N836" i="7" a="1"/>
  <c r="O836" i="7" s="1"/>
  <c r="N837" i="7" a="1"/>
  <c r="O837" i="7" s="1"/>
  <c r="N838" i="7" a="1"/>
  <c r="O838" i="7" s="1"/>
  <c r="N839" i="7" a="1"/>
  <c r="O839" i="7" s="1"/>
  <c r="N840" i="7" a="1"/>
  <c r="O840" i="7" s="1"/>
  <c r="N841" i="7" a="1"/>
  <c r="O841" i="7" s="1"/>
  <c r="N842" i="7" a="1"/>
  <c r="O842" i="7" s="1"/>
  <c r="N843" i="7" a="1"/>
  <c r="O843" i="7" s="1"/>
  <c r="N844" i="7" a="1"/>
  <c r="O844" i="7" s="1"/>
  <c r="N845" i="7" a="1"/>
  <c r="O845" i="7" s="1"/>
  <c r="N846" i="7" a="1"/>
  <c r="O846" i="7" s="1"/>
  <c r="N847" i="7" a="1"/>
  <c r="O847" i="7" s="1"/>
  <c r="N848" i="7" a="1"/>
  <c r="O848" i="7" s="1"/>
  <c r="N849" i="7" a="1"/>
  <c r="O849" i="7" s="1"/>
  <c r="N850" i="7" a="1"/>
  <c r="O850" i="7" s="1"/>
  <c r="N851" i="7" a="1"/>
  <c r="O851" i="7" s="1"/>
  <c r="N852" i="7" a="1"/>
  <c r="O852" i="7" s="1"/>
  <c r="N853" i="7" a="1"/>
  <c r="O853" i="7" s="1"/>
  <c r="N854" i="7" a="1"/>
  <c r="O854" i="7" s="1"/>
  <c r="N855" i="7" a="1"/>
  <c r="O855" i="7" s="1"/>
  <c r="N856" i="7" a="1"/>
  <c r="O856" i="7" s="1"/>
  <c r="N857" i="7" a="1"/>
  <c r="O857" i="7" s="1"/>
  <c r="N858" i="7" a="1"/>
  <c r="O858" i="7" s="1"/>
  <c r="N859" i="7" a="1"/>
  <c r="O859" i="7" s="1"/>
  <c r="N860" i="7" a="1"/>
  <c r="O860" i="7" s="1"/>
  <c r="N861" i="7" a="1"/>
  <c r="O861" i="7" s="1"/>
  <c r="N862" i="7" a="1"/>
  <c r="O862" i="7" s="1"/>
  <c r="N863" i="7" a="1"/>
  <c r="O863" i="7" s="1"/>
  <c r="N864" i="7" a="1"/>
  <c r="O864" i="7" s="1"/>
  <c r="N865" i="7" a="1"/>
  <c r="O865" i="7" s="1"/>
  <c r="N866" i="7" a="1"/>
  <c r="O866" i="7" s="1"/>
  <c r="N867" i="7" a="1"/>
  <c r="O867" i="7" s="1"/>
  <c r="N868" i="7" a="1"/>
  <c r="O868" i="7" s="1"/>
  <c r="N869" i="7" a="1"/>
  <c r="O869" i="7" s="1"/>
  <c r="N870" i="7" a="1"/>
  <c r="O870" i="7" s="1"/>
  <c r="N871" i="7" a="1"/>
  <c r="O871" i="7" s="1"/>
  <c r="N872" i="7" a="1"/>
  <c r="O872" i="7" s="1"/>
  <c r="N873" i="7" a="1"/>
  <c r="O873" i="7" s="1"/>
  <c r="N874" i="7" a="1"/>
  <c r="O874" i="7" s="1"/>
  <c r="N875" i="7" a="1"/>
  <c r="O875" i="7" s="1"/>
  <c r="N876" i="7" a="1"/>
  <c r="O876" i="7" s="1"/>
  <c r="N877" i="7" a="1"/>
  <c r="O877" i="7" s="1"/>
  <c r="N878" i="7" a="1"/>
  <c r="O878" i="7" s="1"/>
  <c r="N879" i="7" a="1"/>
  <c r="O879" i="7" s="1"/>
  <c r="N880" i="7" a="1"/>
  <c r="O880" i="7" s="1"/>
  <c r="N881" i="7" a="1"/>
  <c r="O881" i="7" s="1"/>
  <c r="N882" i="7" a="1"/>
  <c r="O882" i="7" s="1"/>
  <c r="N883" i="7" a="1"/>
  <c r="O883" i="7" s="1"/>
  <c r="N884" i="7" a="1"/>
  <c r="O884" i="7" s="1"/>
  <c r="N885" i="7" a="1"/>
  <c r="O885" i="7" s="1"/>
  <c r="N886" i="7" a="1"/>
  <c r="O886" i="7" s="1"/>
  <c r="N887" i="7" a="1"/>
  <c r="O887" i="7" s="1"/>
  <c r="N888" i="7" a="1"/>
  <c r="O888" i="7" s="1"/>
  <c r="N889" i="7" a="1"/>
  <c r="O889" i="7" s="1"/>
  <c r="N890" i="7" a="1"/>
  <c r="O890" i="7" s="1"/>
  <c r="N891" i="7" a="1"/>
  <c r="O891" i="7" s="1"/>
  <c r="N892" i="7" a="1"/>
  <c r="O892" i="7" s="1"/>
  <c r="N893" i="7" a="1"/>
  <c r="O893" i="7" s="1"/>
  <c r="N894" i="7" a="1"/>
  <c r="O894" i="7" s="1"/>
  <c r="N895" i="7" a="1"/>
  <c r="O895" i="7" s="1"/>
  <c r="N896" i="7" a="1"/>
  <c r="O896" i="7" s="1"/>
  <c r="N897" i="7" a="1"/>
  <c r="O897" i="7" s="1"/>
  <c r="N898" i="7" a="1"/>
  <c r="O898" i="7" s="1"/>
  <c r="N899" i="7" a="1"/>
  <c r="O899" i="7" s="1"/>
  <c r="N900" i="7" a="1"/>
  <c r="O900" i="7" s="1"/>
  <c r="N901" i="7" a="1"/>
  <c r="O901" i="7" s="1"/>
  <c r="N902" i="7" a="1"/>
  <c r="O902" i="7" s="1"/>
  <c r="N903" i="7" a="1"/>
  <c r="O903" i="7" s="1"/>
  <c r="N904" i="7" a="1"/>
  <c r="O904" i="7" s="1"/>
  <c r="N905" i="7" a="1"/>
  <c r="O905" i="7" s="1"/>
  <c r="N906" i="7" a="1"/>
  <c r="O906" i="7" s="1"/>
  <c r="N907" i="7" a="1"/>
  <c r="O907" i="7" s="1"/>
  <c r="N908" i="7" a="1"/>
  <c r="O908" i="7" s="1"/>
  <c r="N909" i="7" a="1"/>
  <c r="O909" i="7" s="1"/>
  <c r="N910" i="7" a="1"/>
  <c r="O910" i="7" s="1"/>
  <c r="N911" i="7" a="1"/>
  <c r="O911" i="7" s="1"/>
  <c r="N912" i="7" a="1"/>
  <c r="O912" i="7" s="1"/>
  <c r="N913" i="7" a="1"/>
  <c r="O913" i="7" s="1"/>
  <c r="N914" i="7" a="1"/>
  <c r="O914" i="7" s="1"/>
  <c r="N915" i="7" a="1"/>
  <c r="O915" i="7" s="1"/>
  <c r="N916" i="7" a="1"/>
  <c r="O916" i="7" s="1"/>
  <c r="N917" i="7" a="1"/>
  <c r="O917" i="7" s="1"/>
  <c r="N918" i="7" a="1"/>
  <c r="O918" i="7" s="1"/>
  <c r="N919" i="7" a="1"/>
  <c r="O919" i="7" s="1"/>
  <c r="N920" i="7" a="1"/>
  <c r="O920" i="7" s="1"/>
  <c r="N921" i="7" a="1"/>
  <c r="O921" i="7" s="1"/>
  <c r="N922" i="7" a="1"/>
  <c r="O922" i="7" s="1"/>
  <c r="N923" i="7" a="1"/>
  <c r="O923" i="7" s="1"/>
  <c r="N924" i="7" a="1"/>
  <c r="O924" i="7" s="1"/>
  <c r="N925" i="7" a="1"/>
  <c r="O925" i="7" s="1"/>
  <c r="N926" i="7" a="1"/>
  <c r="O926" i="7" s="1"/>
  <c r="N927" i="7" a="1"/>
  <c r="O927" i="7" s="1"/>
  <c r="N928" i="7" a="1"/>
  <c r="O928" i="7" s="1"/>
  <c r="N929" i="7" a="1"/>
  <c r="O929" i="7" s="1"/>
  <c r="N930" i="7" a="1"/>
  <c r="O930" i="7" s="1"/>
  <c r="N931" i="7" a="1"/>
  <c r="O931" i="7" s="1"/>
  <c r="N932" i="7" a="1"/>
  <c r="O932" i="7" s="1"/>
  <c r="N933" i="7" a="1"/>
  <c r="O933" i="7" s="1"/>
  <c r="N934" i="7" a="1"/>
  <c r="O934" i="7" s="1"/>
  <c r="N935" i="7" a="1"/>
  <c r="O935" i="7" s="1"/>
  <c r="N936" i="7" a="1"/>
  <c r="O936" i="7" s="1"/>
  <c r="N937" i="7" a="1"/>
  <c r="O937" i="7" s="1"/>
  <c r="N938" i="7" a="1"/>
  <c r="O938" i="7" s="1"/>
  <c r="N939" i="7" a="1"/>
  <c r="O939" i="7" s="1"/>
  <c r="N940" i="7" a="1"/>
  <c r="O940" i="7" s="1"/>
  <c r="N941" i="7" a="1"/>
  <c r="O941" i="7" s="1"/>
  <c r="N942" i="7" a="1"/>
  <c r="O942" i="7" s="1"/>
  <c r="N943" i="7" a="1"/>
  <c r="O943" i="7" s="1"/>
  <c r="N944" i="7" a="1"/>
  <c r="O944" i="7" s="1"/>
  <c r="N945" i="7" a="1"/>
  <c r="O945" i="7" s="1"/>
  <c r="N946" i="7" a="1"/>
  <c r="O946" i="7" s="1"/>
  <c r="N947" i="7" a="1"/>
  <c r="O947" i="7" s="1"/>
  <c r="N948" i="7" a="1"/>
  <c r="O948" i="7" s="1"/>
  <c r="N949" i="7" a="1"/>
  <c r="O949" i="7" s="1"/>
  <c r="N950" i="7" a="1"/>
  <c r="O950" i="7" s="1"/>
  <c r="N951" i="7" a="1"/>
  <c r="O951" i="7" s="1"/>
  <c r="N952" i="7" a="1"/>
  <c r="O952" i="7" s="1"/>
  <c r="N953" i="7" a="1"/>
  <c r="O953" i="7" s="1"/>
  <c r="N954" i="7" a="1"/>
  <c r="O954" i="7" s="1"/>
  <c r="N955" i="7" a="1"/>
  <c r="O955" i="7" s="1"/>
  <c r="N956" i="7" a="1"/>
  <c r="O956" i="7" s="1"/>
  <c r="N957" i="7" a="1"/>
  <c r="O957" i="7" s="1"/>
  <c r="N958" i="7" a="1"/>
  <c r="O958" i="7" s="1"/>
  <c r="N959" i="7" a="1"/>
  <c r="O959" i="7" s="1"/>
  <c r="N960" i="7" a="1"/>
  <c r="O960" i="7" s="1"/>
  <c r="N961" i="7" a="1"/>
  <c r="O961" i="7" s="1"/>
  <c r="N962" i="7" a="1"/>
  <c r="O962" i="7" s="1"/>
  <c r="N963" i="7" a="1"/>
  <c r="O963" i="7" s="1"/>
  <c r="N964" i="7" a="1"/>
  <c r="O964" i="7" s="1"/>
  <c r="N965" i="7" a="1"/>
  <c r="O965" i="7" s="1"/>
  <c r="N966" i="7" a="1"/>
  <c r="O966" i="7" s="1"/>
  <c r="N967" i="7" a="1"/>
  <c r="O967" i="7" s="1"/>
  <c r="N968" i="7" a="1"/>
  <c r="O968" i="7" s="1"/>
  <c r="N969" i="7" a="1"/>
  <c r="O969" i="7" s="1"/>
  <c r="N970" i="7" a="1"/>
  <c r="O970" i="7" s="1"/>
  <c r="N971" i="7" a="1"/>
  <c r="O971" i="7" s="1"/>
  <c r="N972" i="7" a="1"/>
  <c r="O972" i="7" s="1"/>
  <c r="N973" i="7" a="1"/>
  <c r="O973" i="7" s="1"/>
  <c r="N974" i="7" a="1"/>
  <c r="O974" i="7" s="1"/>
  <c r="N975" i="7" a="1"/>
  <c r="O975" i="7" s="1"/>
  <c r="N976" i="7" a="1"/>
  <c r="O976" i="7" s="1"/>
  <c r="N977" i="7" a="1"/>
  <c r="O977" i="7" s="1"/>
  <c r="N978" i="7" a="1"/>
  <c r="O978" i="7" s="1"/>
  <c r="N979" i="7" a="1"/>
  <c r="O979" i="7" s="1"/>
  <c r="N980" i="7" a="1"/>
  <c r="O980" i="7" s="1"/>
  <c r="N981" i="7" a="1"/>
  <c r="O981" i="7" s="1"/>
  <c r="N982" i="7" a="1"/>
  <c r="O982" i="7" s="1"/>
  <c r="N983" i="7" a="1"/>
  <c r="O983" i="7" s="1"/>
  <c r="N984" i="7" a="1"/>
  <c r="O984" i="7" s="1"/>
  <c r="N985" i="7" a="1"/>
  <c r="O985" i="7" s="1"/>
  <c r="N986" i="7" a="1"/>
  <c r="O986" i="7" s="1"/>
  <c r="N987" i="7" a="1"/>
  <c r="O987" i="7" s="1"/>
  <c r="N988" i="7" a="1"/>
  <c r="O988" i="7" s="1"/>
  <c r="N989" i="7" a="1"/>
  <c r="O989" i="7" s="1"/>
  <c r="N990" i="7" a="1"/>
  <c r="O990" i="7" s="1"/>
  <c r="N991" i="7" a="1"/>
  <c r="O991" i="7" s="1"/>
  <c r="N992" i="7" a="1"/>
  <c r="O992" i="7" s="1"/>
  <c r="N993" i="7" a="1"/>
  <c r="O993" i="7" s="1"/>
  <c r="N994" i="7" a="1"/>
  <c r="O994" i="7" s="1"/>
  <c r="N995" i="7" a="1"/>
  <c r="O995" i="7" s="1"/>
  <c r="N996" i="7" a="1"/>
  <c r="O996" i="7" s="1"/>
  <c r="N997" i="7" a="1"/>
  <c r="O997" i="7" s="1"/>
  <c r="N998" i="7" a="1"/>
  <c r="O998" i="7" s="1"/>
  <c r="N999" i="7" a="1"/>
  <c r="O999" i="7" s="1"/>
  <c r="N1000" i="7" a="1"/>
  <c r="O1000" i="7" s="1"/>
  <c r="N1001" i="7" a="1"/>
  <c r="O1001" i="7" s="1"/>
  <c r="O639" i="7"/>
  <c r="O640" i="7"/>
  <c r="O641" i="7"/>
  <c r="O642" i="7"/>
  <c r="O643" i="7"/>
  <c r="O644" i="7"/>
  <c r="O645" i="7"/>
  <c r="O646" i="7"/>
  <c r="O647" i="7"/>
  <c r="O648" i="7"/>
  <c r="O649" i="7"/>
  <c r="O650" i="7"/>
  <c r="O651" i="7"/>
  <c r="O652" i="7"/>
  <c r="O653" i="7"/>
  <c r="O654" i="7"/>
  <c r="O655" i="7"/>
  <c r="O656" i="7"/>
  <c r="O657" i="7"/>
  <c r="O658" i="7"/>
  <c r="O659" i="7"/>
  <c r="O660" i="7"/>
  <c r="O661" i="7"/>
  <c r="O662" i="7"/>
  <c r="O663" i="7"/>
  <c r="O664" i="7"/>
  <c r="O665" i="7"/>
  <c r="O666" i="7"/>
  <c r="O667" i="7"/>
  <c r="O668" i="7"/>
  <c r="O669" i="7"/>
  <c r="O670" i="7"/>
  <c r="O671" i="7"/>
  <c r="O672" i="7"/>
  <c r="O673" i="7"/>
  <c r="O674" i="7"/>
  <c r="O675" i="7"/>
  <c r="O676" i="7"/>
  <c r="O677" i="7"/>
  <c r="O678" i="7"/>
  <c r="O679" i="7"/>
  <c r="O680" i="7"/>
  <c r="O681" i="7"/>
  <c r="O682" i="7"/>
  <c r="O683" i="7"/>
  <c r="O684" i="7"/>
  <c r="O685" i="7"/>
  <c r="O686" i="7"/>
  <c r="O687" i="7"/>
  <c r="O688" i="7"/>
  <c r="O689" i="7"/>
  <c r="O690" i="7"/>
  <c r="O691" i="7"/>
  <c r="O692" i="7"/>
  <c r="O693" i="7"/>
  <c r="O694" i="7"/>
  <c r="O695" i="7"/>
  <c r="O696" i="7"/>
  <c r="O697" i="7"/>
  <c r="O698" i="7"/>
  <c r="O699" i="7"/>
  <c r="O700" i="7"/>
  <c r="O701" i="7"/>
  <c r="O702" i="7"/>
  <c r="O703" i="7"/>
  <c r="O704" i="7"/>
  <c r="O705" i="7"/>
  <c r="O706" i="7"/>
  <c r="O707" i="7"/>
  <c r="O708" i="7"/>
  <c r="O709" i="7"/>
  <c r="O710" i="7"/>
  <c r="O711" i="7"/>
  <c r="O712" i="7"/>
  <c r="O713" i="7"/>
  <c r="O714" i="7"/>
  <c r="O715" i="7"/>
  <c r="O716" i="7"/>
  <c r="O717" i="7"/>
  <c r="O718" i="7"/>
  <c r="O719" i="7"/>
  <c r="O720" i="7"/>
  <c r="O721" i="7"/>
  <c r="O722" i="7"/>
  <c r="O723" i="7"/>
  <c r="O724" i="7"/>
  <c r="O725" i="7"/>
  <c r="O726" i="7"/>
  <c r="O727" i="7"/>
  <c r="O728" i="7"/>
  <c r="O729" i="7"/>
  <c r="O730" i="7"/>
  <c r="O731" i="7"/>
  <c r="O732" i="7"/>
  <c r="O733" i="7"/>
  <c r="O734" i="7"/>
  <c r="O735" i="7"/>
  <c r="O736" i="7"/>
  <c r="O737" i="7"/>
  <c r="O738" i="7"/>
  <c r="O739" i="7"/>
  <c r="O740" i="7"/>
  <c r="O741" i="7"/>
  <c r="O742" i="7"/>
  <c r="O743" i="7"/>
  <c r="O744" i="7"/>
  <c r="O745" i="7"/>
  <c r="O746" i="7"/>
  <c r="O747" i="7"/>
  <c r="O748" i="7"/>
  <c r="O749" i="7"/>
  <c r="O750" i="7"/>
  <c r="O751" i="7"/>
  <c r="O752" i="7"/>
  <c r="O753" i="7"/>
  <c r="O754" i="7"/>
  <c r="O755" i="7"/>
  <c r="O756" i="7"/>
  <c r="O757" i="7"/>
  <c r="O758" i="7"/>
  <c r="O759" i="7"/>
  <c r="O760" i="7"/>
  <c r="O761" i="7"/>
  <c r="O762" i="7"/>
  <c r="O763" i="7"/>
  <c r="O764" i="7"/>
  <c r="O765" i="7"/>
  <c r="O766" i="7"/>
  <c r="O767" i="7"/>
  <c r="O768" i="7"/>
  <c r="O769" i="7"/>
  <c r="O770" i="7"/>
  <c r="O771" i="7"/>
  <c r="O772" i="7"/>
  <c r="O773" i="7"/>
  <c r="O774" i="7"/>
  <c r="O775" i="7"/>
  <c r="O776" i="7"/>
  <c r="O777" i="7"/>
  <c r="O778" i="7"/>
  <c r="O779" i="7"/>
  <c r="O780" i="7"/>
  <c r="O781" i="7"/>
  <c r="O782" i="7"/>
  <c r="O783" i="7"/>
  <c r="O784" i="7"/>
  <c r="O785" i="7"/>
  <c r="O786" i="7"/>
  <c r="O787" i="7"/>
  <c r="O788" i="7"/>
  <c r="O789" i="7"/>
  <c r="O790" i="7"/>
  <c r="O791" i="7"/>
  <c r="O792" i="7"/>
  <c r="O793" i="7"/>
  <c r="O794" i="7"/>
  <c r="O795" i="7"/>
  <c r="O796" i="7"/>
  <c r="O797" i="7"/>
  <c r="Q2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346" i="7"/>
  <c r="Q347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Q379" i="7"/>
  <c r="Q380" i="7"/>
  <c r="Q381" i="7"/>
  <c r="Q382" i="7"/>
  <c r="Q383" i="7"/>
  <c r="Q384" i="7"/>
  <c r="Q385" i="7"/>
  <c r="Q386" i="7"/>
  <c r="Q387" i="7"/>
  <c r="Q388" i="7"/>
  <c r="Q389" i="7"/>
  <c r="Q390" i="7"/>
  <c r="Q391" i="7"/>
  <c r="Q392" i="7"/>
  <c r="Q393" i="7"/>
  <c r="Q394" i="7"/>
  <c r="Q395" i="7"/>
  <c r="Q396" i="7"/>
  <c r="Q397" i="7"/>
  <c r="Q398" i="7"/>
  <c r="Q399" i="7"/>
  <c r="Q400" i="7"/>
  <c r="Q401" i="7"/>
  <c r="Q402" i="7"/>
  <c r="Q403" i="7"/>
  <c r="Q404" i="7"/>
  <c r="Q405" i="7"/>
  <c r="Q406" i="7"/>
  <c r="Q407" i="7"/>
  <c r="Q408" i="7"/>
  <c r="Q409" i="7"/>
  <c r="Q410" i="7"/>
  <c r="Q411" i="7"/>
  <c r="Q412" i="7"/>
  <c r="Q413" i="7"/>
  <c r="Q414" i="7"/>
  <c r="Q415" i="7"/>
  <c r="Q416" i="7"/>
  <c r="Q417" i="7"/>
  <c r="Q418" i="7"/>
  <c r="Q419" i="7"/>
  <c r="Q420" i="7"/>
  <c r="Q421" i="7"/>
  <c r="Q422" i="7"/>
  <c r="Q423" i="7"/>
  <c r="Q424" i="7"/>
  <c r="Q425" i="7"/>
  <c r="Q426" i="7"/>
  <c r="Q427" i="7"/>
  <c r="Q428" i="7"/>
  <c r="Q429" i="7"/>
  <c r="Q430" i="7"/>
  <c r="Q431" i="7"/>
  <c r="Q432" i="7"/>
  <c r="Q433" i="7"/>
  <c r="Q434" i="7"/>
  <c r="Q435" i="7"/>
  <c r="Q436" i="7"/>
  <c r="Q437" i="7"/>
  <c r="Q438" i="7"/>
  <c r="Q439" i="7"/>
  <c r="Q440" i="7"/>
  <c r="Q441" i="7"/>
  <c r="Q442" i="7"/>
  <c r="Q443" i="7"/>
  <c r="Q444" i="7"/>
  <c r="Q445" i="7"/>
  <c r="Q446" i="7"/>
  <c r="Q447" i="7"/>
  <c r="Q448" i="7"/>
  <c r="Q449" i="7"/>
  <c r="Q450" i="7"/>
  <c r="Q451" i="7"/>
  <c r="Q452" i="7"/>
  <c r="Q453" i="7"/>
  <c r="Q454" i="7"/>
  <c r="Q455" i="7"/>
  <c r="Q456" i="7"/>
  <c r="Q457" i="7"/>
  <c r="Q458" i="7"/>
  <c r="Q459" i="7"/>
  <c r="Q460" i="7"/>
  <c r="Q461" i="7"/>
  <c r="Q462" i="7"/>
  <c r="Q463" i="7"/>
  <c r="Q464" i="7"/>
  <c r="Q465" i="7"/>
  <c r="Q466" i="7"/>
  <c r="Q467" i="7"/>
  <c r="Q468" i="7"/>
  <c r="Q469" i="7"/>
  <c r="Q470" i="7"/>
  <c r="Q471" i="7"/>
  <c r="Q472" i="7"/>
  <c r="Q473" i="7"/>
  <c r="Q474" i="7"/>
  <c r="Q475" i="7"/>
  <c r="Q476" i="7"/>
  <c r="Q477" i="7"/>
  <c r="Q478" i="7"/>
  <c r="Q479" i="7"/>
  <c r="Q480" i="7"/>
  <c r="Q481" i="7"/>
  <c r="Q482" i="7"/>
  <c r="Q483" i="7"/>
  <c r="Q484" i="7"/>
  <c r="Q485" i="7"/>
  <c r="Q486" i="7"/>
  <c r="Q487" i="7"/>
  <c r="Q488" i="7"/>
  <c r="Q489" i="7"/>
  <c r="Q490" i="7"/>
  <c r="Q491" i="7"/>
  <c r="Q492" i="7"/>
  <c r="Q493" i="7"/>
  <c r="Q494" i="7"/>
  <c r="Q495" i="7"/>
  <c r="Q496" i="7"/>
  <c r="Q497" i="7"/>
  <c r="Q498" i="7"/>
  <c r="Q499" i="7"/>
  <c r="Q500" i="7"/>
  <c r="Q501" i="7"/>
  <c r="Q502" i="7"/>
  <c r="Q503" i="7"/>
  <c r="Q504" i="7"/>
  <c r="Q505" i="7"/>
  <c r="Q506" i="7"/>
  <c r="Q507" i="7"/>
  <c r="Q508" i="7"/>
  <c r="Q509" i="7"/>
  <c r="Q510" i="7"/>
  <c r="Q511" i="7"/>
  <c r="Q512" i="7"/>
  <c r="Q513" i="7"/>
  <c r="Q514" i="7"/>
  <c r="Q515" i="7"/>
  <c r="Q516" i="7"/>
  <c r="Q517" i="7"/>
  <c r="Q518" i="7"/>
  <c r="Q519" i="7"/>
  <c r="Q520" i="7"/>
  <c r="Q521" i="7"/>
  <c r="Q522" i="7"/>
  <c r="Q523" i="7"/>
  <c r="Q524" i="7"/>
  <c r="Q525" i="7"/>
  <c r="Q526" i="7"/>
  <c r="Q527" i="7"/>
  <c r="Q528" i="7"/>
  <c r="Q529" i="7"/>
  <c r="Q530" i="7"/>
  <c r="Q531" i="7"/>
  <c r="Q532" i="7"/>
  <c r="Q533" i="7"/>
  <c r="Q534" i="7"/>
  <c r="Q535" i="7"/>
  <c r="Q536" i="7"/>
  <c r="Q537" i="7"/>
  <c r="Q538" i="7"/>
  <c r="Q539" i="7"/>
  <c r="Q540" i="7"/>
  <c r="Q541" i="7"/>
  <c r="Q542" i="7"/>
  <c r="Q543" i="7"/>
  <c r="Q544" i="7"/>
  <c r="Q545" i="7"/>
  <c r="Q546" i="7"/>
  <c r="Q547" i="7"/>
  <c r="Q548" i="7"/>
  <c r="Q549" i="7"/>
  <c r="Q550" i="7"/>
  <c r="Q551" i="7"/>
  <c r="Q552" i="7"/>
  <c r="Q553" i="7"/>
  <c r="Q554" i="7"/>
  <c r="Q555" i="7"/>
  <c r="Q556" i="7"/>
  <c r="Q557" i="7"/>
  <c r="Q558" i="7"/>
  <c r="Q559" i="7"/>
  <c r="Q560" i="7"/>
  <c r="Q561" i="7"/>
  <c r="Q562" i="7"/>
  <c r="Q563" i="7"/>
  <c r="Q564" i="7"/>
  <c r="Q565" i="7"/>
  <c r="Q566" i="7"/>
  <c r="Q567" i="7"/>
  <c r="Q568" i="7"/>
  <c r="Q569" i="7"/>
  <c r="Q570" i="7"/>
  <c r="Q571" i="7"/>
  <c r="Q572" i="7"/>
  <c r="Q573" i="7"/>
  <c r="Q574" i="7"/>
  <c r="Q575" i="7"/>
  <c r="Q576" i="7"/>
  <c r="Q577" i="7"/>
  <c r="Q578" i="7"/>
  <c r="Q579" i="7"/>
  <c r="Q580" i="7"/>
  <c r="Q581" i="7"/>
  <c r="Q582" i="7"/>
  <c r="Q583" i="7"/>
  <c r="Q584" i="7"/>
  <c r="Q585" i="7"/>
  <c r="Q586" i="7"/>
  <c r="Q587" i="7"/>
  <c r="Q588" i="7"/>
  <c r="Q589" i="7"/>
  <c r="Q590" i="7"/>
  <c r="Q591" i="7"/>
  <c r="Q592" i="7"/>
  <c r="Q593" i="7"/>
  <c r="Q594" i="7"/>
  <c r="Q595" i="7"/>
  <c r="Q596" i="7"/>
  <c r="Q597" i="7"/>
  <c r="Q598" i="7"/>
  <c r="Q599" i="7"/>
  <c r="Q600" i="7"/>
  <c r="Q601" i="7"/>
  <c r="Q602" i="7"/>
  <c r="Q603" i="7"/>
  <c r="Q604" i="7"/>
  <c r="Q605" i="7"/>
  <c r="Q606" i="7"/>
  <c r="Q607" i="7"/>
  <c r="Q608" i="7"/>
  <c r="Q609" i="7"/>
  <c r="Q610" i="7"/>
  <c r="Q611" i="7"/>
  <c r="Q612" i="7"/>
  <c r="Q613" i="7"/>
  <c r="Q614" i="7"/>
  <c r="Q615" i="7"/>
  <c r="Q616" i="7"/>
  <c r="Q617" i="7"/>
  <c r="Q618" i="7"/>
  <c r="Q619" i="7"/>
  <c r="Q620" i="7"/>
  <c r="Q621" i="7"/>
  <c r="Q622" i="7"/>
  <c r="Q623" i="7"/>
  <c r="Q624" i="7"/>
  <c r="Q625" i="7"/>
  <c r="Q626" i="7"/>
  <c r="Q627" i="7"/>
  <c r="Q628" i="7"/>
  <c r="Q629" i="7"/>
  <c r="Q630" i="7"/>
  <c r="Q631" i="7"/>
  <c r="Q632" i="7"/>
  <c r="Q633" i="7"/>
  <c r="Q634" i="7"/>
  <c r="Q635" i="7"/>
  <c r="Q636" i="7"/>
  <c r="Q637" i="7"/>
  <c r="Q638" i="7"/>
  <c r="Q639" i="7"/>
  <c r="Q640" i="7"/>
  <c r="Q641" i="7"/>
  <c r="Q642" i="7"/>
  <c r="Q643" i="7"/>
  <c r="Q644" i="7"/>
  <c r="Q645" i="7"/>
  <c r="Q646" i="7"/>
  <c r="Q647" i="7"/>
  <c r="Q648" i="7"/>
  <c r="Q649" i="7"/>
  <c r="Q650" i="7"/>
  <c r="Q651" i="7"/>
  <c r="Q652" i="7"/>
  <c r="Q653" i="7"/>
  <c r="Q654" i="7"/>
  <c r="Q655" i="7"/>
  <c r="Q656" i="7"/>
  <c r="Q657" i="7"/>
  <c r="Q658" i="7"/>
  <c r="Q659" i="7"/>
  <c r="Q660" i="7"/>
  <c r="Q661" i="7"/>
  <c r="Q662" i="7"/>
  <c r="Q663" i="7"/>
  <c r="Q664" i="7"/>
  <c r="Q665" i="7"/>
  <c r="Q666" i="7"/>
  <c r="Q667" i="7"/>
  <c r="Q668" i="7"/>
  <c r="Q669" i="7"/>
  <c r="Q670" i="7"/>
  <c r="Q671" i="7"/>
  <c r="Q672" i="7"/>
  <c r="Q673" i="7"/>
  <c r="Q674" i="7"/>
  <c r="Q675" i="7"/>
  <c r="Q676" i="7"/>
  <c r="Q677" i="7"/>
  <c r="Q678" i="7"/>
  <c r="Q679" i="7"/>
  <c r="Q680" i="7"/>
  <c r="Q681" i="7"/>
  <c r="Q682" i="7"/>
  <c r="Q683" i="7"/>
  <c r="Q684" i="7"/>
  <c r="Q685" i="7"/>
  <c r="Q686" i="7"/>
  <c r="Q687" i="7"/>
  <c r="Q688" i="7"/>
  <c r="Q689" i="7"/>
  <c r="Q690" i="7"/>
  <c r="Q691" i="7"/>
  <c r="Q692" i="7"/>
  <c r="Q693" i="7"/>
  <c r="Q694" i="7"/>
  <c r="Q695" i="7"/>
  <c r="Q696" i="7"/>
  <c r="Q697" i="7"/>
  <c r="Q698" i="7"/>
  <c r="Q699" i="7"/>
  <c r="Q700" i="7"/>
  <c r="Q701" i="7"/>
  <c r="Q702" i="7"/>
  <c r="Q703" i="7"/>
  <c r="Q704" i="7"/>
  <c r="Q705" i="7"/>
  <c r="Q706" i="7"/>
  <c r="Q707" i="7"/>
  <c r="Q708" i="7"/>
  <c r="Q709" i="7"/>
  <c r="Q710" i="7"/>
  <c r="Q711" i="7"/>
  <c r="Q712" i="7"/>
  <c r="Q713" i="7"/>
  <c r="Q714" i="7"/>
  <c r="Q715" i="7"/>
  <c r="Q716" i="7"/>
  <c r="Q717" i="7"/>
  <c r="Q718" i="7"/>
  <c r="Q719" i="7"/>
  <c r="Q720" i="7"/>
  <c r="Q721" i="7"/>
  <c r="Q722" i="7"/>
  <c r="Q723" i="7"/>
  <c r="Q724" i="7"/>
  <c r="Q725" i="7"/>
  <c r="Q726" i="7"/>
  <c r="Q727" i="7"/>
  <c r="Q728" i="7"/>
  <c r="Q729" i="7"/>
  <c r="Q730" i="7"/>
  <c r="Q731" i="7"/>
  <c r="Q732" i="7"/>
  <c r="Q733" i="7"/>
  <c r="Q734" i="7"/>
  <c r="Q735" i="7"/>
  <c r="Q736" i="7"/>
  <c r="Q737" i="7"/>
  <c r="Q738" i="7"/>
  <c r="Q739" i="7"/>
  <c r="Q740" i="7"/>
  <c r="Q741" i="7"/>
  <c r="Q742" i="7"/>
  <c r="Q743" i="7"/>
  <c r="Q744" i="7"/>
  <c r="Q745" i="7"/>
  <c r="Q746" i="7"/>
  <c r="Q747" i="7"/>
  <c r="Q748" i="7"/>
  <c r="Q749" i="7"/>
  <c r="Q750" i="7"/>
  <c r="Q751" i="7"/>
  <c r="Q752" i="7"/>
  <c r="Q753" i="7"/>
  <c r="Q754" i="7"/>
  <c r="Q755" i="7"/>
  <c r="Q756" i="7"/>
  <c r="Q757" i="7"/>
  <c r="Q758" i="7"/>
  <c r="Q759" i="7"/>
  <c r="Q760" i="7"/>
  <c r="Q761" i="7"/>
  <c r="Q762" i="7"/>
  <c r="Q763" i="7"/>
  <c r="Q764" i="7"/>
  <c r="Q765" i="7"/>
  <c r="Q766" i="7"/>
  <c r="Q767" i="7"/>
  <c r="Q768" i="7"/>
  <c r="Q769" i="7"/>
  <c r="Q770" i="7"/>
  <c r="Q771" i="7"/>
  <c r="Q772" i="7"/>
  <c r="Q773" i="7"/>
  <c r="Q774" i="7"/>
  <c r="Q775" i="7"/>
  <c r="Q776" i="7"/>
  <c r="Q777" i="7"/>
  <c r="Q778" i="7"/>
  <c r="Q779" i="7"/>
  <c r="Q780" i="7"/>
  <c r="Q781" i="7"/>
  <c r="Q782" i="7"/>
  <c r="Q783" i="7"/>
  <c r="Q784" i="7"/>
  <c r="Q785" i="7"/>
  <c r="Q786" i="7"/>
  <c r="Q787" i="7"/>
  <c r="Q788" i="7"/>
  <c r="Q789" i="7"/>
  <c r="Q790" i="7"/>
  <c r="Q791" i="7"/>
  <c r="Q792" i="7"/>
  <c r="Q793" i="7"/>
  <c r="Q794" i="7"/>
  <c r="Q795" i="7"/>
  <c r="Q796" i="7"/>
  <c r="Q797" i="7"/>
  <c r="Q798" i="7"/>
  <c r="Q799" i="7"/>
  <c r="Q800" i="7"/>
  <c r="Q801" i="7"/>
  <c r="Q802" i="7"/>
  <c r="Q803" i="7"/>
  <c r="Q804" i="7"/>
  <c r="Q805" i="7"/>
  <c r="Q806" i="7"/>
  <c r="Q807" i="7"/>
  <c r="Q808" i="7"/>
  <c r="Q809" i="7"/>
  <c r="Q810" i="7"/>
  <c r="Q811" i="7"/>
  <c r="Q812" i="7"/>
  <c r="Q813" i="7"/>
  <c r="Q814" i="7"/>
  <c r="Q815" i="7"/>
  <c r="Q816" i="7"/>
  <c r="Q817" i="7"/>
  <c r="Q818" i="7"/>
  <c r="Q819" i="7"/>
  <c r="Q820" i="7"/>
  <c r="Q821" i="7"/>
  <c r="Q822" i="7"/>
  <c r="Q823" i="7"/>
  <c r="Q824" i="7"/>
  <c r="Q825" i="7"/>
  <c r="Q826" i="7"/>
  <c r="Q827" i="7"/>
  <c r="Q828" i="7"/>
  <c r="Q829" i="7"/>
  <c r="Q830" i="7"/>
  <c r="Q831" i="7"/>
  <c r="Q832" i="7"/>
  <c r="Q833" i="7"/>
  <c r="Q834" i="7"/>
  <c r="Q835" i="7"/>
  <c r="Q836" i="7"/>
  <c r="Q837" i="7"/>
  <c r="Q838" i="7"/>
  <c r="Q839" i="7"/>
  <c r="Q840" i="7"/>
  <c r="Q841" i="7"/>
  <c r="Q842" i="7"/>
  <c r="Q843" i="7"/>
  <c r="Q844" i="7"/>
  <c r="Q845" i="7"/>
  <c r="Q846" i="7"/>
  <c r="Q847" i="7"/>
  <c r="Q848" i="7"/>
  <c r="Q849" i="7"/>
  <c r="Q850" i="7"/>
  <c r="Q851" i="7"/>
  <c r="Q852" i="7"/>
  <c r="Q853" i="7"/>
  <c r="Q854" i="7"/>
  <c r="Q855" i="7"/>
  <c r="Q856" i="7"/>
  <c r="Q857" i="7"/>
  <c r="Q858" i="7"/>
  <c r="Q859" i="7"/>
  <c r="Q860" i="7"/>
  <c r="Q861" i="7"/>
  <c r="Q862" i="7"/>
  <c r="Q863" i="7"/>
  <c r="Q864" i="7"/>
  <c r="Q865" i="7"/>
  <c r="Q866" i="7"/>
  <c r="Q867" i="7"/>
  <c r="Q868" i="7"/>
  <c r="Q869" i="7"/>
  <c r="Q870" i="7"/>
  <c r="Q871" i="7"/>
  <c r="Q872" i="7"/>
  <c r="Q873" i="7"/>
  <c r="Q874" i="7"/>
  <c r="Q875" i="7"/>
  <c r="Q876" i="7"/>
  <c r="Q877" i="7"/>
  <c r="Q878" i="7"/>
  <c r="Q879" i="7"/>
  <c r="Q880" i="7"/>
  <c r="Q881" i="7"/>
  <c r="Q882" i="7"/>
  <c r="Q883" i="7"/>
  <c r="Q884" i="7"/>
  <c r="Q885" i="7"/>
  <c r="Q886" i="7"/>
  <c r="Q887" i="7"/>
  <c r="Q888" i="7"/>
  <c r="Q889" i="7"/>
  <c r="Q890" i="7"/>
  <c r="Q891" i="7"/>
  <c r="Q892" i="7"/>
  <c r="Q893" i="7"/>
  <c r="Q894" i="7"/>
  <c r="Q895" i="7"/>
  <c r="Q896" i="7"/>
  <c r="Q897" i="7"/>
  <c r="Q898" i="7"/>
  <c r="Q899" i="7"/>
  <c r="Q900" i="7"/>
  <c r="Q901" i="7"/>
  <c r="Q902" i="7"/>
  <c r="Q903" i="7"/>
  <c r="Q904" i="7"/>
  <c r="Q905" i="7"/>
  <c r="Q906" i="7"/>
  <c r="Q907" i="7"/>
  <c r="Q908" i="7"/>
  <c r="Q909" i="7"/>
  <c r="Q910" i="7"/>
  <c r="Q911" i="7"/>
  <c r="Q912" i="7"/>
  <c r="Q913" i="7"/>
  <c r="Q914" i="7"/>
  <c r="Q915" i="7"/>
  <c r="Q916" i="7"/>
  <c r="Q917" i="7"/>
  <c r="Q918" i="7"/>
  <c r="Q919" i="7"/>
  <c r="Q920" i="7"/>
  <c r="Q921" i="7"/>
  <c r="Q922" i="7"/>
  <c r="Q923" i="7"/>
  <c r="Q924" i="7"/>
  <c r="Q925" i="7"/>
  <c r="Q926" i="7"/>
  <c r="Q927" i="7"/>
  <c r="Q928" i="7"/>
  <c r="Q929" i="7"/>
  <c r="Q930" i="7"/>
  <c r="Q931" i="7"/>
  <c r="Q932" i="7"/>
  <c r="Q933" i="7"/>
  <c r="Q934" i="7"/>
  <c r="Q935" i="7"/>
  <c r="Q936" i="7"/>
  <c r="Q937" i="7"/>
  <c r="Q938" i="7"/>
  <c r="Q939" i="7"/>
  <c r="Q940" i="7"/>
  <c r="Q941" i="7"/>
  <c r="Q942" i="7"/>
  <c r="Q943" i="7"/>
  <c r="Q944" i="7"/>
  <c r="Q945" i="7"/>
  <c r="Q946" i="7"/>
  <c r="Q947" i="7"/>
  <c r="Q948" i="7"/>
  <c r="Q949" i="7"/>
  <c r="Q950" i="7"/>
  <c r="Q951" i="7"/>
  <c r="Q952" i="7"/>
  <c r="Q953" i="7"/>
  <c r="Q954" i="7"/>
  <c r="Q955" i="7"/>
  <c r="Q956" i="7"/>
  <c r="Q957" i="7"/>
  <c r="Q958" i="7"/>
  <c r="R958" i="7" s="1"/>
  <c r="Q959" i="7"/>
  <c r="R959" i="7" s="1"/>
  <c r="Q960" i="7"/>
  <c r="R960" i="7" s="1"/>
  <c r="Q961" i="7"/>
  <c r="R961" i="7" s="1"/>
  <c r="Q962" i="7"/>
  <c r="R962" i="7" s="1"/>
  <c r="Q963" i="7"/>
  <c r="R963" i="7" s="1"/>
  <c r="Q964" i="7"/>
  <c r="R964" i="7" s="1"/>
  <c r="Q965" i="7"/>
  <c r="R965" i="7" s="1"/>
  <c r="Q966" i="7"/>
  <c r="R966" i="7" s="1"/>
  <c r="Q967" i="7"/>
  <c r="R967" i="7" s="1"/>
  <c r="Q968" i="7"/>
  <c r="R968" i="7" s="1"/>
  <c r="Q969" i="7"/>
  <c r="R969" i="7" s="1"/>
  <c r="Q970" i="7"/>
  <c r="R970" i="7" s="1"/>
  <c r="Q971" i="7"/>
  <c r="R971" i="7" s="1"/>
  <c r="Q972" i="7"/>
  <c r="R972" i="7" s="1"/>
  <c r="Q973" i="7"/>
  <c r="R973" i="7" s="1"/>
  <c r="Q974" i="7"/>
  <c r="R974" i="7" s="1"/>
  <c r="Q975" i="7"/>
  <c r="R975" i="7" s="1"/>
  <c r="Q976" i="7"/>
  <c r="R976" i="7" s="1"/>
  <c r="Q977" i="7"/>
  <c r="R977" i="7" s="1"/>
  <c r="Q978" i="7"/>
  <c r="R978" i="7" s="1"/>
  <c r="Q979" i="7"/>
  <c r="R979" i="7" s="1"/>
  <c r="Q980" i="7"/>
  <c r="R980" i="7" s="1"/>
  <c r="Q981" i="7"/>
  <c r="R981" i="7" s="1"/>
  <c r="Q982" i="7"/>
  <c r="R982" i="7" s="1"/>
  <c r="Q983" i="7"/>
  <c r="R983" i="7" s="1"/>
  <c r="Q984" i="7"/>
  <c r="R984" i="7" s="1"/>
  <c r="Q985" i="7"/>
  <c r="R985" i="7" s="1"/>
  <c r="Q986" i="7"/>
  <c r="R986" i="7" s="1"/>
  <c r="Q987" i="7"/>
  <c r="R987" i="7" s="1"/>
  <c r="Q988" i="7"/>
  <c r="R988" i="7" s="1"/>
  <c r="Q989" i="7"/>
  <c r="R989" i="7" s="1"/>
  <c r="Q990" i="7"/>
  <c r="R990" i="7" s="1"/>
  <c r="Q991" i="7"/>
  <c r="R991" i="7" s="1"/>
  <c r="Q992" i="7"/>
  <c r="R992" i="7" s="1"/>
  <c r="Q993" i="7"/>
  <c r="R993" i="7" s="1"/>
  <c r="Q994" i="7"/>
  <c r="R994" i="7" s="1"/>
  <c r="Q995" i="7"/>
  <c r="R995" i="7" s="1"/>
  <c r="Q996" i="7"/>
  <c r="R996" i="7" s="1"/>
  <c r="Q997" i="7"/>
  <c r="R997" i="7" s="1"/>
  <c r="Q998" i="7"/>
  <c r="R998" i="7" s="1"/>
  <c r="Q999" i="7"/>
  <c r="R999" i="7" s="1"/>
  <c r="Q1000" i="7"/>
  <c r="R1000" i="7" s="1"/>
  <c r="Q1001" i="7"/>
  <c r="R1001" i="7" s="1"/>
  <c r="R2" i="7"/>
  <c r="R3" i="7"/>
  <c r="R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R38" i="7"/>
  <c r="R39" i="7"/>
  <c r="R40" i="7"/>
  <c r="R41" i="7"/>
  <c r="R42" i="7"/>
  <c r="R43" i="7"/>
  <c r="R44" i="7"/>
  <c r="R45" i="7"/>
  <c r="R46" i="7"/>
  <c r="R47" i="7"/>
  <c r="R48" i="7"/>
  <c r="R49" i="7"/>
  <c r="R50" i="7"/>
  <c r="R51" i="7"/>
  <c r="R52" i="7"/>
  <c r="R53" i="7"/>
  <c r="R54" i="7"/>
  <c r="R55" i="7"/>
  <c r="R56" i="7"/>
  <c r="R57" i="7"/>
  <c r="R58" i="7"/>
  <c r="R59" i="7"/>
  <c r="R60" i="7"/>
  <c r="R61" i="7"/>
  <c r="R62" i="7"/>
  <c r="R63" i="7"/>
  <c r="R64" i="7"/>
  <c r="R65" i="7"/>
  <c r="R66" i="7"/>
  <c r="R67" i="7"/>
  <c r="R68" i="7"/>
  <c r="R69" i="7"/>
  <c r="R70" i="7"/>
  <c r="R71" i="7"/>
  <c r="R72" i="7"/>
  <c r="R73" i="7"/>
  <c r="R74" i="7"/>
  <c r="R75" i="7"/>
  <c r="R76" i="7"/>
  <c r="R77" i="7"/>
  <c r="R78" i="7"/>
  <c r="R79" i="7"/>
  <c r="R80" i="7"/>
  <c r="R81" i="7"/>
  <c r="R82" i="7"/>
  <c r="R83" i="7"/>
  <c r="R84" i="7"/>
  <c r="R85" i="7"/>
  <c r="R86" i="7"/>
  <c r="R87" i="7"/>
  <c r="R88" i="7"/>
  <c r="R89" i="7"/>
  <c r="R90" i="7"/>
  <c r="R91" i="7"/>
  <c r="R92" i="7"/>
  <c r="R93" i="7"/>
  <c r="R94" i="7"/>
  <c r="R95" i="7"/>
  <c r="R96" i="7"/>
  <c r="R97" i="7"/>
  <c r="R98" i="7"/>
  <c r="R99" i="7"/>
  <c r="R100" i="7"/>
  <c r="R101" i="7"/>
  <c r="R102" i="7"/>
  <c r="R103" i="7"/>
  <c r="R104" i="7"/>
  <c r="R105" i="7"/>
  <c r="R106" i="7"/>
  <c r="R107" i="7"/>
  <c r="R108" i="7"/>
  <c r="R109" i="7"/>
  <c r="R110" i="7"/>
  <c r="R111" i="7"/>
  <c r="R112" i="7"/>
  <c r="R113" i="7"/>
  <c r="R114" i="7"/>
  <c r="R115" i="7"/>
  <c r="R116" i="7"/>
  <c r="R117" i="7"/>
  <c r="R118" i="7"/>
  <c r="R119" i="7"/>
  <c r="R120" i="7"/>
  <c r="R121" i="7"/>
  <c r="R122" i="7"/>
  <c r="R123" i="7"/>
  <c r="R124" i="7"/>
  <c r="R125" i="7"/>
  <c r="R126" i="7"/>
  <c r="R127" i="7"/>
  <c r="R128" i="7"/>
  <c r="R129" i="7"/>
  <c r="R130" i="7"/>
  <c r="R131" i="7"/>
  <c r="R132" i="7"/>
  <c r="R133" i="7"/>
  <c r="R134" i="7"/>
  <c r="R135" i="7"/>
  <c r="R136" i="7"/>
  <c r="R137" i="7"/>
  <c r="R138" i="7"/>
  <c r="R139" i="7"/>
  <c r="R140" i="7"/>
  <c r="R141" i="7"/>
  <c r="R142" i="7"/>
  <c r="R143" i="7"/>
  <c r="R144" i="7"/>
  <c r="R145" i="7"/>
  <c r="R146" i="7"/>
  <c r="R147" i="7"/>
  <c r="R148" i="7"/>
  <c r="R149" i="7"/>
  <c r="R150" i="7"/>
  <c r="R151" i="7"/>
  <c r="R152" i="7"/>
  <c r="R153" i="7"/>
  <c r="R154" i="7"/>
  <c r="R155" i="7"/>
  <c r="R156" i="7"/>
  <c r="R157" i="7"/>
  <c r="R158" i="7"/>
  <c r="R159" i="7"/>
  <c r="R160" i="7"/>
  <c r="R161" i="7"/>
  <c r="R162" i="7"/>
  <c r="R163" i="7"/>
  <c r="R164" i="7"/>
  <c r="R165" i="7"/>
  <c r="R166" i="7"/>
  <c r="R167" i="7"/>
  <c r="R168" i="7"/>
  <c r="R169" i="7"/>
  <c r="R170" i="7"/>
  <c r="R171" i="7"/>
  <c r="R172" i="7"/>
  <c r="R173" i="7"/>
  <c r="R174" i="7"/>
  <c r="R175" i="7"/>
  <c r="R176" i="7"/>
  <c r="R177" i="7"/>
  <c r="R178" i="7"/>
  <c r="R179" i="7"/>
  <c r="R180" i="7"/>
  <c r="R181" i="7"/>
  <c r="R182" i="7"/>
  <c r="R183" i="7"/>
  <c r="R184" i="7"/>
  <c r="R185" i="7"/>
  <c r="R186" i="7"/>
  <c r="R187" i="7"/>
  <c r="R188" i="7"/>
  <c r="R189" i="7"/>
  <c r="R190" i="7"/>
  <c r="R191" i="7"/>
  <c r="R192" i="7"/>
  <c r="R193" i="7"/>
  <c r="R194" i="7"/>
  <c r="R195" i="7"/>
  <c r="R196" i="7"/>
  <c r="R197" i="7"/>
  <c r="R198" i="7"/>
  <c r="R199" i="7"/>
  <c r="R200" i="7"/>
  <c r="R201" i="7"/>
  <c r="R202" i="7"/>
  <c r="R203" i="7"/>
  <c r="R204" i="7"/>
  <c r="R205" i="7"/>
  <c r="R206" i="7"/>
  <c r="R207" i="7"/>
  <c r="R208" i="7"/>
  <c r="R209" i="7"/>
  <c r="R210" i="7"/>
  <c r="R211" i="7"/>
  <c r="R212" i="7"/>
  <c r="R213" i="7"/>
  <c r="R214" i="7"/>
  <c r="R215" i="7"/>
  <c r="R216" i="7"/>
  <c r="R217" i="7"/>
  <c r="R218" i="7"/>
  <c r="R219" i="7"/>
  <c r="R220" i="7"/>
  <c r="R221" i="7"/>
  <c r="R222" i="7"/>
  <c r="R223" i="7"/>
  <c r="R224" i="7"/>
  <c r="R225" i="7"/>
  <c r="R226" i="7"/>
  <c r="R227" i="7"/>
  <c r="R228" i="7"/>
  <c r="R229" i="7"/>
  <c r="R230" i="7"/>
  <c r="R231" i="7"/>
  <c r="R232" i="7"/>
  <c r="R233" i="7"/>
  <c r="R234" i="7"/>
  <c r="R235" i="7"/>
  <c r="R236" i="7"/>
  <c r="R237" i="7"/>
  <c r="R238" i="7"/>
  <c r="R239" i="7"/>
  <c r="R240" i="7"/>
  <c r="R241" i="7"/>
  <c r="R242" i="7"/>
  <c r="R243" i="7"/>
  <c r="R244" i="7"/>
  <c r="R245" i="7"/>
  <c r="R246" i="7"/>
  <c r="R247" i="7"/>
  <c r="R248" i="7"/>
  <c r="R249" i="7"/>
  <c r="R250" i="7"/>
  <c r="R251" i="7"/>
  <c r="R252" i="7"/>
  <c r="R253" i="7"/>
  <c r="R254" i="7"/>
  <c r="R255" i="7"/>
  <c r="R256" i="7"/>
  <c r="R257" i="7"/>
  <c r="R258" i="7"/>
  <c r="R259" i="7"/>
  <c r="R260" i="7"/>
  <c r="R261" i="7"/>
  <c r="R262" i="7"/>
  <c r="R263" i="7"/>
  <c r="R264" i="7"/>
  <c r="R265" i="7"/>
  <c r="R266" i="7"/>
  <c r="R267" i="7"/>
  <c r="R268" i="7"/>
  <c r="R269" i="7"/>
  <c r="R270" i="7"/>
  <c r="R271" i="7"/>
  <c r="R272" i="7"/>
  <c r="R273" i="7"/>
  <c r="R274" i="7"/>
  <c r="R275" i="7"/>
  <c r="R276" i="7"/>
  <c r="R277" i="7"/>
  <c r="R278" i="7"/>
  <c r="R279" i="7"/>
  <c r="R280" i="7"/>
  <c r="R281" i="7"/>
  <c r="R282" i="7"/>
  <c r="R283" i="7"/>
  <c r="R284" i="7"/>
  <c r="R285" i="7"/>
  <c r="R286" i="7"/>
  <c r="R287" i="7"/>
  <c r="R288" i="7"/>
  <c r="R289" i="7"/>
  <c r="R290" i="7"/>
  <c r="R291" i="7"/>
  <c r="R292" i="7"/>
  <c r="R293" i="7"/>
  <c r="R294" i="7"/>
  <c r="R295" i="7"/>
  <c r="R296" i="7"/>
  <c r="R297" i="7"/>
  <c r="R298" i="7"/>
  <c r="R299" i="7"/>
  <c r="R300" i="7"/>
  <c r="R301" i="7"/>
  <c r="R302" i="7"/>
  <c r="R303" i="7"/>
  <c r="R304" i="7"/>
  <c r="R305" i="7"/>
  <c r="R306" i="7"/>
  <c r="R307" i="7"/>
  <c r="R308" i="7"/>
  <c r="R309" i="7"/>
  <c r="R310" i="7"/>
  <c r="R311" i="7"/>
  <c r="R312" i="7"/>
  <c r="R313" i="7"/>
  <c r="R314" i="7"/>
  <c r="R315" i="7"/>
  <c r="R316" i="7"/>
  <c r="R317" i="7"/>
  <c r="R318" i="7"/>
  <c r="R319" i="7"/>
  <c r="R320" i="7"/>
  <c r="R321" i="7"/>
  <c r="R322" i="7"/>
  <c r="R323" i="7"/>
  <c r="R324" i="7"/>
  <c r="R325" i="7"/>
  <c r="R326" i="7"/>
  <c r="R327" i="7"/>
  <c r="R328" i="7"/>
  <c r="R329" i="7"/>
  <c r="R330" i="7"/>
  <c r="R331" i="7"/>
  <c r="R332" i="7"/>
  <c r="R333" i="7"/>
  <c r="R334" i="7"/>
  <c r="R335" i="7"/>
  <c r="R336" i="7"/>
  <c r="R337" i="7"/>
  <c r="R338" i="7"/>
  <c r="R339" i="7"/>
  <c r="R340" i="7"/>
  <c r="R341" i="7"/>
  <c r="R342" i="7"/>
  <c r="R343" i="7"/>
  <c r="R344" i="7"/>
  <c r="R345" i="7"/>
  <c r="R346" i="7"/>
  <c r="R347" i="7"/>
  <c r="R348" i="7"/>
  <c r="R349" i="7"/>
  <c r="R350" i="7"/>
  <c r="R351" i="7"/>
  <c r="R352" i="7"/>
  <c r="R353" i="7"/>
  <c r="R354" i="7"/>
  <c r="R355" i="7"/>
  <c r="R356" i="7"/>
  <c r="R357" i="7"/>
  <c r="R358" i="7"/>
  <c r="R359" i="7"/>
  <c r="R360" i="7"/>
  <c r="R361" i="7"/>
  <c r="R362" i="7"/>
  <c r="R363" i="7"/>
  <c r="R364" i="7"/>
  <c r="R365" i="7"/>
  <c r="R366" i="7"/>
  <c r="R367" i="7"/>
  <c r="R368" i="7"/>
  <c r="R369" i="7"/>
  <c r="R370" i="7"/>
  <c r="R371" i="7"/>
  <c r="R372" i="7"/>
  <c r="R373" i="7"/>
  <c r="R374" i="7"/>
  <c r="R375" i="7"/>
  <c r="R376" i="7"/>
  <c r="R377" i="7"/>
  <c r="R378" i="7"/>
  <c r="R379" i="7"/>
  <c r="R380" i="7"/>
  <c r="R381" i="7"/>
  <c r="R382" i="7"/>
  <c r="R383" i="7"/>
  <c r="R384" i="7"/>
  <c r="R385" i="7"/>
  <c r="R386" i="7"/>
  <c r="R387" i="7"/>
  <c r="R388" i="7"/>
  <c r="R389" i="7"/>
  <c r="R390" i="7"/>
  <c r="R391" i="7"/>
  <c r="R392" i="7"/>
  <c r="R393" i="7"/>
  <c r="R394" i="7"/>
  <c r="R395" i="7"/>
  <c r="R396" i="7"/>
  <c r="R397" i="7"/>
  <c r="R398" i="7"/>
  <c r="R399" i="7"/>
  <c r="R400" i="7"/>
  <c r="R401" i="7"/>
  <c r="R402" i="7"/>
  <c r="R403" i="7"/>
  <c r="R404" i="7"/>
  <c r="R405" i="7"/>
  <c r="R406" i="7"/>
  <c r="R407" i="7"/>
  <c r="R408" i="7"/>
  <c r="R409" i="7"/>
  <c r="R410" i="7"/>
  <c r="R411" i="7"/>
  <c r="R412" i="7"/>
  <c r="R413" i="7"/>
  <c r="R414" i="7"/>
  <c r="R415" i="7"/>
  <c r="R416" i="7"/>
  <c r="R417" i="7"/>
  <c r="R418" i="7"/>
  <c r="R419" i="7"/>
  <c r="R420" i="7"/>
  <c r="R421" i="7"/>
  <c r="R422" i="7"/>
  <c r="R423" i="7"/>
  <c r="R424" i="7"/>
  <c r="R425" i="7"/>
  <c r="R426" i="7"/>
  <c r="R427" i="7"/>
  <c r="R428" i="7"/>
  <c r="R429" i="7"/>
  <c r="R430" i="7"/>
  <c r="R431" i="7"/>
  <c r="R432" i="7"/>
  <c r="R433" i="7"/>
  <c r="R434" i="7"/>
  <c r="R435" i="7"/>
  <c r="R436" i="7"/>
  <c r="R437" i="7"/>
  <c r="R438" i="7"/>
  <c r="R439" i="7"/>
  <c r="R440" i="7"/>
  <c r="R441" i="7"/>
  <c r="R442" i="7"/>
  <c r="R443" i="7"/>
  <c r="R444" i="7"/>
  <c r="R445" i="7"/>
  <c r="R446" i="7"/>
  <c r="R447" i="7"/>
  <c r="R448" i="7"/>
  <c r="R449" i="7"/>
  <c r="R450" i="7"/>
  <c r="R451" i="7"/>
  <c r="R452" i="7"/>
  <c r="R453" i="7"/>
  <c r="R454" i="7"/>
  <c r="R455" i="7"/>
  <c r="R456" i="7"/>
  <c r="R457" i="7"/>
  <c r="R458" i="7"/>
  <c r="R459" i="7"/>
  <c r="R460" i="7"/>
  <c r="R461" i="7"/>
  <c r="R462" i="7"/>
  <c r="R463" i="7"/>
  <c r="R464" i="7"/>
  <c r="R465" i="7"/>
  <c r="R466" i="7"/>
  <c r="R467" i="7"/>
  <c r="R468" i="7"/>
  <c r="R469" i="7"/>
  <c r="R470" i="7"/>
  <c r="R471" i="7"/>
  <c r="R472" i="7"/>
  <c r="R473" i="7"/>
  <c r="R474" i="7"/>
  <c r="R475" i="7"/>
  <c r="R476" i="7"/>
  <c r="R477" i="7"/>
  <c r="R478" i="7"/>
  <c r="R479" i="7"/>
  <c r="R480" i="7"/>
  <c r="R481" i="7"/>
  <c r="R482" i="7"/>
  <c r="R483" i="7"/>
  <c r="R484" i="7"/>
  <c r="R485" i="7"/>
  <c r="R486" i="7"/>
  <c r="R487" i="7"/>
  <c r="R488" i="7"/>
  <c r="R489" i="7"/>
  <c r="R490" i="7"/>
  <c r="R491" i="7"/>
  <c r="R492" i="7"/>
  <c r="R493" i="7"/>
  <c r="R494" i="7"/>
  <c r="R495" i="7"/>
  <c r="R496" i="7"/>
  <c r="R497" i="7"/>
  <c r="R498" i="7"/>
  <c r="R499" i="7"/>
  <c r="R500" i="7"/>
  <c r="R501" i="7"/>
  <c r="R502" i="7"/>
  <c r="R503" i="7"/>
  <c r="R504" i="7"/>
  <c r="R505" i="7"/>
  <c r="R506" i="7"/>
  <c r="R507" i="7"/>
  <c r="R508" i="7"/>
  <c r="R509" i="7"/>
  <c r="R510" i="7"/>
  <c r="R511" i="7"/>
  <c r="R512" i="7"/>
  <c r="R513" i="7"/>
  <c r="R514" i="7"/>
  <c r="R515" i="7"/>
  <c r="R516" i="7"/>
  <c r="R517" i="7"/>
  <c r="R518" i="7"/>
  <c r="R519" i="7"/>
  <c r="R520" i="7"/>
  <c r="R521" i="7"/>
  <c r="R522" i="7"/>
  <c r="R523" i="7"/>
  <c r="R524" i="7"/>
  <c r="R525" i="7"/>
  <c r="R526" i="7"/>
  <c r="R527" i="7"/>
  <c r="R528" i="7"/>
  <c r="R529" i="7"/>
  <c r="R530" i="7"/>
  <c r="R531" i="7"/>
  <c r="R532" i="7"/>
  <c r="R533" i="7"/>
  <c r="R534" i="7"/>
  <c r="R535" i="7"/>
  <c r="R536" i="7"/>
  <c r="R537" i="7"/>
  <c r="R538" i="7"/>
  <c r="R539" i="7"/>
  <c r="R540" i="7"/>
  <c r="R541" i="7"/>
  <c r="R542" i="7"/>
  <c r="R543" i="7"/>
  <c r="R544" i="7"/>
  <c r="R545" i="7"/>
  <c r="R546" i="7"/>
  <c r="R547" i="7"/>
  <c r="R548" i="7"/>
  <c r="R549" i="7"/>
  <c r="R550" i="7"/>
  <c r="R551" i="7"/>
  <c r="R552" i="7"/>
  <c r="R553" i="7"/>
  <c r="R554" i="7"/>
  <c r="R555" i="7"/>
  <c r="R556" i="7"/>
  <c r="R557" i="7"/>
  <c r="R558" i="7"/>
  <c r="R559" i="7"/>
  <c r="R560" i="7"/>
  <c r="R561" i="7"/>
  <c r="R562" i="7"/>
  <c r="R563" i="7"/>
  <c r="R564" i="7"/>
  <c r="R565" i="7"/>
  <c r="R566" i="7"/>
  <c r="R567" i="7"/>
  <c r="R568" i="7"/>
  <c r="R569" i="7"/>
  <c r="R570" i="7"/>
  <c r="R571" i="7"/>
  <c r="R572" i="7"/>
  <c r="R573" i="7"/>
  <c r="R574" i="7"/>
  <c r="R575" i="7"/>
  <c r="R576" i="7"/>
  <c r="R577" i="7"/>
  <c r="R578" i="7"/>
  <c r="R579" i="7"/>
  <c r="R580" i="7"/>
  <c r="R581" i="7"/>
  <c r="R582" i="7"/>
  <c r="R583" i="7"/>
  <c r="R584" i="7"/>
  <c r="R585" i="7"/>
  <c r="R586" i="7"/>
  <c r="R587" i="7"/>
  <c r="R588" i="7"/>
  <c r="R589" i="7"/>
  <c r="R590" i="7"/>
  <c r="R591" i="7"/>
  <c r="R592" i="7"/>
  <c r="R593" i="7"/>
  <c r="R594" i="7"/>
  <c r="R595" i="7"/>
  <c r="R596" i="7"/>
  <c r="R597" i="7"/>
  <c r="R598" i="7"/>
  <c r="R599" i="7"/>
  <c r="R600" i="7"/>
  <c r="R601" i="7"/>
  <c r="R602" i="7"/>
  <c r="R603" i="7"/>
  <c r="R604" i="7"/>
  <c r="R605" i="7"/>
  <c r="R606" i="7"/>
  <c r="R607" i="7"/>
  <c r="R608" i="7"/>
  <c r="R609" i="7"/>
  <c r="R610" i="7"/>
  <c r="R611" i="7"/>
  <c r="R612" i="7"/>
  <c r="R613" i="7"/>
  <c r="R614" i="7"/>
  <c r="R615" i="7"/>
  <c r="R616" i="7"/>
  <c r="R617" i="7"/>
  <c r="R618" i="7"/>
  <c r="R619" i="7"/>
  <c r="R620" i="7"/>
  <c r="R621" i="7"/>
  <c r="R622" i="7"/>
  <c r="R623" i="7"/>
  <c r="R624" i="7"/>
  <c r="R625" i="7"/>
  <c r="R626" i="7"/>
  <c r="R627" i="7"/>
  <c r="R628" i="7"/>
  <c r="R629" i="7"/>
  <c r="R630" i="7"/>
  <c r="R631" i="7"/>
  <c r="R632" i="7"/>
  <c r="R633" i="7"/>
  <c r="R634" i="7"/>
  <c r="R635" i="7"/>
  <c r="R636" i="7"/>
  <c r="R637" i="7"/>
  <c r="R638" i="7"/>
  <c r="R639" i="7"/>
  <c r="R640" i="7"/>
  <c r="R641" i="7"/>
  <c r="R642" i="7"/>
  <c r="R643" i="7"/>
  <c r="R644" i="7"/>
  <c r="R645" i="7"/>
  <c r="R646" i="7"/>
  <c r="R647" i="7"/>
  <c r="R648" i="7"/>
  <c r="R649" i="7"/>
  <c r="R650" i="7"/>
  <c r="R651" i="7"/>
  <c r="R652" i="7"/>
  <c r="R653" i="7"/>
  <c r="R654" i="7"/>
  <c r="R655" i="7"/>
  <c r="R656" i="7"/>
  <c r="R657" i="7"/>
  <c r="R658" i="7"/>
  <c r="R659" i="7"/>
  <c r="R660" i="7"/>
  <c r="R661" i="7"/>
  <c r="R662" i="7"/>
  <c r="R663" i="7"/>
  <c r="R664" i="7"/>
  <c r="R665" i="7"/>
  <c r="R666" i="7"/>
  <c r="R667" i="7"/>
  <c r="R668" i="7"/>
  <c r="R669" i="7"/>
  <c r="R670" i="7"/>
  <c r="R671" i="7"/>
  <c r="R672" i="7"/>
  <c r="R673" i="7"/>
  <c r="R674" i="7"/>
  <c r="R675" i="7"/>
  <c r="R676" i="7"/>
  <c r="R677" i="7"/>
  <c r="R678" i="7"/>
  <c r="R679" i="7"/>
  <c r="R680" i="7"/>
  <c r="R681" i="7"/>
  <c r="R682" i="7"/>
  <c r="R683" i="7"/>
  <c r="R684" i="7"/>
  <c r="R685" i="7"/>
  <c r="R686" i="7"/>
  <c r="R687" i="7"/>
  <c r="R688" i="7"/>
  <c r="R689" i="7"/>
  <c r="R690" i="7"/>
  <c r="R691" i="7"/>
  <c r="R692" i="7"/>
  <c r="R693" i="7"/>
  <c r="R694" i="7"/>
  <c r="R695" i="7"/>
  <c r="R696" i="7"/>
  <c r="R697" i="7"/>
  <c r="R698" i="7"/>
  <c r="R699" i="7"/>
  <c r="R700" i="7"/>
  <c r="R701" i="7"/>
  <c r="R702" i="7"/>
  <c r="R703" i="7"/>
  <c r="R704" i="7"/>
  <c r="R705" i="7"/>
  <c r="R706" i="7"/>
  <c r="R707" i="7"/>
  <c r="R708" i="7"/>
  <c r="R709" i="7"/>
  <c r="R710" i="7"/>
  <c r="R711" i="7"/>
  <c r="R712" i="7"/>
  <c r="R713" i="7"/>
  <c r="R714" i="7"/>
  <c r="R715" i="7"/>
  <c r="R716" i="7"/>
  <c r="R717" i="7"/>
  <c r="R718" i="7"/>
  <c r="R719" i="7"/>
  <c r="R720" i="7"/>
  <c r="R721" i="7"/>
  <c r="R722" i="7"/>
  <c r="R723" i="7"/>
  <c r="R724" i="7"/>
  <c r="R725" i="7"/>
  <c r="R726" i="7"/>
  <c r="R727" i="7"/>
  <c r="R728" i="7"/>
  <c r="R729" i="7"/>
  <c r="R730" i="7"/>
  <c r="R731" i="7"/>
  <c r="R732" i="7"/>
  <c r="R733" i="7"/>
  <c r="R734" i="7"/>
  <c r="R735" i="7"/>
  <c r="R736" i="7"/>
  <c r="R737" i="7"/>
  <c r="R738" i="7"/>
  <c r="R739" i="7"/>
  <c r="R740" i="7"/>
  <c r="R741" i="7"/>
  <c r="R742" i="7"/>
  <c r="R743" i="7"/>
  <c r="R744" i="7"/>
  <c r="R745" i="7"/>
  <c r="R746" i="7"/>
  <c r="R747" i="7"/>
  <c r="R748" i="7"/>
  <c r="R749" i="7"/>
  <c r="R750" i="7"/>
  <c r="R751" i="7"/>
  <c r="R752" i="7"/>
  <c r="R753" i="7"/>
  <c r="R754" i="7"/>
  <c r="R755" i="7"/>
  <c r="R756" i="7"/>
  <c r="R757" i="7"/>
  <c r="R758" i="7"/>
  <c r="R759" i="7"/>
  <c r="R760" i="7"/>
  <c r="R761" i="7"/>
  <c r="R762" i="7"/>
  <c r="R763" i="7"/>
  <c r="R764" i="7"/>
  <c r="R765" i="7"/>
  <c r="R766" i="7"/>
  <c r="R767" i="7"/>
  <c r="R768" i="7"/>
  <c r="R769" i="7"/>
  <c r="R770" i="7"/>
  <c r="R771" i="7"/>
  <c r="R772" i="7"/>
  <c r="R773" i="7"/>
  <c r="R774" i="7"/>
  <c r="R775" i="7"/>
  <c r="R776" i="7"/>
  <c r="R777" i="7"/>
  <c r="R778" i="7"/>
  <c r="R779" i="7"/>
  <c r="R780" i="7"/>
  <c r="R781" i="7"/>
  <c r="R782" i="7"/>
  <c r="R783" i="7"/>
  <c r="R784" i="7"/>
  <c r="R785" i="7"/>
  <c r="R786" i="7"/>
  <c r="R787" i="7"/>
  <c r="R788" i="7"/>
  <c r="R789" i="7"/>
  <c r="R790" i="7"/>
  <c r="R791" i="7"/>
  <c r="R792" i="7"/>
  <c r="R793" i="7"/>
  <c r="R794" i="7"/>
  <c r="R795" i="7"/>
  <c r="R796" i="7"/>
  <c r="R797" i="7"/>
  <c r="R798" i="7"/>
  <c r="R799" i="7"/>
  <c r="R800" i="7"/>
  <c r="R801" i="7"/>
  <c r="R802" i="7"/>
  <c r="R803" i="7"/>
  <c r="R804" i="7"/>
  <c r="R805" i="7"/>
  <c r="R806" i="7"/>
  <c r="R807" i="7"/>
  <c r="R808" i="7"/>
  <c r="R809" i="7"/>
  <c r="R810" i="7"/>
  <c r="R811" i="7"/>
  <c r="R812" i="7"/>
  <c r="R813" i="7"/>
  <c r="R814" i="7"/>
  <c r="R815" i="7"/>
  <c r="R816" i="7"/>
  <c r="R817" i="7"/>
  <c r="R818" i="7"/>
  <c r="R819" i="7"/>
  <c r="R820" i="7"/>
  <c r="R821" i="7"/>
  <c r="R822" i="7"/>
  <c r="R823" i="7"/>
  <c r="R824" i="7"/>
  <c r="R825" i="7"/>
  <c r="R826" i="7"/>
  <c r="R827" i="7"/>
  <c r="R828" i="7"/>
  <c r="R829" i="7"/>
  <c r="R830" i="7"/>
  <c r="R831" i="7"/>
  <c r="R832" i="7"/>
  <c r="R833" i="7"/>
  <c r="R834" i="7"/>
  <c r="R835" i="7"/>
  <c r="R836" i="7"/>
  <c r="R837" i="7"/>
  <c r="R838" i="7"/>
  <c r="R839" i="7"/>
  <c r="R840" i="7"/>
  <c r="R841" i="7"/>
  <c r="R842" i="7"/>
  <c r="R843" i="7"/>
  <c r="R844" i="7"/>
  <c r="R845" i="7"/>
  <c r="R846" i="7"/>
  <c r="R847" i="7"/>
  <c r="R848" i="7"/>
  <c r="R849" i="7"/>
  <c r="R850" i="7"/>
  <c r="R851" i="7"/>
  <c r="R852" i="7"/>
  <c r="R853" i="7"/>
  <c r="R854" i="7"/>
  <c r="R855" i="7"/>
  <c r="R856" i="7"/>
  <c r="R857" i="7"/>
  <c r="R858" i="7"/>
  <c r="R859" i="7"/>
  <c r="R860" i="7"/>
  <c r="R861" i="7"/>
  <c r="R862" i="7"/>
  <c r="R863" i="7"/>
  <c r="R864" i="7"/>
  <c r="R865" i="7"/>
  <c r="R866" i="7"/>
  <c r="R867" i="7"/>
  <c r="R868" i="7"/>
  <c r="R869" i="7"/>
  <c r="R870" i="7"/>
  <c r="R871" i="7"/>
  <c r="R872" i="7"/>
  <c r="R873" i="7"/>
  <c r="R874" i="7"/>
  <c r="R875" i="7"/>
  <c r="R876" i="7"/>
  <c r="R877" i="7"/>
  <c r="R878" i="7"/>
  <c r="R879" i="7"/>
  <c r="R880" i="7"/>
  <c r="R881" i="7"/>
  <c r="R882" i="7"/>
  <c r="R883" i="7"/>
  <c r="R884" i="7"/>
  <c r="R885" i="7"/>
  <c r="R886" i="7"/>
  <c r="R887" i="7"/>
  <c r="R888" i="7"/>
  <c r="R889" i="7"/>
  <c r="R890" i="7"/>
  <c r="R891" i="7"/>
  <c r="R892" i="7"/>
  <c r="R893" i="7"/>
  <c r="R894" i="7"/>
  <c r="R895" i="7"/>
  <c r="R896" i="7"/>
  <c r="R897" i="7"/>
  <c r="R898" i="7"/>
  <c r="R899" i="7"/>
  <c r="R900" i="7"/>
  <c r="R901" i="7"/>
  <c r="R902" i="7"/>
  <c r="R903" i="7"/>
  <c r="R904" i="7"/>
  <c r="R905" i="7"/>
  <c r="R906" i="7"/>
  <c r="R907" i="7"/>
  <c r="R908" i="7"/>
  <c r="R909" i="7"/>
  <c r="R910" i="7"/>
  <c r="R911" i="7"/>
  <c r="R912" i="7"/>
  <c r="R913" i="7"/>
  <c r="R914" i="7"/>
  <c r="R915" i="7"/>
  <c r="R916" i="7"/>
  <c r="R917" i="7"/>
  <c r="R918" i="7"/>
  <c r="R919" i="7"/>
  <c r="R920" i="7"/>
  <c r="R921" i="7"/>
  <c r="R922" i="7"/>
  <c r="R923" i="7"/>
  <c r="R924" i="7"/>
  <c r="R925" i="7"/>
  <c r="R926" i="7"/>
  <c r="R927" i="7"/>
  <c r="R928" i="7"/>
  <c r="R929" i="7"/>
  <c r="R930" i="7"/>
  <c r="R931" i="7"/>
  <c r="R932" i="7"/>
  <c r="R933" i="7"/>
  <c r="R934" i="7"/>
  <c r="R935" i="7"/>
  <c r="R936" i="7"/>
  <c r="R937" i="7"/>
  <c r="R938" i="7"/>
  <c r="R939" i="7"/>
  <c r="R940" i="7"/>
  <c r="R941" i="7"/>
  <c r="R942" i="7"/>
  <c r="R943" i="7"/>
  <c r="R944" i="7"/>
  <c r="R945" i="7"/>
  <c r="R946" i="7"/>
  <c r="R947" i="7"/>
  <c r="R948" i="7"/>
  <c r="R949" i="7"/>
  <c r="R950" i="7"/>
  <c r="R951" i="7"/>
  <c r="R952" i="7"/>
  <c r="R953" i="7"/>
  <c r="R954" i="7"/>
  <c r="R955" i="7"/>
  <c r="R956" i="7"/>
  <c r="R957" i="7"/>
  <c r="T2" i="7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T118" i="7"/>
  <c r="T119" i="7"/>
  <c r="T120" i="7"/>
  <c r="T121" i="7"/>
  <c r="T122" i="7"/>
  <c r="T123" i="7"/>
  <c r="T124" i="7"/>
  <c r="T125" i="7"/>
  <c r="T126" i="7"/>
  <c r="T127" i="7"/>
  <c r="T128" i="7"/>
  <c r="T129" i="7"/>
  <c r="T130" i="7"/>
  <c r="T131" i="7"/>
  <c r="T132" i="7"/>
  <c r="T133" i="7"/>
  <c r="T134" i="7"/>
  <c r="T135" i="7"/>
  <c r="T136" i="7"/>
  <c r="T137" i="7"/>
  <c r="T138" i="7"/>
  <c r="T139" i="7"/>
  <c r="T140" i="7"/>
  <c r="T141" i="7"/>
  <c r="T142" i="7"/>
  <c r="T143" i="7"/>
  <c r="T144" i="7"/>
  <c r="T145" i="7"/>
  <c r="T146" i="7"/>
  <c r="T147" i="7"/>
  <c r="T148" i="7"/>
  <c r="T149" i="7"/>
  <c r="T150" i="7"/>
  <c r="T151" i="7"/>
  <c r="T152" i="7"/>
  <c r="T153" i="7"/>
  <c r="T154" i="7"/>
  <c r="T155" i="7"/>
  <c r="T156" i="7"/>
  <c r="T157" i="7"/>
  <c r="T158" i="7"/>
  <c r="T159" i="7"/>
  <c r="T160" i="7"/>
  <c r="T161" i="7"/>
  <c r="T162" i="7"/>
  <c r="T163" i="7"/>
  <c r="T164" i="7"/>
  <c r="T165" i="7"/>
  <c r="T166" i="7"/>
  <c r="T167" i="7"/>
  <c r="T168" i="7"/>
  <c r="T169" i="7"/>
  <c r="T170" i="7"/>
  <c r="T171" i="7"/>
  <c r="T172" i="7"/>
  <c r="T173" i="7"/>
  <c r="T174" i="7"/>
  <c r="T175" i="7"/>
  <c r="T176" i="7"/>
  <c r="T177" i="7"/>
  <c r="T178" i="7"/>
  <c r="T179" i="7"/>
  <c r="T180" i="7"/>
  <c r="T181" i="7"/>
  <c r="T182" i="7"/>
  <c r="T183" i="7"/>
  <c r="T184" i="7"/>
  <c r="T185" i="7"/>
  <c r="T186" i="7"/>
  <c r="T187" i="7"/>
  <c r="T188" i="7"/>
  <c r="T189" i="7"/>
  <c r="T190" i="7"/>
  <c r="T191" i="7"/>
  <c r="T192" i="7"/>
  <c r="T193" i="7"/>
  <c r="T194" i="7"/>
  <c r="T195" i="7"/>
  <c r="T196" i="7"/>
  <c r="T197" i="7"/>
  <c r="T198" i="7"/>
  <c r="T199" i="7"/>
  <c r="T200" i="7"/>
  <c r="T201" i="7"/>
  <c r="T202" i="7"/>
  <c r="T203" i="7"/>
  <c r="T204" i="7"/>
  <c r="T205" i="7"/>
  <c r="T206" i="7"/>
  <c r="T207" i="7"/>
  <c r="T208" i="7"/>
  <c r="T209" i="7"/>
  <c r="T210" i="7"/>
  <c r="T211" i="7"/>
  <c r="T212" i="7"/>
  <c r="T213" i="7"/>
  <c r="T214" i="7"/>
  <c r="T215" i="7"/>
  <c r="T216" i="7"/>
  <c r="T217" i="7"/>
  <c r="T218" i="7"/>
  <c r="T219" i="7"/>
  <c r="T220" i="7"/>
  <c r="T221" i="7"/>
  <c r="T222" i="7"/>
  <c r="T223" i="7"/>
  <c r="T224" i="7"/>
  <c r="T225" i="7"/>
  <c r="T226" i="7"/>
  <c r="T227" i="7"/>
  <c r="T228" i="7"/>
  <c r="T229" i="7"/>
  <c r="T230" i="7"/>
  <c r="T231" i="7"/>
  <c r="T232" i="7"/>
  <c r="T233" i="7"/>
  <c r="T234" i="7"/>
  <c r="T235" i="7"/>
  <c r="T236" i="7"/>
  <c r="T237" i="7"/>
  <c r="T238" i="7"/>
  <c r="T239" i="7"/>
  <c r="T240" i="7"/>
  <c r="T241" i="7"/>
  <c r="T242" i="7"/>
  <c r="T243" i="7"/>
  <c r="T244" i="7"/>
  <c r="T245" i="7"/>
  <c r="T246" i="7"/>
  <c r="T247" i="7"/>
  <c r="T248" i="7"/>
  <c r="T249" i="7"/>
  <c r="T250" i="7"/>
  <c r="T251" i="7"/>
  <c r="T252" i="7"/>
  <c r="T253" i="7"/>
  <c r="T254" i="7"/>
  <c r="T255" i="7"/>
  <c r="T256" i="7"/>
  <c r="T257" i="7"/>
  <c r="T258" i="7"/>
  <c r="T259" i="7"/>
  <c r="T260" i="7"/>
  <c r="T261" i="7"/>
  <c r="T262" i="7"/>
  <c r="T263" i="7"/>
  <c r="T264" i="7"/>
  <c r="T265" i="7"/>
  <c r="T266" i="7"/>
  <c r="T267" i="7"/>
  <c r="T268" i="7"/>
  <c r="T269" i="7"/>
  <c r="T270" i="7"/>
  <c r="T271" i="7"/>
  <c r="T272" i="7"/>
  <c r="T273" i="7"/>
  <c r="T274" i="7"/>
  <c r="T275" i="7"/>
  <c r="T276" i="7"/>
  <c r="T277" i="7"/>
  <c r="T278" i="7"/>
  <c r="T279" i="7"/>
  <c r="T280" i="7"/>
  <c r="T281" i="7"/>
  <c r="T282" i="7"/>
  <c r="T283" i="7"/>
  <c r="T284" i="7"/>
  <c r="T285" i="7"/>
  <c r="T286" i="7"/>
  <c r="T287" i="7"/>
  <c r="T288" i="7"/>
  <c r="T289" i="7"/>
  <c r="T290" i="7"/>
  <c r="T291" i="7"/>
  <c r="T292" i="7"/>
  <c r="T293" i="7"/>
  <c r="T294" i="7"/>
  <c r="T295" i="7"/>
  <c r="T296" i="7"/>
  <c r="T297" i="7"/>
  <c r="T298" i="7"/>
  <c r="T299" i="7"/>
  <c r="T300" i="7"/>
  <c r="T301" i="7"/>
  <c r="T302" i="7"/>
  <c r="T303" i="7"/>
  <c r="T304" i="7"/>
  <c r="T305" i="7"/>
  <c r="T306" i="7"/>
  <c r="T307" i="7"/>
  <c r="T308" i="7"/>
  <c r="T309" i="7"/>
  <c r="T310" i="7"/>
  <c r="T311" i="7"/>
  <c r="T312" i="7"/>
  <c r="T313" i="7"/>
  <c r="T314" i="7"/>
  <c r="T315" i="7"/>
  <c r="T316" i="7"/>
  <c r="T317" i="7"/>
  <c r="T318" i="7"/>
  <c r="T319" i="7"/>
  <c r="T320" i="7"/>
  <c r="T321" i="7"/>
  <c r="T322" i="7"/>
  <c r="T323" i="7"/>
  <c r="T324" i="7"/>
  <c r="T325" i="7"/>
  <c r="T326" i="7"/>
  <c r="T327" i="7"/>
  <c r="T328" i="7"/>
  <c r="T329" i="7"/>
  <c r="T330" i="7"/>
  <c r="T331" i="7"/>
  <c r="T332" i="7"/>
  <c r="T333" i="7"/>
  <c r="T334" i="7"/>
  <c r="T335" i="7"/>
  <c r="T336" i="7"/>
  <c r="T337" i="7"/>
  <c r="T338" i="7"/>
  <c r="T339" i="7"/>
  <c r="T340" i="7"/>
  <c r="T341" i="7"/>
  <c r="T342" i="7"/>
  <c r="T343" i="7"/>
  <c r="T344" i="7"/>
  <c r="T345" i="7"/>
  <c r="T346" i="7"/>
  <c r="T347" i="7"/>
  <c r="T348" i="7"/>
  <c r="T349" i="7"/>
  <c r="T350" i="7"/>
  <c r="T351" i="7"/>
  <c r="T352" i="7"/>
  <c r="T353" i="7"/>
  <c r="T354" i="7"/>
  <c r="T355" i="7"/>
  <c r="T356" i="7"/>
  <c r="T357" i="7"/>
  <c r="T358" i="7"/>
  <c r="T359" i="7"/>
  <c r="T360" i="7"/>
  <c r="T361" i="7"/>
  <c r="T362" i="7"/>
  <c r="T363" i="7"/>
  <c r="T364" i="7"/>
  <c r="T365" i="7"/>
  <c r="T366" i="7"/>
  <c r="T367" i="7"/>
  <c r="T368" i="7"/>
  <c r="T369" i="7"/>
  <c r="T370" i="7"/>
  <c r="T371" i="7"/>
  <c r="T372" i="7"/>
  <c r="T373" i="7"/>
  <c r="T374" i="7"/>
  <c r="T375" i="7"/>
  <c r="T376" i="7"/>
  <c r="T377" i="7"/>
  <c r="T378" i="7"/>
  <c r="T379" i="7"/>
  <c r="T380" i="7"/>
  <c r="T381" i="7"/>
  <c r="T382" i="7"/>
  <c r="T383" i="7"/>
  <c r="T384" i="7"/>
  <c r="T385" i="7"/>
  <c r="T386" i="7"/>
  <c r="T387" i="7"/>
  <c r="T388" i="7"/>
  <c r="T389" i="7"/>
  <c r="T390" i="7"/>
  <c r="T391" i="7"/>
  <c r="T392" i="7"/>
  <c r="T393" i="7"/>
  <c r="T394" i="7"/>
  <c r="T395" i="7"/>
  <c r="T396" i="7"/>
  <c r="T397" i="7"/>
  <c r="T398" i="7"/>
  <c r="T399" i="7"/>
  <c r="T400" i="7"/>
  <c r="T401" i="7"/>
  <c r="T402" i="7"/>
  <c r="T403" i="7"/>
  <c r="T404" i="7"/>
  <c r="T405" i="7"/>
  <c r="T406" i="7"/>
  <c r="T407" i="7"/>
  <c r="T408" i="7"/>
  <c r="T409" i="7"/>
  <c r="T410" i="7"/>
  <c r="T411" i="7"/>
  <c r="T412" i="7"/>
  <c r="T413" i="7"/>
  <c r="T414" i="7"/>
  <c r="T415" i="7"/>
  <c r="T416" i="7"/>
  <c r="T417" i="7"/>
  <c r="T418" i="7"/>
  <c r="T419" i="7"/>
  <c r="T420" i="7"/>
  <c r="T421" i="7"/>
  <c r="T422" i="7"/>
  <c r="T423" i="7"/>
  <c r="T424" i="7"/>
  <c r="T425" i="7"/>
  <c r="T426" i="7"/>
  <c r="T427" i="7"/>
  <c r="T428" i="7"/>
  <c r="T429" i="7"/>
  <c r="T430" i="7"/>
  <c r="T431" i="7"/>
  <c r="T432" i="7"/>
  <c r="T433" i="7"/>
  <c r="T434" i="7"/>
  <c r="T435" i="7"/>
  <c r="T436" i="7"/>
  <c r="T437" i="7"/>
  <c r="T438" i="7"/>
  <c r="T439" i="7"/>
  <c r="T440" i="7"/>
  <c r="T441" i="7"/>
  <c r="T442" i="7"/>
  <c r="T443" i="7"/>
  <c r="T444" i="7"/>
  <c r="T445" i="7"/>
  <c r="T446" i="7"/>
  <c r="T447" i="7"/>
  <c r="T448" i="7"/>
  <c r="T449" i="7"/>
  <c r="T450" i="7"/>
  <c r="T451" i="7"/>
  <c r="T452" i="7"/>
  <c r="T453" i="7"/>
  <c r="T454" i="7"/>
  <c r="T455" i="7"/>
  <c r="T456" i="7"/>
  <c r="T457" i="7"/>
  <c r="T458" i="7"/>
  <c r="T459" i="7"/>
  <c r="T460" i="7"/>
  <c r="T461" i="7"/>
  <c r="T462" i="7"/>
  <c r="T463" i="7"/>
  <c r="T464" i="7"/>
  <c r="T465" i="7"/>
  <c r="T466" i="7"/>
  <c r="T467" i="7"/>
  <c r="T468" i="7"/>
  <c r="T469" i="7"/>
  <c r="T470" i="7"/>
  <c r="T471" i="7"/>
  <c r="T472" i="7"/>
  <c r="T473" i="7"/>
  <c r="T474" i="7"/>
  <c r="T475" i="7"/>
  <c r="T476" i="7"/>
  <c r="T477" i="7"/>
  <c r="T478" i="7"/>
  <c r="T479" i="7"/>
  <c r="T480" i="7"/>
  <c r="T481" i="7"/>
  <c r="T482" i="7"/>
  <c r="T483" i="7"/>
  <c r="T484" i="7"/>
  <c r="T485" i="7"/>
  <c r="T486" i="7"/>
  <c r="T487" i="7"/>
  <c r="T488" i="7"/>
  <c r="T489" i="7"/>
  <c r="T490" i="7"/>
  <c r="T491" i="7"/>
  <c r="T492" i="7"/>
  <c r="T493" i="7"/>
  <c r="T494" i="7"/>
  <c r="T495" i="7"/>
  <c r="T496" i="7"/>
  <c r="T497" i="7"/>
  <c r="T498" i="7"/>
  <c r="T499" i="7"/>
  <c r="T500" i="7"/>
  <c r="T501" i="7"/>
  <c r="T502" i="7"/>
  <c r="T503" i="7"/>
  <c r="T504" i="7"/>
  <c r="T505" i="7"/>
  <c r="T506" i="7"/>
  <c r="T507" i="7"/>
  <c r="T508" i="7"/>
  <c r="T509" i="7"/>
  <c r="T510" i="7"/>
  <c r="T511" i="7"/>
  <c r="T512" i="7"/>
  <c r="T513" i="7"/>
  <c r="T514" i="7"/>
  <c r="T515" i="7"/>
  <c r="T516" i="7"/>
  <c r="T517" i="7"/>
  <c r="T518" i="7"/>
  <c r="T519" i="7"/>
  <c r="T520" i="7"/>
  <c r="T521" i="7"/>
  <c r="T522" i="7"/>
  <c r="T523" i="7"/>
  <c r="T524" i="7"/>
  <c r="T525" i="7"/>
  <c r="T526" i="7"/>
  <c r="T527" i="7"/>
  <c r="T528" i="7"/>
  <c r="T529" i="7"/>
  <c r="T530" i="7"/>
  <c r="T531" i="7"/>
  <c r="T532" i="7"/>
  <c r="T533" i="7"/>
  <c r="T534" i="7"/>
  <c r="T535" i="7"/>
  <c r="T536" i="7"/>
  <c r="T537" i="7"/>
  <c r="T538" i="7"/>
  <c r="T539" i="7"/>
  <c r="T540" i="7"/>
  <c r="T541" i="7"/>
  <c r="T542" i="7"/>
  <c r="T543" i="7"/>
  <c r="T544" i="7"/>
  <c r="T545" i="7"/>
  <c r="T546" i="7"/>
  <c r="T547" i="7"/>
  <c r="T548" i="7"/>
  <c r="T549" i="7"/>
  <c r="T550" i="7"/>
  <c r="T551" i="7"/>
  <c r="T552" i="7"/>
  <c r="T553" i="7"/>
  <c r="T554" i="7"/>
  <c r="T555" i="7"/>
  <c r="T556" i="7"/>
  <c r="T557" i="7"/>
  <c r="T558" i="7"/>
  <c r="T559" i="7"/>
  <c r="T560" i="7"/>
  <c r="T561" i="7"/>
  <c r="T562" i="7"/>
  <c r="T563" i="7"/>
  <c r="T564" i="7"/>
  <c r="T565" i="7"/>
  <c r="T566" i="7"/>
  <c r="T567" i="7"/>
  <c r="T568" i="7"/>
  <c r="T569" i="7"/>
  <c r="T570" i="7"/>
  <c r="T571" i="7"/>
  <c r="T572" i="7"/>
  <c r="T573" i="7"/>
  <c r="T574" i="7"/>
  <c r="T575" i="7"/>
  <c r="T576" i="7"/>
  <c r="T577" i="7"/>
  <c r="T578" i="7"/>
  <c r="T579" i="7"/>
  <c r="T580" i="7"/>
  <c r="T581" i="7"/>
  <c r="T582" i="7"/>
  <c r="T583" i="7"/>
  <c r="T584" i="7"/>
  <c r="T585" i="7"/>
  <c r="T586" i="7"/>
  <c r="T587" i="7"/>
  <c r="T588" i="7"/>
  <c r="T589" i="7"/>
  <c r="T590" i="7"/>
  <c r="T591" i="7"/>
  <c r="T592" i="7"/>
  <c r="T593" i="7"/>
  <c r="T594" i="7"/>
  <c r="T595" i="7"/>
  <c r="T596" i="7"/>
  <c r="T597" i="7"/>
  <c r="T598" i="7"/>
  <c r="T599" i="7"/>
  <c r="T600" i="7"/>
  <c r="T601" i="7"/>
  <c r="T602" i="7"/>
  <c r="T603" i="7"/>
  <c r="T604" i="7"/>
  <c r="T605" i="7"/>
  <c r="T606" i="7"/>
  <c r="T607" i="7"/>
  <c r="T608" i="7"/>
  <c r="T609" i="7"/>
  <c r="T610" i="7"/>
  <c r="T611" i="7"/>
  <c r="T612" i="7"/>
  <c r="T613" i="7"/>
  <c r="T614" i="7"/>
  <c r="T615" i="7"/>
  <c r="T616" i="7"/>
  <c r="T617" i="7"/>
  <c r="T618" i="7"/>
  <c r="T619" i="7"/>
  <c r="T620" i="7"/>
  <c r="T621" i="7"/>
  <c r="T622" i="7"/>
  <c r="T623" i="7"/>
  <c r="T624" i="7"/>
  <c r="T625" i="7"/>
  <c r="T626" i="7"/>
  <c r="T627" i="7"/>
  <c r="T628" i="7"/>
  <c r="T629" i="7"/>
  <c r="T630" i="7"/>
  <c r="T631" i="7"/>
  <c r="T632" i="7"/>
  <c r="T633" i="7"/>
  <c r="T634" i="7"/>
  <c r="T635" i="7"/>
  <c r="T636" i="7"/>
  <c r="T637" i="7"/>
  <c r="T638" i="7"/>
  <c r="T639" i="7"/>
  <c r="T640" i="7"/>
  <c r="T641" i="7"/>
  <c r="T642" i="7"/>
  <c r="T643" i="7"/>
  <c r="T644" i="7"/>
  <c r="T645" i="7"/>
  <c r="T646" i="7"/>
  <c r="T647" i="7"/>
  <c r="T648" i="7"/>
  <c r="T649" i="7"/>
  <c r="T650" i="7"/>
  <c r="T651" i="7"/>
  <c r="T652" i="7"/>
  <c r="T653" i="7"/>
  <c r="T654" i="7"/>
  <c r="T655" i="7"/>
  <c r="T656" i="7"/>
  <c r="T657" i="7"/>
  <c r="T658" i="7"/>
  <c r="T659" i="7"/>
  <c r="T660" i="7"/>
  <c r="T661" i="7"/>
  <c r="T662" i="7"/>
  <c r="T663" i="7"/>
  <c r="T664" i="7"/>
  <c r="T665" i="7"/>
  <c r="T666" i="7"/>
  <c r="T667" i="7"/>
  <c r="T668" i="7"/>
  <c r="T669" i="7"/>
  <c r="T670" i="7"/>
  <c r="T671" i="7"/>
  <c r="T672" i="7"/>
  <c r="T673" i="7"/>
  <c r="T674" i="7"/>
  <c r="T675" i="7"/>
  <c r="T676" i="7"/>
  <c r="T677" i="7"/>
  <c r="T678" i="7"/>
  <c r="T679" i="7"/>
  <c r="T680" i="7"/>
  <c r="T681" i="7"/>
  <c r="T682" i="7"/>
  <c r="T683" i="7"/>
  <c r="T684" i="7"/>
  <c r="T685" i="7"/>
  <c r="T686" i="7"/>
  <c r="T687" i="7"/>
  <c r="T688" i="7"/>
  <c r="T689" i="7"/>
  <c r="T690" i="7"/>
  <c r="T691" i="7"/>
  <c r="T692" i="7"/>
  <c r="T693" i="7"/>
  <c r="T694" i="7"/>
  <c r="T695" i="7"/>
  <c r="T696" i="7"/>
  <c r="T697" i="7"/>
  <c r="T698" i="7"/>
  <c r="T699" i="7"/>
  <c r="T700" i="7"/>
  <c r="T701" i="7"/>
  <c r="T702" i="7"/>
  <c r="T703" i="7"/>
  <c r="T704" i="7"/>
  <c r="T705" i="7"/>
  <c r="T706" i="7"/>
  <c r="T707" i="7"/>
  <c r="T708" i="7"/>
  <c r="T709" i="7"/>
  <c r="T710" i="7"/>
  <c r="T711" i="7"/>
  <c r="T712" i="7"/>
  <c r="T713" i="7"/>
  <c r="T714" i="7"/>
  <c r="T715" i="7"/>
  <c r="T716" i="7"/>
  <c r="T717" i="7"/>
  <c r="T718" i="7"/>
  <c r="T719" i="7"/>
  <c r="T720" i="7"/>
  <c r="T721" i="7"/>
  <c r="T722" i="7"/>
  <c r="T723" i="7"/>
  <c r="T724" i="7"/>
  <c r="T725" i="7"/>
  <c r="T726" i="7"/>
  <c r="T727" i="7"/>
  <c r="T728" i="7"/>
  <c r="T729" i="7"/>
  <c r="T730" i="7"/>
  <c r="T731" i="7"/>
  <c r="T732" i="7"/>
  <c r="T733" i="7"/>
  <c r="T734" i="7"/>
  <c r="T735" i="7"/>
  <c r="T736" i="7"/>
  <c r="T737" i="7"/>
  <c r="T738" i="7"/>
  <c r="T739" i="7"/>
  <c r="T740" i="7"/>
  <c r="T741" i="7"/>
  <c r="T742" i="7"/>
  <c r="T743" i="7"/>
  <c r="T744" i="7"/>
  <c r="T745" i="7"/>
  <c r="T746" i="7"/>
  <c r="T747" i="7"/>
  <c r="T748" i="7"/>
  <c r="T749" i="7"/>
  <c r="T750" i="7"/>
  <c r="T751" i="7"/>
  <c r="T752" i="7"/>
  <c r="T753" i="7"/>
  <c r="T754" i="7"/>
  <c r="T755" i="7"/>
  <c r="T756" i="7"/>
  <c r="T757" i="7"/>
  <c r="T758" i="7"/>
  <c r="T759" i="7"/>
  <c r="T760" i="7"/>
  <c r="T761" i="7"/>
  <c r="T762" i="7"/>
  <c r="T763" i="7"/>
  <c r="T764" i="7"/>
  <c r="T765" i="7"/>
  <c r="T766" i="7"/>
  <c r="T767" i="7"/>
  <c r="T768" i="7"/>
  <c r="T769" i="7"/>
  <c r="T770" i="7"/>
  <c r="T771" i="7"/>
  <c r="T772" i="7"/>
  <c r="T773" i="7"/>
  <c r="T774" i="7"/>
  <c r="T775" i="7"/>
  <c r="T776" i="7"/>
  <c r="T777" i="7"/>
  <c r="T778" i="7"/>
  <c r="T779" i="7"/>
  <c r="T780" i="7"/>
  <c r="T781" i="7"/>
  <c r="T782" i="7"/>
  <c r="T783" i="7"/>
  <c r="T784" i="7"/>
  <c r="T785" i="7"/>
  <c r="T786" i="7"/>
  <c r="T787" i="7"/>
  <c r="T788" i="7"/>
  <c r="T789" i="7"/>
  <c r="T790" i="7"/>
  <c r="T791" i="7"/>
  <c r="T792" i="7"/>
  <c r="T793" i="7"/>
  <c r="T794" i="7"/>
  <c r="T795" i="7"/>
  <c r="T796" i="7"/>
  <c r="T797" i="7"/>
  <c r="T798" i="7"/>
  <c r="T799" i="7"/>
  <c r="T800" i="7"/>
  <c r="T801" i="7"/>
  <c r="T802" i="7"/>
  <c r="T803" i="7"/>
  <c r="T804" i="7"/>
  <c r="T805" i="7"/>
  <c r="T806" i="7"/>
  <c r="T807" i="7"/>
  <c r="T808" i="7"/>
  <c r="T809" i="7"/>
  <c r="T810" i="7"/>
  <c r="T811" i="7"/>
  <c r="T812" i="7"/>
  <c r="T813" i="7"/>
  <c r="T814" i="7"/>
  <c r="T815" i="7"/>
  <c r="T816" i="7"/>
  <c r="T817" i="7"/>
  <c r="T818" i="7"/>
  <c r="T819" i="7"/>
  <c r="T820" i="7"/>
  <c r="T821" i="7"/>
  <c r="T822" i="7"/>
  <c r="T823" i="7"/>
  <c r="T824" i="7"/>
  <c r="T825" i="7"/>
  <c r="T826" i="7"/>
  <c r="T827" i="7"/>
  <c r="T828" i="7"/>
  <c r="T829" i="7"/>
  <c r="T830" i="7"/>
  <c r="T831" i="7"/>
  <c r="T832" i="7"/>
  <c r="T833" i="7"/>
  <c r="T834" i="7"/>
  <c r="T835" i="7"/>
  <c r="T836" i="7"/>
  <c r="T837" i="7"/>
  <c r="T838" i="7"/>
  <c r="T839" i="7"/>
  <c r="T840" i="7"/>
  <c r="T841" i="7"/>
  <c r="T842" i="7"/>
  <c r="T843" i="7"/>
  <c r="T844" i="7"/>
  <c r="T845" i="7"/>
  <c r="T846" i="7"/>
  <c r="T847" i="7"/>
  <c r="T848" i="7"/>
  <c r="T849" i="7"/>
  <c r="T850" i="7"/>
  <c r="T851" i="7"/>
  <c r="T852" i="7"/>
  <c r="T853" i="7"/>
  <c r="T854" i="7"/>
  <c r="T855" i="7"/>
  <c r="T856" i="7"/>
  <c r="T857" i="7"/>
  <c r="T858" i="7"/>
  <c r="T859" i="7"/>
  <c r="T860" i="7"/>
  <c r="T861" i="7"/>
  <c r="T862" i="7"/>
  <c r="T863" i="7"/>
  <c r="T864" i="7"/>
  <c r="T865" i="7"/>
  <c r="T866" i="7"/>
  <c r="T867" i="7"/>
  <c r="T868" i="7"/>
  <c r="T869" i="7"/>
  <c r="T870" i="7"/>
  <c r="T871" i="7"/>
  <c r="T872" i="7"/>
  <c r="T873" i="7"/>
  <c r="T874" i="7"/>
  <c r="T875" i="7"/>
  <c r="T876" i="7"/>
  <c r="T877" i="7"/>
  <c r="T878" i="7"/>
  <c r="T879" i="7"/>
  <c r="T880" i="7"/>
  <c r="T881" i="7"/>
  <c r="T882" i="7"/>
  <c r="T883" i="7"/>
  <c r="T884" i="7"/>
  <c r="T885" i="7"/>
  <c r="T886" i="7"/>
  <c r="T887" i="7"/>
  <c r="T888" i="7"/>
  <c r="T889" i="7"/>
  <c r="T890" i="7"/>
  <c r="T891" i="7"/>
  <c r="T892" i="7"/>
  <c r="T893" i="7"/>
  <c r="T894" i="7"/>
  <c r="T895" i="7"/>
  <c r="T896" i="7"/>
  <c r="T897" i="7"/>
  <c r="T898" i="7"/>
  <c r="T899" i="7"/>
  <c r="T900" i="7"/>
  <c r="T901" i="7"/>
  <c r="T902" i="7"/>
  <c r="T903" i="7"/>
  <c r="T904" i="7"/>
  <c r="T905" i="7"/>
  <c r="T906" i="7"/>
  <c r="T907" i="7"/>
  <c r="T908" i="7"/>
  <c r="T909" i="7"/>
  <c r="T910" i="7"/>
  <c r="T911" i="7"/>
  <c r="T912" i="7"/>
  <c r="T913" i="7"/>
  <c r="T914" i="7"/>
  <c r="T915" i="7"/>
  <c r="T916" i="7"/>
  <c r="T917" i="7"/>
  <c r="T918" i="7"/>
  <c r="T919" i="7"/>
  <c r="T920" i="7"/>
  <c r="T921" i="7"/>
  <c r="T922" i="7"/>
  <c r="T923" i="7"/>
  <c r="T924" i="7"/>
  <c r="T925" i="7"/>
  <c r="T926" i="7"/>
  <c r="T927" i="7"/>
  <c r="T928" i="7"/>
  <c r="T929" i="7"/>
  <c r="T930" i="7"/>
  <c r="T931" i="7"/>
  <c r="T932" i="7"/>
  <c r="T933" i="7"/>
  <c r="T934" i="7"/>
  <c r="T935" i="7"/>
  <c r="T936" i="7"/>
  <c r="T937" i="7"/>
  <c r="T938" i="7"/>
  <c r="T939" i="7"/>
  <c r="T940" i="7"/>
  <c r="T941" i="7"/>
  <c r="T942" i="7"/>
  <c r="T943" i="7"/>
  <c r="T944" i="7"/>
  <c r="T945" i="7"/>
  <c r="T946" i="7"/>
  <c r="T947" i="7"/>
  <c r="T948" i="7"/>
  <c r="T949" i="7"/>
  <c r="T950" i="7"/>
  <c r="T951" i="7"/>
  <c r="T952" i="7"/>
  <c r="T953" i="7"/>
  <c r="T954" i="7"/>
  <c r="T955" i="7"/>
  <c r="T956" i="7"/>
  <c r="T957" i="7"/>
  <c r="T958" i="7"/>
  <c r="T959" i="7"/>
  <c r="T960" i="7"/>
  <c r="T961" i="7"/>
  <c r="T962" i="7"/>
  <c r="T963" i="7"/>
  <c r="T964" i="7"/>
  <c r="T965" i="7"/>
  <c r="T966" i="7"/>
  <c r="T967" i="7"/>
  <c r="T968" i="7"/>
  <c r="T969" i="7"/>
  <c r="T970" i="7"/>
  <c r="T971" i="7"/>
  <c r="T972" i="7"/>
  <c r="T973" i="7"/>
  <c r="T974" i="7"/>
  <c r="T975" i="7"/>
  <c r="T976" i="7"/>
  <c r="T977" i="7"/>
  <c r="T978" i="7"/>
  <c r="T979" i="7"/>
  <c r="T980" i="7"/>
  <c r="T981" i="7"/>
  <c r="T982" i="7"/>
  <c r="T983" i="7"/>
  <c r="T984" i="7"/>
  <c r="T985" i="7"/>
  <c r="T986" i="7"/>
  <c r="T987" i="7"/>
  <c r="T988" i="7"/>
  <c r="T989" i="7"/>
  <c r="T990" i="7"/>
  <c r="T991" i="7"/>
  <c r="T992" i="7"/>
  <c r="T993" i="7"/>
  <c r="T994" i="7"/>
  <c r="T995" i="7"/>
  <c r="T996" i="7"/>
  <c r="T997" i="7"/>
  <c r="T998" i="7"/>
  <c r="T999" i="7"/>
  <c r="T1000" i="7"/>
  <c r="T1001" i="7"/>
  <c r="U2" i="7"/>
  <c r="U3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66" i="7"/>
  <c r="U67" i="7"/>
  <c r="U68" i="7"/>
  <c r="U69" i="7"/>
  <c r="U70" i="7"/>
  <c r="U71" i="7"/>
  <c r="U72" i="7"/>
  <c r="U73" i="7"/>
  <c r="U74" i="7"/>
  <c r="U75" i="7"/>
  <c r="U76" i="7"/>
  <c r="U77" i="7"/>
  <c r="U78" i="7"/>
  <c r="U79" i="7"/>
  <c r="U80" i="7"/>
  <c r="U81" i="7"/>
  <c r="U82" i="7"/>
  <c r="U83" i="7"/>
  <c r="U84" i="7"/>
  <c r="U85" i="7"/>
  <c r="U86" i="7"/>
  <c r="U87" i="7"/>
  <c r="U88" i="7"/>
  <c r="U89" i="7"/>
  <c r="U90" i="7"/>
  <c r="U91" i="7"/>
  <c r="U92" i="7"/>
  <c r="U93" i="7"/>
  <c r="U94" i="7"/>
  <c r="U95" i="7"/>
  <c r="U96" i="7"/>
  <c r="U97" i="7"/>
  <c r="U98" i="7"/>
  <c r="U99" i="7"/>
  <c r="U100" i="7"/>
  <c r="U101" i="7"/>
  <c r="U102" i="7"/>
  <c r="U103" i="7"/>
  <c r="U104" i="7"/>
  <c r="U105" i="7"/>
  <c r="U106" i="7"/>
  <c r="U107" i="7"/>
  <c r="U108" i="7"/>
  <c r="U109" i="7"/>
  <c r="U110" i="7"/>
  <c r="U111" i="7"/>
  <c r="U112" i="7"/>
  <c r="U113" i="7"/>
  <c r="U114" i="7"/>
  <c r="U115" i="7"/>
  <c r="U116" i="7"/>
  <c r="U117" i="7"/>
  <c r="U118" i="7"/>
  <c r="U119" i="7"/>
  <c r="U120" i="7"/>
  <c r="U121" i="7"/>
  <c r="U122" i="7"/>
  <c r="U123" i="7"/>
  <c r="U124" i="7"/>
  <c r="U125" i="7"/>
  <c r="U126" i="7"/>
  <c r="U127" i="7"/>
  <c r="U128" i="7"/>
  <c r="U129" i="7"/>
  <c r="U130" i="7"/>
  <c r="U131" i="7"/>
  <c r="U132" i="7"/>
  <c r="U133" i="7"/>
  <c r="U134" i="7"/>
  <c r="U135" i="7"/>
  <c r="U136" i="7"/>
  <c r="U137" i="7"/>
  <c r="U138" i="7"/>
  <c r="U139" i="7"/>
  <c r="U140" i="7"/>
  <c r="U141" i="7"/>
  <c r="U142" i="7"/>
  <c r="U143" i="7"/>
  <c r="U144" i="7"/>
  <c r="U145" i="7"/>
  <c r="U146" i="7"/>
  <c r="U147" i="7"/>
  <c r="U148" i="7"/>
  <c r="U149" i="7"/>
  <c r="U150" i="7"/>
  <c r="U151" i="7"/>
  <c r="U152" i="7"/>
  <c r="U153" i="7"/>
  <c r="U154" i="7"/>
  <c r="U155" i="7"/>
  <c r="U156" i="7"/>
  <c r="U157" i="7"/>
  <c r="U158" i="7"/>
  <c r="U159" i="7"/>
  <c r="U160" i="7"/>
  <c r="U161" i="7"/>
  <c r="U162" i="7"/>
  <c r="U163" i="7"/>
  <c r="U164" i="7"/>
  <c r="U165" i="7"/>
  <c r="U166" i="7"/>
  <c r="U167" i="7"/>
  <c r="U168" i="7"/>
  <c r="U169" i="7"/>
  <c r="U170" i="7"/>
  <c r="U171" i="7"/>
  <c r="U172" i="7"/>
  <c r="U173" i="7"/>
  <c r="U174" i="7"/>
  <c r="U175" i="7"/>
  <c r="U176" i="7"/>
  <c r="U177" i="7"/>
  <c r="U178" i="7"/>
  <c r="U179" i="7"/>
  <c r="U180" i="7"/>
  <c r="U181" i="7"/>
  <c r="U182" i="7"/>
  <c r="U183" i="7"/>
  <c r="U184" i="7"/>
  <c r="U185" i="7"/>
  <c r="U186" i="7"/>
  <c r="U187" i="7"/>
  <c r="U188" i="7"/>
  <c r="U189" i="7"/>
  <c r="U190" i="7"/>
  <c r="U191" i="7"/>
  <c r="U192" i="7"/>
  <c r="U193" i="7"/>
  <c r="U194" i="7"/>
  <c r="U195" i="7"/>
  <c r="U196" i="7"/>
  <c r="U197" i="7"/>
  <c r="U198" i="7"/>
  <c r="U199" i="7"/>
  <c r="U200" i="7"/>
  <c r="U201" i="7"/>
  <c r="U202" i="7"/>
  <c r="U203" i="7"/>
  <c r="U204" i="7"/>
  <c r="U205" i="7"/>
  <c r="U206" i="7"/>
  <c r="U207" i="7"/>
  <c r="U208" i="7"/>
  <c r="U209" i="7"/>
  <c r="U210" i="7"/>
  <c r="U211" i="7"/>
  <c r="U212" i="7"/>
  <c r="U213" i="7"/>
  <c r="U214" i="7"/>
  <c r="U215" i="7"/>
  <c r="U216" i="7"/>
  <c r="U217" i="7"/>
  <c r="U218" i="7"/>
  <c r="U219" i="7"/>
  <c r="U220" i="7"/>
  <c r="U221" i="7"/>
  <c r="U222" i="7"/>
  <c r="U223" i="7"/>
  <c r="U224" i="7"/>
  <c r="U225" i="7"/>
  <c r="U226" i="7"/>
  <c r="U227" i="7"/>
  <c r="U228" i="7"/>
  <c r="U229" i="7"/>
  <c r="U230" i="7"/>
  <c r="U231" i="7"/>
  <c r="U232" i="7"/>
  <c r="U233" i="7"/>
  <c r="U234" i="7"/>
  <c r="U235" i="7"/>
  <c r="U236" i="7"/>
  <c r="U237" i="7"/>
  <c r="U238" i="7"/>
  <c r="U239" i="7"/>
  <c r="U240" i="7"/>
  <c r="U241" i="7"/>
  <c r="U242" i="7"/>
  <c r="U243" i="7"/>
  <c r="U244" i="7"/>
  <c r="U245" i="7"/>
  <c r="U246" i="7"/>
  <c r="U247" i="7"/>
  <c r="U248" i="7"/>
  <c r="U249" i="7"/>
  <c r="U250" i="7"/>
  <c r="U251" i="7"/>
  <c r="U252" i="7"/>
  <c r="U253" i="7"/>
  <c r="U254" i="7"/>
  <c r="U255" i="7"/>
  <c r="U256" i="7"/>
  <c r="U257" i="7"/>
  <c r="U258" i="7"/>
  <c r="U259" i="7"/>
  <c r="U260" i="7"/>
  <c r="U261" i="7"/>
  <c r="U262" i="7"/>
  <c r="U263" i="7"/>
  <c r="U264" i="7"/>
  <c r="U265" i="7"/>
  <c r="U266" i="7"/>
  <c r="U267" i="7"/>
  <c r="U268" i="7"/>
  <c r="U269" i="7"/>
  <c r="U270" i="7"/>
  <c r="U271" i="7"/>
  <c r="U272" i="7"/>
  <c r="U273" i="7"/>
  <c r="U274" i="7"/>
  <c r="U275" i="7"/>
  <c r="U276" i="7"/>
  <c r="U277" i="7"/>
  <c r="U278" i="7"/>
  <c r="U279" i="7"/>
  <c r="U280" i="7"/>
  <c r="U281" i="7"/>
  <c r="U282" i="7"/>
  <c r="U283" i="7"/>
  <c r="U284" i="7"/>
  <c r="U285" i="7"/>
  <c r="U286" i="7"/>
  <c r="U287" i="7"/>
  <c r="U288" i="7"/>
  <c r="U289" i="7"/>
  <c r="U290" i="7"/>
  <c r="U291" i="7"/>
  <c r="U292" i="7"/>
  <c r="U293" i="7"/>
  <c r="U294" i="7"/>
  <c r="U295" i="7"/>
  <c r="U296" i="7"/>
  <c r="U297" i="7"/>
  <c r="U298" i="7"/>
  <c r="U299" i="7"/>
  <c r="U300" i="7"/>
  <c r="U301" i="7"/>
  <c r="U302" i="7"/>
  <c r="U303" i="7"/>
  <c r="U304" i="7"/>
  <c r="U305" i="7"/>
  <c r="U306" i="7"/>
  <c r="U307" i="7"/>
  <c r="U308" i="7"/>
  <c r="U309" i="7"/>
  <c r="U310" i="7"/>
  <c r="U311" i="7"/>
  <c r="U312" i="7"/>
  <c r="U313" i="7"/>
  <c r="U314" i="7"/>
  <c r="U315" i="7"/>
  <c r="U316" i="7"/>
  <c r="U317" i="7"/>
  <c r="U318" i="7"/>
  <c r="U319" i="7"/>
  <c r="U320" i="7"/>
  <c r="U321" i="7"/>
  <c r="U322" i="7"/>
  <c r="U323" i="7"/>
  <c r="U324" i="7"/>
  <c r="U325" i="7"/>
  <c r="U326" i="7"/>
  <c r="U327" i="7"/>
  <c r="U328" i="7"/>
  <c r="U329" i="7"/>
  <c r="U330" i="7"/>
  <c r="U331" i="7"/>
  <c r="U332" i="7"/>
  <c r="U333" i="7"/>
  <c r="U334" i="7"/>
  <c r="U335" i="7"/>
  <c r="U336" i="7"/>
  <c r="U337" i="7"/>
  <c r="U338" i="7"/>
  <c r="U339" i="7"/>
  <c r="U340" i="7"/>
  <c r="U341" i="7"/>
  <c r="U342" i="7"/>
  <c r="U343" i="7"/>
  <c r="U344" i="7"/>
  <c r="U345" i="7"/>
  <c r="U346" i="7"/>
  <c r="U347" i="7"/>
  <c r="U348" i="7"/>
  <c r="U349" i="7"/>
  <c r="U350" i="7"/>
  <c r="U351" i="7"/>
  <c r="U352" i="7"/>
  <c r="U353" i="7"/>
  <c r="U354" i="7"/>
  <c r="U355" i="7"/>
  <c r="U356" i="7"/>
  <c r="U357" i="7"/>
  <c r="U358" i="7"/>
  <c r="U359" i="7"/>
  <c r="U360" i="7"/>
  <c r="U361" i="7"/>
  <c r="U362" i="7"/>
  <c r="U363" i="7"/>
  <c r="U364" i="7"/>
  <c r="U365" i="7"/>
  <c r="U366" i="7"/>
  <c r="U367" i="7"/>
  <c r="U368" i="7"/>
  <c r="U369" i="7"/>
  <c r="U370" i="7"/>
  <c r="U371" i="7"/>
  <c r="U372" i="7"/>
  <c r="U373" i="7"/>
  <c r="U374" i="7"/>
  <c r="U375" i="7"/>
  <c r="U376" i="7"/>
  <c r="U377" i="7"/>
  <c r="U378" i="7"/>
  <c r="U379" i="7"/>
  <c r="U380" i="7"/>
  <c r="U381" i="7"/>
  <c r="U382" i="7"/>
  <c r="U383" i="7"/>
  <c r="U384" i="7"/>
  <c r="U385" i="7"/>
  <c r="U386" i="7"/>
  <c r="U387" i="7"/>
  <c r="U388" i="7"/>
  <c r="U389" i="7"/>
  <c r="U390" i="7"/>
  <c r="U391" i="7"/>
  <c r="U392" i="7"/>
  <c r="U393" i="7"/>
  <c r="U394" i="7"/>
  <c r="U395" i="7"/>
  <c r="U396" i="7"/>
  <c r="U397" i="7"/>
  <c r="U398" i="7"/>
  <c r="U399" i="7"/>
  <c r="U400" i="7"/>
  <c r="U401" i="7"/>
  <c r="U402" i="7"/>
  <c r="U403" i="7"/>
  <c r="U404" i="7"/>
  <c r="U405" i="7"/>
  <c r="U406" i="7"/>
  <c r="U407" i="7"/>
  <c r="U408" i="7"/>
  <c r="U409" i="7"/>
  <c r="U410" i="7"/>
  <c r="U411" i="7"/>
  <c r="U412" i="7"/>
  <c r="U413" i="7"/>
  <c r="U414" i="7"/>
  <c r="U415" i="7"/>
  <c r="U416" i="7"/>
  <c r="U417" i="7"/>
  <c r="U418" i="7"/>
  <c r="U419" i="7"/>
  <c r="U420" i="7"/>
  <c r="U421" i="7"/>
  <c r="U422" i="7"/>
  <c r="U423" i="7"/>
  <c r="U424" i="7"/>
  <c r="U425" i="7"/>
  <c r="U426" i="7"/>
  <c r="U427" i="7"/>
  <c r="U428" i="7"/>
  <c r="U429" i="7"/>
  <c r="U430" i="7"/>
  <c r="U431" i="7"/>
  <c r="U432" i="7"/>
  <c r="U433" i="7"/>
  <c r="U434" i="7"/>
  <c r="U435" i="7"/>
  <c r="U436" i="7"/>
  <c r="U437" i="7"/>
  <c r="U438" i="7"/>
  <c r="U439" i="7"/>
  <c r="U440" i="7"/>
  <c r="U441" i="7"/>
  <c r="U442" i="7"/>
  <c r="U443" i="7"/>
  <c r="U444" i="7"/>
  <c r="U445" i="7"/>
  <c r="U446" i="7"/>
  <c r="U447" i="7"/>
  <c r="U448" i="7"/>
  <c r="U449" i="7"/>
  <c r="U450" i="7"/>
  <c r="U451" i="7"/>
  <c r="U452" i="7"/>
  <c r="U453" i="7"/>
  <c r="U454" i="7"/>
  <c r="U455" i="7"/>
  <c r="U456" i="7"/>
  <c r="U457" i="7"/>
  <c r="U458" i="7"/>
  <c r="U459" i="7"/>
  <c r="U460" i="7"/>
  <c r="U461" i="7"/>
  <c r="U462" i="7"/>
  <c r="U463" i="7"/>
  <c r="U464" i="7"/>
  <c r="U465" i="7"/>
  <c r="U466" i="7"/>
  <c r="U467" i="7"/>
  <c r="U468" i="7"/>
  <c r="U469" i="7"/>
  <c r="U470" i="7"/>
  <c r="U471" i="7"/>
  <c r="U472" i="7"/>
  <c r="U473" i="7"/>
  <c r="U474" i="7"/>
  <c r="U475" i="7"/>
  <c r="U476" i="7"/>
  <c r="U477" i="7"/>
  <c r="U478" i="7"/>
  <c r="U479" i="7"/>
  <c r="U480" i="7"/>
  <c r="U481" i="7"/>
  <c r="U482" i="7"/>
  <c r="U483" i="7"/>
  <c r="U484" i="7"/>
  <c r="U485" i="7"/>
  <c r="U486" i="7"/>
  <c r="U487" i="7"/>
  <c r="U488" i="7"/>
  <c r="U489" i="7"/>
  <c r="U490" i="7"/>
  <c r="U491" i="7"/>
  <c r="U492" i="7"/>
  <c r="U493" i="7"/>
  <c r="U494" i="7"/>
  <c r="U495" i="7"/>
  <c r="U496" i="7"/>
  <c r="U497" i="7"/>
  <c r="U498" i="7"/>
  <c r="U499" i="7"/>
  <c r="U500" i="7"/>
  <c r="U501" i="7"/>
  <c r="U502" i="7"/>
  <c r="U503" i="7"/>
  <c r="U504" i="7"/>
  <c r="U505" i="7"/>
  <c r="U506" i="7"/>
  <c r="U507" i="7"/>
  <c r="U508" i="7"/>
  <c r="U509" i="7"/>
  <c r="U510" i="7"/>
  <c r="U511" i="7"/>
  <c r="U512" i="7"/>
  <c r="U513" i="7"/>
  <c r="U514" i="7"/>
  <c r="U515" i="7"/>
  <c r="U516" i="7"/>
  <c r="U517" i="7"/>
  <c r="U518" i="7"/>
  <c r="U519" i="7"/>
  <c r="U520" i="7"/>
  <c r="U521" i="7"/>
  <c r="U522" i="7"/>
  <c r="U523" i="7"/>
  <c r="U524" i="7"/>
  <c r="U525" i="7"/>
  <c r="U526" i="7"/>
  <c r="U527" i="7"/>
  <c r="U528" i="7"/>
  <c r="U529" i="7"/>
  <c r="U530" i="7"/>
  <c r="U531" i="7"/>
  <c r="U532" i="7"/>
  <c r="U533" i="7"/>
  <c r="U534" i="7"/>
  <c r="U535" i="7"/>
  <c r="U536" i="7"/>
  <c r="U537" i="7"/>
  <c r="U538" i="7"/>
  <c r="U539" i="7"/>
  <c r="U540" i="7"/>
  <c r="U541" i="7"/>
  <c r="U542" i="7"/>
  <c r="U543" i="7"/>
  <c r="U544" i="7"/>
  <c r="U545" i="7"/>
  <c r="U546" i="7"/>
  <c r="U547" i="7"/>
  <c r="U548" i="7"/>
  <c r="U549" i="7"/>
  <c r="U550" i="7"/>
  <c r="U551" i="7"/>
  <c r="U552" i="7"/>
  <c r="U553" i="7"/>
  <c r="U554" i="7"/>
  <c r="U555" i="7"/>
  <c r="U556" i="7"/>
  <c r="U557" i="7"/>
  <c r="U558" i="7"/>
  <c r="U559" i="7"/>
  <c r="U560" i="7"/>
  <c r="U561" i="7"/>
  <c r="U562" i="7"/>
  <c r="U563" i="7"/>
  <c r="U564" i="7"/>
  <c r="U565" i="7"/>
  <c r="U566" i="7"/>
  <c r="U567" i="7"/>
  <c r="U568" i="7"/>
  <c r="U569" i="7"/>
  <c r="U570" i="7"/>
  <c r="U571" i="7"/>
  <c r="U572" i="7"/>
  <c r="U573" i="7"/>
  <c r="U574" i="7"/>
  <c r="U575" i="7"/>
  <c r="U576" i="7"/>
  <c r="U577" i="7"/>
  <c r="U578" i="7"/>
  <c r="U579" i="7"/>
  <c r="U580" i="7"/>
  <c r="U581" i="7"/>
  <c r="U582" i="7"/>
  <c r="U583" i="7"/>
  <c r="U584" i="7"/>
  <c r="U585" i="7"/>
  <c r="U586" i="7"/>
  <c r="U587" i="7"/>
  <c r="U588" i="7"/>
  <c r="U589" i="7"/>
  <c r="U590" i="7"/>
  <c r="U591" i="7"/>
  <c r="U592" i="7"/>
  <c r="U593" i="7"/>
  <c r="U594" i="7"/>
  <c r="U595" i="7"/>
  <c r="U596" i="7"/>
  <c r="U597" i="7"/>
  <c r="U598" i="7"/>
  <c r="U599" i="7"/>
  <c r="U600" i="7"/>
  <c r="U601" i="7"/>
  <c r="U602" i="7"/>
  <c r="U603" i="7"/>
  <c r="U604" i="7"/>
  <c r="U605" i="7"/>
  <c r="U606" i="7"/>
  <c r="U607" i="7"/>
  <c r="U608" i="7"/>
  <c r="U609" i="7"/>
  <c r="U610" i="7"/>
  <c r="U611" i="7"/>
  <c r="U612" i="7"/>
  <c r="U613" i="7"/>
  <c r="U614" i="7"/>
  <c r="U615" i="7"/>
  <c r="U616" i="7"/>
  <c r="U617" i="7"/>
  <c r="U618" i="7"/>
  <c r="U619" i="7"/>
  <c r="U620" i="7"/>
  <c r="U621" i="7"/>
  <c r="U622" i="7"/>
  <c r="U623" i="7"/>
  <c r="U624" i="7"/>
  <c r="U625" i="7"/>
  <c r="U626" i="7"/>
  <c r="U627" i="7"/>
  <c r="U628" i="7"/>
  <c r="U629" i="7"/>
  <c r="U630" i="7"/>
  <c r="U631" i="7"/>
  <c r="U632" i="7"/>
  <c r="U633" i="7"/>
  <c r="U634" i="7"/>
  <c r="U635" i="7"/>
  <c r="U636" i="7"/>
  <c r="U637" i="7"/>
  <c r="U638" i="7"/>
  <c r="U639" i="7"/>
  <c r="U640" i="7"/>
  <c r="U641" i="7"/>
  <c r="U642" i="7"/>
  <c r="U643" i="7"/>
  <c r="U644" i="7"/>
  <c r="U645" i="7"/>
  <c r="U646" i="7"/>
  <c r="U647" i="7"/>
  <c r="U648" i="7"/>
  <c r="U649" i="7"/>
  <c r="U650" i="7"/>
  <c r="U651" i="7"/>
  <c r="U652" i="7"/>
  <c r="U653" i="7"/>
  <c r="U654" i="7"/>
  <c r="U655" i="7"/>
  <c r="U656" i="7"/>
  <c r="U657" i="7"/>
  <c r="U658" i="7"/>
  <c r="U659" i="7"/>
  <c r="U660" i="7"/>
  <c r="U661" i="7"/>
  <c r="U662" i="7"/>
  <c r="U663" i="7"/>
  <c r="U664" i="7"/>
  <c r="U665" i="7"/>
  <c r="U666" i="7"/>
  <c r="U667" i="7"/>
  <c r="U668" i="7"/>
  <c r="U669" i="7"/>
  <c r="U670" i="7"/>
  <c r="U671" i="7"/>
  <c r="U672" i="7"/>
  <c r="U673" i="7"/>
  <c r="U674" i="7"/>
  <c r="U675" i="7"/>
  <c r="U676" i="7"/>
  <c r="U677" i="7"/>
  <c r="U678" i="7"/>
  <c r="U679" i="7"/>
  <c r="U680" i="7"/>
  <c r="U681" i="7"/>
  <c r="U682" i="7"/>
  <c r="U683" i="7"/>
  <c r="U684" i="7"/>
  <c r="U685" i="7"/>
  <c r="U686" i="7"/>
  <c r="U687" i="7"/>
  <c r="U688" i="7"/>
  <c r="U689" i="7"/>
  <c r="U690" i="7"/>
  <c r="U691" i="7"/>
  <c r="U692" i="7"/>
  <c r="U693" i="7"/>
  <c r="U694" i="7"/>
  <c r="U695" i="7"/>
  <c r="U696" i="7"/>
  <c r="U697" i="7"/>
  <c r="U698" i="7"/>
  <c r="U699" i="7"/>
  <c r="U700" i="7"/>
  <c r="U701" i="7"/>
  <c r="U702" i="7"/>
  <c r="U703" i="7"/>
  <c r="U704" i="7"/>
  <c r="U705" i="7"/>
  <c r="U706" i="7"/>
  <c r="U707" i="7"/>
  <c r="U708" i="7"/>
  <c r="U709" i="7"/>
  <c r="U710" i="7"/>
  <c r="U711" i="7"/>
  <c r="U712" i="7"/>
  <c r="U713" i="7"/>
  <c r="U714" i="7"/>
  <c r="U715" i="7"/>
  <c r="U716" i="7"/>
  <c r="U717" i="7"/>
  <c r="U718" i="7"/>
  <c r="U719" i="7"/>
  <c r="U720" i="7"/>
  <c r="U721" i="7"/>
  <c r="U722" i="7"/>
  <c r="U723" i="7"/>
  <c r="U724" i="7"/>
  <c r="U725" i="7"/>
  <c r="U726" i="7"/>
  <c r="U727" i="7"/>
  <c r="U728" i="7"/>
  <c r="U729" i="7"/>
  <c r="U730" i="7"/>
  <c r="U731" i="7"/>
  <c r="U732" i="7"/>
  <c r="U733" i="7"/>
  <c r="U734" i="7"/>
  <c r="U735" i="7"/>
  <c r="U736" i="7"/>
  <c r="U737" i="7"/>
  <c r="U738" i="7"/>
  <c r="U739" i="7"/>
  <c r="U740" i="7"/>
  <c r="U741" i="7"/>
  <c r="U742" i="7"/>
  <c r="U743" i="7"/>
  <c r="U744" i="7"/>
  <c r="U745" i="7"/>
  <c r="U746" i="7"/>
  <c r="U747" i="7"/>
  <c r="U748" i="7"/>
  <c r="U749" i="7"/>
  <c r="U750" i="7"/>
  <c r="U751" i="7"/>
  <c r="U752" i="7"/>
  <c r="U753" i="7"/>
  <c r="U754" i="7"/>
  <c r="U755" i="7"/>
  <c r="U756" i="7"/>
  <c r="U757" i="7"/>
  <c r="U758" i="7"/>
  <c r="U759" i="7"/>
  <c r="U760" i="7"/>
  <c r="U761" i="7"/>
  <c r="U762" i="7"/>
  <c r="U763" i="7"/>
  <c r="U764" i="7"/>
  <c r="U765" i="7"/>
  <c r="U766" i="7"/>
  <c r="U767" i="7"/>
  <c r="U768" i="7"/>
  <c r="U769" i="7"/>
  <c r="U770" i="7"/>
  <c r="U771" i="7"/>
  <c r="U772" i="7"/>
  <c r="U773" i="7"/>
  <c r="U774" i="7"/>
  <c r="U775" i="7"/>
  <c r="U776" i="7"/>
  <c r="U777" i="7"/>
  <c r="U778" i="7"/>
  <c r="U779" i="7"/>
  <c r="U780" i="7"/>
  <c r="U781" i="7"/>
  <c r="U782" i="7"/>
  <c r="U783" i="7"/>
  <c r="U784" i="7"/>
  <c r="U785" i="7"/>
  <c r="U786" i="7"/>
  <c r="U787" i="7"/>
  <c r="U788" i="7"/>
  <c r="U789" i="7"/>
  <c r="U790" i="7"/>
  <c r="U791" i="7"/>
  <c r="U792" i="7"/>
  <c r="U793" i="7"/>
  <c r="U794" i="7"/>
  <c r="U795" i="7"/>
  <c r="U796" i="7"/>
  <c r="U797" i="7"/>
  <c r="U798" i="7"/>
  <c r="U799" i="7"/>
  <c r="U800" i="7"/>
  <c r="U801" i="7"/>
  <c r="U802" i="7"/>
  <c r="U803" i="7"/>
  <c r="U804" i="7"/>
  <c r="U805" i="7"/>
  <c r="U806" i="7"/>
  <c r="U807" i="7"/>
  <c r="U808" i="7"/>
  <c r="U809" i="7"/>
  <c r="U810" i="7"/>
  <c r="U811" i="7"/>
  <c r="U812" i="7"/>
  <c r="U813" i="7"/>
  <c r="U814" i="7"/>
  <c r="U815" i="7"/>
  <c r="U816" i="7"/>
  <c r="U817" i="7"/>
  <c r="U818" i="7"/>
  <c r="U819" i="7"/>
  <c r="U820" i="7"/>
  <c r="U821" i="7"/>
  <c r="U822" i="7"/>
  <c r="U823" i="7"/>
  <c r="U824" i="7"/>
  <c r="U825" i="7"/>
  <c r="U826" i="7"/>
  <c r="U827" i="7"/>
  <c r="U828" i="7"/>
  <c r="U829" i="7"/>
  <c r="U830" i="7"/>
  <c r="U831" i="7"/>
  <c r="U832" i="7"/>
  <c r="U833" i="7"/>
  <c r="U834" i="7"/>
  <c r="U835" i="7"/>
  <c r="U836" i="7"/>
  <c r="U837" i="7"/>
  <c r="U838" i="7"/>
  <c r="U839" i="7"/>
  <c r="U840" i="7"/>
  <c r="U841" i="7"/>
  <c r="U842" i="7"/>
  <c r="U843" i="7"/>
  <c r="U844" i="7"/>
  <c r="U845" i="7"/>
  <c r="U846" i="7"/>
  <c r="U847" i="7"/>
  <c r="U848" i="7"/>
  <c r="U849" i="7"/>
  <c r="U850" i="7"/>
  <c r="U851" i="7"/>
  <c r="U852" i="7"/>
  <c r="U853" i="7"/>
  <c r="U854" i="7"/>
  <c r="U855" i="7"/>
  <c r="U856" i="7"/>
  <c r="U857" i="7"/>
  <c r="U858" i="7"/>
  <c r="U859" i="7"/>
  <c r="U860" i="7"/>
  <c r="U861" i="7"/>
  <c r="U862" i="7"/>
  <c r="U863" i="7"/>
  <c r="U864" i="7"/>
  <c r="U865" i="7"/>
  <c r="U866" i="7"/>
  <c r="U867" i="7"/>
  <c r="U868" i="7"/>
  <c r="U869" i="7"/>
  <c r="U870" i="7"/>
  <c r="U871" i="7"/>
  <c r="U872" i="7"/>
  <c r="U873" i="7"/>
  <c r="U874" i="7"/>
  <c r="U875" i="7"/>
  <c r="U876" i="7"/>
  <c r="U877" i="7"/>
  <c r="U878" i="7"/>
  <c r="U879" i="7"/>
  <c r="U880" i="7"/>
  <c r="U881" i="7"/>
  <c r="U882" i="7"/>
  <c r="U883" i="7"/>
  <c r="U884" i="7"/>
  <c r="U885" i="7"/>
  <c r="U886" i="7"/>
  <c r="U887" i="7"/>
  <c r="U888" i="7"/>
  <c r="U889" i="7"/>
  <c r="U890" i="7"/>
  <c r="U891" i="7"/>
  <c r="U892" i="7"/>
  <c r="U893" i="7"/>
  <c r="U894" i="7"/>
  <c r="U895" i="7"/>
  <c r="U896" i="7"/>
  <c r="U897" i="7"/>
  <c r="U898" i="7"/>
  <c r="U899" i="7"/>
  <c r="U900" i="7"/>
  <c r="U901" i="7"/>
  <c r="U902" i="7"/>
  <c r="U903" i="7"/>
  <c r="U904" i="7"/>
  <c r="U905" i="7"/>
  <c r="U906" i="7"/>
  <c r="U907" i="7"/>
  <c r="U908" i="7"/>
  <c r="U909" i="7"/>
  <c r="U910" i="7"/>
  <c r="U911" i="7"/>
  <c r="U912" i="7"/>
  <c r="U913" i="7"/>
  <c r="U914" i="7"/>
  <c r="U915" i="7"/>
  <c r="U916" i="7"/>
  <c r="U917" i="7"/>
  <c r="U918" i="7"/>
  <c r="U919" i="7"/>
  <c r="U920" i="7"/>
  <c r="U921" i="7"/>
  <c r="U922" i="7"/>
  <c r="U923" i="7"/>
  <c r="U924" i="7"/>
  <c r="U925" i="7"/>
  <c r="U926" i="7"/>
  <c r="U927" i="7"/>
  <c r="U928" i="7"/>
  <c r="U929" i="7"/>
  <c r="U930" i="7"/>
  <c r="U931" i="7"/>
  <c r="U932" i="7"/>
  <c r="U933" i="7"/>
  <c r="U934" i="7"/>
  <c r="U935" i="7"/>
  <c r="U936" i="7"/>
  <c r="U937" i="7"/>
  <c r="U938" i="7"/>
  <c r="U939" i="7"/>
  <c r="U940" i="7"/>
  <c r="U941" i="7"/>
  <c r="U942" i="7"/>
  <c r="U943" i="7"/>
  <c r="U944" i="7"/>
  <c r="U945" i="7"/>
  <c r="U946" i="7"/>
  <c r="U947" i="7"/>
  <c r="U948" i="7"/>
  <c r="U949" i="7"/>
  <c r="U950" i="7"/>
  <c r="U951" i="7"/>
  <c r="U952" i="7"/>
  <c r="U953" i="7"/>
  <c r="U954" i="7"/>
  <c r="U955" i="7"/>
  <c r="U956" i="7"/>
  <c r="U957" i="7"/>
  <c r="U958" i="7"/>
  <c r="U959" i="7"/>
  <c r="U960" i="7"/>
  <c r="U961" i="7"/>
  <c r="U962" i="7"/>
  <c r="U963" i="7"/>
  <c r="U964" i="7"/>
  <c r="U965" i="7"/>
  <c r="U966" i="7"/>
  <c r="U967" i="7"/>
  <c r="U968" i="7"/>
  <c r="U969" i="7"/>
  <c r="U970" i="7"/>
  <c r="U971" i="7"/>
  <c r="U972" i="7"/>
  <c r="U973" i="7"/>
  <c r="U974" i="7"/>
  <c r="U975" i="7"/>
  <c r="U976" i="7"/>
  <c r="U977" i="7"/>
  <c r="U978" i="7"/>
  <c r="U979" i="7"/>
  <c r="U980" i="7"/>
  <c r="U981" i="7"/>
  <c r="U982" i="7"/>
  <c r="U983" i="7"/>
  <c r="U984" i="7"/>
  <c r="U985" i="7"/>
  <c r="U986" i="7"/>
  <c r="U987" i="7"/>
  <c r="U988" i="7"/>
  <c r="U989" i="7"/>
  <c r="U990" i="7"/>
  <c r="U991" i="7"/>
  <c r="U992" i="7"/>
  <c r="U993" i="7"/>
  <c r="U994" i="7"/>
  <c r="U995" i="7"/>
  <c r="U996" i="7"/>
  <c r="U997" i="7"/>
  <c r="U998" i="7"/>
  <c r="U999" i="7"/>
  <c r="U1000" i="7"/>
  <c r="U1001" i="7"/>
  <c r="W2" i="7"/>
  <c r="X2" i="7" s="1"/>
  <c r="Y2" i="7" s="1"/>
  <c r="W3" i="7"/>
  <c r="X3" i="7" s="1"/>
  <c r="Y3" i="7" s="1"/>
  <c r="W4" i="7"/>
  <c r="X4" i="7" s="1"/>
  <c r="Y4" i="7" s="1"/>
  <c r="W5" i="7"/>
  <c r="X5" i="7" s="1"/>
  <c r="Y5" i="7" s="1"/>
  <c r="W6" i="7"/>
  <c r="X6" i="7" s="1"/>
  <c r="Y6" i="7" s="1"/>
  <c r="W7" i="7"/>
  <c r="X7" i="7" s="1"/>
  <c r="Y7" i="7" s="1"/>
  <c r="W8" i="7"/>
  <c r="X8" i="7" s="1"/>
  <c r="Y8" i="7" s="1"/>
  <c r="W9" i="7"/>
  <c r="X9" i="7" s="1"/>
  <c r="Y9" i="7" s="1"/>
  <c r="W10" i="7"/>
  <c r="X10" i="7" s="1"/>
  <c r="Y10" i="7" s="1"/>
  <c r="W11" i="7"/>
  <c r="X11" i="7" s="1"/>
  <c r="W12" i="7"/>
  <c r="X12" i="7" s="1"/>
  <c r="Y12" i="7" s="1"/>
  <c r="W13" i="7"/>
  <c r="X13" i="7" s="1"/>
  <c r="Y13" i="7" s="1"/>
  <c r="W14" i="7"/>
  <c r="X14" i="7" s="1"/>
  <c r="Y14" i="7" s="1"/>
  <c r="W15" i="7"/>
  <c r="X15" i="7" s="1"/>
  <c r="Y15" i="7" s="1"/>
  <c r="W16" i="7"/>
  <c r="X16" i="7" s="1"/>
  <c r="Y16" i="7" s="1"/>
  <c r="W17" i="7"/>
  <c r="X17" i="7" s="1"/>
  <c r="Y17" i="7" s="1"/>
  <c r="W18" i="7"/>
  <c r="X18" i="7" s="1"/>
  <c r="Y18" i="7" s="1"/>
  <c r="W19" i="7"/>
  <c r="X19" i="7" s="1"/>
  <c r="Y19" i="7" s="1"/>
  <c r="W20" i="7"/>
  <c r="X20" i="7" s="1"/>
  <c r="Y20" i="7" s="1"/>
  <c r="W21" i="7"/>
  <c r="X21" i="7" s="1"/>
  <c r="Y21" i="7" s="1"/>
  <c r="W22" i="7"/>
  <c r="X22" i="7" s="1"/>
  <c r="Y22" i="7" s="1"/>
  <c r="W23" i="7"/>
  <c r="X23" i="7" s="1"/>
  <c r="Y23" i="7" s="1"/>
  <c r="W24" i="7"/>
  <c r="X24" i="7" s="1"/>
  <c r="Y24" i="7" s="1"/>
  <c r="W25" i="7"/>
  <c r="X25" i="7" s="1"/>
  <c r="Y25" i="7" s="1"/>
  <c r="W26" i="7"/>
  <c r="X26" i="7" s="1"/>
  <c r="Y26" i="7" s="1"/>
  <c r="W27" i="7"/>
  <c r="X27" i="7" s="1"/>
  <c r="Y27" i="7" s="1"/>
  <c r="W28" i="7"/>
  <c r="X28" i="7" s="1"/>
  <c r="W29" i="7"/>
  <c r="X29" i="7" s="1"/>
  <c r="Y29" i="7" s="1"/>
  <c r="W30" i="7"/>
  <c r="X30" i="7" s="1"/>
  <c r="Y30" i="7" s="1"/>
  <c r="W31" i="7"/>
  <c r="X31" i="7" s="1"/>
  <c r="Y31" i="7" s="1"/>
  <c r="W32" i="7"/>
  <c r="X32" i="7" s="1"/>
  <c r="Y32" i="7" s="1"/>
  <c r="W33" i="7"/>
  <c r="X33" i="7" s="1"/>
  <c r="Y33" i="7" s="1"/>
  <c r="W34" i="7"/>
  <c r="X34" i="7" s="1"/>
  <c r="Y34" i="7" s="1"/>
  <c r="W35" i="7"/>
  <c r="X35" i="7" s="1"/>
  <c r="Y35" i="7" s="1"/>
  <c r="W36" i="7"/>
  <c r="X36" i="7" s="1"/>
  <c r="Y36" i="7" s="1"/>
  <c r="W37" i="7"/>
  <c r="X37" i="7" s="1"/>
  <c r="Y37" i="7" s="1"/>
  <c r="W38" i="7"/>
  <c r="X38" i="7" s="1"/>
  <c r="Y38" i="7" s="1"/>
  <c r="W39" i="7"/>
  <c r="X39" i="7" s="1"/>
  <c r="Y39" i="7" s="1"/>
  <c r="W40" i="7"/>
  <c r="X40" i="7" s="1"/>
  <c r="Y40" i="7" s="1"/>
  <c r="W41" i="7"/>
  <c r="X41" i="7" s="1"/>
  <c r="W42" i="7"/>
  <c r="X42" i="7" s="1"/>
  <c r="Y42" i="7" s="1"/>
  <c r="W43" i="7"/>
  <c r="X43" i="7" s="1"/>
  <c r="Y43" i="7" s="1"/>
  <c r="W44" i="7"/>
  <c r="X44" i="7" s="1"/>
  <c r="Y44" i="7" s="1"/>
  <c r="W45" i="7"/>
  <c r="X45" i="7" s="1"/>
  <c r="Y45" i="7" s="1"/>
  <c r="W46" i="7"/>
  <c r="X46" i="7" s="1"/>
  <c r="Y46" i="7" s="1"/>
  <c r="W47" i="7"/>
  <c r="X47" i="7" s="1"/>
  <c r="Y47" i="7" s="1"/>
  <c r="W48" i="7"/>
  <c r="X48" i="7" s="1"/>
  <c r="Y48" i="7" s="1"/>
  <c r="W49" i="7"/>
  <c r="X49" i="7" s="1"/>
  <c r="Y49" i="7" s="1"/>
  <c r="W50" i="7"/>
  <c r="X50" i="7" s="1"/>
  <c r="Y50" i="7" s="1"/>
  <c r="W51" i="7"/>
  <c r="X51" i="7" s="1"/>
  <c r="Y51" i="7" s="1"/>
  <c r="W52" i="7"/>
  <c r="X52" i="7" s="1"/>
  <c r="Y52" i="7" s="1"/>
  <c r="W53" i="7"/>
  <c r="X53" i="7" s="1"/>
  <c r="Y53" i="7" s="1"/>
  <c r="W54" i="7"/>
  <c r="X54" i="7" s="1"/>
  <c r="Y54" i="7" s="1"/>
  <c r="W55" i="7"/>
  <c r="X55" i="7" s="1"/>
  <c r="Y55" i="7" s="1"/>
  <c r="W56" i="7"/>
  <c r="X56" i="7" s="1"/>
  <c r="Y56" i="7" s="1"/>
  <c r="W57" i="7"/>
  <c r="X57" i="7" s="1"/>
  <c r="Y57" i="7" s="1"/>
  <c r="W58" i="7"/>
  <c r="X58" i="7" s="1"/>
  <c r="Y58" i="7" s="1"/>
  <c r="W59" i="7"/>
  <c r="X59" i="7" s="1"/>
  <c r="Y59" i="7" s="1"/>
  <c r="W60" i="7"/>
  <c r="X60" i="7" s="1"/>
  <c r="Y60" i="7" s="1"/>
  <c r="W61" i="7"/>
  <c r="X61" i="7" s="1"/>
  <c r="Y61" i="7" s="1"/>
  <c r="W62" i="7"/>
  <c r="X62" i="7" s="1"/>
  <c r="Y62" i="7" s="1"/>
  <c r="W63" i="7"/>
  <c r="X63" i="7" s="1"/>
  <c r="Y63" i="7" s="1"/>
  <c r="W64" i="7"/>
  <c r="X64" i="7" s="1"/>
  <c r="Y64" i="7" s="1"/>
  <c r="W65" i="7"/>
  <c r="X65" i="7" s="1"/>
  <c r="Y65" i="7" s="1"/>
  <c r="W66" i="7"/>
  <c r="X66" i="7" s="1"/>
  <c r="Y66" i="7" s="1"/>
  <c r="W67" i="7"/>
  <c r="X67" i="7" s="1"/>
  <c r="Y67" i="7" s="1"/>
  <c r="W68" i="7"/>
  <c r="X68" i="7" s="1"/>
  <c r="Y68" i="7" s="1"/>
  <c r="W69" i="7"/>
  <c r="X69" i="7" s="1"/>
  <c r="Y69" i="7" s="1"/>
  <c r="W70" i="7"/>
  <c r="X70" i="7" s="1"/>
  <c r="Y70" i="7" s="1"/>
  <c r="W71" i="7"/>
  <c r="X71" i="7" s="1"/>
  <c r="Y71" i="7" s="1"/>
  <c r="W72" i="7"/>
  <c r="X72" i="7" s="1"/>
  <c r="Y72" i="7" s="1"/>
  <c r="W73" i="7"/>
  <c r="X73" i="7" s="1"/>
  <c r="Y73" i="7" s="1"/>
  <c r="W74" i="7"/>
  <c r="X74" i="7" s="1"/>
  <c r="Y74" i="7" s="1"/>
  <c r="W75" i="7"/>
  <c r="X75" i="7" s="1"/>
  <c r="Y75" i="7" s="1"/>
  <c r="W76" i="7"/>
  <c r="X76" i="7" s="1"/>
  <c r="Y76" i="7" s="1"/>
  <c r="W77" i="7"/>
  <c r="X77" i="7" s="1"/>
  <c r="Y77" i="7" s="1"/>
  <c r="W78" i="7"/>
  <c r="X78" i="7" s="1"/>
  <c r="Y78" i="7" s="1"/>
  <c r="W79" i="7"/>
  <c r="X79" i="7" s="1"/>
  <c r="Y79" i="7" s="1"/>
  <c r="W80" i="7"/>
  <c r="X80" i="7" s="1"/>
  <c r="Y80" i="7" s="1"/>
  <c r="W81" i="7"/>
  <c r="X81" i="7" s="1"/>
  <c r="Y81" i="7" s="1"/>
  <c r="W82" i="7"/>
  <c r="X82" i="7" s="1"/>
  <c r="Y82" i="7" s="1"/>
  <c r="W83" i="7"/>
  <c r="X83" i="7" s="1"/>
  <c r="Y83" i="7" s="1"/>
  <c r="W84" i="7"/>
  <c r="X84" i="7" s="1"/>
  <c r="Y84" i="7" s="1"/>
  <c r="W85" i="7"/>
  <c r="X85" i="7" s="1"/>
  <c r="Y85" i="7" s="1"/>
  <c r="W86" i="7"/>
  <c r="X86" i="7" s="1"/>
  <c r="Y86" i="7" s="1"/>
  <c r="W87" i="7"/>
  <c r="X87" i="7" s="1"/>
  <c r="Y87" i="7" s="1"/>
  <c r="W88" i="7"/>
  <c r="X88" i="7" s="1"/>
  <c r="Y88" i="7" s="1"/>
  <c r="W89" i="7"/>
  <c r="X89" i="7" s="1"/>
  <c r="Y89" i="7" s="1"/>
  <c r="W90" i="7"/>
  <c r="X90" i="7" s="1"/>
  <c r="Y90" i="7" s="1"/>
  <c r="W91" i="7"/>
  <c r="X91" i="7" s="1"/>
  <c r="Y91" i="7" s="1"/>
  <c r="W92" i="7"/>
  <c r="X92" i="7" s="1"/>
  <c r="Y92" i="7" s="1"/>
  <c r="W93" i="7"/>
  <c r="X93" i="7" s="1"/>
  <c r="Y93" i="7" s="1"/>
  <c r="W94" i="7"/>
  <c r="X94" i="7" s="1"/>
  <c r="Y94" i="7" s="1"/>
  <c r="W95" i="7"/>
  <c r="X95" i="7" s="1"/>
  <c r="Y95" i="7" s="1"/>
  <c r="W96" i="7"/>
  <c r="X96" i="7" s="1"/>
  <c r="Y96" i="7" s="1"/>
  <c r="W97" i="7"/>
  <c r="X97" i="7" s="1"/>
  <c r="Y97" i="7" s="1"/>
  <c r="W98" i="7"/>
  <c r="X98" i="7" s="1"/>
  <c r="Y98" i="7" s="1"/>
  <c r="W99" i="7"/>
  <c r="X99" i="7" s="1"/>
  <c r="Y99" i="7" s="1"/>
  <c r="W100" i="7"/>
  <c r="X100" i="7" s="1"/>
  <c r="Y100" i="7" s="1"/>
  <c r="W101" i="7"/>
  <c r="X101" i="7" s="1"/>
  <c r="Y101" i="7" s="1"/>
  <c r="W102" i="7"/>
  <c r="X102" i="7" s="1"/>
  <c r="Y102" i="7" s="1"/>
  <c r="W103" i="7"/>
  <c r="X103" i="7" s="1"/>
  <c r="W104" i="7"/>
  <c r="X104" i="7" s="1"/>
  <c r="Y104" i="7" s="1"/>
  <c r="W105" i="7"/>
  <c r="X105" i="7" s="1"/>
  <c r="Y105" i="7" s="1"/>
  <c r="W106" i="7"/>
  <c r="X106" i="7" s="1"/>
  <c r="Y106" i="7" s="1"/>
  <c r="W107" i="7"/>
  <c r="X107" i="7" s="1"/>
  <c r="Y107" i="7" s="1"/>
  <c r="W108" i="7"/>
  <c r="X108" i="7" s="1"/>
  <c r="Y108" i="7" s="1"/>
  <c r="W109" i="7"/>
  <c r="X109" i="7" s="1"/>
  <c r="Y109" i="7" s="1"/>
  <c r="W110" i="7"/>
  <c r="X110" i="7" s="1"/>
  <c r="Y110" i="7" s="1"/>
  <c r="W111" i="7"/>
  <c r="X111" i="7" s="1"/>
  <c r="Y111" i="7" s="1"/>
  <c r="W112" i="7"/>
  <c r="X112" i="7" s="1"/>
  <c r="Y112" i="7" s="1"/>
  <c r="W113" i="7"/>
  <c r="X113" i="7" s="1"/>
  <c r="W114" i="7"/>
  <c r="X114" i="7" s="1"/>
  <c r="Y114" i="7" s="1"/>
  <c r="W115" i="7"/>
  <c r="X115" i="7" s="1"/>
  <c r="Y115" i="7" s="1"/>
  <c r="W116" i="7"/>
  <c r="X116" i="7" s="1"/>
  <c r="Y116" i="7" s="1"/>
  <c r="W117" i="7"/>
  <c r="W118" i="7"/>
  <c r="W119" i="7"/>
  <c r="W120" i="7"/>
  <c r="W121" i="7"/>
  <c r="W122" i="7"/>
  <c r="W123" i="7"/>
  <c r="W124" i="7"/>
  <c r="W125" i="7"/>
  <c r="W126" i="7"/>
  <c r="W127" i="7"/>
  <c r="W128" i="7"/>
  <c r="W129" i="7"/>
  <c r="W130" i="7"/>
  <c r="W131" i="7"/>
  <c r="W132" i="7"/>
  <c r="W133" i="7"/>
  <c r="W134" i="7"/>
  <c r="W135" i="7"/>
  <c r="W136" i="7"/>
  <c r="W137" i="7"/>
  <c r="W138" i="7"/>
  <c r="W139" i="7"/>
  <c r="W140" i="7"/>
  <c r="W141" i="7"/>
  <c r="W142" i="7"/>
  <c r="W143" i="7"/>
  <c r="W144" i="7"/>
  <c r="W145" i="7"/>
  <c r="W146" i="7"/>
  <c r="W147" i="7"/>
  <c r="W148" i="7"/>
  <c r="W149" i="7"/>
  <c r="W150" i="7"/>
  <c r="W151" i="7"/>
  <c r="W152" i="7"/>
  <c r="W153" i="7"/>
  <c r="W154" i="7"/>
  <c r="W155" i="7"/>
  <c r="W156" i="7"/>
  <c r="W157" i="7"/>
  <c r="W158" i="7"/>
  <c r="W159" i="7"/>
  <c r="W160" i="7"/>
  <c r="W161" i="7"/>
  <c r="W162" i="7"/>
  <c r="W163" i="7"/>
  <c r="W164" i="7"/>
  <c r="W165" i="7"/>
  <c r="W166" i="7"/>
  <c r="W167" i="7"/>
  <c r="W168" i="7"/>
  <c r="W169" i="7"/>
  <c r="W170" i="7"/>
  <c r="W171" i="7"/>
  <c r="W172" i="7"/>
  <c r="W173" i="7"/>
  <c r="W174" i="7"/>
  <c r="W175" i="7"/>
  <c r="W176" i="7"/>
  <c r="W177" i="7"/>
  <c r="W178" i="7"/>
  <c r="W179" i="7"/>
  <c r="W180" i="7"/>
  <c r="W181" i="7"/>
  <c r="W182" i="7"/>
  <c r="W183" i="7"/>
  <c r="W184" i="7"/>
  <c r="W185" i="7"/>
  <c r="W186" i="7"/>
  <c r="W187" i="7"/>
  <c r="W188" i="7"/>
  <c r="W189" i="7"/>
  <c r="W190" i="7"/>
  <c r="W191" i="7"/>
  <c r="W192" i="7"/>
  <c r="W193" i="7"/>
  <c r="W194" i="7"/>
  <c r="W195" i="7"/>
  <c r="W196" i="7"/>
  <c r="W197" i="7"/>
  <c r="W198" i="7"/>
  <c r="W199" i="7"/>
  <c r="W200" i="7"/>
  <c r="W201" i="7"/>
  <c r="W202" i="7"/>
  <c r="W203" i="7"/>
  <c r="W204" i="7"/>
  <c r="W205" i="7"/>
  <c r="W206" i="7"/>
  <c r="W207" i="7"/>
  <c r="W208" i="7"/>
  <c r="W209" i="7"/>
  <c r="W210" i="7"/>
  <c r="W211" i="7"/>
  <c r="W212" i="7"/>
  <c r="W213" i="7"/>
  <c r="W214" i="7"/>
  <c r="W215" i="7"/>
  <c r="W216" i="7"/>
  <c r="W217" i="7"/>
  <c r="W218" i="7"/>
  <c r="W219" i="7"/>
  <c r="W220" i="7"/>
  <c r="W221" i="7"/>
  <c r="W222" i="7"/>
  <c r="W223" i="7"/>
  <c r="W224" i="7"/>
  <c r="W225" i="7"/>
  <c r="W226" i="7"/>
  <c r="W227" i="7"/>
  <c r="W228" i="7"/>
  <c r="W229" i="7"/>
  <c r="W230" i="7"/>
  <c r="W231" i="7"/>
  <c r="W232" i="7"/>
  <c r="W233" i="7"/>
  <c r="W234" i="7"/>
  <c r="W235" i="7"/>
  <c r="W236" i="7"/>
  <c r="W237" i="7"/>
  <c r="W238" i="7"/>
  <c r="W239" i="7"/>
  <c r="W240" i="7"/>
  <c r="W241" i="7"/>
  <c r="W242" i="7"/>
  <c r="W243" i="7"/>
  <c r="W244" i="7"/>
  <c r="W245" i="7"/>
  <c r="W246" i="7"/>
  <c r="W247" i="7"/>
  <c r="W248" i="7"/>
  <c r="W249" i="7"/>
  <c r="W250" i="7"/>
  <c r="W251" i="7"/>
  <c r="W252" i="7"/>
  <c r="W253" i="7"/>
  <c r="W254" i="7"/>
  <c r="W255" i="7"/>
  <c r="W256" i="7"/>
  <c r="W257" i="7"/>
  <c r="W258" i="7"/>
  <c r="W259" i="7"/>
  <c r="W260" i="7"/>
  <c r="W261" i="7"/>
  <c r="W262" i="7"/>
  <c r="W263" i="7"/>
  <c r="W264" i="7"/>
  <c r="W265" i="7"/>
  <c r="W266" i="7"/>
  <c r="W267" i="7"/>
  <c r="W268" i="7"/>
  <c r="W269" i="7"/>
  <c r="W270" i="7"/>
  <c r="W271" i="7"/>
  <c r="W272" i="7"/>
  <c r="W273" i="7"/>
  <c r="W274" i="7"/>
  <c r="W275" i="7"/>
  <c r="W276" i="7"/>
  <c r="W277" i="7"/>
  <c r="W278" i="7"/>
  <c r="W279" i="7"/>
  <c r="W280" i="7"/>
  <c r="W281" i="7"/>
  <c r="W282" i="7"/>
  <c r="W283" i="7"/>
  <c r="W284" i="7"/>
  <c r="W285" i="7"/>
  <c r="W286" i="7"/>
  <c r="W287" i="7"/>
  <c r="W288" i="7"/>
  <c r="W289" i="7"/>
  <c r="W290" i="7"/>
  <c r="W291" i="7"/>
  <c r="W292" i="7"/>
  <c r="W293" i="7"/>
  <c r="W294" i="7"/>
  <c r="W295" i="7"/>
  <c r="W296" i="7"/>
  <c r="W297" i="7"/>
  <c r="W298" i="7"/>
  <c r="W299" i="7"/>
  <c r="W300" i="7"/>
  <c r="W301" i="7"/>
  <c r="W302" i="7"/>
  <c r="W303" i="7"/>
  <c r="W304" i="7"/>
  <c r="W305" i="7"/>
  <c r="W306" i="7"/>
  <c r="W307" i="7"/>
  <c r="W308" i="7"/>
  <c r="W309" i="7"/>
  <c r="W310" i="7"/>
  <c r="W311" i="7"/>
  <c r="W312" i="7"/>
  <c r="W313" i="7"/>
  <c r="W314" i="7"/>
  <c r="W315" i="7"/>
  <c r="W316" i="7"/>
  <c r="W317" i="7"/>
  <c r="W318" i="7"/>
  <c r="W319" i="7"/>
  <c r="W320" i="7"/>
  <c r="W321" i="7"/>
  <c r="W322" i="7"/>
  <c r="W323" i="7"/>
  <c r="W324" i="7"/>
  <c r="W325" i="7"/>
  <c r="W326" i="7"/>
  <c r="W327" i="7"/>
  <c r="W328" i="7"/>
  <c r="W329" i="7"/>
  <c r="W330" i="7"/>
  <c r="W331" i="7"/>
  <c r="W332" i="7"/>
  <c r="W333" i="7"/>
  <c r="W334" i="7"/>
  <c r="W335" i="7"/>
  <c r="W336" i="7"/>
  <c r="W337" i="7"/>
  <c r="W338" i="7"/>
  <c r="W339" i="7"/>
  <c r="W340" i="7"/>
  <c r="W341" i="7"/>
  <c r="W342" i="7"/>
  <c r="W343" i="7"/>
  <c r="W344" i="7"/>
  <c r="W345" i="7"/>
  <c r="W346" i="7"/>
  <c r="W347" i="7"/>
  <c r="W348" i="7"/>
  <c r="W349" i="7"/>
  <c r="W350" i="7"/>
  <c r="W351" i="7"/>
  <c r="W352" i="7"/>
  <c r="W353" i="7"/>
  <c r="W354" i="7"/>
  <c r="W355" i="7"/>
  <c r="W356" i="7"/>
  <c r="W357" i="7"/>
  <c r="W358" i="7"/>
  <c r="W359" i="7"/>
  <c r="W360" i="7"/>
  <c r="W361" i="7"/>
  <c r="W362" i="7"/>
  <c r="W363" i="7"/>
  <c r="W364" i="7"/>
  <c r="W365" i="7"/>
  <c r="W366" i="7"/>
  <c r="W367" i="7"/>
  <c r="W368" i="7"/>
  <c r="W369" i="7"/>
  <c r="W370" i="7"/>
  <c r="W371" i="7"/>
  <c r="W372" i="7"/>
  <c r="W373" i="7"/>
  <c r="W374" i="7"/>
  <c r="W375" i="7"/>
  <c r="W376" i="7"/>
  <c r="W377" i="7"/>
  <c r="W378" i="7"/>
  <c r="W379" i="7"/>
  <c r="W380" i="7"/>
  <c r="W381" i="7"/>
  <c r="W382" i="7"/>
  <c r="W383" i="7"/>
  <c r="W384" i="7"/>
  <c r="W385" i="7"/>
  <c r="W386" i="7"/>
  <c r="W387" i="7"/>
  <c r="W388" i="7"/>
  <c r="W389" i="7"/>
  <c r="W390" i="7"/>
  <c r="W391" i="7"/>
  <c r="W392" i="7"/>
  <c r="W393" i="7"/>
  <c r="W394" i="7"/>
  <c r="W395" i="7"/>
  <c r="W396" i="7"/>
  <c r="W397" i="7"/>
  <c r="W398" i="7"/>
  <c r="W399" i="7"/>
  <c r="W400" i="7"/>
  <c r="W401" i="7"/>
  <c r="W402" i="7"/>
  <c r="W403" i="7"/>
  <c r="W404" i="7"/>
  <c r="W405" i="7"/>
  <c r="W406" i="7"/>
  <c r="W407" i="7"/>
  <c r="W408" i="7"/>
  <c r="W409" i="7"/>
  <c r="W410" i="7"/>
  <c r="W411" i="7"/>
  <c r="W412" i="7"/>
  <c r="W413" i="7"/>
  <c r="W414" i="7"/>
  <c r="W415" i="7"/>
  <c r="W416" i="7"/>
  <c r="W417" i="7"/>
  <c r="W418" i="7"/>
  <c r="W419" i="7"/>
  <c r="W420" i="7"/>
  <c r="W421" i="7"/>
  <c r="W422" i="7"/>
  <c r="W423" i="7"/>
  <c r="W424" i="7"/>
  <c r="W425" i="7"/>
  <c r="W426" i="7"/>
  <c r="W427" i="7"/>
  <c r="W428" i="7"/>
  <c r="W429" i="7"/>
  <c r="W430" i="7"/>
  <c r="W431" i="7"/>
  <c r="W432" i="7"/>
  <c r="W433" i="7"/>
  <c r="W434" i="7"/>
  <c r="W435" i="7"/>
  <c r="W436" i="7"/>
  <c r="W437" i="7"/>
  <c r="W438" i="7"/>
  <c r="W439" i="7"/>
  <c r="W440" i="7"/>
  <c r="W441" i="7"/>
  <c r="W442" i="7"/>
  <c r="W443" i="7"/>
  <c r="W444" i="7"/>
  <c r="W445" i="7"/>
  <c r="W446" i="7"/>
  <c r="W447" i="7"/>
  <c r="W448" i="7"/>
  <c r="W449" i="7"/>
  <c r="W450" i="7"/>
  <c r="W451" i="7"/>
  <c r="W452" i="7"/>
  <c r="W453" i="7"/>
  <c r="W454" i="7"/>
  <c r="W455" i="7"/>
  <c r="W456" i="7"/>
  <c r="W457" i="7"/>
  <c r="W458" i="7"/>
  <c r="W459" i="7"/>
  <c r="W460" i="7"/>
  <c r="W461" i="7"/>
  <c r="W462" i="7"/>
  <c r="W463" i="7"/>
  <c r="W464" i="7"/>
  <c r="W465" i="7"/>
  <c r="W466" i="7"/>
  <c r="W467" i="7"/>
  <c r="W468" i="7"/>
  <c r="W469" i="7"/>
  <c r="W470" i="7"/>
  <c r="W471" i="7"/>
  <c r="W472" i="7"/>
  <c r="W473" i="7"/>
  <c r="W474" i="7"/>
  <c r="W475" i="7"/>
  <c r="W476" i="7"/>
  <c r="W477" i="7"/>
  <c r="W478" i="7"/>
  <c r="W479" i="7"/>
  <c r="W480" i="7"/>
  <c r="W481" i="7"/>
  <c r="W482" i="7"/>
  <c r="W483" i="7"/>
  <c r="W484" i="7"/>
  <c r="W485" i="7"/>
  <c r="W486" i="7"/>
  <c r="W487" i="7"/>
  <c r="W488" i="7"/>
  <c r="W489" i="7"/>
  <c r="W490" i="7"/>
  <c r="W491" i="7"/>
  <c r="W492" i="7"/>
  <c r="W493" i="7"/>
  <c r="W494" i="7"/>
  <c r="W495" i="7"/>
  <c r="W496" i="7"/>
  <c r="W497" i="7"/>
  <c r="W498" i="7"/>
  <c r="W499" i="7"/>
  <c r="W500" i="7"/>
  <c r="W501" i="7"/>
  <c r="W502" i="7"/>
  <c r="W503" i="7"/>
  <c r="W504" i="7"/>
  <c r="W505" i="7"/>
  <c r="W506" i="7"/>
  <c r="W507" i="7"/>
  <c r="W508" i="7"/>
  <c r="W509" i="7"/>
  <c r="W510" i="7"/>
  <c r="W511" i="7"/>
  <c r="W512" i="7"/>
  <c r="W513" i="7"/>
  <c r="W514" i="7"/>
  <c r="W515" i="7"/>
  <c r="W516" i="7"/>
  <c r="W517" i="7"/>
  <c r="W518" i="7"/>
  <c r="W519" i="7"/>
  <c r="W520" i="7"/>
  <c r="W521" i="7"/>
  <c r="W522" i="7"/>
  <c r="W523" i="7"/>
  <c r="W524" i="7"/>
  <c r="W525" i="7"/>
  <c r="W526" i="7"/>
  <c r="W527" i="7"/>
  <c r="W528" i="7"/>
  <c r="W529" i="7"/>
  <c r="W530" i="7"/>
  <c r="W531" i="7"/>
  <c r="W532" i="7"/>
  <c r="W533" i="7"/>
  <c r="W534" i="7"/>
  <c r="W535" i="7"/>
  <c r="W536" i="7"/>
  <c r="W537" i="7"/>
  <c r="W538" i="7"/>
  <c r="W539" i="7"/>
  <c r="W540" i="7"/>
  <c r="W541" i="7"/>
  <c r="W542" i="7"/>
  <c r="W543" i="7"/>
  <c r="W544" i="7"/>
  <c r="W545" i="7"/>
  <c r="W546" i="7"/>
  <c r="W547" i="7"/>
  <c r="W548" i="7"/>
  <c r="W549" i="7"/>
  <c r="W550" i="7"/>
  <c r="W551" i="7"/>
  <c r="W552" i="7"/>
  <c r="W553" i="7"/>
  <c r="W554" i="7"/>
  <c r="W555" i="7"/>
  <c r="W556" i="7"/>
  <c r="W557" i="7"/>
  <c r="W558" i="7"/>
  <c r="W559" i="7"/>
  <c r="W560" i="7"/>
  <c r="W561" i="7"/>
  <c r="W562" i="7"/>
  <c r="W563" i="7"/>
  <c r="W564" i="7"/>
  <c r="W565" i="7"/>
  <c r="W566" i="7"/>
  <c r="W567" i="7"/>
  <c r="W568" i="7"/>
  <c r="W569" i="7"/>
  <c r="W570" i="7"/>
  <c r="W571" i="7"/>
  <c r="W572" i="7"/>
  <c r="W573" i="7"/>
  <c r="W574" i="7"/>
  <c r="W575" i="7"/>
  <c r="W576" i="7"/>
  <c r="W577" i="7"/>
  <c r="W578" i="7"/>
  <c r="W579" i="7"/>
  <c r="W580" i="7"/>
  <c r="W581" i="7"/>
  <c r="W582" i="7"/>
  <c r="W583" i="7"/>
  <c r="W584" i="7"/>
  <c r="W585" i="7"/>
  <c r="W586" i="7"/>
  <c r="W587" i="7"/>
  <c r="W588" i="7"/>
  <c r="W589" i="7"/>
  <c r="W590" i="7"/>
  <c r="W591" i="7"/>
  <c r="W592" i="7"/>
  <c r="W593" i="7"/>
  <c r="W594" i="7"/>
  <c r="W595" i="7"/>
  <c r="W596" i="7"/>
  <c r="W597" i="7"/>
  <c r="W598" i="7"/>
  <c r="W599" i="7"/>
  <c r="W600" i="7"/>
  <c r="W601" i="7"/>
  <c r="W602" i="7"/>
  <c r="W603" i="7"/>
  <c r="W604" i="7"/>
  <c r="W605" i="7"/>
  <c r="W606" i="7"/>
  <c r="W607" i="7"/>
  <c r="W608" i="7"/>
  <c r="W609" i="7"/>
  <c r="W610" i="7"/>
  <c r="W611" i="7"/>
  <c r="W612" i="7"/>
  <c r="W613" i="7"/>
  <c r="W614" i="7"/>
  <c r="W615" i="7"/>
  <c r="W616" i="7"/>
  <c r="W617" i="7"/>
  <c r="W618" i="7"/>
  <c r="W619" i="7"/>
  <c r="W620" i="7"/>
  <c r="W621" i="7"/>
  <c r="W622" i="7"/>
  <c r="W623" i="7"/>
  <c r="W624" i="7"/>
  <c r="W625" i="7"/>
  <c r="W626" i="7"/>
  <c r="W627" i="7"/>
  <c r="W628" i="7"/>
  <c r="W629" i="7"/>
  <c r="W630" i="7"/>
  <c r="W631" i="7"/>
  <c r="W632" i="7"/>
  <c r="W633" i="7"/>
  <c r="W634" i="7"/>
  <c r="W635" i="7"/>
  <c r="W636" i="7"/>
  <c r="W637" i="7"/>
  <c r="W638" i="7"/>
  <c r="W639" i="7"/>
  <c r="W640" i="7"/>
  <c r="W641" i="7"/>
  <c r="W642" i="7"/>
  <c r="W643" i="7"/>
  <c r="W644" i="7"/>
  <c r="W645" i="7"/>
  <c r="W646" i="7"/>
  <c r="W647" i="7"/>
  <c r="W648" i="7"/>
  <c r="W649" i="7"/>
  <c r="W650" i="7"/>
  <c r="W651" i="7"/>
  <c r="W652" i="7"/>
  <c r="W653" i="7"/>
  <c r="W654" i="7"/>
  <c r="W655" i="7"/>
  <c r="W656" i="7"/>
  <c r="W657" i="7"/>
  <c r="W658" i="7"/>
  <c r="W659" i="7"/>
  <c r="W660" i="7"/>
  <c r="W661" i="7"/>
  <c r="W662" i="7"/>
  <c r="W663" i="7"/>
  <c r="W664" i="7"/>
  <c r="W665" i="7"/>
  <c r="W666" i="7"/>
  <c r="W667" i="7"/>
  <c r="W668" i="7"/>
  <c r="W669" i="7"/>
  <c r="W670" i="7"/>
  <c r="W671" i="7"/>
  <c r="W672" i="7"/>
  <c r="W673" i="7"/>
  <c r="W674" i="7"/>
  <c r="W675" i="7"/>
  <c r="W676" i="7"/>
  <c r="W677" i="7"/>
  <c r="W678" i="7"/>
  <c r="W679" i="7"/>
  <c r="W680" i="7"/>
  <c r="W681" i="7"/>
  <c r="W682" i="7"/>
  <c r="W683" i="7"/>
  <c r="W684" i="7"/>
  <c r="W685" i="7"/>
  <c r="W686" i="7"/>
  <c r="W687" i="7"/>
  <c r="W688" i="7"/>
  <c r="W689" i="7"/>
  <c r="W690" i="7"/>
  <c r="W691" i="7"/>
  <c r="W692" i="7"/>
  <c r="W693" i="7"/>
  <c r="W694" i="7"/>
  <c r="W695" i="7"/>
  <c r="W696" i="7"/>
  <c r="W697" i="7"/>
  <c r="W698" i="7"/>
  <c r="W699" i="7"/>
  <c r="W700" i="7"/>
  <c r="W701" i="7"/>
  <c r="W702" i="7"/>
  <c r="W703" i="7"/>
  <c r="W704" i="7"/>
  <c r="W705" i="7"/>
  <c r="W706" i="7"/>
  <c r="W707" i="7"/>
  <c r="W708" i="7"/>
  <c r="W709" i="7"/>
  <c r="W710" i="7"/>
  <c r="W711" i="7"/>
  <c r="W712" i="7"/>
  <c r="W713" i="7"/>
  <c r="W714" i="7"/>
  <c r="W715" i="7"/>
  <c r="W716" i="7"/>
  <c r="W717" i="7"/>
  <c r="W718" i="7"/>
  <c r="W719" i="7"/>
  <c r="W720" i="7"/>
  <c r="W721" i="7"/>
  <c r="W722" i="7"/>
  <c r="W723" i="7"/>
  <c r="W724" i="7"/>
  <c r="W725" i="7"/>
  <c r="W726" i="7"/>
  <c r="W727" i="7"/>
  <c r="W728" i="7"/>
  <c r="W729" i="7"/>
  <c r="W730" i="7"/>
  <c r="W731" i="7"/>
  <c r="W732" i="7"/>
  <c r="W733" i="7"/>
  <c r="W734" i="7"/>
  <c r="W735" i="7"/>
  <c r="W736" i="7"/>
  <c r="W737" i="7"/>
  <c r="W738" i="7"/>
  <c r="W739" i="7"/>
  <c r="W740" i="7"/>
  <c r="W741" i="7"/>
  <c r="W742" i="7"/>
  <c r="W743" i="7"/>
  <c r="W744" i="7"/>
  <c r="W745" i="7"/>
  <c r="W746" i="7"/>
  <c r="W747" i="7"/>
  <c r="W748" i="7"/>
  <c r="W749" i="7"/>
  <c r="W750" i="7"/>
  <c r="W751" i="7"/>
  <c r="W752" i="7"/>
  <c r="W753" i="7"/>
  <c r="W754" i="7"/>
  <c r="W755" i="7"/>
  <c r="W756" i="7"/>
  <c r="W757" i="7"/>
  <c r="W758" i="7"/>
  <c r="W759" i="7"/>
  <c r="W760" i="7"/>
  <c r="W761" i="7"/>
  <c r="W762" i="7"/>
  <c r="W763" i="7"/>
  <c r="W764" i="7"/>
  <c r="W765" i="7"/>
  <c r="W766" i="7"/>
  <c r="W767" i="7"/>
  <c r="W768" i="7"/>
  <c r="W769" i="7"/>
  <c r="W770" i="7"/>
  <c r="W771" i="7"/>
  <c r="W772" i="7"/>
  <c r="W773" i="7"/>
  <c r="W774" i="7"/>
  <c r="W775" i="7"/>
  <c r="W776" i="7"/>
  <c r="W777" i="7"/>
  <c r="W778" i="7"/>
  <c r="W779" i="7"/>
  <c r="W780" i="7"/>
  <c r="W781" i="7"/>
  <c r="W782" i="7"/>
  <c r="W783" i="7"/>
  <c r="W784" i="7"/>
  <c r="W785" i="7"/>
  <c r="W786" i="7"/>
  <c r="W787" i="7"/>
  <c r="W788" i="7"/>
  <c r="W789" i="7"/>
  <c r="W790" i="7"/>
  <c r="W791" i="7"/>
  <c r="W792" i="7"/>
  <c r="W793" i="7"/>
  <c r="W794" i="7"/>
  <c r="W795" i="7"/>
  <c r="W796" i="7"/>
  <c r="W797" i="7"/>
  <c r="W798" i="7"/>
  <c r="W799" i="7"/>
  <c r="W800" i="7"/>
  <c r="W801" i="7"/>
  <c r="W802" i="7"/>
  <c r="W803" i="7"/>
  <c r="W804" i="7"/>
  <c r="W805" i="7"/>
  <c r="W806" i="7"/>
  <c r="W807" i="7"/>
  <c r="W808" i="7"/>
  <c r="W809" i="7"/>
  <c r="W810" i="7"/>
  <c r="W811" i="7"/>
  <c r="W812" i="7"/>
  <c r="W813" i="7"/>
  <c r="W814" i="7"/>
  <c r="W815" i="7"/>
  <c r="W816" i="7"/>
  <c r="W817" i="7"/>
  <c r="W818" i="7"/>
  <c r="W819" i="7"/>
  <c r="W820" i="7"/>
  <c r="W821" i="7"/>
  <c r="W822" i="7"/>
  <c r="W823" i="7"/>
  <c r="W824" i="7"/>
  <c r="W825" i="7"/>
  <c r="W826" i="7"/>
  <c r="W827" i="7"/>
  <c r="W828" i="7"/>
  <c r="W829" i="7"/>
  <c r="W830" i="7"/>
  <c r="W831" i="7"/>
  <c r="W832" i="7"/>
  <c r="W833" i="7"/>
  <c r="W834" i="7"/>
  <c r="W835" i="7"/>
  <c r="W836" i="7"/>
  <c r="W837" i="7"/>
  <c r="W838" i="7"/>
  <c r="W839" i="7"/>
  <c r="W840" i="7"/>
  <c r="W841" i="7"/>
  <c r="W842" i="7"/>
  <c r="W843" i="7"/>
  <c r="W844" i="7"/>
  <c r="W845" i="7"/>
  <c r="W846" i="7"/>
  <c r="W847" i="7"/>
  <c r="W848" i="7"/>
  <c r="W849" i="7"/>
  <c r="W850" i="7"/>
  <c r="W851" i="7"/>
  <c r="W852" i="7"/>
  <c r="W853" i="7"/>
  <c r="W854" i="7"/>
  <c r="W855" i="7"/>
  <c r="W856" i="7"/>
  <c r="W857" i="7"/>
  <c r="W858" i="7"/>
  <c r="W859" i="7"/>
  <c r="W860" i="7"/>
  <c r="W861" i="7"/>
  <c r="W862" i="7"/>
  <c r="W863" i="7"/>
  <c r="W864" i="7"/>
  <c r="W865" i="7"/>
  <c r="W866" i="7"/>
  <c r="W867" i="7"/>
  <c r="W868" i="7"/>
  <c r="W869" i="7"/>
  <c r="W870" i="7"/>
  <c r="W871" i="7"/>
  <c r="W872" i="7"/>
  <c r="W873" i="7"/>
  <c r="W874" i="7"/>
  <c r="W875" i="7"/>
  <c r="W876" i="7"/>
  <c r="W877" i="7"/>
  <c r="W878" i="7"/>
  <c r="W879" i="7"/>
  <c r="W880" i="7"/>
  <c r="W881" i="7"/>
  <c r="W882" i="7"/>
  <c r="W883" i="7"/>
  <c r="W884" i="7"/>
  <c r="W885" i="7"/>
  <c r="W886" i="7"/>
  <c r="W887" i="7"/>
  <c r="W888" i="7"/>
  <c r="W889" i="7"/>
  <c r="W890" i="7"/>
  <c r="W891" i="7"/>
  <c r="W892" i="7"/>
  <c r="W893" i="7"/>
  <c r="W894" i="7"/>
  <c r="W895" i="7"/>
  <c r="W896" i="7"/>
  <c r="W897" i="7"/>
  <c r="W898" i="7"/>
  <c r="W899" i="7"/>
  <c r="W900" i="7"/>
  <c r="W901" i="7"/>
  <c r="W902" i="7"/>
  <c r="W903" i="7"/>
  <c r="W904" i="7"/>
  <c r="W905" i="7"/>
  <c r="W906" i="7"/>
  <c r="W907" i="7"/>
  <c r="W908" i="7"/>
  <c r="W909" i="7"/>
  <c r="W910" i="7"/>
  <c r="W911" i="7"/>
  <c r="W912" i="7"/>
  <c r="W913" i="7"/>
  <c r="W914" i="7"/>
  <c r="W915" i="7"/>
  <c r="W916" i="7"/>
  <c r="W917" i="7"/>
  <c r="W918" i="7"/>
  <c r="W919" i="7"/>
  <c r="W920" i="7"/>
  <c r="W921" i="7"/>
  <c r="W922" i="7"/>
  <c r="W923" i="7"/>
  <c r="W924" i="7"/>
  <c r="W925" i="7"/>
  <c r="W926" i="7"/>
  <c r="W927" i="7"/>
  <c r="W928" i="7"/>
  <c r="W929" i="7"/>
  <c r="W930" i="7"/>
  <c r="W931" i="7"/>
  <c r="W932" i="7"/>
  <c r="W933" i="7"/>
  <c r="W934" i="7"/>
  <c r="W935" i="7"/>
  <c r="W936" i="7"/>
  <c r="W937" i="7"/>
  <c r="W938" i="7"/>
  <c r="W939" i="7"/>
  <c r="W940" i="7"/>
  <c r="W941" i="7"/>
  <c r="W942" i="7"/>
  <c r="W943" i="7"/>
  <c r="W944" i="7"/>
  <c r="W945" i="7"/>
  <c r="W946" i="7"/>
  <c r="W947" i="7"/>
  <c r="W948" i="7"/>
  <c r="W949" i="7"/>
  <c r="W950" i="7"/>
  <c r="W951" i="7"/>
  <c r="W952" i="7"/>
  <c r="W953" i="7"/>
  <c r="W954" i="7"/>
  <c r="W955" i="7"/>
  <c r="W956" i="7"/>
  <c r="W957" i="7"/>
  <c r="W958" i="7"/>
  <c r="W959" i="7"/>
  <c r="W960" i="7"/>
  <c r="W961" i="7"/>
  <c r="W962" i="7"/>
  <c r="W963" i="7"/>
  <c r="W964" i="7"/>
  <c r="W965" i="7"/>
  <c r="W966" i="7"/>
  <c r="W967" i="7"/>
  <c r="W968" i="7"/>
  <c r="W969" i="7"/>
  <c r="W970" i="7"/>
  <c r="W971" i="7"/>
  <c r="W972" i="7"/>
  <c r="W973" i="7"/>
  <c r="W974" i="7"/>
  <c r="W975" i="7"/>
  <c r="W976" i="7"/>
  <c r="W977" i="7"/>
  <c r="W978" i="7"/>
  <c r="W979" i="7"/>
  <c r="W980" i="7"/>
  <c r="W981" i="7"/>
  <c r="W982" i="7"/>
  <c r="W983" i="7"/>
  <c r="W984" i="7"/>
  <c r="W985" i="7"/>
  <c r="W986" i="7"/>
  <c r="W987" i="7"/>
  <c r="W988" i="7"/>
  <c r="W989" i="7"/>
  <c r="W990" i="7"/>
  <c r="W991" i="7"/>
  <c r="W992" i="7"/>
  <c r="W993" i="7"/>
  <c r="W994" i="7"/>
  <c r="W995" i="7"/>
  <c r="W996" i="7"/>
  <c r="W997" i="7"/>
  <c r="W998" i="7"/>
  <c r="W999" i="7"/>
  <c r="W1000" i="7"/>
  <c r="W1001" i="7"/>
  <c r="X117" i="7"/>
  <c r="X118" i="7"/>
  <c r="X119" i="7"/>
  <c r="X120" i="7"/>
  <c r="X121" i="7"/>
  <c r="X122" i="7"/>
  <c r="X123" i="7"/>
  <c r="X124" i="7"/>
  <c r="X125" i="7"/>
  <c r="X126" i="7"/>
  <c r="X127" i="7"/>
  <c r="X128" i="7"/>
  <c r="X129" i="7"/>
  <c r="X130" i="7"/>
  <c r="X131" i="7"/>
  <c r="X132" i="7"/>
  <c r="X133" i="7"/>
  <c r="X134" i="7"/>
  <c r="X135" i="7"/>
  <c r="X136" i="7"/>
  <c r="X137" i="7"/>
  <c r="X138" i="7"/>
  <c r="X139" i="7"/>
  <c r="X140" i="7"/>
  <c r="X141" i="7"/>
  <c r="X142" i="7"/>
  <c r="X143" i="7"/>
  <c r="X144" i="7"/>
  <c r="X145" i="7"/>
  <c r="X146" i="7"/>
  <c r="X147" i="7"/>
  <c r="X148" i="7"/>
  <c r="X149" i="7"/>
  <c r="X150" i="7"/>
  <c r="X151" i="7"/>
  <c r="X152" i="7"/>
  <c r="X153" i="7"/>
  <c r="X154" i="7"/>
  <c r="X155" i="7"/>
  <c r="X156" i="7"/>
  <c r="X157" i="7"/>
  <c r="X158" i="7"/>
  <c r="X159" i="7"/>
  <c r="X160" i="7"/>
  <c r="X161" i="7"/>
  <c r="X162" i="7"/>
  <c r="X163" i="7"/>
  <c r="X164" i="7"/>
  <c r="X165" i="7"/>
  <c r="X166" i="7"/>
  <c r="X167" i="7"/>
  <c r="X168" i="7"/>
  <c r="X169" i="7"/>
  <c r="X170" i="7"/>
  <c r="X171" i="7"/>
  <c r="X172" i="7"/>
  <c r="X173" i="7"/>
  <c r="X174" i="7"/>
  <c r="X175" i="7"/>
  <c r="X176" i="7"/>
  <c r="X177" i="7"/>
  <c r="X178" i="7"/>
  <c r="X179" i="7"/>
  <c r="X180" i="7"/>
  <c r="X181" i="7"/>
  <c r="X182" i="7"/>
  <c r="X183" i="7"/>
  <c r="X184" i="7"/>
  <c r="X185" i="7"/>
  <c r="X186" i="7"/>
  <c r="X187" i="7"/>
  <c r="X188" i="7"/>
  <c r="X189" i="7"/>
  <c r="X190" i="7"/>
  <c r="X191" i="7"/>
  <c r="X192" i="7"/>
  <c r="X193" i="7"/>
  <c r="X194" i="7"/>
  <c r="X195" i="7"/>
  <c r="X196" i="7"/>
  <c r="X197" i="7"/>
  <c r="X198" i="7"/>
  <c r="X199" i="7"/>
  <c r="X200" i="7"/>
  <c r="X201" i="7"/>
  <c r="X202" i="7"/>
  <c r="X203" i="7"/>
  <c r="X204" i="7"/>
  <c r="X205" i="7"/>
  <c r="X206" i="7"/>
  <c r="X207" i="7"/>
  <c r="X208" i="7"/>
  <c r="X209" i="7"/>
  <c r="X210" i="7"/>
  <c r="X211" i="7"/>
  <c r="X212" i="7"/>
  <c r="X213" i="7"/>
  <c r="X214" i="7"/>
  <c r="X215" i="7"/>
  <c r="X216" i="7"/>
  <c r="X217" i="7"/>
  <c r="X218" i="7"/>
  <c r="X219" i="7"/>
  <c r="X220" i="7"/>
  <c r="X221" i="7"/>
  <c r="X222" i="7"/>
  <c r="X223" i="7"/>
  <c r="X224" i="7"/>
  <c r="X225" i="7"/>
  <c r="X226" i="7"/>
  <c r="X227" i="7"/>
  <c r="X228" i="7"/>
  <c r="X229" i="7"/>
  <c r="X230" i="7"/>
  <c r="X231" i="7"/>
  <c r="X232" i="7"/>
  <c r="X233" i="7"/>
  <c r="X234" i="7"/>
  <c r="X235" i="7"/>
  <c r="X236" i="7"/>
  <c r="X237" i="7"/>
  <c r="X238" i="7"/>
  <c r="X239" i="7"/>
  <c r="X240" i="7"/>
  <c r="X241" i="7"/>
  <c r="X242" i="7"/>
  <c r="X243" i="7"/>
  <c r="X244" i="7"/>
  <c r="X245" i="7"/>
  <c r="X246" i="7"/>
  <c r="X247" i="7"/>
  <c r="X248" i="7"/>
  <c r="X249" i="7"/>
  <c r="X250" i="7"/>
  <c r="X251" i="7"/>
  <c r="X252" i="7"/>
  <c r="X253" i="7"/>
  <c r="X254" i="7"/>
  <c r="X255" i="7"/>
  <c r="X256" i="7"/>
  <c r="X257" i="7"/>
  <c r="X258" i="7"/>
  <c r="X259" i="7"/>
  <c r="X260" i="7"/>
  <c r="X261" i="7"/>
  <c r="X262" i="7"/>
  <c r="X263" i="7"/>
  <c r="X264" i="7"/>
  <c r="X265" i="7"/>
  <c r="X266" i="7"/>
  <c r="X267" i="7"/>
  <c r="X268" i="7"/>
  <c r="X269" i="7"/>
  <c r="X270" i="7"/>
  <c r="X271" i="7"/>
  <c r="X272" i="7"/>
  <c r="X273" i="7"/>
  <c r="X274" i="7"/>
  <c r="X275" i="7"/>
  <c r="X276" i="7"/>
  <c r="Y276" i="7" s="1"/>
  <c r="X277" i="7"/>
  <c r="Y277" i="7" s="1"/>
  <c r="X278" i="7"/>
  <c r="Y278" i="7" s="1"/>
  <c r="X279" i="7"/>
  <c r="Y279" i="7" s="1"/>
  <c r="X280" i="7"/>
  <c r="Y280" i="7" s="1"/>
  <c r="X281" i="7"/>
  <c r="Y281" i="7" s="1"/>
  <c r="X282" i="7"/>
  <c r="Y282" i="7" s="1"/>
  <c r="X283" i="7"/>
  <c r="Y283" i="7" s="1"/>
  <c r="X284" i="7"/>
  <c r="Y284" i="7" s="1"/>
  <c r="X285" i="7"/>
  <c r="Y285" i="7" s="1"/>
  <c r="X286" i="7"/>
  <c r="Y286" i="7" s="1"/>
  <c r="X287" i="7"/>
  <c r="Y287" i="7" s="1"/>
  <c r="X288" i="7"/>
  <c r="Y288" i="7" s="1"/>
  <c r="X289" i="7"/>
  <c r="Y289" i="7" s="1"/>
  <c r="X290" i="7"/>
  <c r="Y290" i="7" s="1"/>
  <c r="X291" i="7"/>
  <c r="Y291" i="7" s="1"/>
  <c r="X292" i="7"/>
  <c r="Y292" i="7" s="1"/>
  <c r="X293" i="7"/>
  <c r="Y293" i="7" s="1"/>
  <c r="X294" i="7"/>
  <c r="Y294" i="7" s="1"/>
  <c r="X295" i="7"/>
  <c r="Y295" i="7" s="1"/>
  <c r="X296" i="7"/>
  <c r="Y296" i="7" s="1"/>
  <c r="X297" i="7"/>
  <c r="Y297" i="7" s="1"/>
  <c r="X298" i="7"/>
  <c r="Y298" i="7" s="1"/>
  <c r="X299" i="7"/>
  <c r="Y299" i="7" s="1"/>
  <c r="X300" i="7"/>
  <c r="Y300" i="7" s="1"/>
  <c r="X301" i="7"/>
  <c r="Y301" i="7" s="1"/>
  <c r="X302" i="7"/>
  <c r="Y302" i="7" s="1"/>
  <c r="X303" i="7"/>
  <c r="Y303" i="7" s="1"/>
  <c r="X304" i="7"/>
  <c r="Y304" i="7" s="1"/>
  <c r="X305" i="7"/>
  <c r="Y305" i="7" s="1"/>
  <c r="X306" i="7"/>
  <c r="Y306" i="7" s="1"/>
  <c r="X307" i="7"/>
  <c r="Y307" i="7" s="1"/>
  <c r="X308" i="7"/>
  <c r="Y308" i="7" s="1"/>
  <c r="X309" i="7"/>
  <c r="Y309" i="7" s="1"/>
  <c r="X310" i="7"/>
  <c r="Y310" i="7" s="1"/>
  <c r="X311" i="7"/>
  <c r="Y311" i="7" s="1"/>
  <c r="X312" i="7"/>
  <c r="Y312" i="7" s="1"/>
  <c r="X313" i="7"/>
  <c r="Y313" i="7" s="1"/>
  <c r="X314" i="7"/>
  <c r="Y314" i="7" s="1"/>
  <c r="X315" i="7"/>
  <c r="Y315" i="7" s="1"/>
  <c r="X316" i="7"/>
  <c r="Y316" i="7" s="1"/>
  <c r="X317" i="7"/>
  <c r="Y317" i="7" s="1"/>
  <c r="X318" i="7"/>
  <c r="Y318" i="7" s="1"/>
  <c r="X319" i="7"/>
  <c r="Y319" i="7" s="1"/>
  <c r="X320" i="7"/>
  <c r="Y320" i="7" s="1"/>
  <c r="X321" i="7"/>
  <c r="Y321" i="7" s="1"/>
  <c r="X322" i="7"/>
  <c r="Y322" i="7" s="1"/>
  <c r="X323" i="7"/>
  <c r="Y323" i="7" s="1"/>
  <c r="X324" i="7"/>
  <c r="Y324" i="7" s="1"/>
  <c r="X325" i="7"/>
  <c r="Y325" i="7" s="1"/>
  <c r="X326" i="7"/>
  <c r="Y326" i="7" s="1"/>
  <c r="X327" i="7"/>
  <c r="Y327" i="7" s="1"/>
  <c r="X328" i="7"/>
  <c r="Y328" i="7" s="1"/>
  <c r="X329" i="7"/>
  <c r="Y329" i="7" s="1"/>
  <c r="X330" i="7"/>
  <c r="Y330" i="7" s="1"/>
  <c r="X331" i="7"/>
  <c r="Y331" i="7" s="1"/>
  <c r="X332" i="7"/>
  <c r="Y332" i="7" s="1"/>
  <c r="X333" i="7"/>
  <c r="Y333" i="7" s="1"/>
  <c r="X334" i="7"/>
  <c r="Y334" i="7" s="1"/>
  <c r="X335" i="7"/>
  <c r="Y335" i="7" s="1"/>
  <c r="X336" i="7"/>
  <c r="Y336" i="7" s="1"/>
  <c r="X337" i="7"/>
  <c r="Y337" i="7" s="1"/>
  <c r="X338" i="7"/>
  <c r="Y338" i="7" s="1"/>
  <c r="X339" i="7"/>
  <c r="Y339" i="7" s="1"/>
  <c r="X340" i="7"/>
  <c r="Y340" i="7" s="1"/>
  <c r="X341" i="7"/>
  <c r="Y341" i="7" s="1"/>
  <c r="X342" i="7"/>
  <c r="Y342" i="7" s="1"/>
  <c r="X343" i="7"/>
  <c r="Y343" i="7" s="1"/>
  <c r="X344" i="7"/>
  <c r="Y344" i="7" s="1"/>
  <c r="X345" i="7"/>
  <c r="Y345" i="7" s="1"/>
  <c r="X346" i="7"/>
  <c r="Y346" i="7" s="1"/>
  <c r="X347" i="7"/>
  <c r="Y347" i="7" s="1"/>
  <c r="X348" i="7"/>
  <c r="Y348" i="7" s="1"/>
  <c r="X349" i="7"/>
  <c r="Y349" i="7" s="1"/>
  <c r="X350" i="7"/>
  <c r="Y350" i="7" s="1"/>
  <c r="X351" i="7"/>
  <c r="Y351" i="7" s="1"/>
  <c r="X352" i="7"/>
  <c r="Y352" i="7" s="1"/>
  <c r="X353" i="7"/>
  <c r="Y353" i="7" s="1"/>
  <c r="X354" i="7"/>
  <c r="Y354" i="7" s="1"/>
  <c r="X355" i="7"/>
  <c r="Y355" i="7" s="1"/>
  <c r="X356" i="7"/>
  <c r="Y356" i="7" s="1"/>
  <c r="X357" i="7"/>
  <c r="Y357" i="7" s="1"/>
  <c r="X358" i="7"/>
  <c r="Y358" i="7" s="1"/>
  <c r="X359" i="7"/>
  <c r="Y359" i="7" s="1"/>
  <c r="X360" i="7"/>
  <c r="Y360" i="7" s="1"/>
  <c r="X361" i="7"/>
  <c r="Y361" i="7" s="1"/>
  <c r="X362" i="7"/>
  <c r="Y362" i="7" s="1"/>
  <c r="X363" i="7"/>
  <c r="Y363" i="7" s="1"/>
  <c r="X364" i="7"/>
  <c r="Y364" i="7" s="1"/>
  <c r="X365" i="7"/>
  <c r="Y365" i="7" s="1"/>
  <c r="X366" i="7"/>
  <c r="Y366" i="7" s="1"/>
  <c r="X367" i="7"/>
  <c r="Y367" i="7" s="1"/>
  <c r="X368" i="7"/>
  <c r="Y368" i="7" s="1"/>
  <c r="X369" i="7"/>
  <c r="Y369" i="7" s="1"/>
  <c r="X370" i="7"/>
  <c r="Y370" i="7" s="1"/>
  <c r="X371" i="7"/>
  <c r="Y371" i="7" s="1"/>
  <c r="X372" i="7"/>
  <c r="Y372" i="7" s="1"/>
  <c r="X373" i="7"/>
  <c r="Y373" i="7" s="1"/>
  <c r="X374" i="7"/>
  <c r="Y374" i="7" s="1"/>
  <c r="X375" i="7"/>
  <c r="Y375" i="7" s="1"/>
  <c r="X376" i="7"/>
  <c r="Y376" i="7" s="1"/>
  <c r="X377" i="7"/>
  <c r="Y377" i="7" s="1"/>
  <c r="X378" i="7"/>
  <c r="Y378" i="7" s="1"/>
  <c r="X379" i="7"/>
  <c r="Y379" i="7" s="1"/>
  <c r="X380" i="7"/>
  <c r="Y380" i="7" s="1"/>
  <c r="X381" i="7"/>
  <c r="Y381" i="7" s="1"/>
  <c r="X382" i="7"/>
  <c r="Y382" i="7" s="1"/>
  <c r="X383" i="7"/>
  <c r="Y383" i="7" s="1"/>
  <c r="X384" i="7"/>
  <c r="Y384" i="7" s="1"/>
  <c r="X385" i="7"/>
  <c r="Y385" i="7" s="1"/>
  <c r="X386" i="7"/>
  <c r="Y386" i="7" s="1"/>
  <c r="X387" i="7"/>
  <c r="Y387" i="7" s="1"/>
  <c r="X388" i="7"/>
  <c r="Y388" i="7" s="1"/>
  <c r="X389" i="7"/>
  <c r="Y389" i="7" s="1"/>
  <c r="X390" i="7"/>
  <c r="Y390" i="7" s="1"/>
  <c r="X391" i="7"/>
  <c r="Y391" i="7" s="1"/>
  <c r="X392" i="7"/>
  <c r="Y392" i="7" s="1"/>
  <c r="X393" i="7"/>
  <c r="X394" i="7"/>
  <c r="Y394" i="7" s="1"/>
  <c r="X395" i="7"/>
  <c r="Y395" i="7" s="1"/>
  <c r="X396" i="7"/>
  <c r="Y396" i="7" s="1"/>
  <c r="X397" i="7"/>
  <c r="Y397" i="7" s="1"/>
  <c r="X398" i="7"/>
  <c r="Y398" i="7" s="1"/>
  <c r="X399" i="7"/>
  <c r="Y399" i="7" s="1"/>
  <c r="X400" i="7"/>
  <c r="Y400" i="7" s="1"/>
  <c r="X401" i="7"/>
  <c r="Y401" i="7" s="1"/>
  <c r="X402" i="7"/>
  <c r="Y402" i="7" s="1"/>
  <c r="X403" i="7"/>
  <c r="Y403" i="7" s="1"/>
  <c r="X404" i="7"/>
  <c r="Y404" i="7" s="1"/>
  <c r="X405" i="7"/>
  <c r="Y405" i="7" s="1"/>
  <c r="X406" i="7"/>
  <c r="Y406" i="7" s="1"/>
  <c r="X407" i="7"/>
  <c r="Y407" i="7" s="1"/>
  <c r="X408" i="7"/>
  <c r="Y408" i="7" s="1"/>
  <c r="X409" i="7"/>
  <c r="Y409" i="7" s="1"/>
  <c r="X410" i="7"/>
  <c r="Y410" i="7" s="1"/>
  <c r="X411" i="7"/>
  <c r="Y411" i="7" s="1"/>
  <c r="X412" i="7"/>
  <c r="Y412" i="7" s="1"/>
  <c r="X413" i="7"/>
  <c r="Y413" i="7" s="1"/>
  <c r="X414" i="7"/>
  <c r="Y414" i="7" s="1"/>
  <c r="X415" i="7"/>
  <c r="Y415" i="7" s="1"/>
  <c r="X416" i="7"/>
  <c r="Y416" i="7" s="1"/>
  <c r="X417" i="7"/>
  <c r="Y417" i="7" s="1"/>
  <c r="X418" i="7"/>
  <c r="Y418" i="7" s="1"/>
  <c r="X419" i="7"/>
  <c r="Y419" i="7" s="1"/>
  <c r="X420" i="7"/>
  <c r="Y420" i="7" s="1"/>
  <c r="X421" i="7"/>
  <c r="Y421" i="7" s="1"/>
  <c r="X422" i="7"/>
  <c r="Y422" i="7" s="1"/>
  <c r="X423" i="7"/>
  <c r="Y423" i="7" s="1"/>
  <c r="X424" i="7"/>
  <c r="Y424" i="7" s="1"/>
  <c r="X425" i="7"/>
  <c r="Y425" i="7" s="1"/>
  <c r="X426" i="7"/>
  <c r="Y426" i="7" s="1"/>
  <c r="X427" i="7"/>
  <c r="Y427" i="7" s="1"/>
  <c r="X428" i="7"/>
  <c r="Y428" i="7" s="1"/>
  <c r="X429" i="7"/>
  <c r="Y429" i="7" s="1"/>
  <c r="X430" i="7"/>
  <c r="Y430" i="7" s="1"/>
  <c r="X431" i="7"/>
  <c r="Y431" i="7" s="1"/>
  <c r="X432" i="7"/>
  <c r="Y432" i="7" s="1"/>
  <c r="X433" i="7"/>
  <c r="Y433" i="7" s="1"/>
  <c r="X434" i="7"/>
  <c r="Y434" i="7" s="1"/>
  <c r="X435" i="7"/>
  <c r="Y435" i="7" s="1"/>
  <c r="X436" i="7"/>
  <c r="Y436" i="7" s="1"/>
  <c r="X437" i="7"/>
  <c r="Y437" i="7" s="1"/>
  <c r="X438" i="7"/>
  <c r="Y438" i="7" s="1"/>
  <c r="X439" i="7"/>
  <c r="Y439" i="7" s="1"/>
  <c r="X440" i="7"/>
  <c r="Y440" i="7" s="1"/>
  <c r="X441" i="7"/>
  <c r="Y441" i="7" s="1"/>
  <c r="X442" i="7"/>
  <c r="Y442" i="7" s="1"/>
  <c r="X443" i="7"/>
  <c r="Y443" i="7" s="1"/>
  <c r="X444" i="7"/>
  <c r="Y444" i="7" s="1"/>
  <c r="X445" i="7"/>
  <c r="Y445" i="7" s="1"/>
  <c r="X446" i="7"/>
  <c r="Y446" i="7" s="1"/>
  <c r="X447" i="7"/>
  <c r="Y447" i="7" s="1"/>
  <c r="X448" i="7"/>
  <c r="Y448" i="7" s="1"/>
  <c r="X449" i="7"/>
  <c r="Y449" i="7" s="1"/>
  <c r="X450" i="7"/>
  <c r="Y450" i="7" s="1"/>
  <c r="X451" i="7"/>
  <c r="X452" i="7"/>
  <c r="Y452" i="7" s="1"/>
  <c r="X453" i="7"/>
  <c r="Y453" i="7" s="1"/>
  <c r="X454" i="7"/>
  <c r="Y454" i="7" s="1"/>
  <c r="X455" i="7"/>
  <c r="Y455" i="7" s="1"/>
  <c r="X456" i="7"/>
  <c r="Y456" i="7" s="1"/>
  <c r="X457" i="7"/>
  <c r="Y457" i="7" s="1"/>
  <c r="X458" i="7"/>
  <c r="Y458" i="7" s="1"/>
  <c r="X459" i="7"/>
  <c r="Y459" i="7" s="1"/>
  <c r="X460" i="7"/>
  <c r="Y460" i="7" s="1"/>
  <c r="X461" i="7"/>
  <c r="Y461" i="7" s="1"/>
  <c r="X462" i="7"/>
  <c r="Y462" i="7" s="1"/>
  <c r="X463" i="7"/>
  <c r="Y463" i="7" s="1"/>
  <c r="X464" i="7"/>
  <c r="Y464" i="7" s="1"/>
  <c r="X465" i="7"/>
  <c r="Y465" i="7" s="1"/>
  <c r="X466" i="7"/>
  <c r="Y466" i="7" s="1"/>
  <c r="X467" i="7"/>
  <c r="Y467" i="7" s="1"/>
  <c r="X468" i="7"/>
  <c r="Y468" i="7" s="1"/>
  <c r="X469" i="7"/>
  <c r="Y469" i="7" s="1"/>
  <c r="X470" i="7"/>
  <c r="Y470" i="7" s="1"/>
  <c r="X471" i="7"/>
  <c r="Y471" i="7" s="1"/>
  <c r="X472" i="7"/>
  <c r="Y472" i="7" s="1"/>
  <c r="X473" i="7"/>
  <c r="Y473" i="7" s="1"/>
  <c r="X474" i="7"/>
  <c r="Y474" i="7" s="1"/>
  <c r="X475" i="7"/>
  <c r="Y475" i="7" s="1"/>
  <c r="X476" i="7"/>
  <c r="Y476" i="7" s="1"/>
  <c r="X477" i="7"/>
  <c r="Y477" i="7" s="1"/>
  <c r="X478" i="7"/>
  <c r="Y478" i="7" s="1"/>
  <c r="X479" i="7"/>
  <c r="Y479" i="7" s="1"/>
  <c r="X480" i="7"/>
  <c r="Y480" i="7" s="1"/>
  <c r="X481" i="7"/>
  <c r="Y481" i="7" s="1"/>
  <c r="X482" i="7"/>
  <c r="Y482" i="7" s="1"/>
  <c r="X483" i="7"/>
  <c r="Y483" i="7" s="1"/>
  <c r="X484" i="7"/>
  <c r="Y484" i="7" s="1"/>
  <c r="X485" i="7"/>
  <c r="Y485" i="7" s="1"/>
  <c r="X486" i="7"/>
  <c r="Y486" i="7" s="1"/>
  <c r="X487" i="7"/>
  <c r="Y487" i="7" s="1"/>
  <c r="X488" i="7"/>
  <c r="Y488" i="7" s="1"/>
  <c r="X489" i="7"/>
  <c r="Y489" i="7" s="1"/>
  <c r="X490" i="7"/>
  <c r="Y490" i="7" s="1"/>
  <c r="X491" i="7"/>
  <c r="Y491" i="7" s="1"/>
  <c r="X492" i="7"/>
  <c r="Y492" i="7" s="1"/>
  <c r="X493" i="7"/>
  <c r="Y493" i="7" s="1"/>
  <c r="X494" i="7"/>
  <c r="Y494" i="7" s="1"/>
  <c r="X495" i="7"/>
  <c r="Y495" i="7" s="1"/>
  <c r="X496" i="7"/>
  <c r="Y496" i="7" s="1"/>
  <c r="X497" i="7"/>
  <c r="Y497" i="7" s="1"/>
  <c r="X498" i="7"/>
  <c r="Y498" i="7" s="1"/>
  <c r="X499" i="7"/>
  <c r="Y499" i="7" s="1"/>
  <c r="X500" i="7"/>
  <c r="Y500" i="7" s="1"/>
  <c r="X501" i="7"/>
  <c r="Y501" i="7" s="1"/>
  <c r="X502" i="7"/>
  <c r="Y502" i="7" s="1"/>
  <c r="X503" i="7"/>
  <c r="X504" i="7"/>
  <c r="Y504" i="7" s="1"/>
  <c r="X505" i="7"/>
  <c r="Y505" i="7" s="1"/>
  <c r="X506" i="7"/>
  <c r="Y506" i="7" s="1"/>
  <c r="X507" i="7"/>
  <c r="Y507" i="7" s="1"/>
  <c r="X508" i="7"/>
  <c r="Y508" i="7" s="1"/>
  <c r="X509" i="7"/>
  <c r="Y509" i="7" s="1"/>
  <c r="X510" i="7"/>
  <c r="Y510" i="7" s="1"/>
  <c r="X511" i="7"/>
  <c r="Y511" i="7" s="1"/>
  <c r="X512" i="7"/>
  <c r="Y512" i="7" s="1"/>
  <c r="X513" i="7"/>
  <c r="Y513" i="7" s="1"/>
  <c r="X514" i="7"/>
  <c r="Y514" i="7" s="1"/>
  <c r="X515" i="7"/>
  <c r="Y515" i="7" s="1"/>
  <c r="X516" i="7"/>
  <c r="Y516" i="7" s="1"/>
  <c r="X517" i="7"/>
  <c r="Y517" i="7" s="1"/>
  <c r="X518" i="7"/>
  <c r="Y518" i="7" s="1"/>
  <c r="X519" i="7"/>
  <c r="Y519" i="7" s="1"/>
  <c r="X520" i="7"/>
  <c r="Y520" i="7" s="1"/>
  <c r="X521" i="7"/>
  <c r="Y521" i="7" s="1"/>
  <c r="X522" i="7"/>
  <c r="Y522" i="7" s="1"/>
  <c r="X523" i="7"/>
  <c r="Y523" i="7" s="1"/>
  <c r="X524" i="7"/>
  <c r="Y524" i="7" s="1"/>
  <c r="X525" i="7"/>
  <c r="Y525" i="7" s="1"/>
  <c r="X526" i="7"/>
  <c r="Y526" i="7" s="1"/>
  <c r="X527" i="7"/>
  <c r="Y527" i="7" s="1"/>
  <c r="X528" i="7"/>
  <c r="Y528" i="7" s="1"/>
  <c r="X529" i="7"/>
  <c r="Y529" i="7" s="1"/>
  <c r="X530" i="7"/>
  <c r="Y530" i="7" s="1"/>
  <c r="X531" i="7"/>
  <c r="Y531" i="7" s="1"/>
  <c r="X532" i="7"/>
  <c r="Y532" i="7" s="1"/>
  <c r="X533" i="7"/>
  <c r="Y533" i="7" s="1"/>
  <c r="X534" i="7"/>
  <c r="Y534" i="7" s="1"/>
  <c r="X535" i="7"/>
  <c r="Y535" i="7" s="1"/>
  <c r="X536" i="7"/>
  <c r="Y536" i="7" s="1"/>
  <c r="X537" i="7"/>
  <c r="Y537" i="7" s="1"/>
  <c r="X538" i="7"/>
  <c r="Y538" i="7" s="1"/>
  <c r="X539" i="7"/>
  <c r="Y539" i="7" s="1"/>
  <c r="X540" i="7"/>
  <c r="Y540" i="7" s="1"/>
  <c r="X541" i="7"/>
  <c r="Y541" i="7" s="1"/>
  <c r="X542" i="7"/>
  <c r="Y542" i="7" s="1"/>
  <c r="X543" i="7"/>
  <c r="Y543" i="7" s="1"/>
  <c r="X544" i="7"/>
  <c r="Y544" i="7" s="1"/>
  <c r="X545" i="7"/>
  <c r="Y545" i="7" s="1"/>
  <c r="X546" i="7"/>
  <c r="Y546" i="7" s="1"/>
  <c r="X547" i="7"/>
  <c r="Y547" i="7" s="1"/>
  <c r="X548" i="7"/>
  <c r="Y548" i="7" s="1"/>
  <c r="X549" i="7"/>
  <c r="Y549" i="7" s="1"/>
  <c r="X550" i="7"/>
  <c r="Y550" i="7" s="1"/>
  <c r="X551" i="7"/>
  <c r="Y551" i="7" s="1"/>
  <c r="X552" i="7"/>
  <c r="Y552" i="7" s="1"/>
  <c r="X553" i="7"/>
  <c r="Y553" i="7" s="1"/>
  <c r="X554" i="7"/>
  <c r="Y554" i="7" s="1"/>
  <c r="X555" i="7"/>
  <c r="Y555" i="7" s="1"/>
  <c r="X556" i="7"/>
  <c r="Y556" i="7" s="1"/>
  <c r="X557" i="7"/>
  <c r="Y557" i="7" s="1"/>
  <c r="X558" i="7"/>
  <c r="Y558" i="7" s="1"/>
  <c r="X559" i="7"/>
  <c r="Y559" i="7" s="1"/>
  <c r="X560" i="7"/>
  <c r="Y560" i="7" s="1"/>
  <c r="X561" i="7"/>
  <c r="Y561" i="7" s="1"/>
  <c r="X562" i="7"/>
  <c r="Y562" i="7" s="1"/>
  <c r="X563" i="7"/>
  <c r="Y563" i="7" s="1"/>
  <c r="X564" i="7"/>
  <c r="Y564" i="7" s="1"/>
  <c r="X565" i="7"/>
  <c r="Y565" i="7" s="1"/>
  <c r="X566" i="7"/>
  <c r="Y566" i="7" s="1"/>
  <c r="X567" i="7"/>
  <c r="Y567" i="7" s="1"/>
  <c r="X568" i="7"/>
  <c r="Y568" i="7" s="1"/>
  <c r="X569" i="7"/>
  <c r="Y569" i="7" s="1"/>
  <c r="X570" i="7"/>
  <c r="Y570" i="7" s="1"/>
  <c r="X571" i="7"/>
  <c r="Y571" i="7" s="1"/>
  <c r="X572" i="7"/>
  <c r="Y572" i="7" s="1"/>
  <c r="X573" i="7"/>
  <c r="Y573" i="7" s="1"/>
  <c r="X574" i="7"/>
  <c r="Y574" i="7" s="1"/>
  <c r="X575" i="7"/>
  <c r="Y575" i="7" s="1"/>
  <c r="X576" i="7"/>
  <c r="Y576" i="7" s="1"/>
  <c r="X577" i="7"/>
  <c r="Y577" i="7" s="1"/>
  <c r="X578" i="7"/>
  <c r="Y578" i="7" s="1"/>
  <c r="X579" i="7"/>
  <c r="Y579" i="7" s="1"/>
  <c r="X580" i="7"/>
  <c r="Y580" i="7" s="1"/>
  <c r="X581" i="7"/>
  <c r="Y581" i="7" s="1"/>
  <c r="X582" i="7"/>
  <c r="Y582" i="7" s="1"/>
  <c r="X583" i="7"/>
  <c r="X584" i="7"/>
  <c r="Y584" i="7" s="1"/>
  <c r="X585" i="7"/>
  <c r="Y585" i="7" s="1"/>
  <c r="X586" i="7"/>
  <c r="Y586" i="7" s="1"/>
  <c r="X587" i="7"/>
  <c r="Y587" i="7" s="1"/>
  <c r="X588" i="7"/>
  <c r="Y588" i="7" s="1"/>
  <c r="X589" i="7"/>
  <c r="Y589" i="7" s="1"/>
  <c r="X590" i="7"/>
  <c r="Y590" i="7" s="1"/>
  <c r="X591" i="7"/>
  <c r="Y591" i="7" s="1"/>
  <c r="X592" i="7"/>
  <c r="Y592" i="7" s="1"/>
  <c r="X593" i="7"/>
  <c r="Y593" i="7" s="1"/>
  <c r="X594" i="7"/>
  <c r="Y594" i="7" s="1"/>
  <c r="X595" i="7"/>
  <c r="Y595" i="7" s="1"/>
  <c r="X596" i="7"/>
  <c r="Y596" i="7" s="1"/>
  <c r="X597" i="7"/>
  <c r="Y597" i="7" s="1"/>
  <c r="X598" i="7"/>
  <c r="Y598" i="7" s="1"/>
  <c r="X599" i="7"/>
  <c r="Y599" i="7" s="1"/>
  <c r="X600" i="7"/>
  <c r="Y600" i="7" s="1"/>
  <c r="X601" i="7"/>
  <c r="Y601" i="7" s="1"/>
  <c r="X602" i="7"/>
  <c r="Y602" i="7" s="1"/>
  <c r="X603" i="7"/>
  <c r="Y603" i="7" s="1"/>
  <c r="X604" i="7"/>
  <c r="Y604" i="7" s="1"/>
  <c r="X605" i="7"/>
  <c r="Y605" i="7" s="1"/>
  <c r="X606" i="7"/>
  <c r="Y606" i="7" s="1"/>
  <c r="X607" i="7"/>
  <c r="Y607" i="7" s="1"/>
  <c r="X608" i="7"/>
  <c r="Y608" i="7" s="1"/>
  <c r="X609" i="7"/>
  <c r="Y609" i="7" s="1"/>
  <c r="X610" i="7"/>
  <c r="Y610" i="7" s="1"/>
  <c r="X611" i="7"/>
  <c r="Y611" i="7" s="1"/>
  <c r="X612" i="7"/>
  <c r="Y612" i="7" s="1"/>
  <c r="X613" i="7"/>
  <c r="Y613" i="7" s="1"/>
  <c r="X614" i="7"/>
  <c r="X615" i="7"/>
  <c r="Y615" i="7" s="1"/>
  <c r="X616" i="7"/>
  <c r="Y616" i="7" s="1"/>
  <c r="X617" i="7"/>
  <c r="Y617" i="7" s="1"/>
  <c r="X618" i="7"/>
  <c r="Y618" i="7" s="1"/>
  <c r="X619" i="7"/>
  <c r="Y619" i="7" s="1"/>
  <c r="X620" i="7"/>
  <c r="Y620" i="7" s="1"/>
  <c r="X621" i="7"/>
  <c r="Y621" i="7" s="1"/>
  <c r="X622" i="7"/>
  <c r="Y622" i="7" s="1"/>
  <c r="X623" i="7"/>
  <c r="Y623" i="7" s="1"/>
  <c r="X624" i="7"/>
  <c r="Y624" i="7" s="1"/>
  <c r="X625" i="7"/>
  <c r="Y625" i="7" s="1"/>
  <c r="X626" i="7"/>
  <c r="Y626" i="7" s="1"/>
  <c r="X627" i="7"/>
  <c r="Y627" i="7" s="1"/>
  <c r="X628" i="7"/>
  <c r="Y628" i="7" s="1"/>
  <c r="X629" i="7"/>
  <c r="Y629" i="7" s="1"/>
  <c r="X630" i="7"/>
  <c r="Y630" i="7" s="1"/>
  <c r="X631" i="7"/>
  <c r="Y631" i="7" s="1"/>
  <c r="X632" i="7"/>
  <c r="Y632" i="7" s="1"/>
  <c r="X633" i="7"/>
  <c r="Y633" i="7" s="1"/>
  <c r="X634" i="7"/>
  <c r="Y634" i="7" s="1"/>
  <c r="X635" i="7"/>
  <c r="Y635" i="7" s="1"/>
  <c r="X636" i="7"/>
  <c r="Y636" i="7" s="1"/>
  <c r="X637" i="7"/>
  <c r="Y637" i="7" s="1"/>
  <c r="X638" i="7"/>
  <c r="Y638" i="7" s="1"/>
  <c r="X639" i="7"/>
  <c r="Y639" i="7" s="1"/>
  <c r="X640" i="7"/>
  <c r="Y640" i="7" s="1"/>
  <c r="X641" i="7"/>
  <c r="Y641" i="7" s="1"/>
  <c r="X642" i="7"/>
  <c r="Y642" i="7" s="1"/>
  <c r="X643" i="7"/>
  <c r="X644" i="7"/>
  <c r="Y644" i="7" s="1"/>
  <c r="X645" i="7"/>
  <c r="Y645" i="7" s="1"/>
  <c r="X646" i="7"/>
  <c r="Y646" i="7" s="1"/>
  <c r="X647" i="7"/>
  <c r="Y647" i="7" s="1"/>
  <c r="X648" i="7"/>
  <c r="Y648" i="7" s="1"/>
  <c r="X649" i="7"/>
  <c r="Y649" i="7" s="1"/>
  <c r="X650" i="7"/>
  <c r="Y650" i="7" s="1"/>
  <c r="X651" i="7"/>
  <c r="Y651" i="7" s="1"/>
  <c r="X652" i="7"/>
  <c r="X653" i="7"/>
  <c r="Y653" i="7" s="1"/>
  <c r="X654" i="7"/>
  <c r="Y654" i="7" s="1"/>
  <c r="X655" i="7"/>
  <c r="Y655" i="7" s="1"/>
  <c r="X656" i="7"/>
  <c r="Y656" i="7" s="1"/>
  <c r="X657" i="7"/>
  <c r="Y657" i="7" s="1"/>
  <c r="X658" i="7"/>
  <c r="Y658" i="7" s="1"/>
  <c r="X659" i="7"/>
  <c r="Y659" i="7" s="1"/>
  <c r="X660" i="7"/>
  <c r="Y660" i="7" s="1"/>
  <c r="X661" i="7"/>
  <c r="X662" i="7"/>
  <c r="Y662" i="7" s="1"/>
  <c r="X663" i="7"/>
  <c r="Y663" i="7" s="1"/>
  <c r="X664" i="7"/>
  <c r="Y664" i="7" s="1"/>
  <c r="X665" i="7"/>
  <c r="Y665" i="7" s="1"/>
  <c r="X666" i="7"/>
  <c r="Y666" i="7" s="1"/>
  <c r="X667" i="7"/>
  <c r="Y667" i="7" s="1"/>
  <c r="X668" i="7"/>
  <c r="Y668" i="7" s="1"/>
  <c r="X669" i="7"/>
  <c r="Y669" i="7" s="1"/>
  <c r="X670" i="7"/>
  <c r="Y670" i="7" s="1"/>
  <c r="X671" i="7"/>
  <c r="Y671" i="7" s="1"/>
  <c r="X672" i="7"/>
  <c r="Y672" i="7" s="1"/>
  <c r="X673" i="7"/>
  <c r="Y673" i="7" s="1"/>
  <c r="X674" i="7"/>
  <c r="X675" i="7"/>
  <c r="Y675" i="7" s="1"/>
  <c r="X676" i="7"/>
  <c r="Y676" i="7" s="1"/>
  <c r="X677" i="7"/>
  <c r="Y677" i="7" s="1"/>
  <c r="X678" i="7"/>
  <c r="Y678" i="7" s="1"/>
  <c r="X679" i="7"/>
  <c r="Y679" i="7" s="1"/>
  <c r="X680" i="7"/>
  <c r="Y680" i="7" s="1"/>
  <c r="X681" i="7"/>
  <c r="Y681" i="7" s="1"/>
  <c r="X682" i="7"/>
  <c r="Y682" i="7" s="1"/>
  <c r="X683" i="7"/>
  <c r="Y683" i="7" s="1"/>
  <c r="X684" i="7"/>
  <c r="Y684" i="7" s="1"/>
  <c r="X685" i="7"/>
  <c r="Y685" i="7" s="1"/>
  <c r="X686" i="7"/>
  <c r="Y686" i="7" s="1"/>
  <c r="X687" i="7"/>
  <c r="Y687" i="7" s="1"/>
  <c r="X688" i="7"/>
  <c r="Y688" i="7" s="1"/>
  <c r="X689" i="7"/>
  <c r="Y689" i="7" s="1"/>
  <c r="X690" i="7"/>
  <c r="Y690" i="7" s="1"/>
  <c r="X691" i="7"/>
  <c r="Y691" i="7" s="1"/>
  <c r="X692" i="7"/>
  <c r="Y692" i="7" s="1"/>
  <c r="X693" i="7"/>
  <c r="Y693" i="7" s="1"/>
  <c r="X694" i="7"/>
  <c r="Y694" i="7" s="1"/>
  <c r="X695" i="7"/>
  <c r="Y695" i="7" s="1"/>
  <c r="X696" i="7"/>
  <c r="Y696" i="7" s="1"/>
  <c r="X697" i="7"/>
  <c r="Y697" i="7" s="1"/>
  <c r="X698" i="7"/>
  <c r="Y698" i="7" s="1"/>
  <c r="X699" i="7"/>
  <c r="Y699" i="7" s="1"/>
  <c r="X700" i="7"/>
  <c r="Y700" i="7" s="1"/>
  <c r="X701" i="7"/>
  <c r="Y701" i="7" s="1"/>
  <c r="X702" i="7"/>
  <c r="Y702" i="7" s="1"/>
  <c r="X703" i="7"/>
  <c r="Y703" i="7" s="1"/>
  <c r="X704" i="7"/>
  <c r="Y704" i="7" s="1"/>
  <c r="X705" i="7"/>
  <c r="Y705" i="7" s="1"/>
  <c r="X706" i="7"/>
  <c r="Y706" i="7" s="1"/>
  <c r="X707" i="7"/>
  <c r="Y707" i="7" s="1"/>
  <c r="X708" i="7"/>
  <c r="Y708" i="7" s="1"/>
  <c r="X709" i="7"/>
  <c r="Y709" i="7" s="1"/>
  <c r="X710" i="7"/>
  <c r="Y710" i="7" s="1"/>
  <c r="X711" i="7"/>
  <c r="Y711" i="7" s="1"/>
  <c r="X712" i="7"/>
  <c r="Y712" i="7" s="1"/>
  <c r="X713" i="7"/>
  <c r="X714" i="7"/>
  <c r="Y714" i="7" s="1"/>
  <c r="X715" i="7"/>
  <c r="Y715" i="7" s="1"/>
  <c r="X716" i="7"/>
  <c r="Y716" i="7" s="1"/>
  <c r="X717" i="7"/>
  <c r="Y717" i="7" s="1"/>
  <c r="X718" i="7"/>
  <c r="Y718" i="7" s="1"/>
  <c r="X719" i="7"/>
  <c r="Y719" i="7" s="1"/>
  <c r="X720" i="7"/>
  <c r="Y720" i="7" s="1"/>
  <c r="X721" i="7"/>
  <c r="Y721" i="7" s="1"/>
  <c r="X722" i="7"/>
  <c r="Y722" i="7" s="1"/>
  <c r="X723" i="7"/>
  <c r="Y723" i="7" s="1"/>
  <c r="X724" i="7"/>
  <c r="Y724" i="7" s="1"/>
  <c r="X725" i="7"/>
  <c r="Y725" i="7" s="1"/>
  <c r="X726" i="7"/>
  <c r="Y726" i="7" s="1"/>
  <c r="X727" i="7"/>
  <c r="Y727" i="7" s="1"/>
  <c r="X728" i="7"/>
  <c r="Y728" i="7" s="1"/>
  <c r="X729" i="7"/>
  <c r="Y729" i="7" s="1"/>
  <c r="X730" i="7"/>
  <c r="Y730" i="7" s="1"/>
  <c r="X731" i="7"/>
  <c r="Y731" i="7" s="1"/>
  <c r="X732" i="7"/>
  <c r="Y732" i="7" s="1"/>
  <c r="X733" i="7"/>
  <c r="Y733" i="7" s="1"/>
  <c r="X734" i="7"/>
  <c r="Y734" i="7" s="1"/>
  <c r="X735" i="7"/>
  <c r="Y735" i="7" s="1"/>
  <c r="X736" i="7"/>
  <c r="Y736" i="7" s="1"/>
  <c r="X737" i="7"/>
  <c r="Y737" i="7" s="1"/>
  <c r="X738" i="7"/>
  <c r="Y738" i="7" s="1"/>
  <c r="X739" i="7"/>
  <c r="Y739" i="7" s="1"/>
  <c r="X740" i="7"/>
  <c r="Y740" i="7" s="1"/>
  <c r="X741" i="7"/>
  <c r="Y741" i="7" s="1"/>
  <c r="X742" i="7"/>
  <c r="Y742" i="7" s="1"/>
  <c r="X743" i="7"/>
  <c r="Y743" i="7" s="1"/>
  <c r="X744" i="7"/>
  <c r="Y744" i="7" s="1"/>
  <c r="X745" i="7"/>
  <c r="Y745" i="7" s="1"/>
  <c r="X746" i="7"/>
  <c r="Y746" i="7" s="1"/>
  <c r="X747" i="7"/>
  <c r="Y747" i="7" s="1"/>
  <c r="X748" i="7"/>
  <c r="Y748" i="7" s="1"/>
  <c r="X749" i="7"/>
  <c r="Y749" i="7" s="1"/>
  <c r="X750" i="7"/>
  <c r="Y750" i="7" s="1"/>
  <c r="X751" i="7"/>
  <c r="Y751" i="7" s="1"/>
  <c r="X752" i="7"/>
  <c r="Y752" i="7" s="1"/>
  <c r="X753" i="7"/>
  <c r="Y753" i="7" s="1"/>
  <c r="X754" i="7"/>
  <c r="Y754" i="7" s="1"/>
  <c r="X755" i="7"/>
  <c r="Y755" i="7" s="1"/>
  <c r="X756" i="7"/>
  <c r="Y756" i="7" s="1"/>
  <c r="X757" i="7"/>
  <c r="Y757" i="7" s="1"/>
  <c r="X758" i="7"/>
  <c r="Y758" i="7" s="1"/>
  <c r="X759" i="7"/>
  <c r="Y759" i="7" s="1"/>
  <c r="X760" i="7"/>
  <c r="Y760" i="7" s="1"/>
  <c r="X761" i="7"/>
  <c r="Y761" i="7" s="1"/>
  <c r="X762" i="7"/>
  <c r="Y762" i="7" s="1"/>
  <c r="X763" i="7"/>
  <c r="Y763" i="7" s="1"/>
  <c r="X764" i="7"/>
  <c r="Y764" i="7" s="1"/>
  <c r="X765" i="7"/>
  <c r="Y765" i="7" s="1"/>
  <c r="X766" i="7"/>
  <c r="Y766" i="7" s="1"/>
  <c r="X767" i="7"/>
  <c r="Y767" i="7" s="1"/>
  <c r="X768" i="7"/>
  <c r="Y768" i="7" s="1"/>
  <c r="X769" i="7"/>
  <c r="Y769" i="7" s="1"/>
  <c r="X770" i="7"/>
  <c r="Y770" i="7" s="1"/>
  <c r="X771" i="7"/>
  <c r="Y771" i="7" s="1"/>
  <c r="X772" i="7"/>
  <c r="Y772" i="7" s="1"/>
  <c r="X773" i="7"/>
  <c r="Y773" i="7" s="1"/>
  <c r="X774" i="7"/>
  <c r="Y774" i="7" s="1"/>
  <c r="X775" i="7"/>
  <c r="Y775" i="7" s="1"/>
  <c r="X776" i="7"/>
  <c r="Y776" i="7" s="1"/>
  <c r="X777" i="7"/>
  <c r="Y777" i="7" s="1"/>
  <c r="X778" i="7"/>
  <c r="Y778" i="7" s="1"/>
  <c r="X779" i="7"/>
  <c r="Y779" i="7" s="1"/>
  <c r="X780" i="7"/>
  <c r="Y780" i="7" s="1"/>
  <c r="X781" i="7"/>
  <c r="Y781" i="7" s="1"/>
  <c r="X782" i="7"/>
  <c r="Y782" i="7" s="1"/>
  <c r="X783" i="7"/>
  <c r="Y783" i="7" s="1"/>
  <c r="X784" i="7"/>
  <c r="Y784" i="7" s="1"/>
  <c r="X785" i="7"/>
  <c r="Y785" i="7" s="1"/>
  <c r="X786" i="7"/>
  <c r="Y786" i="7" s="1"/>
  <c r="X787" i="7"/>
  <c r="Y787" i="7" s="1"/>
  <c r="X788" i="7"/>
  <c r="Y788" i="7" s="1"/>
  <c r="X789" i="7"/>
  <c r="Y789" i="7" s="1"/>
  <c r="X790" i="7"/>
  <c r="Y790" i="7" s="1"/>
  <c r="X791" i="7"/>
  <c r="Y791" i="7" s="1"/>
  <c r="X792" i="7"/>
  <c r="Y792" i="7" s="1"/>
  <c r="X793" i="7"/>
  <c r="Y793" i="7" s="1"/>
  <c r="X794" i="7"/>
  <c r="Y794" i="7" s="1"/>
  <c r="X795" i="7"/>
  <c r="Y795" i="7" s="1"/>
  <c r="X796" i="7"/>
  <c r="Y796" i="7" s="1"/>
  <c r="X797" i="7"/>
  <c r="Y797" i="7" s="1"/>
  <c r="X798" i="7"/>
  <c r="Y798" i="7" s="1"/>
  <c r="X799" i="7"/>
  <c r="Y799" i="7" s="1"/>
  <c r="X800" i="7"/>
  <c r="Y800" i="7" s="1"/>
  <c r="X801" i="7"/>
  <c r="Y801" i="7" s="1"/>
  <c r="X802" i="7"/>
  <c r="Y802" i="7" s="1"/>
  <c r="X803" i="7"/>
  <c r="Y803" i="7" s="1"/>
  <c r="X804" i="7"/>
  <c r="Y804" i="7" s="1"/>
  <c r="X805" i="7"/>
  <c r="Y805" i="7" s="1"/>
  <c r="X806" i="7"/>
  <c r="Y806" i="7" s="1"/>
  <c r="X807" i="7"/>
  <c r="Y807" i="7" s="1"/>
  <c r="X808" i="7"/>
  <c r="Y808" i="7" s="1"/>
  <c r="X809" i="7"/>
  <c r="Y809" i="7" s="1"/>
  <c r="X810" i="7"/>
  <c r="Y810" i="7" s="1"/>
  <c r="X811" i="7"/>
  <c r="Y811" i="7" s="1"/>
  <c r="X812" i="7"/>
  <c r="Y812" i="7" s="1"/>
  <c r="X813" i="7"/>
  <c r="Y813" i="7" s="1"/>
  <c r="X814" i="7"/>
  <c r="Y814" i="7" s="1"/>
  <c r="X815" i="7"/>
  <c r="Y815" i="7" s="1"/>
  <c r="X816" i="7"/>
  <c r="Y816" i="7" s="1"/>
  <c r="X817" i="7"/>
  <c r="Y817" i="7" s="1"/>
  <c r="X818" i="7"/>
  <c r="Y818" i="7" s="1"/>
  <c r="X819" i="7"/>
  <c r="X820" i="7"/>
  <c r="Y820" i="7" s="1"/>
  <c r="X821" i="7"/>
  <c r="Y821" i="7" s="1"/>
  <c r="X822" i="7"/>
  <c r="Y822" i="7" s="1"/>
  <c r="X823" i="7"/>
  <c r="Y823" i="7" s="1"/>
  <c r="X824" i="7"/>
  <c r="Y824" i="7" s="1"/>
  <c r="X825" i="7"/>
  <c r="Y825" i="7" s="1"/>
  <c r="X826" i="7"/>
  <c r="Y826" i="7" s="1"/>
  <c r="X827" i="7"/>
  <c r="Y827" i="7" s="1"/>
  <c r="X828" i="7"/>
  <c r="Y828" i="7" s="1"/>
  <c r="X829" i="7"/>
  <c r="Y829" i="7" s="1"/>
  <c r="X830" i="7"/>
  <c r="Y830" i="7" s="1"/>
  <c r="X831" i="7"/>
  <c r="Y831" i="7" s="1"/>
  <c r="X832" i="7"/>
  <c r="Y832" i="7" s="1"/>
  <c r="X833" i="7"/>
  <c r="Y833" i="7" s="1"/>
  <c r="X834" i="7"/>
  <c r="Y834" i="7" s="1"/>
  <c r="X835" i="7"/>
  <c r="Y835" i="7" s="1"/>
  <c r="X836" i="7"/>
  <c r="Y836" i="7" s="1"/>
  <c r="X837" i="7"/>
  <c r="Y837" i="7" s="1"/>
  <c r="X838" i="7"/>
  <c r="Y838" i="7" s="1"/>
  <c r="X839" i="7"/>
  <c r="Y839" i="7" s="1"/>
  <c r="X840" i="7"/>
  <c r="Y840" i="7" s="1"/>
  <c r="X841" i="7"/>
  <c r="Y841" i="7" s="1"/>
  <c r="X842" i="7"/>
  <c r="Y842" i="7" s="1"/>
  <c r="X843" i="7"/>
  <c r="X844" i="7"/>
  <c r="Y844" i="7" s="1"/>
  <c r="X845" i="7"/>
  <c r="Y845" i="7" s="1"/>
  <c r="X846" i="7"/>
  <c r="Y846" i="7" s="1"/>
  <c r="X847" i="7"/>
  <c r="Y847" i="7" s="1"/>
  <c r="X848" i="7"/>
  <c r="Y848" i="7" s="1"/>
  <c r="X849" i="7"/>
  <c r="Y849" i="7" s="1"/>
  <c r="X850" i="7"/>
  <c r="Y850" i="7" s="1"/>
  <c r="X851" i="7"/>
  <c r="Y851" i="7" s="1"/>
  <c r="X852" i="7"/>
  <c r="Y852" i="7" s="1"/>
  <c r="X853" i="7"/>
  <c r="Y853" i="7" s="1"/>
  <c r="X854" i="7"/>
  <c r="Y854" i="7" s="1"/>
  <c r="X855" i="7"/>
  <c r="Y855" i="7" s="1"/>
  <c r="X856" i="7"/>
  <c r="Y856" i="7" s="1"/>
  <c r="X857" i="7"/>
  <c r="Y857" i="7" s="1"/>
  <c r="X858" i="7"/>
  <c r="Y858" i="7" s="1"/>
  <c r="X859" i="7"/>
  <c r="Y859" i="7" s="1"/>
  <c r="X860" i="7"/>
  <c r="Y860" i="7" s="1"/>
  <c r="X861" i="7"/>
  <c r="Y861" i="7" s="1"/>
  <c r="X862" i="7"/>
  <c r="Y862" i="7" s="1"/>
  <c r="X863" i="7"/>
  <c r="Y863" i="7" s="1"/>
  <c r="X864" i="7"/>
  <c r="Y864" i="7" s="1"/>
  <c r="X865" i="7"/>
  <c r="Y865" i="7" s="1"/>
  <c r="X866" i="7"/>
  <c r="Y866" i="7" s="1"/>
  <c r="X867" i="7"/>
  <c r="Y867" i="7" s="1"/>
  <c r="X868" i="7"/>
  <c r="Y868" i="7" s="1"/>
  <c r="X869" i="7"/>
  <c r="Y869" i="7" s="1"/>
  <c r="X870" i="7"/>
  <c r="Y870" i="7" s="1"/>
  <c r="X871" i="7"/>
  <c r="Y871" i="7" s="1"/>
  <c r="X872" i="7"/>
  <c r="Y872" i="7" s="1"/>
  <c r="X873" i="7"/>
  <c r="Y873" i="7" s="1"/>
  <c r="X874" i="7"/>
  <c r="Y874" i="7" s="1"/>
  <c r="X875" i="7"/>
  <c r="Y875" i="7" s="1"/>
  <c r="X876" i="7"/>
  <c r="Y876" i="7" s="1"/>
  <c r="X877" i="7"/>
  <c r="Y877" i="7" s="1"/>
  <c r="X878" i="7"/>
  <c r="Y878" i="7" s="1"/>
  <c r="X879" i="7"/>
  <c r="Y879" i="7" s="1"/>
  <c r="X880" i="7"/>
  <c r="Y880" i="7" s="1"/>
  <c r="X881" i="7"/>
  <c r="Y881" i="7" s="1"/>
  <c r="X882" i="7"/>
  <c r="Y882" i="7" s="1"/>
  <c r="X883" i="7"/>
  <c r="Y883" i="7" s="1"/>
  <c r="X884" i="7"/>
  <c r="Y884" i="7" s="1"/>
  <c r="X885" i="7"/>
  <c r="Y885" i="7" s="1"/>
  <c r="X886" i="7"/>
  <c r="Y886" i="7" s="1"/>
  <c r="X887" i="7"/>
  <c r="Y887" i="7" s="1"/>
  <c r="X888" i="7"/>
  <c r="Y888" i="7" s="1"/>
  <c r="X889" i="7"/>
  <c r="Y889" i="7" s="1"/>
  <c r="X890" i="7"/>
  <c r="Y890" i="7" s="1"/>
  <c r="X891" i="7"/>
  <c r="Y891" i="7" s="1"/>
  <c r="X892" i="7"/>
  <c r="Y892" i="7" s="1"/>
  <c r="X893" i="7"/>
  <c r="Y893" i="7" s="1"/>
  <c r="X894" i="7"/>
  <c r="Y894" i="7" s="1"/>
  <c r="X895" i="7"/>
  <c r="Y895" i="7" s="1"/>
  <c r="X896" i="7"/>
  <c r="Y896" i="7" s="1"/>
  <c r="X897" i="7"/>
  <c r="Y897" i="7" s="1"/>
  <c r="X898" i="7"/>
  <c r="Y898" i="7" s="1"/>
  <c r="X899" i="7"/>
  <c r="Y899" i="7" s="1"/>
  <c r="X900" i="7"/>
  <c r="Y900" i="7" s="1"/>
  <c r="X901" i="7"/>
  <c r="Y901" i="7" s="1"/>
  <c r="X902" i="7"/>
  <c r="Y902" i="7" s="1"/>
  <c r="X903" i="7"/>
  <c r="Y903" i="7" s="1"/>
  <c r="X904" i="7"/>
  <c r="Y904" i="7" s="1"/>
  <c r="X905" i="7"/>
  <c r="Y905" i="7" s="1"/>
  <c r="X906" i="7"/>
  <c r="Y906" i="7" s="1"/>
  <c r="X907" i="7"/>
  <c r="Y907" i="7" s="1"/>
  <c r="X908" i="7"/>
  <c r="Y908" i="7" s="1"/>
  <c r="X909" i="7"/>
  <c r="Y909" i="7" s="1"/>
  <c r="X910" i="7"/>
  <c r="Y910" i="7" s="1"/>
  <c r="X911" i="7"/>
  <c r="Y911" i="7" s="1"/>
  <c r="X912" i="7"/>
  <c r="Y912" i="7" s="1"/>
  <c r="X913" i="7"/>
  <c r="Y913" i="7" s="1"/>
  <c r="X914" i="7"/>
  <c r="Y914" i="7" s="1"/>
  <c r="X915" i="7"/>
  <c r="Y915" i="7" s="1"/>
  <c r="X916" i="7"/>
  <c r="Y916" i="7" s="1"/>
  <c r="X917" i="7"/>
  <c r="Y917" i="7" s="1"/>
  <c r="X918" i="7"/>
  <c r="Y918" i="7" s="1"/>
  <c r="X919" i="7"/>
  <c r="Y919" i="7" s="1"/>
  <c r="X920" i="7"/>
  <c r="Y920" i="7" s="1"/>
  <c r="X921" i="7"/>
  <c r="Y921" i="7" s="1"/>
  <c r="X922" i="7"/>
  <c r="Y922" i="7" s="1"/>
  <c r="X923" i="7"/>
  <c r="Y923" i="7" s="1"/>
  <c r="X924" i="7"/>
  <c r="Y924" i="7" s="1"/>
  <c r="X925" i="7"/>
  <c r="Y925" i="7" s="1"/>
  <c r="X926" i="7"/>
  <c r="Y926" i="7" s="1"/>
  <c r="X927" i="7"/>
  <c r="Y927" i="7" s="1"/>
  <c r="X928" i="7"/>
  <c r="Y928" i="7" s="1"/>
  <c r="X929" i="7"/>
  <c r="Y929" i="7" s="1"/>
  <c r="X930" i="7"/>
  <c r="Y930" i="7" s="1"/>
  <c r="X931" i="7"/>
  <c r="X932" i="7"/>
  <c r="Y932" i="7" s="1"/>
  <c r="X933" i="7"/>
  <c r="Y933" i="7" s="1"/>
  <c r="X934" i="7"/>
  <c r="Y934" i="7" s="1"/>
  <c r="X935" i="7"/>
  <c r="Y935" i="7" s="1"/>
  <c r="X936" i="7"/>
  <c r="Y936" i="7" s="1"/>
  <c r="X937" i="7"/>
  <c r="Y937" i="7" s="1"/>
  <c r="X938" i="7"/>
  <c r="Y938" i="7" s="1"/>
  <c r="X939" i="7"/>
  <c r="Y939" i="7" s="1"/>
  <c r="X940" i="7"/>
  <c r="Y940" i="7" s="1"/>
  <c r="X941" i="7"/>
  <c r="Y941" i="7" s="1"/>
  <c r="X942" i="7"/>
  <c r="Y942" i="7" s="1"/>
  <c r="X943" i="7"/>
  <c r="Y943" i="7" s="1"/>
  <c r="X944" i="7"/>
  <c r="Y944" i="7" s="1"/>
  <c r="X945" i="7"/>
  <c r="Y945" i="7" s="1"/>
  <c r="X946" i="7"/>
  <c r="Y946" i="7" s="1"/>
  <c r="X947" i="7"/>
  <c r="Y947" i="7" s="1"/>
  <c r="X948" i="7"/>
  <c r="Y948" i="7" s="1"/>
  <c r="X949" i="7"/>
  <c r="Y949" i="7" s="1"/>
  <c r="X950" i="7"/>
  <c r="Y950" i="7" s="1"/>
  <c r="X951" i="7"/>
  <c r="Y951" i="7" s="1"/>
  <c r="X952" i="7"/>
  <c r="Y952" i="7" s="1"/>
  <c r="X953" i="7"/>
  <c r="Y953" i="7" s="1"/>
  <c r="X954" i="7"/>
  <c r="Y954" i="7" s="1"/>
  <c r="X955" i="7"/>
  <c r="Y955" i="7" s="1"/>
  <c r="X956" i="7"/>
  <c r="Y956" i="7" s="1"/>
  <c r="X957" i="7"/>
  <c r="Y957" i="7" s="1"/>
  <c r="X958" i="7"/>
  <c r="Y958" i="7" s="1"/>
  <c r="X959" i="7"/>
  <c r="Y959" i="7" s="1"/>
  <c r="X960" i="7"/>
  <c r="Y960" i="7" s="1"/>
  <c r="X961" i="7"/>
  <c r="Y961" i="7" s="1"/>
  <c r="X962" i="7"/>
  <c r="Y962" i="7" s="1"/>
  <c r="X963" i="7"/>
  <c r="Y963" i="7" s="1"/>
  <c r="X964" i="7"/>
  <c r="Y964" i="7" s="1"/>
  <c r="X965" i="7"/>
  <c r="Y965" i="7" s="1"/>
  <c r="X966" i="7"/>
  <c r="Y966" i="7" s="1"/>
  <c r="X967" i="7"/>
  <c r="Y967" i="7" s="1"/>
  <c r="X968" i="7"/>
  <c r="Y968" i="7" s="1"/>
  <c r="X969" i="7"/>
  <c r="Y969" i="7" s="1"/>
  <c r="X970" i="7"/>
  <c r="Y970" i="7" s="1"/>
  <c r="X971" i="7"/>
  <c r="Y971" i="7" s="1"/>
  <c r="X972" i="7"/>
  <c r="Y972" i="7" s="1"/>
  <c r="X973" i="7"/>
  <c r="Y973" i="7" s="1"/>
  <c r="X974" i="7"/>
  <c r="Y974" i="7" s="1"/>
  <c r="X975" i="7"/>
  <c r="Y975" i="7" s="1"/>
  <c r="X976" i="7"/>
  <c r="Y976" i="7" s="1"/>
  <c r="X977" i="7"/>
  <c r="Y977" i="7" s="1"/>
  <c r="X978" i="7"/>
  <c r="Y978" i="7" s="1"/>
  <c r="X979" i="7"/>
  <c r="Y979" i="7" s="1"/>
  <c r="X980" i="7"/>
  <c r="Y980" i="7" s="1"/>
  <c r="X981" i="7"/>
  <c r="Y981" i="7" s="1"/>
  <c r="X982" i="7"/>
  <c r="Y982" i="7" s="1"/>
  <c r="X983" i="7"/>
  <c r="Y983" i="7" s="1"/>
  <c r="X984" i="7"/>
  <c r="Y984" i="7" s="1"/>
  <c r="X985" i="7"/>
  <c r="Y985" i="7" s="1"/>
  <c r="X986" i="7"/>
  <c r="Y986" i="7" s="1"/>
  <c r="X987" i="7"/>
  <c r="Y987" i="7" s="1"/>
  <c r="X988" i="7"/>
  <c r="Y988" i="7" s="1"/>
  <c r="X989" i="7"/>
  <c r="Y989" i="7" s="1"/>
  <c r="X990" i="7"/>
  <c r="Y990" i="7" s="1"/>
  <c r="X991" i="7"/>
  <c r="Y991" i="7" s="1"/>
  <c r="X992" i="7"/>
  <c r="Y992" i="7" s="1"/>
  <c r="X993" i="7"/>
  <c r="Y993" i="7" s="1"/>
  <c r="X994" i="7"/>
  <c r="Y994" i="7" s="1"/>
  <c r="X995" i="7"/>
  <c r="Y995" i="7" s="1"/>
  <c r="X996" i="7"/>
  <c r="Y996" i="7" s="1"/>
  <c r="X997" i="7"/>
  <c r="Y997" i="7" s="1"/>
  <c r="X998" i="7"/>
  <c r="Y998" i="7" s="1"/>
  <c r="X999" i="7"/>
  <c r="Y999" i="7" s="1"/>
  <c r="X1000" i="7"/>
  <c r="Y1000" i="7" s="1"/>
  <c r="X1001" i="7"/>
  <c r="Y1001" i="7" s="1"/>
  <c r="Y117" i="7"/>
  <c r="Y118" i="7"/>
  <c r="Y119" i="7"/>
  <c r="Y120" i="7"/>
  <c r="Y121" i="7"/>
  <c r="Y122" i="7"/>
  <c r="Y123" i="7"/>
  <c r="Y124" i="7"/>
  <c r="Y125" i="7"/>
  <c r="Y126" i="7"/>
  <c r="Y127" i="7"/>
  <c r="Y128" i="7"/>
  <c r="Y130" i="7"/>
  <c r="Y131" i="7"/>
  <c r="Y132" i="7"/>
  <c r="Y133" i="7"/>
  <c r="Y134" i="7"/>
  <c r="Y135" i="7"/>
  <c r="Y136" i="7"/>
  <c r="Y137" i="7"/>
  <c r="Y138" i="7"/>
  <c r="Y139" i="7"/>
  <c r="Y140" i="7"/>
  <c r="Y141" i="7"/>
  <c r="Y142" i="7"/>
  <c r="Y143" i="7"/>
  <c r="Y144" i="7"/>
  <c r="Y145" i="7"/>
  <c r="Y146" i="7"/>
  <c r="Y147" i="7"/>
  <c r="Y148" i="7"/>
  <c r="Y149" i="7"/>
  <c r="Y150" i="7"/>
  <c r="Y151" i="7"/>
  <c r="Y152" i="7"/>
  <c r="Y153" i="7"/>
  <c r="Y154" i="7"/>
  <c r="Y155" i="7"/>
  <c r="Y156" i="7"/>
  <c r="Y157" i="7"/>
  <c r="Y158" i="7"/>
  <c r="Y159" i="7"/>
  <c r="Y160" i="7"/>
  <c r="Y161" i="7"/>
  <c r="Y162" i="7"/>
  <c r="Y163" i="7"/>
  <c r="Y164" i="7"/>
  <c r="Y165" i="7"/>
  <c r="Y166" i="7"/>
  <c r="Y167" i="7"/>
  <c r="Y168" i="7"/>
  <c r="Y169" i="7"/>
  <c r="Y170" i="7"/>
  <c r="Y171" i="7"/>
  <c r="Y172" i="7"/>
  <c r="Y173" i="7"/>
  <c r="Y174" i="7"/>
  <c r="Y175" i="7"/>
  <c r="Y176" i="7"/>
  <c r="Y177" i="7"/>
  <c r="Y178" i="7"/>
  <c r="Y179" i="7"/>
  <c r="Y180" i="7"/>
  <c r="Y181" i="7"/>
  <c r="Y182" i="7"/>
  <c r="Y183" i="7"/>
  <c r="Y184" i="7"/>
  <c r="Y185" i="7"/>
  <c r="Y186" i="7"/>
  <c r="Y187" i="7"/>
  <c r="Y188" i="7"/>
  <c r="Y189" i="7"/>
  <c r="Y190" i="7"/>
  <c r="Y191" i="7"/>
  <c r="Y192" i="7"/>
  <c r="Y193" i="7"/>
  <c r="Y194" i="7"/>
  <c r="Y195" i="7"/>
  <c r="Y196" i="7"/>
  <c r="Y197" i="7"/>
  <c r="Y198" i="7"/>
  <c r="Y199" i="7"/>
  <c r="Y200" i="7"/>
  <c r="Y201" i="7"/>
  <c r="Y202" i="7"/>
  <c r="Y203" i="7"/>
  <c r="Y204" i="7"/>
  <c r="Y205" i="7"/>
  <c r="Y206" i="7"/>
  <c r="Y207" i="7"/>
  <c r="Y208" i="7"/>
  <c r="Y209" i="7"/>
  <c r="Y210" i="7"/>
  <c r="Y211" i="7"/>
  <c r="Y212" i="7"/>
  <c r="Y213" i="7"/>
  <c r="Y214" i="7"/>
  <c r="Y215" i="7"/>
  <c r="Y216" i="7"/>
  <c r="Y217" i="7"/>
  <c r="Y218" i="7"/>
  <c r="Y219" i="7"/>
  <c r="Y220" i="7"/>
  <c r="Y221" i="7"/>
  <c r="Y222" i="7"/>
  <c r="Y223" i="7"/>
  <c r="Y224" i="7"/>
  <c r="Y225" i="7"/>
  <c r="Y226" i="7"/>
  <c r="Y227" i="7"/>
  <c r="Y228" i="7"/>
  <c r="Y229" i="7"/>
  <c r="Y230" i="7"/>
  <c r="Y231" i="7"/>
  <c r="Y232" i="7"/>
  <c r="Y233" i="7"/>
  <c r="Y234" i="7"/>
  <c r="Y235" i="7"/>
  <c r="Y236" i="7"/>
  <c r="Y237" i="7"/>
  <c r="Y238" i="7"/>
  <c r="Y239" i="7"/>
  <c r="Y240" i="7"/>
  <c r="Y241" i="7"/>
  <c r="Y242" i="7"/>
  <c r="Y243" i="7"/>
  <c r="Y244" i="7"/>
  <c r="Y245" i="7"/>
  <c r="Y246" i="7"/>
  <c r="Y249" i="7"/>
  <c r="Y250" i="7"/>
  <c r="Y251" i="7"/>
  <c r="Y252" i="7"/>
  <c r="Y253" i="7"/>
  <c r="Y254" i="7"/>
  <c r="Y255" i="7"/>
  <c r="Y256" i="7"/>
  <c r="Y257" i="7"/>
  <c r="Y258" i="7"/>
  <c r="Y259" i="7"/>
  <c r="Y260" i="7"/>
  <c r="Y261" i="7"/>
  <c r="Y262" i="7"/>
  <c r="Y263" i="7"/>
  <c r="Y264" i="7"/>
  <c r="Y265" i="7"/>
  <c r="Y266" i="7"/>
  <c r="Y267" i="7"/>
  <c r="Y268" i="7"/>
  <c r="Y269" i="7"/>
  <c r="Y270" i="7"/>
  <c r="Y271" i="7"/>
  <c r="Y272" i="7"/>
  <c r="Y273" i="7"/>
  <c r="Y274" i="7"/>
  <c r="Y275" i="7"/>
  <c r="AA2" i="7"/>
  <c r="AA3" i="7"/>
  <c r="AA4" i="7"/>
  <c r="AA5" i="7"/>
  <c r="AA6" i="7"/>
  <c r="AA7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37" i="7"/>
  <c r="AA38" i="7"/>
  <c r="AA39" i="7"/>
  <c r="AA40" i="7"/>
  <c r="AA41" i="7"/>
  <c r="AA42" i="7"/>
  <c r="AA43" i="7"/>
  <c r="AA44" i="7"/>
  <c r="AA45" i="7"/>
  <c r="AA46" i="7"/>
  <c r="AA47" i="7"/>
  <c r="AA48" i="7"/>
  <c r="AA49" i="7"/>
  <c r="AA50" i="7"/>
  <c r="AA51" i="7"/>
  <c r="AA52" i="7"/>
  <c r="AA53" i="7"/>
  <c r="AA54" i="7"/>
  <c r="AA55" i="7"/>
  <c r="AA56" i="7"/>
  <c r="AA57" i="7"/>
  <c r="AA58" i="7"/>
  <c r="AA59" i="7"/>
  <c r="AA60" i="7"/>
  <c r="AA61" i="7"/>
  <c r="AA62" i="7"/>
  <c r="AA63" i="7"/>
  <c r="AA64" i="7"/>
  <c r="AA65" i="7"/>
  <c r="AA66" i="7"/>
  <c r="AA67" i="7"/>
  <c r="AA68" i="7"/>
  <c r="AA69" i="7"/>
  <c r="AA70" i="7"/>
  <c r="AA71" i="7"/>
  <c r="AA72" i="7"/>
  <c r="AA73" i="7"/>
  <c r="AA74" i="7"/>
  <c r="AA75" i="7"/>
  <c r="AA76" i="7"/>
  <c r="AA77" i="7"/>
  <c r="AA78" i="7"/>
  <c r="AA79" i="7"/>
  <c r="AA80" i="7"/>
  <c r="AA81" i="7"/>
  <c r="AA82" i="7"/>
  <c r="AA83" i="7"/>
  <c r="AA84" i="7"/>
  <c r="AA85" i="7"/>
  <c r="AA86" i="7"/>
  <c r="AA87" i="7"/>
  <c r="AA88" i="7"/>
  <c r="AA89" i="7"/>
  <c r="AA90" i="7"/>
  <c r="AA91" i="7"/>
  <c r="AA92" i="7"/>
  <c r="AA93" i="7"/>
  <c r="AA94" i="7"/>
  <c r="AA95" i="7"/>
  <c r="AA96" i="7"/>
  <c r="AA97" i="7"/>
  <c r="AA98" i="7"/>
  <c r="AA99" i="7"/>
  <c r="AA100" i="7"/>
  <c r="AA101" i="7"/>
  <c r="AA102" i="7"/>
  <c r="AA103" i="7"/>
  <c r="AA104" i="7"/>
  <c r="AA105" i="7"/>
  <c r="AA106" i="7"/>
  <c r="AA107" i="7"/>
  <c r="AA108" i="7"/>
  <c r="AA109" i="7"/>
  <c r="AA110" i="7"/>
  <c r="AA111" i="7"/>
  <c r="AA112" i="7"/>
  <c r="AA113" i="7"/>
  <c r="AA114" i="7"/>
  <c r="AA115" i="7"/>
  <c r="AA116" i="7"/>
  <c r="AA117" i="7"/>
  <c r="AA118" i="7"/>
  <c r="AA119" i="7"/>
  <c r="AA120" i="7"/>
  <c r="AA121" i="7"/>
  <c r="AA122" i="7"/>
  <c r="AA123" i="7"/>
  <c r="AA124" i="7"/>
  <c r="AA125" i="7"/>
  <c r="AA126" i="7"/>
  <c r="AA127" i="7"/>
  <c r="AA128" i="7"/>
  <c r="AA129" i="7"/>
  <c r="AA130" i="7"/>
  <c r="AA131" i="7"/>
  <c r="AA132" i="7"/>
  <c r="AA133" i="7"/>
  <c r="AA134" i="7"/>
  <c r="AA135" i="7"/>
  <c r="AA136" i="7"/>
  <c r="AA137" i="7"/>
  <c r="AA138" i="7"/>
  <c r="AA139" i="7"/>
  <c r="AA140" i="7"/>
  <c r="AA141" i="7"/>
  <c r="AA142" i="7"/>
  <c r="AA143" i="7"/>
  <c r="AA144" i="7"/>
  <c r="AA145" i="7"/>
  <c r="AA146" i="7"/>
  <c r="AA147" i="7"/>
  <c r="AA148" i="7"/>
  <c r="AA149" i="7"/>
  <c r="AA150" i="7"/>
  <c r="AA151" i="7"/>
  <c r="AA152" i="7"/>
  <c r="AA153" i="7"/>
  <c r="AA154" i="7"/>
  <c r="AA155" i="7"/>
  <c r="AA156" i="7"/>
  <c r="AA157" i="7"/>
  <c r="AA158" i="7"/>
  <c r="AA159" i="7"/>
  <c r="AA160" i="7"/>
  <c r="AA161" i="7"/>
  <c r="AA162" i="7"/>
  <c r="AA163" i="7"/>
  <c r="AA164" i="7"/>
  <c r="AA165" i="7"/>
  <c r="AA166" i="7"/>
  <c r="AA167" i="7"/>
  <c r="AA168" i="7"/>
  <c r="AA169" i="7"/>
  <c r="AA170" i="7"/>
  <c r="AA171" i="7"/>
  <c r="AA172" i="7"/>
  <c r="AA173" i="7"/>
  <c r="AA174" i="7"/>
  <c r="AA175" i="7"/>
  <c r="AA176" i="7"/>
  <c r="AA177" i="7"/>
  <c r="AA178" i="7"/>
  <c r="AA179" i="7"/>
  <c r="AA180" i="7"/>
  <c r="AA181" i="7"/>
  <c r="AA182" i="7"/>
  <c r="AA183" i="7"/>
  <c r="AA184" i="7"/>
  <c r="AA185" i="7"/>
  <c r="AA186" i="7"/>
  <c r="AA187" i="7"/>
  <c r="AA188" i="7"/>
  <c r="AA189" i="7"/>
  <c r="AA190" i="7"/>
  <c r="AA191" i="7"/>
  <c r="AA192" i="7"/>
  <c r="AA193" i="7"/>
  <c r="AA194" i="7"/>
  <c r="AA195" i="7"/>
  <c r="AA196" i="7"/>
  <c r="AA197" i="7"/>
  <c r="AA198" i="7"/>
  <c r="AA199" i="7"/>
  <c r="AA200" i="7"/>
  <c r="AA201" i="7"/>
  <c r="AA202" i="7"/>
  <c r="AA203" i="7"/>
  <c r="AA204" i="7"/>
  <c r="AA205" i="7"/>
  <c r="AA206" i="7"/>
  <c r="AA207" i="7"/>
  <c r="AA208" i="7"/>
  <c r="AA209" i="7"/>
  <c r="AA210" i="7"/>
  <c r="AA211" i="7"/>
  <c r="AA212" i="7"/>
  <c r="AA213" i="7"/>
  <c r="AA214" i="7"/>
  <c r="AA215" i="7"/>
  <c r="AA216" i="7"/>
  <c r="AA217" i="7"/>
  <c r="AA218" i="7"/>
  <c r="AA219" i="7"/>
  <c r="AA220" i="7"/>
  <c r="AA221" i="7"/>
  <c r="AA222" i="7"/>
  <c r="AA223" i="7"/>
  <c r="AA224" i="7"/>
  <c r="AA225" i="7"/>
  <c r="AA226" i="7"/>
  <c r="AA227" i="7"/>
  <c r="AA228" i="7"/>
  <c r="AA229" i="7"/>
  <c r="AA230" i="7"/>
  <c r="AA231" i="7"/>
  <c r="AA232" i="7"/>
  <c r="AA233" i="7"/>
  <c r="AA234" i="7"/>
  <c r="AA235" i="7"/>
  <c r="AA236" i="7"/>
  <c r="AA237" i="7"/>
  <c r="AA238" i="7"/>
  <c r="AA239" i="7"/>
  <c r="AA240" i="7"/>
  <c r="AA241" i="7"/>
  <c r="AA242" i="7"/>
  <c r="AA243" i="7"/>
  <c r="AA244" i="7"/>
  <c r="AA245" i="7"/>
  <c r="AA246" i="7"/>
  <c r="AA247" i="7"/>
  <c r="AA248" i="7"/>
  <c r="AA249" i="7"/>
  <c r="AA250" i="7"/>
  <c r="AA251" i="7"/>
  <c r="AA252" i="7"/>
  <c r="AA253" i="7"/>
  <c r="AA254" i="7"/>
  <c r="AA255" i="7"/>
  <c r="AA256" i="7"/>
  <c r="AA257" i="7"/>
  <c r="AA258" i="7"/>
  <c r="AA259" i="7"/>
  <c r="AA260" i="7"/>
  <c r="AA261" i="7"/>
  <c r="AA262" i="7"/>
  <c r="AA263" i="7"/>
  <c r="AA264" i="7"/>
  <c r="AA265" i="7"/>
  <c r="AA266" i="7"/>
  <c r="AA267" i="7"/>
  <c r="AA268" i="7"/>
  <c r="AA269" i="7"/>
  <c r="AA270" i="7"/>
  <c r="AA271" i="7"/>
  <c r="AA272" i="7"/>
  <c r="AA273" i="7"/>
  <c r="AA274" i="7"/>
  <c r="AA275" i="7"/>
  <c r="AA276" i="7"/>
  <c r="AA277" i="7"/>
  <c r="AA278" i="7"/>
  <c r="AA279" i="7"/>
  <c r="AA280" i="7"/>
  <c r="AA281" i="7"/>
  <c r="AA282" i="7"/>
  <c r="AA283" i="7"/>
  <c r="AA284" i="7"/>
  <c r="AA285" i="7"/>
  <c r="AA286" i="7"/>
  <c r="AA287" i="7"/>
  <c r="AA288" i="7"/>
  <c r="AA289" i="7"/>
  <c r="AA290" i="7"/>
  <c r="AA291" i="7"/>
  <c r="AA292" i="7"/>
  <c r="AA293" i="7"/>
  <c r="AA294" i="7"/>
  <c r="AA295" i="7"/>
  <c r="AA296" i="7"/>
  <c r="AA297" i="7"/>
  <c r="AA298" i="7"/>
  <c r="AA299" i="7"/>
  <c r="AA300" i="7"/>
  <c r="AA301" i="7"/>
  <c r="AA302" i="7"/>
  <c r="AA303" i="7"/>
  <c r="AA304" i="7"/>
  <c r="AA305" i="7"/>
  <c r="AA306" i="7"/>
  <c r="AA307" i="7"/>
  <c r="AA308" i="7"/>
  <c r="AA309" i="7"/>
  <c r="AA310" i="7"/>
  <c r="AA311" i="7"/>
  <c r="AA312" i="7"/>
  <c r="AA313" i="7"/>
  <c r="AA314" i="7"/>
  <c r="AA315" i="7"/>
  <c r="AA316" i="7"/>
  <c r="AA317" i="7"/>
  <c r="AA318" i="7"/>
  <c r="AA319" i="7"/>
  <c r="AA320" i="7"/>
  <c r="AA321" i="7"/>
  <c r="AA322" i="7"/>
  <c r="AA323" i="7"/>
  <c r="AA324" i="7"/>
  <c r="AA325" i="7"/>
  <c r="AA326" i="7"/>
  <c r="AA327" i="7"/>
  <c r="AA328" i="7"/>
  <c r="AA329" i="7"/>
  <c r="AA330" i="7"/>
  <c r="AA331" i="7"/>
  <c r="AA332" i="7"/>
  <c r="AA333" i="7"/>
  <c r="AA334" i="7"/>
  <c r="AA335" i="7"/>
  <c r="AA336" i="7"/>
  <c r="AA337" i="7"/>
  <c r="AA338" i="7"/>
  <c r="AA339" i="7"/>
  <c r="AA340" i="7"/>
  <c r="AA341" i="7"/>
  <c r="AA342" i="7"/>
  <c r="AA343" i="7"/>
  <c r="AA344" i="7"/>
  <c r="AA345" i="7"/>
  <c r="AA346" i="7"/>
  <c r="AA347" i="7"/>
  <c r="AA348" i="7"/>
  <c r="AA349" i="7"/>
  <c r="AA350" i="7"/>
  <c r="AA351" i="7"/>
  <c r="AA352" i="7"/>
  <c r="AA353" i="7"/>
  <c r="AA354" i="7"/>
  <c r="AA355" i="7"/>
  <c r="AA356" i="7"/>
  <c r="AA357" i="7"/>
  <c r="AA358" i="7"/>
  <c r="AA359" i="7"/>
  <c r="AA360" i="7"/>
  <c r="AA361" i="7"/>
  <c r="AA362" i="7"/>
  <c r="AA363" i="7"/>
  <c r="AA364" i="7"/>
  <c r="AA365" i="7"/>
  <c r="AA366" i="7"/>
  <c r="AA367" i="7"/>
  <c r="AA368" i="7"/>
  <c r="AA369" i="7"/>
  <c r="AA370" i="7"/>
  <c r="AA371" i="7"/>
  <c r="AA372" i="7"/>
  <c r="AA373" i="7"/>
  <c r="AA374" i="7"/>
  <c r="AA375" i="7"/>
  <c r="AA376" i="7"/>
  <c r="AA377" i="7"/>
  <c r="AA378" i="7"/>
  <c r="AA379" i="7"/>
  <c r="AA380" i="7"/>
  <c r="AA381" i="7"/>
  <c r="AA382" i="7"/>
  <c r="AA383" i="7"/>
  <c r="AA384" i="7"/>
  <c r="AA385" i="7"/>
  <c r="AA386" i="7"/>
  <c r="AA387" i="7"/>
  <c r="AA388" i="7"/>
  <c r="AA389" i="7"/>
  <c r="AA390" i="7"/>
  <c r="AA391" i="7"/>
  <c r="AA392" i="7"/>
  <c r="AA393" i="7"/>
  <c r="AA394" i="7"/>
  <c r="AA395" i="7"/>
  <c r="AA396" i="7"/>
  <c r="AA397" i="7"/>
  <c r="AA398" i="7"/>
  <c r="AA399" i="7"/>
  <c r="AA400" i="7"/>
  <c r="AA401" i="7"/>
  <c r="AA402" i="7"/>
  <c r="AA403" i="7"/>
  <c r="AA404" i="7"/>
  <c r="AA405" i="7"/>
  <c r="AA406" i="7"/>
  <c r="AA407" i="7"/>
  <c r="AA408" i="7"/>
  <c r="AA409" i="7"/>
  <c r="AA410" i="7"/>
  <c r="AA411" i="7"/>
  <c r="AA412" i="7"/>
  <c r="AA413" i="7"/>
  <c r="AA414" i="7"/>
  <c r="AA415" i="7"/>
  <c r="AA416" i="7"/>
  <c r="AA417" i="7"/>
  <c r="AA418" i="7"/>
  <c r="AA419" i="7"/>
  <c r="AA420" i="7"/>
  <c r="AA421" i="7"/>
  <c r="AA422" i="7"/>
  <c r="AA423" i="7"/>
  <c r="AA424" i="7"/>
  <c r="AA425" i="7"/>
  <c r="AA426" i="7"/>
  <c r="AA427" i="7"/>
  <c r="AA428" i="7"/>
  <c r="AA429" i="7"/>
  <c r="AA430" i="7"/>
  <c r="AA431" i="7"/>
  <c r="AA432" i="7"/>
  <c r="AA433" i="7"/>
  <c r="AA434" i="7"/>
  <c r="AA435" i="7"/>
  <c r="AA436" i="7"/>
  <c r="AB436" i="7" s="1"/>
  <c r="AC436" i="7" s="1"/>
  <c r="AD436" i="7" s="1"/>
  <c r="AA437" i="7"/>
  <c r="AB437" i="7" s="1"/>
  <c r="AC437" i="7" s="1"/>
  <c r="AD437" i="7" s="1"/>
  <c r="AA438" i="7"/>
  <c r="AB438" i="7" s="1"/>
  <c r="AC438" i="7" s="1"/>
  <c r="AD438" i="7" s="1"/>
  <c r="AA439" i="7"/>
  <c r="AB439" i="7" s="1"/>
  <c r="AC439" i="7" s="1"/>
  <c r="AD439" i="7" s="1"/>
  <c r="AA440" i="7"/>
  <c r="AB440" i="7" s="1"/>
  <c r="AC440" i="7" s="1"/>
  <c r="AD440" i="7" s="1"/>
  <c r="AA441" i="7"/>
  <c r="AB441" i="7" s="1"/>
  <c r="AC441" i="7" s="1"/>
  <c r="AD441" i="7" s="1"/>
  <c r="AA442" i="7"/>
  <c r="AB442" i="7" s="1"/>
  <c r="AC442" i="7" s="1"/>
  <c r="AD442" i="7" s="1"/>
  <c r="AA443" i="7"/>
  <c r="AB443" i="7" s="1"/>
  <c r="AC443" i="7" s="1"/>
  <c r="AD443" i="7" s="1"/>
  <c r="AA444" i="7"/>
  <c r="AB444" i="7" s="1"/>
  <c r="AC444" i="7" s="1"/>
  <c r="AD444" i="7" s="1"/>
  <c r="AA445" i="7"/>
  <c r="AB445" i="7" s="1"/>
  <c r="AC445" i="7" s="1"/>
  <c r="AD445" i="7" s="1"/>
  <c r="AA446" i="7"/>
  <c r="AB446" i="7" s="1"/>
  <c r="AC446" i="7" s="1"/>
  <c r="AD446" i="7" s="1"/>
  <c r="AA447" i="7"/>
  <c r="AB447" i="7" s="1"/>
  <c r="AC447" i="7" s="1"/>
  <c r="AD447" i="7" s="1"/>
  <c r="AA448" i="7"/>
  <c r="AB448" i="7" s="1"/>
  <c r="AC448" i="7" s="1"/>
  <c r="AD448" i="7" s="1"/>
  <c r="AA449" i="7"/>
  <c r="AB449" i="7" s="1"/>
  <c r="AC449" i="7" s="1"/>
  <c r="AD449" i="7" s="1"/>
  <c r="AA450" i="7"/>
  <c r="AB450" i="7" s="1"/>
  <c r="AC450" i="7" s="1"/>
  <c r="AD450" i="7" s="1"/>
  <c r="AA451" i="7"/>
  <c r="AB451" i="7" s="1"/>
  <c r="AC451" i="7" s="1"/>
  <c r="AD451" i="7" s="1"/>
  <c r="AA452" i="7"/>
  <c r="AB452" i="7" s="1"/>
  <c r="AC452" i="7" s="1"/>
  <c r="AD452" i="7" s="1"/>
  <c r="AA453" i="7"/>
  <c r="AB453" i="7" s="1"/>
  <c r="AC453" i="7" s="1"/>
  <c r="AD453" i="7" s="1"/>
  <c r="AA454" i="7"/>
  <c r="AB454" i="7" s="1"/>
  <c r="AC454" i="7" s="1"/>
  <c r="AD454" i="7" s="1"/>
  <c r="AA455" i="7"/>
  <c r="AB455" i="7" s="1"/>
  <c r="AC455" i="7" s="1"/>
  <c r="AD455" i="7" s="1"/>
  <c r="AA456" i="7"/>
  <c r="AB456" i="7" s="1"/>
  <c r="AC456" i="7" s="1"/>
  <c r="AD456" i="7" s="1"/>
  <c r="AA457" i="7"/>
  <c r="AB457" i="7" s="1"/>
  <c r="AC457" i="7" s="1"/>
  <c r="AD457" i="7" s="1"/>
  <c r="AA458" i="7"/>
  <c r="AB458" i="7" s="1"/>
  <c r="AC458" i="7" s="1"/>
  <c r="AD458" i="7" s="1"/>
  <c r="AA459" i="7"/>
  <c r="AB459" i="7" s="1"/>
  <c r="AC459" i="7" s="1"/>
  <c r="AD459" i="7" s="1"/>
  <c r="AA460" i="7"/>
  <c r="AB460" i="7" s="1"/>
  <c r="AC460" i="7" s="1"/>
  <c r="AD460" i="7" s="1"/>
  <c r="AA461" i="7"/>
  <c r="AB461" i="7" s="1"/>
  <c r="AC461" i="7" s="1"/>
  <c r="AD461" i="7" s="1"/>
  <c r="AA462" i="7"/>
  <c r="AB462" i="7" s="1"/>
  <c r="AC462" i="7" s="1"/>
  <c r="AD462" i="7" s="1"/>
  <c r="AA463" i="7"/>
  <c r="AB463" i="7" s="1"/>
  <c r="AC463" i="7" s="1"/>
  <c r="AD463" i="7" s="1"/>
  <c r="AA464" i="7"/>
  <c r="AB464" i="7" s="1"/>
  <c r="AC464" i="7" s="1"/>
  <c r="AD464" i="7" s="1"/>
  <c r="AA465" i="7"/>
  <c r="AB465" i="7" s="1"/>
  <c r="AC465" i="7" s="1"/>
  <c r="AD465" i="7" s="1"/>
  <c r="AA466" i="7"/>
  <c r="AB466" i="7" s="1"/>
  <c r="AC466" i="7" s="1"/>
  <c r="AD466" i="7" s="1"/>
  <c r="AA467" i="7"/>
  <c r="AB467" i="7" s="1"/>
  <c r="AC467" i="7" s="1"/>
  <c r="AD467" i="7" s="1"/>
  <c r="AA468" i="7"/>
  <c r="AB468" i="7" s="1"/>
  <c r="AC468" i="7" s="1"/>
  <c r="AD468" i="7" s="1"/>
  <c r="AA469" i="7"/>
  <c r="AB469" i="7" s="1"/>
  <c r="AC469" i="7" s="1"/>
  <c r="AD469" i="7" s="1"/>
  <c r="AA470" i="7"/>
  <c r="AB470" i="7" s="1"/>
  <c r="AC470" i="7" s="1"/>
  <c r="AD470" i="7" s="1"/>
  <c r="AA471" i="7"/>
  <c r="AB471" i="7" s="1"/>
  <c r="AC471" i="7" s="1"/>
  <c r="AD471" i="7" s="1"/>
  <c r="AA472" i="7"/>
  <c r="AB472" i="7" s="1"/>
  <c r="AC472" i="7" s="1"/>
  <c r="AD472" i="7" s="1"/>
  <c r="AA473" i="7"/>
  <c r="AB473" i="7" s="1"/>
  <c r="AC473" i="7" s="1"/>
  <c r="AD473" i="7" s="1"/>
  <c r="AA474" i="7"/>
  <c r="AB474" i="7" s="1"/>
  <c r="AC474" i="7" s="1"/>
  <c r="AD474" i="7" s="1"/>
  <c r="AA475" i="7"/>
  <c r="AB475" i="7" s="1"/>
  <c r="AC475" i="7" s="1"/>
  <c r="AD475" i="7" s="1"/>
  <c r="AA476" i="7"/>
  <c r="AB476" i="7" s="1"/>
  <c r="AC476" i="7" s="1"/>
  <c r="AD476" i="7" s="1"/>
  <c r="AA477" i="7"/>
  <c r="AB477" i="7" s="1"/>
  <c r="AC477" i="7" s="1"/>
  <c r="AD477" i="7" s="1"/>
  <c r="AA478" i="7"/>
  <c r="AB478" i="7" s="1"/>
  <c r="AC478" i="7" s="1"/>
  <c r="AD478" i="7" s="1"/>
  <c r="AA479" i="7"/>
  <c r="AB479" i="7" s="1"/>
  <c r="AC479" i="7" s="1"/>
  <c r="AD479" i="7" s="1"/>
  <c r="AA480" i="7"/>
  <c r="AB480" i="7" s="1"/>
  <c r="AC480" i="7" s="1"/>
  <c r="AD480" i="7" s="1"/>
  <c r="AA481" i="7"/>
  <c r="AB481" i="7" s="1"/>
  <c r="AC481" i="7" s="1"/>
  <c r="AD481" i="7" s="1"/>
  <c r="AA482" i="7"/>
  <c r="AB482" i="7" s="1"/>
  <c r="AC482" i="7" s="1"/>
  <c r="AD482" i="7" s="1"/>
  <c r="AA483" i="7"/>
  <c r="AB483" i="7" s="1"/>
  <c r="AC483" i="7" s="1"/>
  <c r="AD483" i="7" s="1"/>
  <c r="AA484" i="7"/>
  <c r="AB484" i="7" s="1"/>
  <c r="AC484" i="7" s="1"/>
  <c r="AD484" i="7" s="1"/>
  <c r="AA485" i="7"/>
  <c r="AB485" i="7" s="1"/>
  <c r="AC485" i="7" s="1"/>
  <c r="AD485" i="7" s="1"/>
  <c r="AA486" i="7"/>
  <c r="AB486" i="7" s="1"/>
  <c r="AC486" i="7" s="1"/>
  <c r="AD486" i="7" s="1"/>
  <c r="AA487" i="7"/>
  <c r="AB487" i="7" s="1"/>
  <c r="AC487" i="7" s="1"/>
  <c r="AD487" i="7" s="1"/>
  <c r="AA488" i="7"/>
  <c r="AB488" i="7" s="1"/>
  <c r="AC488" i="7" s="1"/>
  <c r="AD488" i="7" s="1"/>
  <c r="AA489" i="7"/>
  <c r="AB489" i="7" s="1"/>
  <c r="AC489" i="7" s="1"/>
  <c r="AD489" i="7" s="1"/>
  <c r="AA490" i="7"/>
  <c r="AB490" i="7" s="1"/>
  <c r="AC490" i="7" s="1"/>
  <c r="AD490" i="7" s="1"/>
  <c r="AA491" i="7"/>
  <c r="AB491" i="7" s="1"/>
  <c r="AC491" i="7" s="1"/>
  <c r="AD491" i="7" s="1"/>
  <c r="AA492" i="7"/>
  <c r="AB492" i="7" s="1"/>
  <c r="AC492" i="7" s="1"/>
  <c r="AD492" i="7" s="1"/>
  <c r="AA493" i="7"/>
  <c r="AB493" i="7" s="1"/>
  <c r="AC493" i="7" s="1"/>
  <c r="AD493" i="7" s="1"/>
  <c r="AA494" i="7"/>
  <c r="AB494" i="7" s="1"/>
  <c r="AC494" i="7" s="1"/>
  <c r="AD494" i="7" s="1"/>
  <c r="AA495" i="7"/>
  <c r="AB495" i="7" s="1"/>
  <c r="AC495" i="7" s="1"/>
  <c r="AD495" i="7" s="1"/>
  <c r="AA496" i="7"/>
  <c r="AB496" i="7" s="1"/>
  <c r="AC496" i="7" s="1"/>
  <c r="AD496" i="7" s="1"/>
  <c r="AA497" i="7"/>
  <c r="AB497" i="7" s="1"/>
  <c r="AC497" i="7" s="1"/>
  <c r="AD497" i="7" s="1"/>
  <c r="AA498" i="7"/>
  <c r="AB498" i="7" s="1"/>
  <c r="AC498" i="7" s="1"/>
  <c r="AD498" i="7" s="1"/>
  <c r="AA499" i="7"/>
  <c r="AB499" i="7" s="1"/>
  <c r="AC499" i="7" s="1"/>
  <c r="AD499" i="7" s="1"/>
  <c r="AA500" i="7"/>
  <c r="AB500" i="7" s="1"/>
  <c r="AC500" i="7" s="1"/>
  <c r="AD500" i="7" s="1"/>
  <c r="AA501" i="7"/>
  <c r="AB501" i="7" s="1"/>
  <c r="AC501" i="7" s="1"/>
  <c r="AD501" i="7" s="1"/>
  <c r="AA502" i="7"/>
  <c r="AB502" i="7" s="1"/>
  <c r="AC502" i="7" s="1"/>
  <c r="AD502" i="7" s="1"/>
  <c r="AA503" i="7"/>
  <c r="AB503" i="7" s="1"/>
  <c r="AC503" i="7" s="1"/>
  <c r="AD503" i="7" s="1"/>
  <c r="AA504" i="7"/>
  <c r="AB504" i="7" s="1"/>
  <c r="AC504" i="7" s="1"/>
  <c r="AD504" i="7" s="1"/>
  <c r="AA505" i="7"/>
  <c r="AB505" i="7" s="1"/>
  <c r="AC505" i="7" s="1"/>
  <c r="AD505" i="7" s="1"/>
  <c r="AA506" i="7"/>
  <c r="AB506" i="7" s="1"/>
  <c r="AC506" i="7" s="1"/>
  <c r="AD506" i="7" s="1"/>
  <c r="AA507" i="7"/>
  <c r="AB507" i="7" s="1"/>
  <c r="AC507" i="7" s="1"/>
  <c r="AD507" i="7" s="1"/>
  <c r="AA508" i="7"/>
  <c r="AB508" i="7" s="1"/>
  <c r="AC508" i="7" s="1"/>
  <c r="AD508" i="7" s="1"/>
  <c r="AA509" i="7"/>
  <c r="AB509" i="7" s="1"/>
  <c r="AC509" i="7" s="1"/>
  <c r="AD509" i="7" s="1"/>
  <c r="AA510" i="7"/>
  <c r="AB510" i="7" s="1"/>
  <c r="AC510" i="7" s="1"/>
  <c r="AD510" i="7" s="1"/>
  <c r="AA511" i="7"/>
  <c r="AB511" i="7" s="1"/>
  <c r="AC511" i="7" s="1"/>
  <c r="AD511" i="7" s="1"/>
  <c r="AA512" i="7"/>
  <c r="AB512" i="7" s="1"/>
  <c r="AC512" i="7" s="1"/>
  <c r="AD512" i="7" s="1"/>
  <c r="AA513" i="7"/>
  <c r="AB513" i="7" s="1"/>
  <c r="AC513" i="7" s="1"/>
  <c r="AD513" i="7" s="1"/>
  <c r="AA514" i="7"/>
  <c r="AB514" i="7" s="1"/>
  <c r="AC514" i="7" s="1"/>
  <c r="AD514" i="7" s="1"/>
  <c r="AA515" i="7"/>
  <c r="AB515" i="7" s="1"/>
  <c r="AC515" i="7" s="1"/>
  <c r="AD515" i="7" s="1"/>
  <c r="AA516" i="7"/>
  <c r="AB516" i="7" s="1"/>
  <c r="AC516" i="7" s="1"/>
  <c r="AD516" i="7" s="1"/>
  <c r="AA517" i="7"/>
  <c r="AB517" i="7" s="1"/>
  <c r="AC517" i="7" s="1"/>
  <c r="AD517" i="7" s="1"/>
  <c r="AA518" i="7"/>
  <c r="AB518" i="7" s="1"/>
  <c r="AC518" i="7" s="1"/>
  <c r="AD518" i="7" s="1"/>
  <c r="AA519" i="7"/>
  <c r="AB519" i="7" s="1"/>
  <c r="AC519" i="7" s="1"/>
  <c r="AD519" i="7" s="1"/>
  <c r="AA520" i="7"/>
  <c r="AB520" i="7" s="1"/>
  <c r="AC520" i="7" s="1"/>
  <c r="AD520" i="7" s="1"/>
  <c r="AA521" i="7"/>
  <c r="AB521" i="7" s="1"/>
  <c r="AC521" i="7" s="1"/>
  <c r="AD521" i="7" s="1"/>
  <c r="AA522" i="7"/>
  <c r="AB522" i="7" s="1"/>
  <c r="AC522" i="7" s="1"/>
  <c r="AD522" i="7" s="1"/>
  <c r="AA523" i="7"/>
  <c r="AB523" i="7" s="1"/>
  <c r="AC523" i="7" s="1"/>
  <c r="AD523" i="7" s="1"/>
  <c r="AA524" i="7"/>
  <c r="AB524" i="7" s="1"/>
  <c r="AC524" i="7" s="1"/>
  <c r="AD524" i="7" s="1"/>
  <c r="AA525" i="7"/>
  <c r="AB525" i="7" s="1"/>
  <c r="AC525" i="7" s="1"/>
  <c r="AD525" i="7" s="1"/>
  <c r="AA526" i="7"/>
  <c r="AB526" i="7" s="1"/>
  <c r="AC526" i="7" s="1"/>
  <c r="AD526" i="7" s="1"/>
  <c r="AA527" i="7"/>
  <c r="AB527" i="7" s="1"/>
  <c r="AC527" i="7" s="1"/>
  <c r="AD527" i="7" s="1"/>
  <c r="AA528" i="7"/>
  <c r="AB528" i="7" s="1"/>
  <c r="AC528" i="7" s="1"/>
  <c r="AD528" i="7" s="1"/>
  <c r="AA529" i="7"/>
  <c r="AB529" i="7" s="1"/>
  <c r="AC529" i="7" s="1"/>
  <c r="AD529" i="7" s="1"/>
  <c r="AA530" i="7"/>
  <c r="AB530" i="7" s="1"/>
  <c r="AC530" i="7" s="1"/>
  <c r="AD530" i="7" s="1"/>
  <c r="AA531" i="7"/>
  <c r="AB531" i="7" s="1"/>
  <c r="AC531" i="7" s="1"/>
  <c r="AD531" i="7" s="1"/>
  <c r="AA532" i="7"/>
  <c r="AB532" i="7" s="1"/>
  <c r="AC532" i="7" s="1"/>
  <c r="AD532" i="7" s="1"/>
  <c r="AA533" i="7"/>
  <c r="AB533" i="7" s="1"/>
  <c r="AC533" i="7" s="1"/>
  <c r="AD533" i="7" s="1"/>
  <c r="AA534" i="7"/>
  <c r="AB534" i="7" s="1"/>
  <c r="AC534" i="7" s="1"/>
  <c r="AD534" i="7" s="1"/>
  <c r="AA535" i="7"/>
  <c r="AB535" i="7" s="1"/>
  <c r="AC535" i="7" s="1"/>
  <c r="AD535" i="7" s="1"/>
  <c r="AA536" i="7"/>
  <c r="AB536" i="7" s="1"/>
  <c r="AC536" i="7" s="1"/>
  <c r="AD536" i="7" s="1"/>
  <c r="AA537" i="7"/>
  <c r="AB537" i="7" s="1"/>
  <c r="AC537" i="7" s="1"/>
  <c r="AD537" i="7" s="1"/>
  <c r="AA538" i="7"/>
  <c r="AB538" i="7" s="1"/>
  <c r="AC538" i="7" s="1"/>
  <c r="AD538" i="7" s="1"/>
  <c r="AA539" i="7"/>
  <c r="AB539" i="7" s="1"/>
  <c r="AC539" i="7" s="1"/>
  <c r="AD539" i="7" s="1"/>
  <c r="AA540" i="7"/>
  <c r="AB540" i="7" s="1"/>
  <c r="AC540" i="7" s="1"/>
  <c r="AD540" i="7" s="1"/>
  <c r="AA541" i="7"/>
  <c r="AB541" i="7" s="1"/>
  <c r="AC541" i="7" s="1"/>
  <c r="AD541" i="7" s="1"/>
  <c r="AA542" i="7"/>
  <c r="AB542" i="7" s="1"/>
  <c r="AC542" i="7" s="1"/>
  <c r="AD542" i="7" s="1"/>
  <c r="AA543" i="7"/>
  <c r="AB543" i="7" s="1"/>
  <c r="AC543" i="7" s="1"/>
  <c r="AD543" i="7" s="1"/>
  <c r="AA544" i="7"/>
  <c r="AB544" i="7" s="1"/>
  <c r="AC544" i="7" s="1"/>
  <c r="AD544" i="7" s="1"/>
  <c r="AA545" i="7"/>
  <c r="AB545" i="7" s="1"/>
  <c r="AC545" i="7" s="1"/>
  <c r="AD545" i="7" s="1"/>
  <c r="AA546" i="7"/>
  <c r="AB546" i="7" s="1"/>
  <c r="AC546" i="7" s="1"/>
  <c r="AD546" i="7" s="1"/>
  <c r="AA547" i="7"/>
  <c r="AB547" i="7" s="1"/>
  <c r="AC547" i="7" s="1"/>
  <c r="AD547" i="7" s="1"/>
  <c r="AA548" i="7"/>
  <c r="AB548" i="7" s="1"/>
  <c r="AC548" i="7" s="1"/>
  <c r="AD548" i="7" s="1"/>
  <c r="AA549" i="7"/>
  <c r="AB549" i="7" s="1"/>
  <c r="AC549" i="7" s="1"/>
  <c r="AD549" i="7" s="1"/>
  <c r="AA550" i="7"/>
  <c r="AB550" i="7" s="1"/>
  <c r="AC550" i="7" s="1"/>
  <c r="AD550" i="7" s="1"/>
  <c r="AA551" i="7"/>
  <c r="AB551" i="7" s="1"/>
  <c r="AC551" i="7" s="1"/>
  <c r="AD551" i="7" s="1"/>
  <c r="AA552" i="7"/>
  <c r="AB552" i="7" s="1"/>
  <c r="AC552" i="7" s="1"/>
  <c r="AD552" i="7" s="1"/>
  <c r="AA553" i="7"/>
  <c r="AB553" i="7" s="1"/>
  <c r="AC553" i="7" s="1"/>
  <c r="AD553" i="7" s="1"/>
  <c r="AA554" i="7"/>
  <c r="AB554" i="7" s="1"/>
  <c r="AC554" i="7" s="1"/>
  <c r="AD554" i="7" s="1"/>
  <c r="AA555" i="7"/>
  <c r="AB555" i="7" s="1"/>
  <c r="AC555" i="7" s="1"/>
  <c r="AD555" i="7" s="1"/>
  <c r="AA556" i="7"/>
  <c r="AB556" i="7" s="1"/>
  <c r="AC556" i="7" s="1"/>
  <c r="AD556" i="7" s="1"/>
  <c r="AA557" i="7"/>
  <c r="AB557" i="7" s="1"/>
  <c r="AC557" i="7" s="1"/>
  <c r="AD557" i="7" s="1"/>
  <c r="AA558" i="7"/>
  <c r="AB558" i="7" s="1"/>
  <c r="AC558" i="7" s="1"/>
  <c r="AD558" i="7" s="1"/>
  <c r="AA559" i="7"/>
  <c r="AB559" i="7" s="1"/>
  <c r="AC559" i="7" s="1"/>
  <c r="AD559" i="7" s="1"/>
  <c r="AA560" i="7"/>
  <c r="AB560" i="7" s="1"/>
  <c r="AC560" i="7" s="1"/>
  <c r="AD560" i="7" s="1"/>
  <c r="AA561" i="7"/>
  <c r="AB561" i="7" s="1"/>
  <c r="AC561" i="7" s="1"/>
  <c r="AD561" i="7" s="1"/>
  <c r="AA562" i="7"/>
  <c r="AB562" i="7" s="1"/>
  <c r="AC562" i="7" s="1"/>
  <c r="AD562" i="7" s="1"/>
  <c r="AA563" i="7"/>
  <c r="AB563" i="7" s="1"/>
  <c r="AC563" i="7" s="1"/>
  <c r="AD563" i="7" s="1"/>
  <c r="AA564" i="7"/>
  <c r="AB564" i="7" s="1"/>
  <c r="AC564" i="7" s="1"/>
  <c r="AD564" i="7" s="1"/>
  <c r="AA565" i="7"/>
  <c r="AB565" i="7" s="1"/>
  <c r="AC565" i="7" s="1"/>
  <c r="AD565" i="7" s="1"/>
  <c r="AA566" i="7"/>
  <c r="AB566" i="7" s="1"/>
  <c r="AC566" i="7" s="1"/>
  <c r="AD566" i="7" s="1"/>
  <c r="AA567" i="7"/>
  <c r="AB567" i="7" s="1"/>
  <c r="AC567" i="7" s="1"/>
  <c r="AD567" i="7" s="1"/>
  <c r="AA568" i="7"/>
  <c r="AB568" i="7" s="1"/>
  <c r="AC568" i="7" s="1"/>
  <c r="AD568" i="7" s="1"/>
  <c r="AA569" i="7"/>
  <c r="AB569" i="7" s="1"/>
  <c r="AC569" i="7" s="1"/>
  <c r="AD569" i="7" s="1"/>
  <c r="AA570" i="7"/>
  <c r="AB570" i="7" s="1"/>
  <c r="AC570" i="7" s="1"/>
  <c r="AD570" i="7" s="1"/>
  <c r="AA571" i="7"/>
  <c r="AB571" i="7" s="1"/>
  <c r="AC571" i="7" s="1"/>
  <c r="AD571" i="7" s="1"/>
  <c r="AA572" i="7"/>
  <c r="AB572" i="7" s="1"/>
  <c r="AC572" i="7" s="1"/>
  <c r="AD572" i="7" s="1"/>
  <c r="AA573" i="7"/>
  <c r="AB573" i="7" s="1"/>
  <c r="AC573" i="7" s="1"/>
  <c r="AD573" i="7" s="1"/>
  <c r="AA574" i="7"/>
  <c r="AB574" i="7" s="1"/>
  <c r="AC574" i="7" s="1"/>
  <c r="AD574" i="7" s="1"/>
  <c r="AA575" i="7"/>
  <c r="AB575" i="7" s="1"/>
  <c r="AC575" i="7" s="1"/>
  <c r="AD575" i="7" s="1"/>
  <c r="AA576" i="7"/>
  <c r="AB576" i="7" s="1"/>
  <c r="AC576" i="7" s="1"/>
  <c r="AD576" i="7" s="1"/>
  <c r="AA577" i="7"/>
  <c r="AB577" i="7" s="1"/>
  <c r="AC577" i="7" s="1"/>
  <c r="AD577" i="7" s="1"/>
  <c r="AA578" i="7"/>
  <c r="AB578" i="7" s="1"/>
  <c r="AC578" i="7" s="1"/>
  <c r="AD578" i="7" s="1"/>
  <c r="AA579" i="7"/>
  <c r="AB579" i="7" s="1"/>
  <c r="AC579" i="7" s="1"/>
  <c r="AD579" i="7" s="1"/>
  <c r="AA580" i="7"/>
  <c r="AB580" i="7" s="1"/>
  <c r="AC580" i="7" s="1"/>
  <c r="AD580" i="7" s="1"/>
  <c r="AA581" i="7"/>
  <c r="AB581" i="7" s="1"/>
  <c r="AC581" i="7" s="1"/>
  <c r="AD581" i="7" s="1"/>
  <c r="AA582" i="7"/>
  <c r="AB582" i="7" s="1"/>
  <c r="AC582" i="7" s="1"/>
  <c r="AD582" i="7" s="1"/>
  <c r="AA583" i="7"/>
  <c r="AB583" i="7" s="1"/>
  <c r="AC583" i="7" s="1"/>
  <c r="AD583" i="7" s="1"/>
  <c r="AA584" i="7"/>
  <c r="AB584" i="7" s="1"/>
  <c r="AC584" i="7" s="1"/>
  <c r="AD584" i="7" s="1"/>
  <c r="AA585" i="7"/>
  <c r="AB585" i="7" s="1"/>
  <c r="AC585" i="7" s="1"/>
  <c r="AD585" i="7" s="1"/>
  <c r="AA586" i="7"/>
  <c r="AB586" i="7" s="1"/>
  <c r="AC586" i="7" s="1"/>
  <c r="AD586" i="7" s="1"/>
  <c r="AA587" i="7"/>
  <c r="AB587" i="7" s="1"/>
  <c r="AC587" i="7" s="1"/>
  <c r="AD587" i="7" s="1"/>
  <c r="AA588" i="7"/>
  <c r="AB588" i="7" s="1"/>
  <c r="AC588" i="7" s="1"/>
  <c r="AD588" i="7" s="1"/>
  <c r="AA589" i="7"/>
  <c r="AB589" i="7" s="1"/>
  <c r="AC589" i="7" s="1"/>
  <c r="AD589" i="7" s="1"/>
  <c r="AA590" i="7"/>
  <c r="AB590" i="7" s="1"/>
  <c r="AC590" i="7" s="1"/>
  <c r="AD590" i="7" s="1"/>
  <c r="AA591" i="7"/>
  <c r="AB591" i="7" s="1"/>
  <c r="AC591" i="7" s="1"/>
  <c r="AD591" i="7" s="1"/>
  <c r="AA592" i="7"/>
  <c r="AB592" i="7" s="1"/>
  <c r="AC592" i="7" s="1"/>
  <c r="AD592" i="7" s="1"/>
  <c r="AA593" i="7"/>
  <c r="AB593" i="7" s="1"/>
  <c r="AC593" i="7" s="1"/>
  <c r="AD593" i="7" s="1"/>
  <c r="AA594" i="7"/>
  <c r="AB594" i="7" s="1"/>
  <c r="AC594" i="7" s="1"/>
  <c r="AD594" i="7" s="1"/>
  <c r="AA595" i="7"/>
  <c r="AB595" i="7" s="1"/>
  <c r="AC595" i="7" s="1"/>
  <c r="AD595" i="7" s="1"/>
  <c r="AA596" i="7"/>
  <c r="AB596" i="7" s="1"/>
  <c r="AC596" i="7" s="1"/>
  <c r="AD596" i="7" s="1"/>
  <c r="AA597" i="7"/>
  <c r="AB597" i="7" s="1"/>
  <c r="AC597" i="7" s="1"/>
  <c r="AD597" i="7" s="1"/>
  <c r="AA598" i="7"/>
  <c r="AB598" i="7" s="1"/>
  <c r="AC598" i="7" s="1"/>
  <c r="AD598" i="7" s="1"/>
  <c r="AA599" i="7"/>
  <c r="AB599" i="7" s="1"/>
  <c r="AC599" i="7" s="1"/>
  <c r="AD599" i="7" s="1"/>
  <c r="AA600" i="7"/>
  <c r="AB600" i="7" s="1"/>
  <c r="AC600" i="7" s="1"/>
  <c r="AD600" i="7" s="1"/>
  <c r="AA601" i="7"/>
  <c r="AB601" i="7" s="1"/>
  <c r="AC601" i="7" s="1"/>
  <c r="AD601" i="7" s="1"/>
  <c r="AA602" i="7"/>
  <c r="AB602" i="7" s="1"/>
  <c r="AC602" i="7" s="1"/>
  <c r="AD602" i="7" s="1"/>
  <c r="AA603" i="7"/>
  <c r="AB603" i="7" s="1"/>
  <c r="AC603" i="7" s="1"/>
  <c r="AD603" i="7" s="1"/>
  <c r="AA604" i="7"/>
  <c r="AB604" i="7" s="1"/>
  <c r="AC604" i="7" s="1"/>
  <c r="AD604" i="7" s="1"/>
  <c r="AA605" i="7"/>
  <c r="AB605" i="7" s="1"/>
  <c r="AC605" i="7" s="1"/>
  <c r="AD605" i="7" s="1"/>
  <c r="AA606" i="7"/>
  <c r="AB606" i="7" s="1"/>
  <c r="AC606" i="7" s="1"/>
  <c r="AD606" i="7" s="1"/>
  <c r="AA607" i="7"/>
  <c r="AB607" i="7" s="1"/>
  <c r="AC607" i="7" s="1"/>
  <c r="AD607" i="7" s="1"/>
  <c r="AA608" i="7"/>
  <c r="AB608" i="7" s="1"/>
  <c r="AC608" i="7" s="1"/>
  <c r="AD608" i="7" s="1"/>
  <c r="AA609" i="7"/>
  <c r="AB609" i="7" s="1"/>
  <c r="AC609" i="7" s="1"/>
  <c r="AD609" i="7" s="1"/>
  <c r="AA610" i="7"/>
  <c r="AB610" i="7" s="1"/>
  <c r="AC610" i="7" s="1"/>
  <c r="AD610" i="7" s="1"/>
  <c r="AA611" i="7"/>
  <c r="AB611" i="7" s="1"/>
  <c r="AC611" i="7" s="1"/>
  <c r="AD611" i="7" s="1"/>
  <c r="AA612" i="7"/>
  <c r="AB612" i="7" s="1"/>
  <c r="AC612" i="7" s="1"/>
  <c r="AD612" i="7" s="1"/>
  <c r="AA613" i="7"/>
  <c r="AB613" i="7" s="1"/>
  <c r="AC613" i="7" s="1"/>
  <c r="AD613" i="7" s="1"/>
  <c r="AA614" i="7"/>
  <c r="AB614" i="7" s="1"/>
  <c r="AC614" i="7" s="1"/>
  <c r="AD614" i="7" s="1"/>
  <c r="AA615" i="7"/>
  <c r="AB615" i="7" s="1"/>
  <c r="AC615" i="7" s="1"/>
  <c r="AD615" i="7" s="1"/>
  <c r="AA616" i="7"/>
  <c r="AB616" i="7" s="1"/>
  <c r="AC616" i="7" s="1"/>
  <c r="AD616" i="7" s="1"/>
  <c r="AA617" i="7"/>
  <c r="AB617" i="7" s="1"/>
  <c r="AC617" i="7" s="1"/>
  <c r="AD617" i="7" s="1"/>
  <c r="AA618" i="7"/>
  <c r="AB618" i="7" s="1"/>
  <c r="AC618" i="7" s="1"/>
  <c r="AD618" i="7" s="1"/>
  <c r="AA619" i="7"/>
  <c r="AB619" i="7" s="1"/>
  <c r="AC619" i="7" s="1"/>
  <c r="AD619" i="7" s="1"/>
  <c r="AA620" i="7"/>
  <c r="AB620" i="7" s="1"/>
  <c r="AC620" i="7" s="1"/>
  <c r="AD620" i="7" s="1"/>
  <c r="AA621" i="7"/>
  <c r="AB621" i="7" s="1"/>
  <c r="AC621" i="7" s="1"/>
  <c r="AD621" i="7" s="1"/>
  <c r="AA622" i="7"/>
  <c r="AB622" i="7" s="1"/>
  <c r="AC622" i="7" s="1"/>
  <c r="AD622" i="7" s="1"/>
  <c r="AA623" i="7"/>
  <c r="AB623" i="7" s="1"/>
  <c r="AC623" i="7" s="1"/>
  <c r="AD623" i="7" s="1"/>
  <c r="AA624" i="7"/>
  <c r="AB624" i="7" s="1"/>
  <c r="AC624" i="7" s="1"/>
  <c r="AD624" i="7" s="1"/>
  <c r="AA625" i="7"/>
  <c r="AB625" i="7" s="1"/>
  <c r="AC625" i="7" s="1"/>
  <c r="AD625" i="7" s="1"/>
  <c r="AA626" i="7"/>
  <c r="AB626" i="7" s="1"/>
  <c r="AC626" i="7" s="1"/>
  <c r="AD626" i="7" s="1"/>
  <c r="AA627" i="7"/>
  <c r="AB627" i="7" s="1"/>
  <c r="AC627" i="7" s="1"/>
  <c r="AD627" i="7" s="1"/>
  <c r="AA628" i="7"/>
  <c r="AB628" i="7" s="1"/>
  <c r="AC628" i="7" s="1"/>
  <c r="AD628" i="7" s="1"/>
  <c r="AA629" i="7"/>
  <c r="AB629" i="7" s="1"/>
  <c r="AC629" i="7" s="1"/>
  <c r="AD629" i="7" s="1"/>
  <c r="AA630" i="7"/>
  <c r="AB630" i="7" s="1"/>
  <c r="AC630" i="7" s="1"/>
  <c r="AD630" i="7" s="1"/>
  <c r="AA631" i="7"/>
  <c r="AB631" i="7" s="1"/>
  <c r="AC631" i="7" s="1"/>
  <c r="AD631" i="7" s="1"/>
  <c r="AA632" i="7"/>
  <c r="AB632" i="7" s="1"/>
  <c r="AC632" i="7" s="1"/>
  <c r="AD632" i="7" s="1"/>
  <c r="AA633" i="7"/>
  <c r="AB633" i="7" s="1"/>
  <c r="AC633" i="7" s="1"/>
  <c r="AD633" i="7" s="1"/>
  <c r="AA634" i="7"/>
  <c r="AB634" i="7" s="1"/>
  <c r="AC634" i="7" s="1"/>
  <c r="AD634" i="7" s="1"/>
  <c r="AA635" i="7"/>
  <c r="AB635" i="7" s="1"/>
  <c r="AC635" i="7" s="1"/>
  <c r="AD635" i="7" s="1"/>
  <c r="AA636" i="7"/>
  <c r="AB636" i="7" s="1"/>
  <c r="AC636" i="7" s="1"/>
  <c r="AD636" i="7" s="1"/>
  <c r="AA637" i="7"/>
  <c r="AB637" i="7" s="1"/>
  <c r="AC637" i="7" s="1"/>
  <c r="AD637" i="7" s="1"/>
  <c r="AA638" i="7"/>
  <c r="AB638" i="7" s="1"/>
  <c r="AC638" i="7" s="1"/>
  <c r="AD638" i="7" s="1"/>
  <c r="AA639" i="7"/>
  <c r="AB639" i="7" s="1"/>
  <c r="AC639" i="7" s="1"/>
  <c r="AD639" i="7" s="1"/>
  <c r="AA640" i="7"/>
  <c r="AB640" i="7" s="1"/>
  <c r="AC640" i="7" s="1"/>
  <c r="AD640" i="7" s="1"/>
  <c r="AA641" i="7"/>
  <c r="AB641" i="7" s="1"/>
  <c r="AC641" i="7" s="1"/>
  <c r="AD641" i="7" s="1"/>
  <c r="AA642" i="7"/>
  <c r="AB642" i="7" s="1"/>
  <c r="AC642" i="7" s="1"/>
  <c r="AD642" i="7" s="1"/>
  <c r="AA643" i="7"/>
  <c r="AB643" i="7" s="1"/>
  <c r="AC643" i="7" s="1"/>
  <c r="AD643" i="7" s="1"/>
  <c r="AA644" i="7"/>
  <c r="AB644" i="7" s="1"/>
  <c r="AC644" i="7" s="1"/>
  <c r="AD644" i="7" s="1"/>
  <c r="AA645" i="7"/>
  <c r="AB645" i="7" s="1"/>
  <c r="AC645" i="7" s="1"/>
  <c r="AD645" i="7" s="1"/>
  <c r="AA646" i="7"/>
  <c r="AB646" i="7" s="1"/>
  <c r="AC646" i="7" s="1"/>
  <c r="AD646" i="7" s="1"/>
  <c r="AA647" i="7"/>
  <c r="AB647" i="7" s="1"/>
  <c r="AC647" i="7" s="1"/>
  <c r="AD647" i="7" s="1"/>
  <c r="AA648" i="7"/>
  <c r="AB648" i="7" s="1"/>
  <c r="AC648" i="7" s="1"/>
  <c r="AD648" i="7" s="1"/>
  <c r="AA649" i="7"/>
  <c r="AB649" i="7" s="1"/>
  <c r="AC649" i="7" s="1"/>
  <c r="AD649" i="7" s="1"/>
  <c r="AA650" i="7"/>
  <c r="AB650" i="7" s="1"/>
  <c r="AC650" i="7" s="1"/>
  <c r="AD650" i="7" s="1"/>
  <c r="AA651" i="7"/>
  <c r="AB651" i="7" s="1"/>
  <c r="AC651" i="7" s="1"/>
  <c r="AD651" i="7" s="1"/>
  <c r="AA652" i="7"/>
  <c r="AB652" i="7" s="1"/>
  <c r="AC652" i="7" s="1"/>
  <c r="AD652" i="7" s="1"/>
  <c r="AA653" i="7"/>
  <c r="AB653" i="7" s="1"/>
  <c r="AC653" i="7" s="1"/>
  <c r="AD653" i="7" s="1"/>
  <c r="AA654" i="7"/>
  <c r="AB654" i="7" s="1"/>
  <c r="AC654" i="7" s="1"/>
  <c r="AD654" i="7" s="1"/>
  <c r="AA655" i="7"/>
  <c r="AB655" i="7" s="1"/>
  <c r="AC655" i="7" s="1"/>
  <c r="AD655" i="7" s="1"/>
  <c r="AA656" i="7"/>
  <c r="AB656" i="7" s="1"/>
  <c r="AC656" i="7" s="1"/>
  <c r="AD656" i="7" s="1"/>
  <c r="AA657" i="7"/>
  <c r="AB657" i="7" s="1"/>
  <c r="AC657" i="7" s="1"/>
  <c r="AD657" i="7" s="1"/>
  <c r="AA658" i="7"/>
  <c r="AB658" i="7" s="1"/>
  <c r="AC658" i="7" s="1"/>
  <c r="AD658" i="7" s="1"/>
  <c r="AA659" i="7"/>
  <c r="AB659" i="7" s="1"/>
  <c r="AC659" i="7" s="1"/>
  <c r="AD659" i="7" s="1"/>
  <c r="AA660" i="7"/>
  <c r="AB660" i="7" s="1"/>
  <c r="AC660" i="7" s="1"/>
  <c r="AD660" i="7" s="1"/>
  <c r="AA661" i="7"/>
  <c r="AB661" i="7" s="1"/>
  <c r="AC661" i="7" s="1"/>
  <c r="AD661" i="7" s="1"/>
  <c r="AA662" i="7"/>
  <c r="AB662" i="7" s="1"/>
  <c r="AC662" i="7" s="1"/>
  <c r="AD662" i="7" s="1"/>
  <c r="AA663" i="7"/>
  <c r="AB663" i="7" s="1"/>
  <c r="AC663" i="7" s="1"/>
  <c r="AD663" i="7" s="1"/>
  <c r="AA664" i="7"/>
  <c r="AB664" i="7" s="1"/>
  <c r="AC664" i="7" s="1"/>
  <c r="AD664" i="7" s="1"/>
  <c r="AA665" i="7"/>
  <c r="AB665" i="7" s="1"/>
  <c r="AC665" i="7" s="1"/>
  <c r="AD665" i="7" s="1"/>
  <c r="AA666" i="7"/>
  <c r="AB666" i="7" s="1"/>
  <c r="AC666" i="7" s="1"/>
  <c r="AD666" i="7" s="1"/>
  <c r="AA667" i="7"/>
  <c r="AB667" i="7" s="1"/>
  <c r="AC667" i="7" s="1"/>
  <c r="AD667" i="7" s="1"/>
  <c r="AA668" i="7"/>
  <c r="AB668" i="7" s="1"/>
  <c r="AC668" i="7" s="1"/>
  <c r="AD668" i="7" s="1"/>
  <c r="AA669" i="7"/>
  <c r="AB669" i="7" s="1"/>
  <c r="AC669" i="7" s="1"/>
  <c r="AD669" i="7" s="1"/>
  <c r="AA670" i="7"/>
  <c r="AB670" i="7" s="1"/>
  <c r="AC670" i="7" s="1"/>
  <c r="AD670" i="7" s="1"/>
  <c r="AA671" i="7"/>
  <c r="AB671" i="7" s="1"/>
  <c r="AC671" i="7" s="1"/>
  <c r="AD671" i="7" s="1"/>
  <c r="AA672" i="7"/>
  <c r="AB672" i="7" s="1"/>
  <c r="AC672" i="7" s="1"/>
  <c r="AD672" i="7" s="1"/>
  <c r="AA673" i="7"/>
  <c r="AB673" i="7" s="1"/>
  <c r="AC673" i="7" s="1"/>
  <c r="AD673" i="7" s="1"/>
  <c r="AA674" i="7"/>
  <c r="AB674" i="7" s="1"/>
  <c r="AC674" i="7" s="1"/>
  <c r="AD674" i="7" s="1"/>
  <c r="AA675" i="7"/>
  <c r="AB675" i="7" s="1"/>
  <c r="AC675" i="7" s="1"/>
  <c r="AD675" i="7" s="1"/>
  <c r="AA676" i="7"/>
  <c r="AB676" i="7" s="1"/>
  <c r="AC676" i="7" s="1"/>
  <c r="AD676" i="7" s="1"/>
  <c r="AA677" i="7"/>
  <c r="AB677" i="7" s="1"/>
  <c r="AC677" i="7" s="1"/>
  <c r="AD677" i="7" s="1"/>
  <c r="AA678" i="7"/>
  <c r="AB678" i="7" s="1"/>
  <c r="AC678" i="7" s="1"/>
  <c r="AD678" i="7" s="1"/>
  <c r="AA679" i="7"/>
  <c r="AB679" i="7" s="1"/>
  <c r="AC679" i="7" s="1"/>
  <c r="AD679" i="7" s="1"/>
  <c r="AA680" i="7"/>
  <c r="AB680" i="7" s="1"/>
  <c r="AC680" i="7" s="1"/>
  <c r="AD680" i="7" s="1"/>
  <c r="AA681" i="7"/>
  <c r="AB681" i="7" s="1"/>
  <c r="AC681" i="7" s="1"/>
  <c r="AD681" i="7" s="1"/>
  <c r="AA682" i="7"/>
  <c r="AB682" i="7" s="1"/>
  <c r="AC682" i="7" s="1"/>
  <c r="AD682" i="7" s="1"/>
  <c r="AA683" i="7"/>
  <c r="AB683" i="7" s="1"/>
  <c r="AC683" i="7" s="1"/>
  <c r="AD683" i="7" s="1"/>
  <c r="AA684" i="7"/>
  <c r="AB684" i="7" s="1"/>
  <c r="AC684" i="7" s="1"/>
  <c r="AD684" i="7" s="1"/>
  <c r="AA685" i="7"/>
  <c r="AB685" i="7" s="1"/>
  <c r="AC685" i="7" s="1"/>
  <c r="AD685" i="7" s="1"/>
  <c r="AA686" i="7"/>
  <c r="AB686" i="7" s="1"/>
  <c r="AC686" i="7" s="1"/>
  <c r="AD686" i="7" s="1"/>
  <c r="AA687" i="7"/>
  <c r="AB687" i="7" s="1"/>
  <c r="AC687" i="7" s="1"/>
  <c r="AD687" i="7" s="1"/>
  <c r="AA688" i="7"/>
  <c r="AB688" i="7" s="1"/>
  <c r="AC688" i="7" s="1"/>
  <c r="AD688" i="7" s="1"/>
  <c r="AA689" i="7"/>
  <c r="AB689" i="7" s="1"/>
  <c r="AC689" i="7" s="1"/>
  <c r="AD689" i="7" s="1"/>
  <c r="AA690" i="7"/>
  <c r="AB690" i="7" s="1"/>
  <c r="AC690" i="7" s="1"/>
  <c r="AD690" i="7" s="1"/>
  <c r="AA691" i="7"/>
  <c r="AB691" i="7" s="1"/>
  <c r="AC691" i="7" s="1"/>
  <c r="AD691" i="7" s="1"/>
  <c r="AA692" i="7"/>
  <c r="AB692" i="7" s="1"/>
  <c r="AC692" i="7" s="1"/>
  <c r="AD692" i="7" s="1"/>
  <c r="AA693" i="7"/>
  <c r="AB693" i="7" s="1"/>
  <c r="AC693" i="7" s="1"/>
  <c r="AD693" i="7" s="1"/>
  <c r="AA694" i="7"/>
  <c r="AB694" i="7" s="1"/>
  <c r="AC694" i="7" s="1"/>
  <c r="AD694" i="7" s="1"/>
  <c r="AA695" i="7"/>
  <c r="AB695" i="7" s="1"/>
  <c r="AC695" i="7" s="1"/>
  <c r="AD695" i="7" s="1"/>
  <c r="AA696" i="7"/>
  <c r="AB696" i="7" s="1"/>
  <c r="AC696" i="7" s="1"/>
  <c r="AD696" i="7" s="1"/>
  <c r="AA697" i="7"/>
  <c r="AB697" i="7" s="1"/>
  <c r="AC697" i="7" s="1"/>
  <c r="AD697" i="7" s="1"/>
  <c r="AA698" i="7"/>
  <c r="AB698" i="7" s="1"/>
  <c r="AC698" i="7" s="1"/>
  <c r="AD698" i="7" s="1"/>
  <c r="AA699" i="7"/>
  <c r="AB699" i="7" s="1"/>
  <c r="AC699" i="7" s="1"/>
  <c r="AD699" i="7" s="1"/>
  <c r="AA700" i="7"/>
  <c r="AB700" i="7" s="1"/>
  <c r="AC700" i="7" s="1"/>
  <c r="AD700" i="7" s="1"/>
  <c r="AA701" i="7"/>
  <c r="AB701" i="7" s="1"/>
  <c r="AC701" i="7" s="1"/>
  <c r="AD701" i="7" s="1"/>
  <c r="AA702" i="7"/>
  <c r="AB702" i="7" s="1"/>
  <c r="AC702" i="7" s="1"/>
  <c r="AD702" i="7" s="1"/>
  <c r="AA703" i="7"/>
  <c r="AB703" i="7" s="1"/>
  <c r="AC703" i="7" s="1"/>
  <c r="AD703" i="7" s="1"/>
  <c r="AA704" i="7"/>
  <c r="AB704" i="7" s="1"/>
  <c r="AC704" i="7" s="1"/>
  <c r="AD704" i="7" s="1"/>
  <c r="AA705" i="7"/>
  <c r="AB705" i="7" s="1"/>
  <c r="AC705" i="7" s="1"/>
  <c r="AD705" i="7" s="1"/>
  <c r="AA706" i="7"/>
  <c r="AB706" i="7" s="1"/>
  <c r="AC706" i="7" s="1"/>
  <c r="AD706" i="7" s="1"/>
  <c r="AA707" i="7"/>
  <c r="AB707" i="7" s="1"/>
  <c r="AC707" i="7" s="1"/>
  <c r="AD707" i="7" s="1"/>
  <c r="AA708" i="7"/>
  <c r="AB708" i="7" s="1"/>
  <c r="AC708" i="7" s="1"/>
  <c r="AD708" i="7" s="1"/>
  <c r="AA709" i="7"/>
  <c r="AB709" i="7" s="1"/>
  <c r="AC709" i="7" s="1"/>
  <c r="AD709" i="7" s="1"/>
  <c r="AA710" i="7"/>
  <c r="AB710" i="7" s="1"/>
  <c r="AC710" i="7" s="1"/>
  <c r="AD710" i="7" s="1"/>
  <c r="AA711" i="7"/>
  <c r="AB711" i="7" s="1"/>
  <c r="AC711" i="7" s="1"/>
  <c r="AD711" i="7" s="1"/>
  <c r="AA712" i="7"/>
  <c r="AB712" i="7" s="1"/>
  <c r="AC712" i="7" s="1"/>
  <c r="AD712" i="7" s="1"/>
  <c r="AA713" i="7"/>
  <c r="AB713" i="7" s="1"/>
  <c r="AC713" i="7" s="1"/>
  <c r="AD713" i="7" s="1"/>
  <c r="AA714" i="7"/>
  <c r="AB714" i="7" s="1"/>
  <c r="AC714" i="7" s="1"/>
  <c r="AD714" i="7" s="1"/>
  <c r="AA715" i="7"/>
  <c r="AB715" i="7" s="1"/>
  <c r="AC715" i="7" s="1"/>
  <c r="AD715" i="7" s="1"/>
  <c r="AA716" i="7"/>
  <c r="AB716" i="7" s="1"/>
  <c r="AC716" i="7" s="1"/>
  <c r="AD716" i="7" s="1"/>
  <c r="AA717" i="7"/>
  <c r="AB717" i="7" s="1"/>
  <c r="AC717" i="7" s="1"/>
  <c r="AD717" i="7" s="1"/>
  <c r="AA718" i="7"/>
  <c r="AB718" i="7" s="1"/>
  <c r="AC718" i="7" s="1"/>
  <c r="AD718" i="7" s="1"/>
  <c r="AA719" i="7"/>
  <c r="AB719" i="7" s="1"/>
  <c r="AC719" i="7" s="1"/>
  <c r="AD719" i="7" s="1"/>
  <c r="AA720" i="7"/>
  <c r="AB720" i="7" s="1"/>
  <c r="AC720" i="7" s="1"/>
  <c r="AD720" i="7" s="1"/>
  <c r="AA721" i="7"/>
  <c r="AB721" i="7" s="1"/>
  <c r="AC721" i="7" s="1"/>
  <c r="AD721" i="7" s="1"/>
  <c r="AA722" i="7"/>
  <c r="AB722" i="7" s="1"/>
  <c r="AC722" i="7" s="1"/>
  <c r="AD722" i="7" s="1"/>
  <c r="AA723" i="7"/>
  <c r="AB723" i="7" s="1"/>
  <c r="AC723" i="7" s="1"/>
  <c r="AD723" i="7" s="1"/>
  <c r="AA724" i="7"/>
  <c r="AB724" i="7" s="1"/>
  <c r="AC724" i="7" s="1"/>
  <c r="AD724" i="7" s="1"/>
  <c r="AA725" i="7"/>
  <c r="AB725" i="7" s="1"/>
  <c r="AC725" i="7" s="1"/>
  <c r="AD725" i="7" s="1"/>
  <c r="AA726" i="7"/>
  <c r="AB726" i="7" s="1"/>
  <c r="AC726" i="7" s="1"/>
  <c r="AD726" i="7" s="1"/>
  <c r="AA727" i="7"/>
  <c r="AB727" i="7" s="1"/>
  <c r="AC727" i="7" s="1"/>
  <c r="AD727" i="7" s="1"/>
  <c r="AA728" i="7"/>
  <c r="AB728" i="7" s="1"/>
  <c r="AC728" i="7" s="1"/>
  <c r="AD728" i="7" s="1"/>
  <c r="AA729" i="7"/>
  <c r="AB729" i="7" s="1"/>
  <c r="AC729" i="7" s="1"/>
  <c r="AD729" i="7" s="1"/>
  <c r="AA730" i="7"/>
  <c r="AB730" i="7" s="1"/>
  <c r="AC730" i="7" s="1"/>
  <c r="AD730" i="7" s="1"/>
  <c r="AA731" i="7"/>
  <c r="AB731" i="7" s="1"/>
  <c r="AC731" i="7" s="1"/>
  <c r="AD731" i="7" s="1"/>
  <c r="AA732" i="7"/>
  <c r="AB732" i="7" s="1"/>
  <c r="AC732" i="7" s="1"/>
  <c r="AD732" i="7" s="1"/>
  <c r="AA733" i="7"/>
  <c r="AB733" i="7" s="1"/>
  <c r="AC733" i="7" s="1"/>
  <c r="AD733" i="7" s="1"/>
  <c r="AA734" i="7"/>
  <c r="AB734" i="7" s="1"/>
  <c r="AC734" i="7" s="1"/>
  <c r="AD734" i="7" s="1"/>
  <c r="AA735" i="7"/>
  <c r="AB735" i="7" s="1"/>
  <c r="AC735" i="7" s="1"/>
  <c r="AD735" i="7" s="1"/>
  <c r="AA736" i="7"/>
  <c r="AB736" i="7" s="1"/>
  <c r="AC736" i="7" s="1"/>
  <c r="AD736" i="7" s="1"/>
  <c r="AA737" i="7"/>
  <c r="AB737" i="7" s="1"/>
  <c r="AC737" i="7" s="1"/>
  <c r="AD737" i="7" s="1"/>
  <c r="AA738" i="7"/>
  <c r="AB738" i="7" s="1"/>
  <c r="AC738" i="7" s="1"/>
  <c r="AD738" i="7" s="1"/>
  <c r="AA739" i="7"/>
  <c r="AB739" i="7" s="1"/>
  <c r="AC739" i="7" s="1"/>
  <c r="AD739" i="7" s="1"/>
  <c r="AA740" i="7"/>
  <c r="AB740" i="7" s="1"/>
  <c r="AC740" i="7" s="1"/>
  <c r="AD740" i="7" s="1"/>
  <c r="AA741" i="7"/>
  <c r="AB741" i="7" s="1"/>
  <c r="AC741" i="7" s="1"/>
  <c r="AD741" i="7" s="1"/>
  <c r="AA742" i="7"/>
  <c r="AB742" i="7" s="1"/>
  <c r="AC742" i="7" s="1"/>
  <c r="AD742" i="7" s="1"/>
  <c r="AA743" i="7"/>
  <c r="AB743" i="7" s="1"/>
  <c r="AC743" i="7" s="1"/>
  <c r="AD743" i="7" s="1"/>
  <c r="AA744" i="7"/>
  <c r="AB744" i="7" s="1"/>
  <c r="AC744" i="7" s="1"/>
  <c r="AD744" i="7" s="1"/>
  <c r="AA745" i="7"/>
  <c r="AB745" i="7" s="1"/>
  <c r="AC745" i="7" s="1"/>
  <c r="AD745" i="7" s="1"/>
  <c r="AA746" i="7"/>
  <c r="AB746" i="7" s="1"/>
  <c r="AC746" i="7" s="1"/>
  <c r="AD746" i="7" s="1"/>
  <c r="AA747" i="7"/>
  <c r="AB747" i="7" s="1"/>
  <c r="AC747" i="7" s="1"/>
  <c r="AD747" i="7" s="1"/>
  <c r="AA748" i="7"/>
  <c r="AB748" i="7" s="1"/>
  <c r="AC748" i="7" s="1"/>
  <c r="AD748" i="7" s="1"/>
  <c r="AA749" i="7"/>
  <c r="AB749" i="7" s="1"/>
  <c r="AC749" i="7" s="1"/>
  <c r="AD749" i="7" s="1"/>
  <c r="AA750" i="7"/>
  <c r="AB750" i="7" s="1"/>
  <c r="AC750" i="7" s="1"/>
  <c r="AD750" i="7" s="1"/>
  <c r="AA751" i="7"/>
  <c r="AB751" i="7" s="1"/>
  <c r="AC751" i="7" s="1"/>
  <c r="AD751" i="7" s="1"/>
  <c r="AA752" i="7"/>
  <c r="AB752" i="7" s="1"/>
  <c r="AC752" i="7" s="1"/>
  <c r="AD752" i="7" s="1"/>
  <c r="AA753" i="7"/>
  <c r="AB753" i="7" s="1"/>
  <c r="AC753" i="7" s="1"/>
  <c r="AD753" i="7" s="1"/>
  <c r="AA754" i="7"/>
  <c r="AB754" i="7" s="1"/>
  <c r="AC754" i="7" s="1"/>
  <c r="AD754" i="7" s="1"/>
  <c r="AA755" i="7"/>
  <c r="AB755" i="7" s="1"/>
  <c r="AC755" i="7" s="1"/>
  <c r="AD755" i="7" s="1"/>
  <c r="AA756" i="7"/>
  <c r="AB756" i="7" s="1"/>
  <c r="AC756" i="7" s="1"/>
  <c r="AD756" i="7" s="1"/>
  <c r="AA757" i="7"/>
  <c r="AB757" i="7" s="1"/>
  <c r="AC757" i="7" s="1"/>
  <c r="AD757" i="7" s="1"/>
  <c r="AA758" i="7"/>
  <c r="AB758" i="7" s="1"/>
  <c r="AC758" i="7" s="1"/>
  <c r="AD758" i="7" s="1"/>
  <c r="AA759" i="7"/>
  <c r="AB759" i="7" s="1"/>
  <c r="AC759" i="7" s="1"/>
  <c r="AD759" i="7" s="1"/>
  <c r="AA760" i="7"/>
  <c r="AB760" i="7" s="1"/>
  <c r="AC760" i="7" s="1"/>
  <c r="AD760" i="7" s="1"/>
  <c r="AA761" i="7"/>
  <c r="AB761" i="7" s="1"/>
  <c r="AC761" i="7" s="1"/>
  <c r="AD761" i="7" s="1"/>
  <c r="AA762" i="7"/>
  <c r="AB762" i="7" s="1"/>
  <c r="AC762" i="7" s="1"/>
  <c r="AD762" i="7" s="1"/>
  <c r="AA763" i="7"/>
  <c r="AB763" i="7" s="1"/>
  <c r="AC763" i="7" s="1"/>
  <c r="AD763" i="7" s="1"/>
  <c r="AA764" i="7"/>
  <c r="AB764" i="7" s="1"/>
  <c r="AC764" i="7" s="1"/>
  <c r="AD764" i="7" s="1"/>
  <c r="AA765" i="7"/>
  <c r="AB765" i="7" s="1"/>
  <c r="AC765" i="7" s="1"/>
  <c r="AD765" i="7" s="1"/>
  <c r="AA766" i="7"/>
  <c r="AB766" i="7" s="1"/>
  <c r="AC766" i="7" s="1"/>
  <c r="AD766" i="7" s="1"/>
  <c r="AA767" i="7"/>
  <c r="AB767" i="7" s="1"/>
  <c r="AC767" i="7" s="1"/>
  <c r="AD767" i="7" s="1"/>
  <c r="AA768" i="7"/>
  <c r="AB768" i="7" s="1"/>
  <c r="AC768" i="7" s="1"/>
  <c r="AD768" i="7" s="1"/>
  <c r="AA769" i="7"/>
  <c r="AB769" i="7" s="1"/>
  <c r="AC769" i="7" s="1"/>
  <c r="AD769" i="7" s="1"/>
  <c r="AA770" i="7"/>
  <c r="AB770" i="7" s="1"/>
  <c r="AC770" i="7" s="1"/>
  <c r="AD770" i="7" s="1"/>
  <c r="AA771" i="7"/>
  <c r="AB771" i="7" s="1"/>
  <c r="AC771" i="7" s="1"/>
  <c r="AD771" i="7" s="1"/>
  <c r="AA772" i="7"/>
  <c r="AB772" i="7" s="1"/>
  <c r="AC772" i="7" s="1"/>
  <c r="AD772" i="7" s="1"/>
  <c r="AA773" i="7"/>
  <c r="AB773" i="7" s="1"/>
  <c r="AC773" i="7" s="1"/>
  <c r="AD773" i="7" s="1"/>
  <c r="AA774" i="7"/>
  <c r="AB774" i="7" s="1"/>
  <c r="AC774" i="7" s="1"/>
  <c r="AD774" i="7" s="1"/>
  <c r="AA775" i="7"/>
  <c r="AB775" i="7" s="1"/>
  <c r="AC775" i="7" s="1"/>
  <c r="AD775" i="7" s="1"/>
  <c r="AA776" i="7"/>
  <c r="AB776" i="7" s="1"/>
  <c r="AC776" i="7" s="1"/>
  <c r="AD776" i="7" s="1"/>
  <c r="AA777" i="7"/>
  <c r="AB777" i="7" s="1"/>
  <c r="AC777" i="7" s="1"/>
  <c r="AD777" i="7" s="1"/>
  <c r="AA778" i="7"/>
  <c r="AB778" i="7" s="1"/>
  <c r="AC778" i="7" s="1"/>
  <c r="AD778" i="7" s="1"/>
  <c r="AA779" i="7"/>
  <c r="AB779" i="7" s="1"/>
  <c r="AC779" i="7" s="1"/>
  <c r="AD779" i="7" s="1"/>
  <c r="AA780" i="7"/>
  <c r="AB780" i="7" s="1"/>
  <c r="AC780" i="7" s="1"/>
  <c r="AD780" i="7" s="1"/>
  <c r="AA781" i="7"/>
  <c r="AB781" i="7" s="1"/>
  <c r="AC781" i="7" s="1"/>
  <c r="AD781" i="7" s="1"/>
  <c r="AA782" i="7"/>
  <c r="AB782" i="7" s="1"/>
  <c r="AC782" i="7" s="1"/>
  <c r="AD782" i="7" s="1"/>
  <c r="AA783" i="7"/>
  <c r="AB783" i="7" s="1"/>
  <c r="AC783" i="7" s="1"/>
  <c r="AD783" i="7" s="1"/>
  <c r="AA784" i="7"/>
  <c r="AB784" i="7" s="1"/>
  <c r="AC784" i="7" s="1"/>
  <c r="AD784" i="7" s="1"/>
  <c r="AA785" i="7"/>
  <c r="AB785" i="7" s="1"/>
  <c r="AC785" i="7" s="1"/>
  <c r="AD785" i="7" s="1"/>
  <c r="AA786" i="7"/>
  <c r="AB786" i="7" s="1"/>
  <c r="AC786" i="7" s="1"/>
  <c r="AD786" i="7" s="1"/>
  <c r="AA787" i="7"/>
  <c r="AB787" i="7" s="1"/>
  <c r="AC787" i="7" s="1"/>
  <c r="AD787" i="7" s="1"/>
  <c r="AA788" i="7"/>
  <c r="AB788" i="7" s="1"/>
  <c r="AC788" i="7" s="1"/>
  <c r="AD788" i="7" s="1"/>
  <c r="AA789" i="7"/>
  <c r="AB789" i="7" s="1"/>
  <c r="AC789" i="7" s="1"/>
  <c r="AD789" i="7" s="1"/>
  <c r="AA790" i="7"/>
  <c r="AB790" i="7" s="1"/>
  <c r="AC790" i="7" s="1"/>
  <c r="AD790" i="7" s="1"/>
  <c r="AA791" i="7"/>
  <c r="AB791" i="7" s="1"/>
  <c r="AC791" i="7" s="1"/>
  <c r="AD791" i="7" s="1"/>
  <c r="AA792" i="7"/>
  <c r="AB792" i="7" s="1"/>
  <c r="AC792" i="7" s="1"/>
  <c r="AD792" i="7" s="1"/>
  <c r="AA793" i="7"/>
  <c r="AB793" i="7" s="1"/>
  <c r="AC793" i="7" s="1"/>
  <c r="AD793" i="7" s="1"/>
  <c r="AA794" i="7"/>
  <c r="AB794" i="7" s="1"/>
  <c r="AC794" i="7" s="1"/>
  <c r="AD794" i="7" s="1"/>
  <c r="AA795" i="7"/>
  <c r="AB795" i="7" s="1"/>
  <c r="AC795" i="7" s="1"/>
  <c r="AD795" i="7" s="1"/>
  <c r="AA796" i="7"/>
  <c r="AB796" i="7" s="1"/>
  <c r="AC796" i="7" s="1"/>
  <c r="AD796" i="7" s="1"/>
  <c r="AA797" i="7"/>
  <c r="AB797" i="7" s="1"/>
  <c r="AC797" i="7" s="1"/>
  <c r="AD797" i="7" s="1"/>
  <c r="AA798" i="7"/>
  <c r="AB798" i="7" s="1"/>
  <c r="AC798" i="7" s="1"/>
  <c r="AD798" i="7" s="1"/>
  <c r="AA799" i="7"/>
  <c r="AB799" i="7" s="1"/>
  <c r="AC799" i="7" s="1"/>
  <c r="AD799" i="7" s="1"/>
  <c r="AA800" i="7"/>
  <c r="AB800" i="7" s="1"/>
  <c r="AC800" i="7" s="1"/>
  <c r="AD800" i="7" s="1"/>
  <c r="AA801" i="7"/>
  <c r="AB801" i="7" s="1"/>
  <c r="AC801" i="7" s="1"/>
  <c r="AD801" i="7" s="1"/>
  <c r="AA802" i="7"/>
  <c r="AB802" i="7" s="1"/>
  <c r="AC802" i="7" s="1"/>
  <c r="AD802" i="7" s="1"/>
  <c r="AA803" i="7"/>
  <c r="AB803" i="7" s="1"/>
  <c r="AC803" i="7" s="1"/>
  <c r="AD803" i="7" s="1"/>
  <c r="AA804" i="7"/>
  <c r="AB804" i="7" s="1"/>
  <c r="AC804" i="7" s="1"/>
  <c r="AD804" i="7" s="1"/>
  <c r="AA805" i="7"/>
  <c r="AB805" i="7" s="1"/>
  <c r="AC805" i="7" s="1"/>
  <c r="AD805" i="7" s="1"/>
  <c r="AA806" i="7"/>
  <c r="AB806" i="7" s="1"/>
  <c r="AC806" i="7" s="1"/>
  <c r="AD806" i="7" s="1"/>
  <c r="AA807" i="7"/>
  <c r="AB807" i="7" s="1"/>
  <c r="AC807" i="7" s="1"/>
  <c r="AD807" i="7" s="1"/>
  <c r="AA808" i="7"/>
  <c r="AB808" i="7" s="1"/>
  <c r="AC808" i="7" s="1"/>
  <c r="AD808" i="7" s="1"/>
  <c r="AA809" i="7"/>
  <c r="AB809" i="7" s="1"/>
  <c r="AC809" i="7" s="1"/>
  <c r="AD809" i="7" s="1"/>
  <c r="AA810" i="7"/>
  <c r="AB810" i="7" s="1"/>
  <c r="AC810" i="7" s="1"/>
  <c r="AD810" i="7" s="1"/>
  <c r="AA811" i="7"/>
  <c r="AB811" i="7" s="1"/>
  <c r="AC811" i="7" s="1"/>
  <c r="AD811" i="7" s="1"/>
  <c r="AA812" i="7"/>
  <c r="AB812" i="7" s="1"/>
  <c r="AC812" i="7" s="1"/>
  <c r="AD812" i="7" s="1"/>
  <c r="AA813" i="7"/>
  <c r="AB813" i="7" s="1"/>
  <c r="AC813" i="7" s="1"/>
  <c r="AD813" i="7" s="1"/>
  <c r="AA814" i="7"/>
  <c r="AB814" i="7" s="1"/>
  <c r="AC814" i="7" s="1"/>
  <c r="AD814" i="7" s="1"/>
  <c r="AA815" i="7"/>
  <c r="AB815" i="7" s="1"/>
  <c r="AC815" i="7" s="1"/>
  <c r="AD815" i="7" s="1"/>
  <c r="AA816" i="7"/>
  <c r="AB816" i="7" s="1"/>
  <c r="AC816" i="7" s="1"/>
  <c r="AD816" i="7" s="1"/>
  <c r="AA817" i="7"/>
  <c r="AB817" i="7" s="1"/>
  <c r="AC817" i="7" s="1"/>
  <c r="AD817" i="7" s="1"/>
  <c r="AA818" i="7"/>
  <c r="AB818" i="7" s="1"/>
  <c r="AC818" i="7" s="1"/>
  <c r="AD818" i="7" s="1"/>
  <c r="AA819" i="7"/>
  <c r="AB819" i="7" s="1"/>
  <c r="AC819" i="7" s="1"/>
  <c r="AD819" i="7" s="1"/>
  <c r="AA820" i="7"/>
  <c r="AB820" i="7" s="1"/>
  <c r="AC820" i="7" s="1"/>
  <c r="AD820" i="7" s="1"/>
  <c r="AA821" i="7"/>
  <c r="AB821" i="7" s="1"/>
  <c r="AC821" i="7" s="1"/>
  <c r="AD821" i="7" s="1"/>
  <c r="AA822" i="7"/>
  <c r="AB822" i="7" s="1"/>
  <c r="AC822" i="7" s="1"/>
  <c r="AD822" i="7" s="1"/>
  <c r="AA823" i="7"/>
  <c r="AB823" i="7" s="1"/>
  <c r="AC823" i="7" s="1"/>
  <c r="AD823" i="7" s="1"/>
  <c r="AA824" i="7"/>
  <c r="AB824" i="7" s="1"/>
  <c r="AC824" i="7" s="1"/>
  <c r="AD824" i="7" s="1"/>
  <c r="AA825" i="7"/>
  <c r="AB825" i="7" s="1"/>
  <c r="AC825" i="7" s="1"/>
  <c r="AD825" i="7" s="1"/>
  <c r="AA826" i="7"/>
  <c r="AB826" i="7" s="1"/>
  <c r="AC826" i="7" s="1"/>
  <c r="AD826" i="7" s="1"/>
  <c r="AA827" i="7"/>
  <c r="AB827" i="7" s="1"/>
  <c r="AC827" i="7" s="1"/>
  <c r="AD827" i="7" s="1"/>
  <c r="AA828" i="7"/>
  <c r="AB828" i="7" s="1"/>
  <c r="AC828" i="7" s="1"/>
  <c r="AD828" i="7" s="1"/>
  <c r="AA829" i="7"/>
  <c r="AB829" i="7" s="1"/>
  <c r="AC829" i="7" s="1"/>
  <c r="AD829" i="7" s="1"/>
  <c r="AA830" i="7"/>
  <c r="AB830" i="7" s="1"/>
  <c r="AC830" i="7" s="1"/>
  <c r="AD830" i="7" s="1"/>
  <c r="AA831" i="7"/>
  <c r="AB831" i="7" s="1"/>
  <c r="AC831" i="7" s="1"/>
  <c r="AD831" i="7" s="1"/>
  <c r="AA832" i="7"/>
  <c r="AB832" i="7" s="1"/>
  <c r="AC832" i="7" s="1"/>
  <c r="AD832" i="7" s="1"/>
  <c r="AA833" i="7"/>
  <c r="AB833" i="7" s="1"/>
  <c r="AC833" i="7" s="1"/>
  <c r="AD833" i="7" s="1"/>
  <c r="AA834" i="7"/>
  <c r="AB834" i="7" s="1"/>
  <c r="AC834" i="7" s="1"/>
  <c r="AD834" i="7" s="1"/>
  <c r="AA835" i="7"/>
  <c r="AB835" i="7" s="1"/>
  <c r="AC835" i="7" s="1"/>
  <c r="AD835" i="7" s="1"/>
  <c r="AA836" i="7"/>
  <c r="AB836" i="7" s="1"/>
  <c r="AC836" i="7" s="1"/>
  <c r="AD836" i="7" s="1"/>
  <c r="AA837" i="7"/>
  <c r="AB837" i="7" s="1"/>
  <c r="AC837" i="7" s="1"/>
  <c r="AD837" i="7" s="1"/>
  <c r="AA838" i="7"/>
  <c r="AB838" i="7" s="1"/>
  <c r="AC838" i="7" s="1"/>
  <c r="AD838" i="7" s="1"/>
  <c r="AA839" i="7"/>
  <c r="AB839" i="7" s="1"/>
  <c r="AC839" i="7" s="1"/>
  <c r="AD839" i="7" s="1"/>
  <c r="AA840" i="7"/>
  <c r="AB840" i="7" s="1"/>
  <c r="AC840" i="7" s="1"/>
  <c r="AD840" i="7" s="1"/>
  <c r="AA841" i="7"/>
  <c r="AB841" i="7" s="1"/>
  <c r="AC841" i="7" s="1"/>
  <c r="AD841" i="7" s="1"/>
  <c r="AA842" i="7"/>
  <c r="AB842" i="7" s="1"/>
  <c r="AC842" i="7" s="1"/>
  <c r="AD842" i="7" s="1"/>
  <c r="AA843" i="7"/>
  <c r="AB843" i="7" s="1"/>
  <c r="AC843" i="7" s="1"/>
  <c r="AD843" i="7" s="1"/>
  <c r="AA844" i="7"/>
  <c r="AB844" i="7" s="1"/>
  <c r="AC844" i="7" s="1"/>
  <c r="AD844" i="7" s="1"/>
  <c r="AA845" i="7"/>
  <c r="AB845" i="7" s="1"/>
  <c r="AC845" i="7" s="1"/>
  <c r="AD845" i="7" s="1"/>
  <c r="AA846" i="7"/>
  <c r="AB846" i="7" s="1"/>
  <c r="AC846" i="7" s="1"/>
  <c r="AD846" i="7" s="1"/>
  <c r="AA847" i="7"/>
  <c r="AB847" i="7" s="1"/>
  <c r="AC847" i="7" s="1"/>
  <c r="AD847" i="7" s="1"/>
  <c r="AA848" i="7"/>
  <c r="AB848" i="7" s="1"/>
  <c r="AC848" i="7" s="1"/>
  <c r="AD848" i="7" s="1"/>
  <c r="AA849" i="7"/>
  <c r="AB849" i="7" s="1"/>
  <c r="AC849" i="7" s="1"/>
  <c r="AD849" i="7" s="1"/>
  <c r="AA850" i="7"/>
  <c r="AB850" i="7" s="1"/>
  <c r="AC850" i="7" s="1"/>
  <c r="AD850" i="7" s="1"/>
  <c r="AA851" i="7"/>
  <c r="AB851" i="7" s="1"/>
  <c r="AC851" i="7" s="1"/>
  <c r="AD851" i="7" s="1"/>
  <c r="AA852" i="7"/>
  <c r="AB852" i="7" s="1"/>
  <c r="AC852" i="7" s="1"/>
  <c r="AD852" i="7" s="1"/>
  <c r="AA853" i="7"/>
  <c r="AB853" i="7" s="1"/>
  <c r="AC853" i="7" s="1"/>
  <c r="AD853" i="7" s="1"/>
  <c r="AA854" i="7"/>
  <c r="AB854" i="7" s="1"/>
  <c r="AC854" i="7" s="1"/>
  <c r="AD854" i="7" s="1"/>
  <c r="AA855" i="7"/>
  <c r="AB855" i="7" s="1"/>
  <c r="AC855" i="7" s="1"/>
  <c r="AD855" i="7" s="1"/>
  <c r="AA856" i="7"/>
  <c r="AB856" i="7" s="1"/>
  <c r="AC856" i="7" s="1"/>
  <c r="AD856" i="7" s="1"/>
  <c r="AA857" i="7"/>
  <c r="AB857" i="7" s="1"/>
  <c r="AC857" i="7" s="1"/>
  <c r="AD857" i="7" s="1"/>
  <c r="AA858" i="7"/>
  <c r="AB858" i="7" s="1"/>
  <c r="AC858" i="7" s="1"/>
  <c r="AD858" i="7" s="1"/>
  <c r="AA859" i="7"/>
  <c r="AB859" i="7" s="1"/>
  <c r="AC859" i="7" s="1"/>
  <c r="AD859" i="7" s="1"/>
  <c r="AA860" i="7"/>
  <c r="AB860" i="7" s="1"/>
  <c r="AC860" i="7" s="1"/>
  <c r="AD860" i="7" s="1"/>
  <c r="AA861" i="7"/>
  <c r="AB861" i="7" s="1"/>
  <c r="AC861" i="7" s="1"/>
  <c r="AD861" i="7" s="1"/>
  <c r="AA862" i="7"/>
  <c r="AB862" i="7" s="1"/>
  <c r="AC862" i="7" s="1"/>
  <c r="AD862" i="7" s="1"/>
  <c r="AA863" i="7"/>
  <c r="AB863" i="7" s="1"/>
  <c r="AC863" i="7" s="1"/>
  <c r="AD863" i="7" s="1"/>
  <c r="AA864" i="7"/>
  <c r="AB864" i="7" s="1"/>
  <c r="AC864" i="7" s="1"/>
  <c r="AD864" i="7" s="1"/>
  <c r="AA865" i="7"/>
  <c r="AB865" i="7" s="1"/>
  <c r="AC865" i="7" s="1"/>
  <c r="AD865" i="7" s="1"/>
  <c r="AA866" i="7"/>
  <c r="AB866" i="7" s="1"/>
  <c r="AC866" i="7" s="1"/>
  <c r="AD866" i="7" s="1"/>
  <c r="AA867" i="7"/>
  <c r="AB867" i="7" s="1"/>
  <c r="AC867" i="7" s="1"/>
  <c r="AD867" i="7" s="1"/>
  <c r="AA868" i="7"/>
  <c r="AB868" i="7" s="1"/>
  <c r="AC868" i="7" s="1"/>
  <c r="AD868" i="7" s="1"/>
  <c r="AA869" i="7"/>
  <c r="AB869" i="7" s="1"/>
  <c r="AC869" i="7" s="1"/>
  <c r="AD869" i="7" s="1"/>
  <c r="AA870" i="7"/>
  <c r="AB870" i="7" s="1"/>
  <c r="AC870" i="7" s="1"/>
  <c r="AD870" i="7" s="1"/>
  <c r="AA871" i="7"/>
  <c r="AB871" i="7" s="1"/>
  <c r="AC871" i="7" s="1"/>
  <c r="AD871" i="7" s="1"/>
  <c r="AA872" i="7"/>
  <c r="AB872" i="7" s="1"/>
  <c r="AC872" i="7" s="1"/>
  <c r="AD872" i="7" s="1"/>
  <c r="AA873" i="7"/>
  <c r="AB873" i="7" s="1"/>
  <c r="AC873" i="7" s="1"/>
  <c r="AD873" i="7" s="1"/>
  <c r="AA874" i="7"/>
  <c r="AB874" i="7" s="1"/>
  <c r="AC874" i="7" s="1"/>
  <c r="AD874" i="7" s="1"/>
  <c r="AA875" i="7"/>
  <c r="AB875" i="7" s="1"/>
  <c r="AC875" i="7" s="1"/>
  <c r="AD875" i="7" s="1"/>
  <c r="AA876" i="7"/>
  <c r="AB876" i="7" s="1"/>
  <c r="AC876" i="7" s="1"/>
  <c r="AD876" i="7" s="1"/>
  <c r="AA877" i="7"/>
  <c r="AB877" i="7" s="1"/>
  <c r="AC877" i="7" s="1"/>
  <c r="AD877" i="7" s="1"/>
  <c r="AA878" i="7"/>
  <c r="AB878" i="7" s="1"/>
  <c r="AC878" i="7" s="1"/>
  <c r="AD878" i="7" s="1"/>
  <c r="AA879" i="7"/>
  <c r="AB879" i="7" s="1"/>
  <c r="AC879" i="7" s="1"/>
  <c r="AD879" i="7" s="1"/>
  <c r="AA880" i="7"/>
  <c r="AB880" i="7" s="1"/>
  <c r="AC880" i="7" s="1"/>
  <c r="AD880" i="7" s="1"/>
  <c r="AA881" i="7"/>
  <c r="AB881" i="7" s="1"/>
  <c r="AC881" i="7" s="1"/>
  <c r="AD881" i="7" s="1"/>
  <c r="AA882" i="7"/>
  <c r="AB882" i="7" s="1"/>
  <c r="AC882" i="7" s="1"/>
  <c r="AD882" i="7" s="1"/>
  <c r="AA883" i="7"/>
  <c r="AB883" i="7" s="1"/>
  <c r="AC883" i="7" s="1"/>
  <c r="AD883" i="7" s="1"/>
  <c r="AA884" i="7"/>
  <c r="AB884" i="7" s="1"/>
  <c r="AC884" i="7" s="1"/>
  <c r="AD884" i="7" s="1"/>
  <c r="AA885" i="7"/>
  <c r="AB885" i="7" s="1"/>
  <c r="AC885" i="7" s="1"/>
  <c r="AD885" i="7" s="1"/>
  <c r="AA886" i="7"/>
  <c r="AB886" i="7" s="1"/>
  <c r="AC886" i="7" s="1"/>
  <c r="AD886" i="7" s="1"/>
  <c r="AA887" i="7"/>
  <c r="AB887" i="7" s="1"/>
  <c r="AC887" i="7" s="1"/>
  <c r="AD887" i="7" s="1"/>
  <c r="AA888" i="7"/>
  <c r="AB888" i="7" s="1"/>
  <c r="AC888" i="7" s="1"/>
  <c r="AD888" i="7" s="1"/>
  <c r="AA889" i="7"/>
  <c r="AB889" i="7" s="1"/>
  <c r="AC889" i="7" s="1"/>
  <c r="AD889" i="7" s="1"/>
  <c r="AA890" i="7"/>
  <c r="AB890" i="7" s="1"/>
  <c r="AC890" i="7" s="1"/>
  <c r="AD890" i="7" s="1"/>
  <c r="AA891" i="7"/>
  <c r="AB891" i="7" s="1"/>
  <c r="AC891" i="7" s="1"/>
  <c r="AD891" i="7" s="1"/>
  <c r="AA892" i="7"/>
  <c r="AB892" i="7" s="1"/>
  <c r="AC892" i="7" s="1"/>
  <c r="AD892" i="7" s="1"/>
  <c r="AA893" i="7"/>
  <c r="AB893" i="7" s="1"/>
  <c r="AC893" i="7" s="1"/>
  <c r="AD893" i="7" s="1"/>
  <c r="AA894" i="7"/>
  <c r="AB894" i="7" s="1"/>
  <c r="AC894" i="7" s="1"/>
  <c r="AD894" i="7" s="1"/>
  <c r="AA895" i="7"/>
  <c r="AB895" i="7" s="1"/>
  <c r="AC895" i="7" s="1"/>
  <c r="AD895" i="7" s="1"/>
  <c r="AA896" i="7"/>
  <c r="AB896" i="7" s="1"/>
  <c r="AC896" i="7" s="1"/>
  <c r="AD896" i="7" s="1"/>
  <c r="AA897" i="7"/>
  <c r="AB897" i="7" s="1"/>
  <c r="AC897" i="7" s="1"/>
  <c r="AD897" i="7" s="1"/>
  <c r="AA898" i="7"/>
  <c r="AB898" i="7" s="1"/>
  <c r="AC898" i="7" s="1"/>
  <c r="AD898" i="7" s="1"/>
  <c r="AA899" i="7"/>
  <c r="AB899" i="7" s="1"/>
  <c r="AC899" i="7" s="1"/>
  <c r="AD899" i="7" s="1"/>
  <c r="AA900" i="7"/>
  <c r="AB900" i="7" s="1"/>
  <c r="AC900" i="7" s="1"/>
  <c r="AD900" i="7" s="1"/>
  <c r="AA901" i="7"/>
  <c r="AB901" i="7" s="1"/>
  <c r="AC901" i="7" s="1"/>
  <c r="AD901" i="7" s="1"/>
  <c r="AA902" i="7"/>
  <c r="AB902" i="7" s="1"/>
  <c r="AC902" i="7" s="1"/>
  <c r="AD902" i="7" s="1"/>
  <c r="AA903" i="7"/>
  <c r="AB903" i="7" s="1"/>
  <c r="AC903" i="7" s="1"/>
  <c r="AD903" i="7" s="1"/>
  <c r="AA904" i="7"/>
  <c r="AB904" i="7" s="1"/>
  <c r="AC904" i="7" s="1"/>
  <c r="AD904" i="7" s="1"/>
  <c r="AA905" i="7"/>
  <c r="AB905" i="7" s="1"/>
  <c r="AC905" i="7" s="1"/>
  <c r="AD905" i="7" s="1"/>
  <c r="AA906" i="7"/>
  <c r="AB906" i="7" s="1"/>
  <c r="AC906" i="7" s="1"/>
  <c r="AD906" i="7" s="1"/>
  <c r="AA907" i="7"/>
  <c r="AB907" i="7" s="1"/>
  <c r="AC907" i="7" s="1"/>
  <c r="AD907" i="7" s="1"/>
  <c r="AA908" i="7"/>
  <c r="AB908" i="7" s="1"/>
  <c r="AC908" i="7" s="1"/>
  <c r="AD908" i="7" s="1"/>
  <c r="AA909" i="7"/>
  <c r="AB909" i="7" s="1"/>
  <c r="AC909" i="7" s="1"/>
  <c r="AD909" i="7" s="1"/>
  <c r="AA910" i="7"/>
  <c r="AB910" i="7" s="1"/>
  <c r="AC910" i="7" s="1"/>
  <c r="AD910" i="7" s="1"/>
  <c r="AA911" i="7"/>
  <c r="AB911" i="7" s="1"/>
  <c r="AC911" i="7" s="1"/>
  <c r="AD911" i="7" s="1"/>
  <c r="AA912" i="7"/>
  <c r="AB912" i="7" s="1"/>
  <c r="AC912" i="7" s="1"/>
  <c r="AD912" i="7" s="1"/>
  <c r="AA913" i="7"/>
  <c r="AB913" i="7" s="1"/>
  <c r="AC913" i="7" s="1"/>
  <c r="AD913" i="7" s="1"/>
  <c r="AA914" i="7"/>
  <c r="AB914" i="7" s="1"/>
  <c r="AC914" i="7" s="1"/>
  <c r="AA915" i="7"/>
  <c r="AB915" i="7" s="1"/>
  <c r="AC915" i="7" s="1"/>
  <c r="AD915" i="7" s="1"/>
  <c r="AA916" i="7"/>
  <c r="AB916" i="7" s="1"/>
  <c r="AC916" i="7" s="1"/>
  <c r="AD916" i="7" s="1"/>
  <c r="AA917" i="7"/>
  <c r="AB917" i="7" s="1"/>
  <c r="AC917" i="7" s="1"/>
  <c r="AD917" i="7" s="1"/>
  <c r="AA918" i="7"/>
  <c r="AB918" i="7" s="1"/>
  <c r="AC918" i="7" s="1"/>
  <c r="AD918" i="7" s="1"/>
  <c r="AA919" i="7"/>
  <c r="AB919" i="7" s="1"/>
  <c r="AC919" i="7" s="1"/>
  <c r="AD919" i="7" s="1"/>
  <c r="AA920" i="7"/>
  <c r="AB920" i="7" s="1"/>
  <c r="AC920" i="7" s="1"/>
  <c r="AD920" i="7" s="1"/>
  <c r="AA921" i="7"/>
  <c r="AB921" i="7" s="1"/>
  <c r="AC921" i="7" s="1"/>
  <c r="AD921" i="7" s="1"/>
  <c r="AA922" i="7"/>
  <c r="AB922" i="7" s="1"/>
  <c r="AC922" i="7" s="1"/>
  <c r="AD922" i="7" s="1"/>
  <c r="AA923" i="7"/>
  <c r="AB923" i="7" s="1"/>
  <c r="AC923" i="7" s="1"/>
  <c r="AD923" i="7" s="1"/>
  <c r="AA924" i="7"/>
  <c r="AB924" i="7" s="1"/>
  <c r="AC924" i="7" s="1"/>
  <c r="AD924" i="7" s="1"/>
  <c r="AA925" i="7"/>
  <c r="AB925" i="7" s="1"/>
  <c r="AC925" i="7" s="1"/>
  <c r="AD925" i="7" s="1"/>
  <c r="AA926" i="7"/>
  <c r="AB926" i="7" s="1"/>
  <c r="AC926" i="7" s="1"/>
  <c r="AD926" i="7" s="1"/>
  <c r="AA927" i="7"/>
  <c r="AB927" i="7" s="1"/>
  <c r="AC927" i="7" s="1"/>
  <c r="AD927" i="7" s="1"/>
  <c r="AA928" i="7"/>
  <c r="AB928" i="7" s="1"/>
  <c r="AC928" i="7" s="1"/>
  <c r="AD928" i="7" s="1"/>
  <c r="AA929" i="7"/>
  <c r="AB929" i="7" s="1"/>
  <c r="AC929" i="7" s="1"/>
  <c r="AA930" i="7"/>
  <c r="AB930" i="7" s="1"/>
  <c r="AC930" i="7" s="1"/>
  <c r="AD930" i="7" s="1"/>
  <c r="AA931" i="7"/>
  <c r="AB931" i="7" s="1"/>
  <c r="AC931" i="7" s="1"/>
  <c r="AD931" i="7" s="1"/>
  <c r="AA932" i="7"/>
  <c r="AB932" i="7" s="1"/>
  <c r="AC932" i="7" s="1"/>
  <c r="AD932" i="7" s="1"/>
  <c r="AA933" i="7"/>
  <c r="AB933" i="7" s="1"/>
  <c r="AC933" i="7" s="1"/>
  <c r="AD933" i="7" s="1"/>
  <c r="AA934" i="7"/>
  <c r="AB934" i="7" s="1"/>
  <c r="AC934" i="7" s="1"/>
  <c r="AD934" i="7" s="1"/>
  <c r="AA935" i="7"/>
  <c r="AB935" i="7" s="1"/>
  <c r="AC935" i="7" s="1"/>
  <c r="AD935" i="7" s="1"/>
  <c r="AA936" i="7"/>
  <c r="AB936" i="7" s="1"/>
  <c r="AC936" i="7" s="1"/>
  <c r="AD936" i="7" s="1"/>
  <c r="AA937" i="7"/>
  <c r="AB937" i="7" s="1"/>
  <c r="AC937" i="7" s="1"/>
  <c r="AD937" i="7" s="1"/>
  <c r="AA938" i="7"/>
  <c r="AB938" i="7" s="1"/>
  <c r="AC938" i="7" s="1"/>
  <c r="AD938" i="7" s="1"/>
  <c r="AA939" i="7"/>
  <c r="AB939" i="7" s="1"/>
  <c r="AC939" i="7" s="1"/>
  <c r="AD939" i="7" s="1"/>
  <c r="AA940" i="7"/>
  <c r="AB940" i="7" s="1"/>
  <c r="AC940" i="7" s="1"/>
  <c r="AD940" i="7" s="1"/>
  <c r="AA941" i="7"/>
  <c r="AB941" i="7" s="1"/>
  <c r="AC941" i="7" s="1"/>
  <c r="AD941" i="7" s="1"/>
  <c r="AA942" i="7"/>
  <c r="AB942" i="7" s="1"/>
  <c r="AC942" i="7" s="1"/>
  <c r="AA943" i="7"/>
  <c r="AB943" i="7" s="1"/>
  <c r="AC943" i="7" s="1"/>
  <c r="AD943" i="7" s="1"/>
  <c r="AA944" i="7"/>
  <c r="AB944" i="7" s="1"/>
  <c r="AC944" i="7" s="1"/>
  <c r="AD944" i="7" s="1"/>
  <c r="AA945" i="7"/>
  <c r="AB945" i="7" s="1"/>
  <c r="AC945" i="7" s="1"/>
  <c r="AD945" i="7" s="1"/>
  <c r="AA946" i="7"/>
  <c r="AB946" i="7" s="1"/>
  <c r="AC946" i="7" s="1"/>
  <c r="AD946" i="7" s="1"/>
  <c r="AA947" i="7"/>
  <c r="AB947" i="7" s="1"/>
  <c r="AC947" i="7" s="1"/>
  <c r="AD947" i="7" s="1"/>
  <c r="AA948" i="7"/>
  <c r="AB948" i="7" s="1"/>
  <c r="AC948" i="7" s="1"/>
  <c r="AD948" i="7" s="1"/>
  <c r="AA949" i="7"/>
  <c r="AB949" i="7" s="1"/>
  <c r="AC949" i="7" s="1"/>
  <c r="AD949" i="7" s="1"/>
  <c r="AA950" i="7"/>
  <c r="AB950" i="7" s="1"/>
  <c r="AC950" i="7" s="1"/>
  <c r="AD950" i="7" s="1"/>
  <c r="AA951" i="7"/>
  <c r="AB951" i="7" s="1"/>
  <c r="AC951" i="7" s="1"/>
  <c r="AD951" i="7" s="1"/>
  <c r="AA952" i="7"/>
  <c r="AB952" i="7" s="1"/>
  <c r="AC952" i="7" s="1"/>
  <c r="AD952" i="7" s="1"/>
  <c r="AA953" i="7"/>
  <c r="AB953" i="7" s="1"/>
  <c r="AC953" i="7" s="1"/>
  <c r="AD953" i="7" s="1"/>
  <c r="AA954" i="7"/>
  <c r="AB954" i="7" s="1"/>
  <c r="AC954" i="7" s="1"/>
  <c r="AD954" i="7" s="1"/>
  <c r="AA955" i="7"/>
  <c r="AB955" i="7" s="1"/>
  <c r="AC955" i="7" s="1"/>
  <c r="AD955" i="7" s="1"/>
  <c r="AA956" i="7"/>
  <c r="AB956" i="7" s="1"/>
  <c r="AC956" i="7" s="1"/>
  <c r="AD956" i="7" s="1"/>
  <c r="AA957" i="7"/>
  <c r="AB957" i="7" s="1"/>
  <c r="AC957" i="7" s="1"/>
  <c r="AD957" i="7" s="1"/>
  <c r="AA958" i="7"/>
  <c r="AB958" i="7" s="1"/>
  <c r="AC958" i="7" s="1"/>
  <c r="AD958" i="7" s="1"/>
  <c r="AA959" i="7"/>
  <c r="AB959" i="7" s="1"/>
  <c r="AC959" i="7" s="1"/>
  <c r="AD959" i="7" s="1"/>
  <c r="AA960" i="7"/>
  <c r="AB960" i="7" s="1"/>
  <c r="AC960" i="7" s="1"/>
  <c r="AD960" i="7" s="1"/>
  <c r="AA961" i="7"/>
  <c r="AB961" i="7" s="1"/>
  <c r="AC961" i="7" s="1"/>
  <c r="AD961" i="7" s="1"/>
  <c r="AA962" i="7"/>
  <c r="AB962" i="7" s="1"/>
  <c r="AC962" i="7" s="1"/>
  <c r="AD962" i="7" s="1"/>
  <c r="AA963" i="7"/>
  <c r="AB963" i="7" s="1"/>
  <c r="AC963" i="7" s="1"/>
  <c r="AD963" i="7" s="1"/>
  <c r="AA964" i="7"/>
  <c r="AB964" i="7" s="1"/>
  <c r="AC964" i="7" s="1"/>
  <c r="AD964" i="7" s="1"/>
  <c r="AA965" i="7"/>
  <c r="AB965" i="7" s="1"/>
  <c r="AC965" i="7" s="1"/>
  <c r="AD965" i="7" s="1"/>
  <c r="AA966" i="7"/>
  <c r="AB966" i="7" s="1"/>
  <c r="AC966" i="7" s="1"/>
  <c r="AD966" i="7" s="1"/>
  <c r="AA967" i="7"/>
  <c r="AB967" i="7" s="1"/>
  <c r="AC967" i="7" s="1"/>
  <c r="AD967" i="7" s="1"/>
  <c r="AA968" i="7"/>
  <c r="AB968" i="7" s="1"/>
  <c r="AC968" i="7" s="1"/>
  <c r="AD968" i="7" s="1"/>
  <c r="AA969" i="7"/>
  <c r="AB969" i="7" s="1"/>
  <c r="AC969" i="7" s="1"/>
  <c r="AD969" i="7" s="1"/>
  <c r="AA970" i="7"/>
  <c r="AB970" i="7" s="1"/>
  <c r="AC970" i="7" s="1"/>
  <c r="AD970" i="7" s="1"/>
  <c r="AA971" i="7"/>
  <c r="AB971" i="7" s="1"/>
  <c r="AC971" i="7" s="1"/>
  <c r="AD971" i="7" s="1"/>
  <c r="AA972" i="7"/>
  <c r="AB972" i="7" s="1"/>
  <c r="AC972" i="7" s="1"/>
  <c r="AD972" i="7" s="1"/>
  <c r="AA973" i="7"/>
  <c r="AB973" i="7" s="1"/>
  <c r="AC973" i="7" s="1"/>
  <c r="AD973" i="7" s="1"/>
  <c r="AA974" i="7"/>
  <c r="AB974" i="7" s="1"/>
  <c r="AC974" i="7" s="1"/>
  <c r="AD974" i="7" s="1"/>
  <c r="AA975" i="7"/>
  <c r="AB975" i="7" s="1"/>
  <c r="AC975" i="7" s="1"/>
  <c r="AD975" i="7" s="1"/>
  <c r="AA976" i="7"/>
  <c r="AB976" i="7" s="1"/>
  <c r="AC976" i="7" s="1"/>
  <c r="AD976" i="7" s="1"/>
  <c r="AA977" i="7"/>
  <c r="AB977" i="7" s="1"/>
  <c r="AC977" i="7" s="1"/>
  <c r="AD977" i="7" s="1"/>
  <c r="AA978" i="7"/>
  <c r="AB978" i="7" s="1"/>
  <c r="AC978" i="7" s="1"/>
  <c r="AA979" i="7"/>
  <c r="AB979" i="7" s="1"/>
  <c r="AC979" i="7" s="1"/>
  <c r="AD979" i="7" s="1"/>
  <c r="AA980" i="7"/>
  <c r="AB980" i="7" s="1"/>
  <c r="AC980" i="7" s="1"/>
  <c r="AD980" i="7" s="1"/>
  <c r="AA981" i="7"/>
  <c r="AB981" i="7" s="1"/>
  <c r="AC981" i="7" s="1"/>
  <c r="AD981" i="7" s="1"/>
  <c r="AA982" i="7"/>
  <c r="AB982" i="7" s="1"/>
  <c r="AC982" i="7" s="1"/>
  <c r="AD982" i="7" s="1"/>
  <c r="AA983" i="7"/>
  <c r="AB983" i="7" s="1"/>
  <c r="AC983" i="7" s="1"/>
  <c r="AD983" i="7" s="1"/>
  <c r="AA984" i="7"/>
  <c r="AB984" i="7" s="1"/>
  <c r="AC984" i="7" s="1"/>
  <c r="AD984" i="7" s="1"/>
  <c r="AA985" i="7"/>
  <c r="AB985" i="7" s="1"/>
  <c r="AC985" i="7" s="1"/>
  <c r="AD985" i="7" s="1"/>
  <c r="AA986" i="7"/>
  <c r="AB986" i="7" s="1"/>
  <c r="AC986" i="7" s="1"/>
  <c r="AD986" i="7" s="1"/>
  <c r="AA987" i="7"/>
  <c r="AB987" i="7" s="1"/>
  <c r="AC987" i="7" s="1"/>
  <c r="AD987" i="7" s="1"/>
  <c r="AA988" i="7"/>
  <c r="AB988" i="7" s="1"/>
  <c r="AC988" i="7" s="1"/>
  <c r="AD988" i="7" s="1"/>
  <c r="AA989" i="7"/>
  <c r="AB989" i="7" s="1"/>
  <c r="AC989" i="7" s="1"/>
  <c r="AA990" i="7"/>
  <c r="AB990" i="7" s="1"/>
  <c r="AC990" i="7" s="1"/>
  <c r="AD990" i="7" s="1"/>
  <c r="AA991" i="7"/>
  <c r="AB991" i="7" s="1"/>
  <c r="AC991" i="7" s="1"/>
  <c r="AD991" i="7" s="1"/>
  <c r="AA992" i="7"/>
  <c r="AB992" i="7" s="1"/>
  <c r="AC992" i="7" s="1"/>
  <c r="AD992" i="7" s="1"/>
  <c r="AA993" i="7"/>
  <c r="AB993" i="7" s="1"/>
  <c r="AC993" i="7" s="1"/>
  <c r="AD993" i="7" s="1"/>
  <c r="AA994" i="7"/>
  <c r="AB994" i="7" s="1"/>
  <c r="AC994" i="7" s="1"/>
  <c r="AD994" i="7" s="1"/>
  <c r="AA995" i="7"/>
  <c r="AB995" i="7" s="1"/>
  <c r="AC995" i="7" s="1"/>
  <c r="AD995" i="7" s="1"/>
  <c r="AA996" i="7"/>
  <c r="AB996" i="7" s="1"/>
  <c r="AC996" i="7" s="1"/>
  <c r="AD996" i="7" s="1"/>
  <c r="AA997" i="7"/>
  <c r="AB997" i="7" s="1"/>
  <c r="AC997" i="7" s="1"/>
  <c r="AD997" i="7" s="1"/>
  <c r="AA998" i="7"/>
  <c r="AB998" i="7" s="1"/>
  <c r="AC998" i="7" s="1"/>
  <c r="AD998" i="7" s="1"/>
  <c r="AA999" i="7"/>
  <c r="AB999" i="7" s="1"/>
  <c r="AC999" i="7" s="1"/>
  <c r="AA1000" i="7"/>
  <c r="AB1000" i="7" s="1"/>
  <c r="AC1000" i="7" s="1"/>
  <c r="AD1000" i="7" s="1"/>
  <c r="AA1001" i="7"/>
  <c r="AB1001" i="7" s="1"/>
  <c r="AC1001" i="7" s="1"/>
  <c r="AD1001" i="7" s="1"/>
  <c r="AB2" i="7"/>
  <c r="AC2" i="7" s="1"/>
  <c r="AD2" i="7" s="1"/>
  <c r="AB3" i="7"/>
  <c r="AC3" i="7" s="1"/>
  <c r="AD3" i="7" s="1"/>
  <c r="AB4" i="7"/>
  <c r="AC4" i="7" s="1"/>
  <c r="AD4" i="7" s="1"/>
  <c r="AB5" i="7"/>
  <c r="AC5" i="7" s="1"/>
  <c r="AD5" i="7" s="1"/>
  <c r="AB6" i="7"/>
  <c r="AC6" i="7" s="1"/>
  <c r="AD6" i="7" s="1"/>
  <c r="AB7" i="7"/>
  <c r="AC7" i="7" s="1"/>
  <c r="AD7" i="7" s="1"/>
  <c r="AB8" i="7"/>
  <c r="AC8" i="7" s="1"/>
  <c r="AD8" i="7" s="1"/>
  <c r="AB9" i="7"/>
  <c r="AC9" i="7" s="1"/>
  <c r="AD9" i="7" s="1"/>
  <c r="AB10" i="7"/>
  <c r="AC10" i="7" s="1"/>
  <c r="AD10" i="7" s="1"/>
  <c r="AB11" i="7"/>
  <c r="AC11" i="7" s="1"/>
  <c r="AD11" i="7" s="1"/>
  <c r="AB12" i="7"/>
  <c r="AC12" i="7" s="1"/>
  <c r="AD12" i="7" s="1"/>
  <c r="AB13" i="7"/>
  <c r="AC13" i="7" s="1"/>
  <c r="AD13" i="7" s="1"/>
  <c r="AB14" i="7"/>
  <c r="AC14" i="7" s="1"/>
  <c r="AD14" i="7" s="1"/>
  <c r="AB15" i="7"/>
  <c r="AC15" i="7" s="1"/>
  <c r="AD15" i="7" s="1"/>
  <c r="AB16" i="7"/>
  <c r="AC16" i="7" s="1"/>
  <c r="AD16" i="7" s="1"/>
  <c r="AB17" i="7"/>
  <c r="AC17" i="7" s="1"/>
  <c r="AD17" i="7" s="1"/>
  <c r="AB18" i="7"/>
  <c r="AC18" i="7" s="1"/>
  <c r="AD18" i="7" s="1"/>
  <c r="AB19" i="7"/>
  <c r="AC19" i="7" s="1"/>
  <c r="AD19" i="7" s="1"/>
  <c r="AB20" i="7"/>
  <c r="AC20" i="7" s="1"/>
  <c r="AD20" i="7" s="1"/>
  <c r="AB21" i="7"/>
  <c r="AC21" i="7" s="1"/>
  <c r="AD21" i="7" s="1"/>
  <c r="AB22" i="7"/>
  <c r="AC22" i="7" s="1"/>
  <c r="AD22" i="7" s="1"/>
  <c r="AB23" i="7"/>
  <c r="AC23" i="7" s="1"/>
  <c r="AD23" i="7" s="1"/>
  <c r="AB24" i="7"/>
  <c r="AC24" i="7" s="1"/>
  <c r="AD24" i="7" s="1"/>
  <c r="AB25" i="7"/>
  <c r="AC25" i="7" s="1"/>
  <c r="AD25" i="7" s="1"/>
  <c r="AB26" i="7"/>
  <c r="AC26" i="7" s="1"/>
  <c r="AD26" i="7" s="1"/>
  <c r="AB27" i="7"/>
  <c r="AC27" i="7" s="1"/>
  <c r="AD27" i="7" s="1"/>
  <c r="AB28" i="7"/>
  <c r="AC28" i="7" s="1"/>
  <c r="AD28" i="7" s="1"/>
  <c r="AB29" i="7"/>
  <c r="AC29" i="7" s="1"/>
  <c r="AD29" i="7" s="1"/>
  <c r="AB30" i="7"/>
  <c r="AC30" i="7" s="1"/>
  <c r="AD30" i="7" s="1"/>
  <c r="AB31" i="7"/>
  <c r="AC31" i="7" s="1"/>
  <c r="AD31" i="7" s="1"/>
  <c r="AB32" i="7"/>
  <c r="AC32" i="7" s="1"/>
  <c r="AD32" i="7" s="1"/>
  <c r="AB33" i="7"/>
  <c r="AC33" i="7" s="1"/>
  <c r="AD33" i="7" s="1"/>
  <c r="AB34" i="7"/>
  <c r="AC34" i="7" s="1"/>
  <c r="AD34" i="7" s="1"/>
  <c r="AB35" i="7"/>
  <c r="AC35" i="7" s="1"/>
  <c r="AD35" i="7" s="1"/>
  <c r="AB36" i="7"/>
  <c r="AC36" i="7" s="1"/>
  <c r="AD36" i="7" s="1"/>
  <c r="AB37" i="7"/>
  <c r="AC37" i="7" s="1"/>
  <c r="AD37" i="7" s="1"/>
  <c r="AB38" i="7"/>
  <c r="AC38" i="7" s="1"/>
  <c r="AD38" i="7" s="1"/>
  <c r="AB39" i="7"/>
  <c r="AC39" i="7" s="1"/>
  <c r="AD39" i="7" s="1"/>
  <c r="AB40" i="7"/>
  <c r="AC40" i="7" s="1"/>
  <c r="AD40" i="7" s="1"/>
  <c r="AB41" i="7"/>
  <c r="AC41" i="7" s="1"/>
  <c r="AD41" i="7" s="1"/>
  <c r="AB42" i="7"/>
  <c r="AC42" i="7" s="1"/>
  <c r="AD42" i="7" s="1"/>
  <c r="AB43" i="7"/>
  <c r="AC43" i="7" s="1"/>
  <c r="AD43" i="7" s="1"/>
  <c r="AB44" i="7"/>
  <c r="AC44" i="7" s="1"/>
  <c r="AD44" i="7" s="1"/>
  <c r="AB45" i="7"/>
  <c r="AC45" i="7" s="1"/>
  <c r="AD45" i="7" s="1"/>
  <c r="AB46" i="7"/>
  <c r="AC46" i="7" s="1"/>
  <c r="AD46" i="7" s="1"/>
  <c r="AB47" i="7"/>
  <c r="AC47" i="7" s="1"/>
  <c r="AD47" i="7" s="1"/>
  <c r="AB48" i="7"/>
  <c r="AC48" i="7" s="1"/>
  <c r="AD48" i="7" s="1"/>
  <c r="AB49" i="7"/>
  <c r="AC49" i="7" s="1"/>
  <c r="AD49" i="7" s="1"/>
  <c r="AB50" i="7"/>
  <c r="AC50" i="7" s="1"/>
  <c r="AD50" i="7" s="1"/>
  <c r="AB51" i="7"/>
  <c r="AC51" i="7" s="1"/>
  <c r="AD51" i="7" s="1"/>
  <c r="AB52" i="7"/>
  <c r="AC52" i="7" s="1"/>
  <c r="AD52" i="7" s="1"/>
  <c r="AB53" i="7"/>
  <c r="AC53" i="7" s="1"/>
  <c r="AD53" i="7" s="1"/>
  <c r="AB54" i="7"/>
  <c r="AC54" i="7" s="1"/>
  <c r="AD54" i="7" s="1"/>
  <c r="AB55" i="7"/>
  <c r="AC55" i="7" s="1"/>
  <c r="AD55" i="7" s="1"/>
  <c r="AB56" i="7"/>
  <c r="AC56" i="7" s="1"/>
  <c r="AD56" i="7" s="1"/>
  <c r="AB57" i="7"/>
  <c r="AC57" i="7" s="1"/>
  <c r="AD57" i="7" s="1"/>
  <c r="AB58" i="7"/>
  <c r="AC58" i="7" s="1"/>
  <c r="AD58" i="7" s="1"/>
  <c r="AB59" i="7"/>
  <c r="AC59" i="7" s="1"/>
  <c r="AD59" i="7" s="1"/>
  <c r="AB60" i="7"/>
  <c r="AC60" i="7" s="1"/>
  <c r="AD60" i="7" s="1"/>
  <c r="AB61" i="7"/>
  <c r="AC61" i="7" s="1"/>
  <c r="AD61" i="7" s="1"/>
  <c r="AB62" i="7"/>
  <c r="AC62" i="7" s="1"/>
  <c r="AD62" i="7" s="1"/>
  <c r="AB63" i="7"/>
  <c r="AC63" i="7" s="1"/>
  <c r="AD63" i="7" s="1"/>
  <c r="AB64" i="7"/>
  <c r="AC64" i="7" s="1"/>
  <c r="AD64" i="7" s="1"/>
  <c r="AB65" i="7"/>
  <c r="AC65" i="7" s="1"/>
  <c r="AD65" i="7" s="1"/>
  <c r="AB66" i="7"/>
  <c r="AC66" i="7" s="1"/>
  <c r="AD66" i="7" s="1"/>
  <c r="AB67" i="7"/>
  <c r="AC67" i="7" s="1"/>
  <c r="AD67" i="7" s="1"/>
  <c r="AB68" i="7"/>
  <c r="AC68" i="7" s="1"/>
  <c r="AD68" i="7" s="1"/>
  <c r="AB69" i="7"/>
  <c r="AC69" i="7" s="1"/>
  <c r="AD69" i="7" s="1"/>
  <c r="AB70" i="7"/>
  <c r="AC70" i="7" s="1"/>
  <c r="AD70" i="7" s="1"/>
  <c r="AB71" i="7"/>
  <c r="AC71" i="7" s="1"/>
  <c r="AD71" i="7" s="1"/>
  <c r="AB72" i="7"/>
  <c r="AC72" i="7" s="1"/>
  <c r="AD72" i="7" s="1"/>
  <c r="AB73" i="7"/>
  <c r="AC73" i="7" s="1"/>
  <c r="AD73" i="7" s="1"/>
  <c r="AB74" i="7"/>
  <c r="AC74" i="7" s="1"/>
  <c r="AD74" i="7" s="1"/>
  <c r="AB75" i="7"/>
  <c r="AC75" i="7" s="1"/>
  <c r="AD75" i="7" s="1"/>
  <c r="AB76" i="7"/>
  <c r="AC76" i="7" s="1"/>
  <c r="AD76" i="7" s="1"/>
  <c r="AB77" i="7"/>
  <c r="AC77" i="7" s="1"/>
  <c r="AD77" i="7" s="1"/>
  <c r="AB78" i="7"/>
  <c r="AC78" i="7" s="1"/>
  <c r="AD78" i="7" s="1"/>
  <c r="AB79" i="7"/>
  <c r="AC79" i="7" s="1"/>
  <c r="AD79" i="7" s="1"/>
  <c r="AB80" i="7"/>
  <c r="AC80" i="7" s="1"/>
  <c r="AD80" i="7" s="1"/>
  <c r="AB81" i="7"/>
  <c r="AC81" i="7" s="1"/>
  <c r="AD81" i="7" s="1"/>
  <c r="AB82" i="7"/>
  <c r="AC82" i="7" s="1"/>
  <c r="AD82" i="7" s="1"/>
  <c r="AB83" i="7"/>
  <c r="AC83" i="7" s="1"/>
  <c r="AD83" i="7" s="1"/>
  <c r="AB84" i="7"/>
  <c r="AC84" i="7" s="1"/>
  <c r="AD84" i="7" s="1"/>
  <c r="AB85" i="7"/>
  <c r="AC85" i="7" s="1"/>
  <c r="AD85" i="7" s="1"/>
  <c r="AB86" i="7"/>
  <c r="AC86" i="7" s="1"/>
  <c r="AD86" i="7" s="1"/>
  <c r="AB87" i="7"/>
  <c r="AC87" i="7" s="1"/>
  <c r="AD87" i="7" s="1"/>
  <c r="AB88" i="7"/>
  <c r="AC88" i="7" s="1"/>
  <c r="AD88" i="7" s="1"/>
  <c r="AB89" i="7"/>
  <c r="AC89" i="7" s="1"/>
  <c r="AD89" i="7" s="1"/>
  <c r="AB90" i="7"/>
  <c r="AC90" i="7" s="1"/>
  <c r="AD90" i="7" s="1"/>
  <c r="AB91" i="7"/>
  <c r="AC91" i="7" s="1"/>
  <c r="AD91" i="7" s="1"/>
  <c r="AB92" i="7"/>
  <c r="AC92" i="7" s="1"/>
  <c r="AD92" i="7" s="1"/>
  <c r="AB93" i="7"/>
  <c r="AC93" i="7" s="1"/>
  <c r="AD93" i="7" s="1"/>
  <c r="AB94" i="7"/>
  <c r="AC94" i="7" s="1"/>
  <c r="AD94" i="7" s="1"/>
  <c r="AB95" i="7"/>
  <c r="AC95" i="7" s="1"/>
  <c r="AD95" i="7" s="1"/>
  <c r="AB96" i="7"/>
  <c r="AC96" i="7" s="1"/>
  <c r="AD96" i="7" s="1"/>
  <c r="AB97" i="7"/>
  <c r="AC97" i="7" s="1"/>
  <c r="AD97" i="7" s="1"/>
  <c r="AB98" i="7"/>
  <c r="AC98" i="7" s="1"/>
  <c r="AD98" i="7" s="1"/>
  <c r="AB99" i="7"/>
  <c r="AC99" i="7" s="1"/>
  <c r="AD99" i="7" s="1"/>
  <c r="AB100" i="7"/>
  <c r="AC100" i="7" s="1"/>
  <c r="AD100" i="7" s="1"/>
  <c r="AB101" i="7"/>
  <c r="AC101" i="7" s="1"/>
  <c r="AD101" i="7" s="1"/>
  <c r="AB102" i="7"/>
  <c r="AC102" i="7" s="1"/>
  <c r="AD102" i="7" s="1"/>
  <c r="AB103" i="7"/>
  <c r="AC103" i="7" s="1"/>
  <c r="AD103" i="7" s="1"/>
  <c r="AB104" i="7"/>
  <c r="AC104" i="7" s="1"/>
  <c r="AD104" i="7" s="1"/>
  <c r="AB105" i="7"/>
  <c r="AC105" i="7" s="1"/>
  <c r="AD105" i="7" s="1"/>
  <c r="AB106" i="7"/>
  <c r="AC106" i="7" s="1"/>
  <c r="AD106" i="7" s="1"/>
  <c r="AB107" i="7"/>
  <c r="AC107" i="7" s="1"/>
  <c r="AD107" i="7" s="1"/>
  <c r="AB108" i="7"/>
  <c r="AC108" i="7" s="1"/>
  <c r="AD108" i="7" s="1"/>
  <c r="AB109" i="7"/>
  <c r="AC109" i="7" s="1"/>
  <c r="AD109" i="7" s="1"/>
  <c r="AB110" i="7"/>
  <c r="AC110" i="7" s="1"/>
  <c r="AD110" i="7" s="1"/>
  <c r="AB111" i="7"/>
  <c r="AC111" i="7" s="1"/>
  <c r="AD111" i="7" s="1"/>
  <c r="AB112" i="7"/>
  <c r="AC112" i="7" s="1"/>
  <c r="AD112" i="7" s="1"/>
  <c r="AB113" i="7"/>
  <c r="AC113" i="7" s="1"/>
  <c r="AD113" i="7" s="1"/>
  <c r="AB114" i="7"/>
  <c r="AC114" i="7" s="1"/>
  <c r="AD114" i="7" s="1"/>
  <c r="AB115" i="7"/>
  <c r="AC115" i="7" s="1"/>
  <c r="AD115" i="7" s="1"/>
  <c r="AB116" i="7"/>
  <c r="AC116" i="7" s="1"/>
  <c r="AD116" i="7" s="1"/>
  <c r="AB117" i="7"/>
  <c r="AC117" i="7" s="1"/>
  <c r="AD117" i="7" s="1"/>
  <c r="AB118" i="7"/>
  <c r="AC118" i="7" s="1"/>
  <c r="AD118" i="7" s="1"/>
  <c r="AB119" i="7"/>
  <c r="AC119" i="7" s="1"/>
  <c r="AD119" i="7" s="1"/>
  <c r="AB120" i="7"/>
  <c r="AC120" i="7" s="1"/>
  <c r="AD120" i="7" s="1"/>
  <c r="AB121" i="7"/>
  <c r="AC121" i="7" s="1"/>
  <c r="AD121" i="7" s="1"/>
  <c r="AB122" i="7"/>
  <c r="AC122" i="7" s="1"/>
  <c r="AD122" i="7" s="1"/>
  <c r="AB123" i="7"/>
  <c r="AC123" i="7" s="1"/>
  <c r="AD123" i="7" s="1"/>
  <c r="AB124" i="7"/>
  <c r="AC124" i="7" s="1"/>
  <c r="AD124" i="7" s="1"/>
  <c r="AB125" i="7"/>
  <c r="AC125" i="7" s="1"/>
  <c r="AD125" i="7" s="1"/>
  <c r="AB126" i="7"/>
  <c r="AC126" i="7" s="1"/>
  <c r="AD126" i="7" s="1"/>
  <c r="AB127" i="7"/>
  <c r="AC127" i="7" s="1"/>
  <c r="AD127" i="7" s="1"/>
  <c r="AB128" i="7"/>
  <c r="AC128" i="7" s="1"/>
  <c r="AD128" i="7" s="1"/>
  <c r="AB129" i="7"/>
  <c r="AC129" i="7" s="1"/>
  <c r="AB130" i="7"/>
  <c r="AC130" i="7" s="1"/>
  <c r="AD130" i="7" s="1"/>
  <c r="AB131" i="7"/>
  <c r="AC131" i="7" s="1"/>
  <c r="AD131" i="7" s="1"/>
  <c r="AB132" i="7"/>
  <c r="AC132" i="7" s="1"/>
  <c r="AD132" i="7" s="1"/>
  <c r="AB133" i="7"/>
  <c r="AC133" i="7" s="1"/>
  <c r="AD133" i="7" s="1"/>
  <c r="AB134" i="7"/>
  <c r="AC134" i="7" s="1"/>
  <c r="AD134" i="7" s="1"/>
  <c r="AB135" i="7"/>
  <c r="AC135" i="7" s="1"/>
  <c r="AD135" i="7" s="1"/>
  <c r="AB136" i="7"/>
  <c r="AC136" i="7" s="1"/>
  <c r="AD136" i="7" s="1"/>
  <c r="AB137" i="7"/>
  <c r="AC137" i="7" s="1"/>
  <c r="AD137" i="7" s="1"/>
  <c r="AB138" i="7"/>
  <c r="AC138" i="7" s="1"/>
  <c r="AD138" i="7" s="1"/>
  <c r="AB139" i="7"/>
  <c r="AC139" i="7" s="1"/>
  <c r="AD139" i="7" s="1"/>
  <c r="AB140" i="7"/>
  <c r="AC140" i="7" s="1"/>
  <c r="AD140" i="7" s="1"/>
  <c r="AB141" i="7"/>
  <c r="AC141" i="7" s="1"/>
  <c r="AD141" i="7" s="1"/>
  <c r="AB142" i="7"/>
  <c r="AC142" i="7" s="1"/>
  <c r="AD142" i="7" s="1"/>
  <c r="AB143" i="7"/>
  <c r="AC143" i="7" s="1"/>
  <c r="AD143" i="7" s="1"/>
  <c r="AB144" i="7"/>
  <c r="AC144" i="7" s="1"/>
  <c r="AD144" i="7" s="1"/>
  <c r="AB145" i="7"/>
  <c r="AC145" i="7" s="1"/>
  <c r="AD145" i="7" s="1"/>
  <c r="AB146" i="7"/>
  <c r="AC146" i="7" s="1"/>
  <c r="AD146" i="7" s="1"/>
  <c r="AB147" i="7"/>
  <c r="AC147" i="7" s="1"/>
  <c r="AD147" i="7" s="1"/>
  <c r="AB148" i="7"/>
  <c r="AC148" i="7" s="1"/>
  <c r="AD148" i="7" s="1"/>
  <c r="AB149" i="7"/>
  <c r="AC149" i="7" s="1"/>
  <c r="AD149" i="7" s="1"/>
  <c r="AB150" i="7"/>
  <c r="AC150" i="7" s="1"/>
  <c r="AD150" i="7" s="1"/>
  <c r="AB151" i="7"/>
  <c r="AC151" i="7" s="1"/>
  <c r="AD151" i="7" s="1"/>
  <c r="AB152" i="7"/>
  <c r="AC152" i="7" s="1"/>
  <c r="AD152" i="7" s="1"/>
  <c r="AB153" i="7"/>
  <c r="AC153" i="7" s="1"/>
  <c r="AD153" i="7" s="1"/>
  <c r="AB154" i="7"/>
  <c r="AC154" i="7" s="1"/>
  <c r="AD154" i="7" s="1"/>
  <c r="AB155" i="7"/>
  <c r="AC155" i="7" s="1"/>
  <c r="AD155" i="7" s="1"/>
  <c r="AB156" i="7"/>
  <c r="AC156" i="7" s="1"/>
  <c r="AD156" i="7" s="1"/>
  <c r="AB157" i="7"/>
  <c r="AC157" i="7" s="1"/>
  <c r="AD157" i="7" s="1"/>
  <c r="AB158" i="7"/>
  <c r="AC158" i="7" s="1"/>
  <c r="AD158" i="7" s="1"/>
  <c r="AB159" i="7"/>
  <c r="AC159" i="7" s="1"/>
  <c r="AD159" i="7" s="1"/>
  <c r="AB160" i="7"/>
  <c r="AC160" i="7" s="1"/>
  <c r="AD160" i="7" s="1"/>
  <c r="AB161" i="7"/>
  <c r="AC161" i="7" s="1"/>
  <c r="AD161" i="7" s="1"/>
  <c r="AB162" i="7"/>
  <c r="AC162" i="7" s="1"/>
  <c r="AD162" i="7" s="1"/>
  <c r="AB163" i="7"/>
  <c r="AC163" i="7" s="1"/>
  <c r="AD163" i="7" s="1"/>
  <c r="AB164" i="7"/>
  <c r="AC164" i="7" s="1"/>
  <c r="AD164" i="7" s="1"/>
  <c r="AB165" i="7"/>
  <c r="AC165" i="7" s="1"/>
  <c r="AD165" i="7" s="1"/>
  <c r="AB166" i="7"/>
  <c r="AC166" i="7" s="1"/>
  <c r="AD166" i="7" s="1"/>
  <c r="AB167" i="7"/>
  <c r="AC167" i="7" s="1"/>
  <c r="AD167" i="7" s="1"/>
  <c r="AB168" i="7"/>
  <c r="AC168" i="7" s="1"/>
  <c r="AD168" i="7" s="1"/>
  <c r="AB169" i="7"/>
  <c r="AC169" i="7" s="1"/>
  <c r="AD169" i="7" s="1"/>
  <c r="AB170" i="7"/>
  <c r="AC170" i="7" s="1"/>
  <c r="AD170" i="7" s="1"/>
  <c r="AB171" i="7"/>
  <c r="AC171" i="7" s="1"/>
  <c r="AD171" i="7" s="1"/>
  <c r="AB172" i="7"/>
  <c r="AC172" i="7" s="1"/>
  <c r="AD172" i="7" s="1"/>
  <c r="AB173" i="7"/>
  <c r="AC173" i="7" s="1"/>
  <c r="AD173" i="7" s="1"/>
  <c r="AB174" i="7"/>
  <c r="AC174" i="7" s="1"/>
  <c r="AD174" i="7" s="1"/>
  <c r="AB175" i="7"/>
  <c r="AC175" i="7" s="1"/>
  <c r="AD175" i="7" s="1"/>
  <c r="AB176" i="7"/>
  <c r="AC176" i="7" s="1"/>
  <c r="AD176" i="7" s="1"/>
  <c r="AB177" i="7"/>
  <c r="AC177" i="7" s="1"/>
  <c r="AD177" i="7" s="1"/>
  <c r="AB178" i="7"/>
  <c r="AC178" i="7" s="1"/>
  <c r="AD178" i="7" s="1"/>
  <c r="AB179" i="7"/>
  <c r="AC179" i="7" s="1"/>
  <c r="AD179" i="7" s="1"/>
  <c r="AB180" i="7"/>
  <c r="AC180" i="7" s="1"/>
  <c r="AD180" i="7" s="1"/>
  <c r="AB181" i="7"/>
  <c r="AC181" i="7" s="1"/>
  <c r="AD181" i="7" s="1"/>
  <c r="AB182" i="7"/>
  <c r="AC182" i="7" s="1"/>
  <c r="AD182" i="7" s="1"/>
  <c r="AB183" i="7"/>
  <c r="AC183" i="7" s="1"/>
  <c r="AD183" i="7" s="1"/>
  <c r="AB184" i="7"/>
  <c r="AC184" i="7" s="1"/>
  <c r="AD184" i="7" s="1"/>
  <c r="AB185" i="7"/>
  <c r="AC185" i="7" s="1"/>
  <c r="AD185" i="7" s="1"/>
  <c r="AB186" i="7"/>
  <c r="AC186" i="7" s="1"/>
  <c r="AD186" i="7" s="1"/>
  <c r="AB187" i="7"/>
  <c r="AC187" i="7" s="1"/>
  <c r="AD187" i="7" s="1"/>
  <c r="AB188" i="7"/>
  <c r="AC188" i="7" s="1"/>
  <c r="AD188" i="7" s="1"/>
  <c r="AB189" i="7"/>
  <c r="AC189" i="7" s="1"/>
  <c r="AD189" i="7" s="1"/>
  <c r="AB190" i="7"/>
  <c r="AC190" i="7" s="1"/>
  <c r="AD190" i="7" s="1"/>
  <c r="AB191" i="7"/>
  <c r="AC191" i="7" s="1"/>
  <c r="AD191" i="7" s="1"/>
  <c r="AB192" i="7"/>
  <c r="AC192" i="7" s="1"/>
  <c r="AD192" i="7" s="1"/>
  <c r="AB193" i="7"/>
  <c r="AC193" i="7" s="1"/>
  <c r="AD193" i="7" s="1"/>
  <c r="AB194" i="7"/>
  <c r="AC194" i="7" s="1"/>
  <c r="AD194" i="7" s="1"/>
  <c r="AB195" i="7"/>
  <c r="AC195" i="7" s="1"/>
  <c r="AD195" i="7" s="1"/>
  <c r="AB196" i="7"/>
  <c r="AC196" i="7" s="1"/>
  <c r="AD196" i="7" s="1"/>
  <c r="AB197" i="7"/>
  <c r="AC197" i="7" s="1"/>
  <c r="AD197" i="7" s="1"/>
  <c r="AB198" i="7"/>
  <c r="AC198" i="7" s="1"/>
  <c r="AD198" i="7" s="1"/>
  <c r="AB199" i="7"/>
  <c r="AC199" i="7" s="1"/>
  <c r="AD199" i="7" s="1"/>
  <c r="AB200" i="7"/>
  <c r="AC200" i="7" s="1"/>
  <c r="AD200" i="7" s="1"/>
  <c r="AB201" i="7"/>
  <c r="AC201" i="7" s="1"/>
  <c r="AD201" i="7" s="1"/>
  <c r="AB202" i="7"/>
  <c r="AC202" i="7" s="1"/>
  <c r="AD202" i="7" s="1"/>
  <c r="AB203" i="7"/>
  <c r="AC203" i="7" s="1"/>
  <c r="AD203" i="7" s="1"/>
  <c r="AB204" i="7"/>
  <c r="AC204" i="7" s="1"/>
  <c r="AD204" i="7" s="1"/>
  <c r="AB205" i="7"/>
  <c r="AC205" i="7" s="1"/>
  <c r="AD205" i="7" s="1"/>
  <c r="AB206" i="7"/>
  <c r="AC206" i="7" s="1"/>
  <c r="AD206" i="7" s="1"/>
  <c r="AB207" i="7"/>
  <c r="AC207" i="7" s="1"/>
  <c r="AD207" i="7" s="1"/>
  <c r="AB208" i="7"/>
  <c r="AC208" i="7" s="1"/>
  <c r="AD208" i="7" s="1"/>
  <c r="AB209" i="7"/>
  <c r="AC209" i="7" s="1"/>
  <c r="AD209" i="7" s="1"/>
  <c r="AB210" i="7"/>
  <c r="AC210" i="7" s="1"/>
  <c r="AD210" i="7" s="1"/>
  <c r="AB211" i="7"/>
  <c r="AC211" i="7" s="1"/>
  <c r="AD211" i="7" s="1"/>
  <c r="AB212" i="7"/>
  <c r="AC212" i="7" s="1"/>
  <c r="AD212" i="7" s="1"/>
  <c r="AB213" i="7"/>
  <c r="AC213" i="7" s="1"/>
  <c r="AD213" i="7" s="1"/>
  <c r="AB214" i="7"/>
  <c r="AC214" i="7" s="1"/>
  <c r="AD214" i="7" s="1"/>
  <c r="AB215" i="7"/>
  <c r="AC215" i="7" s="1"/>
  <c r="AD215" i="7" s="1"/>
  <c r="AB216" i="7"/>
  <c r="AC216" i="7" s="1"/>
  <c r="AD216" i="7" s="1"/>
  <c r="AB217" i="7"/>
  <c r="AC217" i="7" s="1"/>
  <c r="AD217" i="7" s="1"/>
  <c r="AB218" i="7"/>
  <c r="AC218" i="7" s="1"/>
  <c r="AD218" i="7" s="1"/>
  <c r="AB219" i="7"/>
  <c r="AC219" i="7" s="1"/>
  <c r="AD219" i="7" s="1"/>
  <c r="AB220" i="7"/>
  <c r="AC220" i="7" s="1"/>
  <c r="AD220" i="7" s="1"/>
  <c r="AB221" i="7"/>
  <c r="AC221" i="7" s="1"/>
  <c r="AD221" i="7" s="1"/>
  <c r="AB222" i="7"/>
  <c r="AC222" i="7" s="1"/>
  <c r="AD222" i="7" s="1"/>
  <c r="AB223" i="7"/>
  <c r="AC223" i="7" s="1"/>
  <c r="AD223" i="7" s="1"/>
  <c r="AB224" i="7"/>
  <c r="AC224" i="7" s="1"/>
  <c r="AD224" i="7" s="1"/>
  <c r="AB225" i="7"/>
  <c r="AC225" i="7" s="1"/>
  <c r="AD225" i="7" s="1"/>
  <c r="AB226" i="7"/>
  <c r="AC226" i="7" s="1"/>
  <c r="AD226" i="7" s="1"/>
  <c r="AB227" i="7"/>
  <c r="AC227" i="7" s="1"/>
  <c r="AD227" i="7" s="1"/>
  <c r="AB228" i="7"/>
  <c r="AC228" i="7" s="1"/>
  <c r="AD228" i="7" s="1"/>
  <c r="AB229" i="7"/>
  <c r="AC229" i="7" s="1"/>
  <c r="AD229" i="7" s="1"/>
  <c r="AB230" i="7"/>
  <c r="AC230" i="7" s="1"/>
  <c r="AD230" i="7" s="1"/>
  <c r="AB231" i="7"/>
  <c r="AC231" i="7" s="1"/>
  <c r="AD231" i="7" s="1"/>
  <c r="AB232" i="7"/>
  <c r="AC232" i="7" s="1"/>
  <c r="AD232" i="7" s="1"/>
  <c r="AB233" i="7"/>
  <c r="AC233" i="7" s="1"/>
  <c r="AD233" i="7" s="1"/>
  <c r="AB234" i="7"/>
  <c r="AC234" i="7" s="1"/>
  <c r="AD234" i="7" s="1"/>
  <c r="AB235" i="7"/>
  <c r="AC235" i="7" s="1"/>
  <c r="AD235" i="7" s="1"/>
  <c r="AB236" i="7"/>
  <c r="AC236" i="7" s="1"/>
  <c r="AD236" i="7" s="1"/>
  <c r="AB237" i="7"/>
  <c r="AC237" i="7" s="1"/>
  <c r="AD237" i="7" s="1"/>
  <c r="AB238" i="7"/>
  <c r="AC238" i="7" s="1"/>
  <c r="AD238" i="7" s="1"/>
  <c r="AB239" i="7"/>
  <c r="AC239" i="7" s="1"/>
  <c r="AD239" i="7" s="1"/>
  <c r="AB240" i="7"/>
  <c r="AC240" i="7" s="1"/>
  <c r="AD240" i="7" s="1"/>
  <c r="AB241" i="7"/>
  <c r="AC241" i="7" s="1"/>
  <c r="AD241" i="7" s="1"/>
  <c r="AB242" i="7"/>
  <c r="AC242" i="7" s="1"/>
  <c r="AD242" i="7" s="1"/>
  <c r="AB243" i="7"/>
  <c r="AC243" i="7" s="1"/>
  <c r="AD243" i="7" s="1"/>
  <c r="AB244" i="7"/>
  <c r="AC244" i="7" s="1"/>
  <c r="AD244" i="7" s="1"/>
  <c r="AB245" i="7"/>
  <c r="AC245" i="7" s="1"/>
  <c r="AD245" i="7" s="1"/>
  <c r="AB246" i="7"/>
  <c r="AC246" i="7" s="1"/>
  <c r="AD246" i="7" s="1"/>
  <c r="AB247" i="7"/>
  <c r="AC247" i="7" s="1"/>
  <c r="AB248" i="7"/>
  <c r="AC248" i="7" s="1"/>
  <c r="AB249" i="7"/>
  <c r="AC249" i="7" s="1"/>
  <c r="AD249" i="7" s="1"/>
  <c r="AB250" i="7"/>
  <c r="AC250" i="7" s="1"/>
  <c r="AD250" i="7" s="1"/>
  <c r="AB251" i="7"/>
  <c r="AC251" i="7" s="1"/>
  <c r="AD251" i="7" s="1"/>
  <c r="AB252" i="7"/>
  <c r="AC252" i="7" s="1"/>
  <c r="AD252" i="7" s="1"/>
  <c r="AB253" i="7"/>
  <c r="AC253" i="7" s="1"/>
  <c r="AD253" i="7" s="1"/>
  <c r="AB254" i="7"/>
  <c r="AC254" i="7" s="1"/>
  <c r="AD254" i="7" s="1"/>
  <c r="AB255" i="7"/>
  <c r="AC255" i="7" s="1"/>
  <c r="AD255" i="7" s="1"/>
  <c r="AB256" i="7"/>
  <c r="AC256" i="7" s="1"/>
  <c r="AD256" i="7" s="1"/>
  <c r="AB257" i="7"/>
  <c r="AC257" i="7" s="1"/>
  <c r="AD257" i="7" s="1"/>
  <c r="AB258" i="7"/>
  <c r="AC258" i="7" s="1"/>
  <c r="AD258" i="7" s="1"/>
  <c r="AB259" i="7"/>
  <c r="AC259" i="7" s="1"/>
  <c r="AD259" i="7" s="1"/>
  <c r="AB260" i="7"/>
  <c r="AC260" i="7" s="1"/>
  <c r="AD260" i="7" s="1"/>
  <c r="AB261" i="7"/>
  <c r="AC261" i="7" s="1"/>
  <c r="AD261" i="7" s="1"/>
  <c r="AB262" i="7"/>
  <c r="AC262" i="7" s="1"/>
  <c r="AD262" i="7" s="1"/>
  <c r="AB263" i="7"/>
  <c r="AC263" i="7" s="1"/>
  <c r="AD263" i="7" s="1"/>
  <c r="AB264" i="7"/>
  <c r="AC264" i="7" s="1"/>
  <c r="AD264" i="7" s="1"/>
  <c r="AB265" i="7"/>
  <c r="AC265" i="7" s="1"/>
  <c r="AD265" i="7" s="1"/>
  <c r="AB266" i="7"/>
  <c r="AC266" i="7" s="1"/>
  <c r="AD266" i="7" s="1"/>
  <c r="AB267" i="7"/>
  <c r="AC267" i="7" s="1"/>
  <c r="AD267" i="7" s="1"/>
  <c r="AB268" i="7"/>
  <c r="AC268" i="7" s="1"/>
  <c r="AD268" i="7" s="1"/>
  <c r="AB269" i="7"/>
  <c r="AC269" i="7" s="1"/>
  <c r="AD269" i="7" s="1"/>
  <c r="AB270" i="7"/>
  <c r="AC270" i="7" s="1"/>
  <c r="AD270" i="7" s="1"/>
  <c r="AB271" i="7"/>
  <c r="AC271" i="7" s="1"/>
  <c r="AD271" i="7" s="1"/>
  <c r="AB272" i="7"/>
  <c r="AC272" i="7" s="1"/>
  <c r="AD272" i="7" s="1"/>
  <c r="AB273" i="7"/>
  <c r="AC273" i="7" s="1"/>
  <c r="AD273" i="7" s="1"/>
  <c r="AB274" i="7"/>
  <c r="AC274" i="7" s="1"/>
  <c r="AD274" i="7" s="1"/>
  <c r="AB275" i="7"/>
  <c r="AC275" i="7" s="1"/>
  <c r="AD275" i="7" s="1"/>
  <c r="AB276" i="7"/>
  <c r="AC276" i="7" s="1"/>
  <c r="AD276" i="7" s="1"/>
  <c r="AB277" i="7"/>
  <c r="AC277" i="7" s="1"/>
  <c r="AD277" i="7" s="1"/>
  <c r="AB278" i="7"/>
  <c r="AC278" i="7" s="1"/>
  <c r="AD278" i="7" s="1"/>
  <c r="AB279" i="7"/>
  <c r="AC279" i="7" s="1"/>
  <c r="AD279" i="7" s="1"/>
  <c r="AB280" i="7"/>
  <c r="AC280" i="7" s="1"/>
  <c r="AD280" i="7" s="1"/>
  <c r="AB281" i="7"/>
  <c r="AC281" i="7" s="1"/>
  <c r="AD281" i="7" s="1"/>
  <c r="AB282" i="7"/>
  <c r="AC282" i="7" s="1"/>
  <c r="AD282" i="7" s="1"/>
  <c r="AB283" i="7"/>
  <c r="AC283" i="7" s="1"/>
  <c r="AD283" i="7" s="1"/>
  <c r="AB284" i="7"/>
  <c r="AC284" i="7" s="1"/>
  <c r="AD284" i="7" s="1"/>
  <c r="AB285" i="7"/>
  <c r="AC285" i="7" s="1"/>
  <c r="AD285" i="7" s="1"/>
  <c r="AB286" i="7"/>
  <c r="AC286" i="7" s="1"/>
  <c r="AD286" i="7" s="1"/>
  <c r="AB287" i="7"/>
  <c r="AC287" i="7" s="1"/>
  <c r="AD287" i="7" s="1"/>
  <c r="AB288" i="7"/>
  <c r="AC288" i="7" s="1"/>
  <c r="AD288" i="7" s="1"/>
  <c r="AB289" i="7"/>
  <c r="AC289" i="7" s="1"/>
  <c r="AD289" i="7" s="1"/>
  <c r="AB290" i="7"/>
  <c r="AC290" i="7" s="1"/>
  <c r="AD290" i="7" s="1"/>
  <c r="AB291" i="7"/>
  <c r="AC291" i="7" s="1"/>
  <c r="AD291" i="7" s="1"/>
  <c r="AB292" i="7"/>
  <c r="AC292" i="7" s="1"/>
  <c r="AD292" i="7" s="1"/>
  <c r="AB293" i="7"/>
  <c r="AC293" i="7" s="1"/>
  <c r="AD293" i="7" s="1"/>
  <c r="AB294" i="7"/>
  <c r="AC294" i="7" s="1"/>
  <c r="AD294" i="7" s="1"/>
  <c r="AB295" i="7"/>
  <c r="AC295" i="7" s="1"/>
  <c r="AD295" i="7" s="1"/>
  <c r="AB296" i="7"/>
  <c r="AC296" i="7" s="1"/>
  <c r="AD296" i="7" s="1"/>
  <c r="AB297" i="7"/>
  <c r="AC297" i="7" s="1"/>
  <c r="AD297" i="7" s="1"/>
  <c r="AB298" i="7"/>
  <c r="AC298" i="7" s="1"/>
  <c r="AD298" i="7" s="1"/>
  <c r="AB299" i="7"/>
  <c r="AC299" i="7" s="1"/>
  <c r="AD299" i="7" s="1"/>
  <c r="AB300" i="7"/>
  <c r="AC300" i="7" s="1"/>
  <c r="AD300" i="7" s="1"/>
  <c r="AB301" i="7"/>
  <c r="AC301" i="7" s="1"/>
  <c r="AD301" i="7" s="1"/>
  <c r="AB302" i="7"/>
  <c r="AC302" i="7" s="1"/>
  <c r="AD302" i="7" s="1"/>
  <c r="AB303" i="7"/>
  <c r="AC303" i="7" s="1"/>
  <c r="AD303" i="7" s="1"/>
  <c r="AB304" i="7"/>
  <c r="AC304" i="7" s="1"/>
  <c r="AD304" i="7" s="1"/>
  <c r="AB305" i="7"/>
  <c r="AC305" i="7" s="1"/>
  <c r="AD305" i="7" s="1"/>
  <c r="AB306" i="7"/>
  <c r="AC306" i="7" s="1"/>
  <c r="AD306" i="7" s="1"/>
  <c r="AB307" i="7"/>
  <c r="AC307" i="7" s="1"/>
  <c r="AD307" i="7" s="1"/>
  <c r="AB308" i="7"/>
  <c r="AC308" i="7" s="1"/>
  <c r="AD308" i="7" s="1"/>
  <c r="AB309" i="7"/>
  <c r="AC309" i="7" s="1"/>
  <c r="AD309" i="7" s="1"/>
  <c r="AB310" i="7"/>
  <c r="AC310" i="7" s="1"/>
  <c r="AD310" i="7" s="1"/>
  <c r="AB311" i="7"/>
  <c r="AC311" i="7" s="1"/>
  <c r="AD311" i="7" s="1"/>
  <c r="AB312" i="7"/>
  <c r="AC312" i="7" s="1"/>
  <c r="AD312" i="7" s="1"/>
  <c r="AB313" i="7"/>
  <c r="AC313" i="7" s="1"/>
  <c r="AD313" i="7" s="1"/>
  <c r="AB314" i="7"/>
  <c r="AC314" i="7" s="1"/>
  <c r="AD314" i="7" s="1"/>
  <c r="AB315" i="7"/>
  <c r="AC315" i="7" s="1"/>
  <c r="AD315" i="7" s="1"/>
  <c r="AB316" i="7"/>
  <c r="AC316" i="7" s="1"/>
  <c r="AD316" i="7" s="1"/>
  <c r="AB317" i="7"/>
  <c r="AC317" i="7" s="1"/>
  <c r="AD317" i="7" s="1"/>
  <c r="AB318" i="7"/>
  <c r="AC318" i="7" s="1"/>
  <c r="AD318" i="7" s="1"/>
  <c r="AB319" i="7"/>
  <c r="AC319" i="7" s="1"/>
  <c r="AD319" i="7" s="1"/>
  <c r="AB320" i="7"/>
  <c r="AC320" i="7" s="1"/>
  <c r="AD320" i="7" s="1"/>
  <c r="AB321" i="7"/>
  <c r="AC321" i="7" s="1"/>
  <c r="AD321" i="7" s="1"/>
  <c r="AB322" i="7"/>
  <c r="AC322" i="7" s="1"/>
  <c r="AD322" i="7" s="1"/>
  <c r="AB323" i="7"/>
  <c r="AC323" i="7" s="1"/>
  <c r="AD323" i="7" s="1"/>
  <c r="AB324" i="7"/>
  <c r="AC324" i="7" s="1"/>
  <c r="AD324" i="7" s="1"/>
  <c r="AB325" i="7"/>
  <c r="AC325" i="7" s="1"/>
  <c r="AD325" i="7" s="1"/>
  <c r="AB326" i="7"/>
  <c r="AC326" i="7" s="1"/>
  <c r="AD326" i="7" s="1"/>
  <c r="AB327" i="7"/>
  <c r="AC327" i="7" s="1"/>
  <c r="AD327" i="7" s="1"/>
  <c r="AB328" i="7"/>
  <c r="AC328" i="7" s="1"/>
  <c r="AD328" i="7" s="1"/>
  <c r="AB329" i="7"/>
  <c r="AC329" i="7" s="1"/>
  <c r="AD329" i="7" s="1"/>
  <c r="AB330" i="7"/>
  <c r="AC330" i="7" s="1"/>
  <c r="AD330" i="7" s="1"/>
  <c r="AB331" i="7"/>
  <c r="AC331" i="7" s="1"/>
  <c r="AD331" i="7" s="1"/>
  <c r="AB332" i="7"/>
  <c r="AC332" i="7" s="1"/>
  <c r="AD332" i="7" s="1"/>
  <c r="AB333" i="7"/>
  <c r="AC333" i="7" s="1"/>
  <c r="AD333" i="7" s="1"/>
  <c r="AB334" i="7"/>
  <c r="AC334" i="7" s="1"/>
  <c r="AD334" i="7" s="1"/>
  <c r="AB335" i="7"/>
  <c r="AC335" i="7" s="1"/>
  <c r="AD335" i="7" s="1"/>
  <c r="AB336" i="7"/>
  <c r="AC336" i="7" s="1"/>
  <c r="AD336" i="7" s="1"/>
  <c r="AB337" i="7"/>
  <c r="AC337" i="7" s="1"/>
  <c r="AD337" i="7" s="1"/>
  <c r="AB338" i="7"/>
  <c r="AC338" i="7" s="1"/>
  <c r="AD338" i="7" s="1"/>
  <c r="AB339" i="7"/>
  <c r="AC339" i="7" s="1"/>
  <c r="AD339" i="7" s="1"/>
  <c r="AB340" i="7"/>
  <c r="AC340" i="7" s="1"/>
  <c r="AD340" i="7" s="1"/>
  <c r="AB341" i="7"/>
  <c r="AC341" i="7" s="1"/>
  <c r="AD341" i="7" s="1"/>
  <c r="AB342" i="7"/>
  <c r="AC342" i="7" s="1"/>
  <c r="AD342" i="7" s="1"/>
  <c r="AB343" i="7"/>
  <c r="AC343" i="7" s="1"/>
  <c r="AD343" i="7" s="1"/>
  <c r="AB344" i="7"/>
  <c r="AC344" i="7" s="1"/>
  <c r="AD344" i="7" s="1"/>
  <c r="AB345" i="7"/>
  <c r="AC345" i="7" s="1"/>
  <c r="AD345" i="7" s="1"/>
  <c r="AB346" i="7"/>
  <c r="AC346" i="7" s="1"/>
  <c r="AD346" i="7" s="1"/>
  <c r="AB347" i="7"/>
  <c r="AC347" i="7" s="1"/>
  <c r="AD347" i="7" s="1"/>
  <c r="AB348" i="7"/>
  <c r="AC348" i="7" s="1"/>
  <c r="AD348" i="7" s="1"/>
  <c r="AB349" i="7"/>
  <c r="AC349" i="7" s="1"/>
  <c r="AD349" i="7" s="1"/>
  <c r="AB350" i="7"/>
  <c r="AC350" i="7" s="1"/>
  <c r="AD350" i="7" s="1"/>
  <c r="AB351" i="7"/>
  <c r="AC351" i="7" s="1"/>
  <c r="AD351" i="7" s="1"/>
  <c r="AB352" i="7"/>
  <c r="AC352" i="7" s="1"/>
  <c r="AD352" i="7" s="1"/>
  <c r="AB353" i="7"/>
  <c r="AC353" i="7" s="1"/>
  <c r="AD353" i="7" s="1"/>
  <c r="AB354" i="7"/>
  <c r="AC354" i="7" s="1"/>
  <c r="AD354" i="7" s="1"/>
  <c r="AB355" i="7"/>
  <c r="AC355" i="7" s="1"/>
  <c r="AD355" i="7" s="1"/>
  <c r="AB356" i="7"/>
  <c r="AC356" i="7" s="1"/>
  <c r="AD356" i="7" s="1"/>
  <c r="AB357" i="7"/>
  <c r="AC357" i="7" s="1"/>
  <c r="AD357" i="7" s="1"/>
  <c r="AB358" i="7"/>
  <c r="AC358" i="7" s="1"/>
  <c r="AD358" i="7" s="1"/>
  <c r="AB359" i="7"/>
  <c r="AC359" i="7" s="1"/>
  <c r="AD359" i="7" s="1"/>
  <c r="AB360" i="7"/>
  <c r="AC360" i="7" s="1"/>
  <c r="AD360" i="7" s="1"/>
  <c r="AB361" i="7"/>
  <c r="AC361" i="7" s="1"/>
  <c r="AD361" i="7" s="1"/>
  <c r="AB362" i="7"/>
  <c r="AC362" i="7" s="1"/>
  <c r="AD362" i="7" s="1"/>
  <c r="AB363" i="7"/>
  <c r="AC363" i="7" s="1"/>
  <c r="AD363" i="7" s="1"/>
  <c r="AB364" i="7"/>
  <c r="AC364" i="7" s="1"/>
  <c r="AD364" i="7" s="1"/>
  <c r="AB365" i="7"/>
  <c r="AC365" i="7" s="1"/>
  <c r="AD365" i="7" s="1"/>
  <c r="AB366" i="7"/>
  <c r="AC366" i="7" s="1"/>
  <c r="AD366" i="7" s="1"/>
  <c r="AB367" i="7"/>
  <c r="AC367" i="7" s="1"/>
  <c r="AD367" i="7" s="1"/>
  <c r="AB368" i="7"/>
  <c r="AC368" i="7" s="1"/>
  <c r="AD368" i="7" s="1"/>
  <c r="AB369" i="7"/>
  <c r="AC369" i="7" s="1"/>
  <c r="AD369" i="7" s="1"/>
  <c r="AB370" i="7"/>
  <c r="AC370" i="7" s="1"/>
  <c r="AD370" i="7" s="1"/>
  <c r="AB371" i="7"/>
  <c r="AC371" i="7" s="1"/>
  <c r="AD371" i="7" s="1"/>
  <c r="AB372" i="7"/>
  <c r="AC372" i="7" s="1"/>
  <c r="AD372" i="7" s="1"/>
  <c r="AB373" i="7"/>
  <c r="AC373" i="7" s="1"/>
  <c r="AD373" i="7" s="1"/>
  <c r="AB374" i="7"/>
  <c r="AC374" i="7" s="1"/>
  <c r="AD374" i="7" s="1"/>
  <c r="AB375" i="7"/>
  <c r="AC375" i="7" s="1"/>
  <c r="AD375" i="7" s="1"/>
  <c r="AB376" i="7"/>
  <c r="AC376" i="7" s="1"/>
  <c r="AD376" i="7" s="1"/>
  <c r="AB377" i="7"/>
  <c r="AC377" i="7" s="1"/>
  <c r="AD377" i="7" s="1"/>
  <c r="AB378" i="7"/>
  <c r="AC378" i="7" s="1"/>
  <c r="AD378" i="7" s="1"/>
  <c r="AB379" i="7"/>
  <c r="AC379" i="7" s="1"/>
  <c r="AD379" i="7" s="1"/>
  <c r="AB380" i="7"/>
  <c r="AC380" i="7" s="1"/>
  <c r="AD380" i="7" s="1"/>
  <c r="AB381" i="7"/>
  <c r="AC381" i="7" s="1"/>
  <c r="AD381" i="7" s="1"/>
  <c r="AB382" i="7"/>
  <c r="AC382" i="7" s="1"/>
  <c r="AD382" i="7" s="1"/>
  <c r="AB383" i="7"/>
  <c r="AC383" i="7" s="1"/>
  <c r="AD383" i="7" s="1"/>
  <c r="AB384" i="7"/>
  <c r="AC384" i="7" s="1"/>
  <c r="AD384" i="7" s="1"/>
  <c r="AB385" i="7"/>
  <c r="AC385" i="7" s="1"/>
  <c r="AD385" i="7" s="1"/>
  <c r="AB386" i="7"/>
  <c r="AC386" i="7" s="1"/>
  <c r="AD386" i="7" s="1"/>
  <c r="AB387" i="7"/>
  <c r="AC387" i="7" s="1"/>
  <c r="AD387" i="7" s="1"/>
  <c r="AB388" i="7"/>
  <c r="AC388" i="7" s="1"/>
  <c r="AD388" i="7" s="1"/>
  <c r="AB389" i="7"/>
  <c r="AC389" i="7" s="1"/>
  <c r="AD389" i="7" s="1"/>
  <c r="AB390" i="7"/>
  <c r="AC390" i="7" s="1"/>
  <c r="AD390" i="7" s="1"/>
  <c r="AB391" i="7"/>
  <c r="AC391" i="7" s="1"/>
  <c r="AD391" i="7" s="1"/>
  <c r="AB392" i="7"/>
  <c r="AC392" i="7" s="1"/>
  <c r="AD392" i="7" s="1"/>
  <c r="AB393" i="7"/>
  <c r="AC393" i="7" s="1"/>
  <c r="AD393" i="7" s="1"/>
  <c r="AB394" i="7"/>
  <c r="AC394" i="7" s="1"/>
  <c r="AD394" i="7" s="1"/>
  <c r="AB395" i="7"/>
  <c r="AC395" i="7" s="1"/>
  <c r="AD395" i="7" s="1"/>
  <c r="AB396" i="7"/>
  <c r="AC396" i="7" s="1"/>
  <c r="AD396" i="7" s="1"/>
  <c r="AB397" i="7"/>
  <c r="AC397" i="7" s="1"/>
  <c r="AD397" i="7" s="1"/>
  <c r="AB398" i="7"/>
  <c r="AC398" i="7" s="1"/>
  <c r="AD398" i="7" s="1"/>
  <c r="AB399" i="7"/>
  <c r="AC399" i="7" s="1"/>
  <c r="AD399" i="7" s="1"/>
  <c r="AB400" i="7"/>
  <c r="AC400" i="7" s="1"/>
  <c r="AD400" i="7" s="1"/>
  <c r="AB401" i="7"/>
  <c r="AC401" i="7" s="1"/>
  <c r="AD401" i="7" s="1"/>
  <c r="AB402" i="7"/>
  <c r="AC402" i="7" s="1"/>
  <c r="AD402" i="7" s="1"/>
  <c r="AB403" i="7"/>
  <c r="AC403" i="7" s="1"/>
  <c r="AD403" i="7" s="1"/>
  <c r="AB404" i="7"/>
  <c r="AC404" i="7" s="1"/>
  <c r="AD404" i="7" s="1"/>
  <c r="AB405" i="7"/>
  <c r="AC405" i="7" s="1"/>
  <c r="AD405" i="7" s="1"/>
  <c r="AB406" i="7"/>
  <c r="AC406" i="7" s="1"/>
  <c r="AD406" i="7" s="1"/>
  <c r="AB407" i="7"/>
  <c r="AC407" i="7" s="1"/>
  <c r="AD407" i="7" s="1"/>
  <c r="AB408" i="7"/>
  <c r="AC408" i="7" s="1"/>
  <c r="AD408" i="7" s="1"/>
  <c r="AB409" i="7"/>
  <c r="AC409" i="7" s="1"/>
  <c r="AD409" i="7" s="1"/>
  <c r="AB410" i="7"/>
  <c r="AC410" i="7" s="1"/>
  <c r="AD410" i="7" s="1"/>
  <c r="AB411" i="7"/>
  <c r="AC411" i="7" s="1"/>
  <c r="AD411" i="7" s="1"/>
  <c r="AB412" i="7"/>
  <c r="AC412" i="7" s="1"/>
  <c r="AD412" i="7" s="1"/>
  <c r="AB413" i="7"/>
  <c r="AC413" i="7" s="1"/>
  <c r="AD413" i="7" s="1"/>
  <c r="AB414" i="7"/>
  <c r="AC414" i="7" s="1"/>
  <c r="AD414" i="7" s="1"/>
  <c r="AB415" i="7"/>
  <c r="AC415" i="7" s="1"/>
  <c r="AD415" i="7" s="1"/>
  <c r="AB416" i="7"/>
  <c r="AC416" i="7" s="1"/>
  <c r="AD416" i="7" s="1"/>
  <c r="AB417" i="7"/>
  <c r="AC417" i="7" s="1"/>
  <c r="AD417" i="7" s="1"/>
  <c r="AB418" i="7"/>
  <c r="AC418" i="7" s="1"/>
  <c r="AD418" i="7" s="1"/>
  <c r="AB419" i="7"/>
  <c r="AC419" i="7" s="1"/>
  <c r="AD419" i="7" s="1"/>
  <c r="AB420" i="7"/>
  <c r="AC420" i="7" s="1"/>
  <c r="AD420" i="7" s="1"/>
  <c r="AB421" i="7"/>
  <c r="AC421" i="7" s="1"/>
  <c r="AD421" i="7" s="1"/>
  <c r="AB422" i="7"/>
  <c r="AC422" i="7" s="1"/>
  <c r="AD422" i="7" s="1"/>
  <c r="AB423" i="7"/>
  <c r="AC423" i="7" s="1"/>
  <c r="AD423" i="7" s="1"/>
  <c r="AB424" i="7"/>
  <c r="AC424" i="7" s="1"/>
  <c r="AD424" i="7" s="1"/>
  <c r="AB425" i="7"/>
  <c r="AC425" i="7" s="1"/>
  <c r="AD425" i="7" s="1"/>
  <c r="AB426" i="7"/>
  <c r="AC426" i="7" s="1"/>
  <c r="AD426" i="7" s="1"/>
  <c r="AB427" i="7"/>
  <c r="AC427" i="7" s="1"/>
  <c r="AD427" i="7" s="1"/>
  <c r="AB428" i="7"/>
  <c r="AC428" i="7" s="1"/>
  <c r="AD428" i="7" s="1"/>
  <c r="AB429" i="7"/>
  <c r="AC429" i="7" s="1"/>
  <c r="AD429" i="7" s="1"/>
  <c r="AB430" i="7"/>
  <c r="AC430" i="7" s="1"/>
  <c r="AD430" i="7" s="1"/>
  <c r="AB431" i="7"/>
  <c r="AC431" i="7" s="1"/>
  <c r="AD431" i="7" s="1"/>
  <c r="AB432" i="7"/>
  <c r="AC432" i="7" s="1"/>
  <c r="AD432" i="7" s="1"/>
  <c r="AB433" i="7"/>
  <c r="AC433" i="7" s="1"/>
  <c r="AD433" i="7" s="1"/>
  <c r="AB434" i="7"/>
  <c r="AC434" i="7" s="1"/>
  <c r="AD434" i="7" s="1"/>
  <c r="AB435" i="7"/>
  <c r="AC435" i="7" s="1"/>
  <c r="AD435" i="7" s="1"/>
  <c r="AF2" i="7"/>
  <c r="AF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F35" i="7"/>
  <c r="AF36" i="7"/>
  <c r="AF37" i="7"/>
  <c r="AF38" i="7"/>
  <c r="AF39" i="7"/>
  <c r="AF40" i="7"/>
  <c r="AF41" i="7"/>
  <c r="AF42" i="7"/>
  <c r="AF43" i="7"/>
  <c r="AF44" i="7"/>
  <c r="AF45" i="7"/>
  <c r="AF46" i="7"/>
  <c r="AF47" i="7"/>
  <c r="AF48" i="7"/>
  <c r="AF49" i="7"/>
  <c r="AF50" i="7"/>
  <c r="AF51" i="7"/>
  <c r="AF52" i="7"/>
  <c r="AF53" i="7"/>
  <c r="AF54" i="7"/>
  <c r="AF55" i="7"/>
  <c r="AF56" i="7"/>
  <c r="AF57" i="7"/>
  <c r="AF58" i="7"/>
  <c r="AF59" i="7"/>
  <c r="AF60" i="7"/>
  <c r="AF61" i="7"/>
  <c r="AF62" i="7"/>
  <c r="AF63" i="7"/>
  <c r="AF64" i="7"/>
  <c r="AF65" i="7"/>
  <c r="AF66" i="7"/>
  <c r="AF67" i="7"/>
  <c r="AF68" i="7"/>
  <c r="AF69" i="7"/>
  <c r="AF70" i="7"/>
  <c r="AF71" i="7"/>
  <c r="AF72" i="7"/>
  <c r="AF73" i="7"/>
  <c r="AF74" i="7"/>
  <c r="AF75" i="7"/>
  <c r="AF76" i="7"/>
  <c r="AF77" i="7"/>
  <c r="AF78" i="7"/>
  <c r="AF79" i="7"/>
  <c r="AF80" i="7"/>
  <c r="AF81" i="7"/>
  <c r="AF82" i="7"/>
  <c r="AF83" i="7"/>
  <c r="AF84" i="7"/>
  <c r="AF85" i="7"/>
  <c r="AF86" i="7"/>
  <c r="AF87" i="7"/>
  <c r="AF88" i="7"/>
  <c r="AF89" i="7"/>
  <c r="AF90" i="7"/>
  <c r="AF91" i="7"/>
  <c r="AF92" i="7"/>
  <c r="AF93" i="7"/>
  <c r="AF94" i="7"/>
  <c r="AF95" i="7"/>
  <c r="AF96" i="7"/>
  <c r="AF97" i="7"/>
  <c r="AF98" i="7"/>
  <c r="AF99" i="7"/>
  <c r="AF100" i="7"/>
  <c r="AF101" i="7"/>
  <c r="AF102" i="7"/>
  <c r="AF103" i="7"/>
  <c r="AF104" i="7"/>
  <c r="AF105" i="7"/>
  <c r="AF106" i="7"/>
  <c r="AF107" i="7"/>
  <c r="AF108" i="7"/>
  <c r="AF109" i="7"/>
  <c r="AF110" i="7"/>
  <c r="AF111" i="7"/>
  <c r="AF112" i="7"/>
  <c r="AF113" i="7"/>
  <c r="AF114" i="7"/>
  <c r="AF115" i="7"/>
  <c r="AF116" i="7"/>
  <c r="AF117" i="7"/>
  <c r="AF118" i="7"/>
  <c r="AF119" i="7"/>
  <c r="AF120" i="7"/>
  <c r="AF121" i="7"/>
  <c r="AF122" i="7"/>
  <c r="AF123" i="7"/>
  <c r="AF124" i="7"/>
  <c r="AF125" i="7"/>
  <c r="AF126" i="7"/>
  <c r="AF127" i="7"/>
  <c r="AF128" i="7"/>
  <c r="AF129" i="7"/>
  <c r="AF130" i="7"/>
  <c r="AF131" i="7"/>
  <c r="AF132" i="7"/>
  <c r="AF133" i="7"/>
  <c r="AF134" i="7"/>
  <c r="AF135" i="7"/>
  <c r="AF136" i="7"/>
  <c r="AF137" i="7"/>
  <c r="AF138" i="7"/>
  <c r="AF139" i="7"/>
  <c r="AF140" i="7"/>
  <c r="AF141" i="7"/>
  <c r="AF142" i="7"/>
  <c r="AF143" i="7"/>
  <c r="AF144" i="7"/>
  <c r="AF145" i="7"/>
  <c r="AF146" i="7"/>
  <c r="AF147" i="7"/>
  <c r="AF148" i="7"/>
  <c r="AF149" i="7"/>
  <c r="AF150" i="7"/>
  <c r="AF151" i="7"/>
  <c r="AF152" i="7"/>
  <c r="AF153" i="7"/>
  <c r="AF154" i="7"/>
  <c r="AF155" i="7"/>
  <c r="AF156" i="7"/>
  <c r="AF157" i="7"/>
  <c r="AF158" i="7"/>
  <c r="AF159" i="7"/>
  <c r="AF160" i="7"/>
  <c r="AF161" i="7"/>
  <c r="AF162" i="7"/>
  <c r="AF163" i="7"/>
  <c r="AF164" i="7"/>
  <c r="AF165" i="7"/>
  <c r="AF166" i="7"/>
  <c r="AF167" i="7"/>
  <c r="AF168" i="7"/>
  <c r="AF169" i="7"/>
  <c r="AF170" i="7"/>
  <c r="AF171" i="7"/>
  <c r="AF172" i="7"/>
  <c r="AF173" i="7"/>
  <c r="AF174" i="7"/>
  <c r="AF175" i="7"/>
  <c r="AF176" i="7"/>
  <c r="AF177" i="7"/>
  <c r="AF178" i="7"/>
  <c r="AF179" i="7"/>
  <c r="AF180" i="7"/>
  <c r="AF181" i="7"/>
  <c r="AF182" i="7"/>
  <c r="AF183" i="7"/>
  <c r="AF184" i="7"/>
  <c r="AF185" i="7"/>
  <c r="AF186" i="7"/>
  <c r="AF187" i="7"/>
  <c r="AF188" i="7"/>
  <c r="AF189" i="7"/>
  <c r="AF190" i="7"/>
  <c r="AF191" i="7"/>
  <c r="AF192" i="7"/>
  <c r="AF193" i="7"/>
  <c r="AF194" i="7"/>
  <c r="AF195" i="7"/>
  <c r="AF196" i="7"/>
  <c r="AF197" i="7"/>
  <c r="AF198" i="7"/>
  <c r="AF199" i="7"/>
  <c r="AF200" i="7"/>
  <c r="AF201" i="7"/>
  <c r="AF202" i="7"/>
  <c r="AF203" i="7"/>
  <c r="AF204" i="7"/>
  <c r="AF205" i="7"/>
  <c r="AF206" i="7"/>
  <c r="AF207" i="7"/>
  <c r="AF208" i="7"/>
  <c r="AF209" i="7"/>
  <c r="AF210" i="7"/>
  <c r="AF211" i="7"/>
  <c r="AF212" i="7"/>
  <c r="AF213" i="7"/>
  <c r="AF214" i="7"/>
  <c r="AF215" i="7"/>
  <c r="AF216" i="7"/>
  <c r="AF217" i="7"/>
  <c r="AF218" i="7"/>
  <c r="AF219" i="7"/>
  <c r="AF220" i="7"/>
  <c r="AF221" i="7"/>
  <c r="AF222" i="7"/>
  <c r="AF223" i="7"/>
  <c r="AF224" i="7"/>
  <c r="AF225" i="7"/>
  <c r="AF226" i="7"/>
  <c r="AF227" i="7"/>
  <c r="AF228" i="7"/>
  <c r="AF229" i="7"/>
  <c r="AF230" i="7"/>
  <c r="AF231" i="7"/>
  <c r="AF232" i="7"/>
  <c r="AF233" i="7"/>
  <c r="AF234" i="7"/>
  <c r="AF235" i="7"/>
  <c r="AF236" i="7"/>
  <c r="AF237" i="7"/>
  <c r="AF238" i="7"/>
  <c r="AF239" i="7"/>
  <c r="AF240" i="7"/>
  <c r="AF241" i="7"/>
  <c r="AF242" i="7"/>
  <c r="AF243" i="7"/>
  <c r="AF244" i="7"/>
  <c r="AF245" i="7"/>
  <c r="AF246" i="7"/>
  <c r="AF247" i="7"/>
  <c r="AF248" i="7"/>
  <c r="AF249" i="7"/>
  <c r="AF250" i="7"/>
  <c r="AF251" i="7"/>
  <c r="AF252" i="7"/>
  <c r="AF253" i="7"/>
  <c r="AF254" i="7"/>
  <c r="AF255" i="7"/>
  <c r="AF256" i="7"/>
  <c r="AF257" i="7"/>
  <c r="AF258" i="7"/>
  <c r="AF259" i="7"/>
  <c r="AF260" i="7"/>
  <c r="AF261" i="7"/>
  <c r="AF262" i="7"/>
  <c r="AF263" i="7"/>
  <c r="AF264" i="7"/>
  <c r="AF265" i="7"/>
  <c r="AF266" i="7"/>
  <c r="AF267" i="7"/>
  <c r="AF268" i="7"/>
  <c r="AF269" i="7"/>
  <c r="AF270" i="7"/>
  <c r="AF271" i="7"/>
  <c r="AF272" i="7"/>
  <c r="AF273" i="7"/>
  <c r="AF274" i="7"/>
  <c r="AF275" i="7"/>
  <c r="AF276" i="7"/>
  <c r="AF277" i="7"/>
  <c r="AF278" i="7"/>
  <c r="AF279" i="7"/>
  <c r="AF280" i="7"/>
  <c r="AF281" i="7"/>
  <c r="AF282" i="7"/>
  <c r="AF283" i="7"/>
  <c r="AF284" i="7"/>
  <c r="AF285" i="7"/>
  <c r="AF286" i="7"/>
  <c r="AF287" i="7"/>
  <c r="AF288" i="7"/>
  <c r="AF289" i="7"/>
  <c r="AF290" i="7"/>
  <c r="AF291" i="7"/>
  <c r="AF292" i="7"/>
  <c r="AF293" i="7"/>
  <c r="AF294" i="7"/>
  <c r="AF295" i="7"/>
  <c r="AF296" i="7"/>
  <c r="AF297" i="7"/>
  <c r="AF298" i="7"/>
  <c r="AF299" i="7"/>
  <c r="AF300" i="7"/>
  <c r="AF301" i="7"/>
  <c r="AF302" i="7"/>
  <c r="AF303" i="7"/>
  <c r="AF304" i="7"/>
  <c r="AF305" i="7"/>
  <c r="AF306" i="7"/>
  <c r="AF307" i="7"/>
  <c r="AF308" i="7"/>
  <c r="AF309" i="7"/>
  <c r="AF310" i="7"/>
  <c r="AF311" i="7"/>
  <c r="AF312" i="7"/>
  <c r="AF313" i="7"/>
  <c r="AF314" i="7"/>
  <c r="AF315" i="7"/>
  <c r="AF316" i="7"/>
  <c r="AF317" i="7"/>
  <c r="AF318" i="7"/>
  <c r="AF319" i="7"/>
  <c r="AF320" i="7"/>
  <c r="AF321" i="7"/>
  <c r="AF322" i="7"/>
  <c r="AF323" i="7"/>
  <c r="AF324" i="7"/>
  <c r="AF325" i="7"/>
  <c r="AF326" i="7"/>
  <c r="AF327" i="7"/>
  <c r="AF328" i="7"/>
  <c r="AF329" i="7"/>
  <c r="AF330" i="7"/>
  <c r="AF331" i="7"/>
  <c r="AF332" i="7"/>
  <c r="AF333" i="7"/>
  <c r="AF334" i="7"/>
  <c r="AF335" i="7"/>
  <c r="AF336" i="7"/>
  <c r="AF337" i="7"/>
  <c r="AF338" i="7"/>
  <c r="AF339" i="7"/>
  <c r="AF340" i="7"/>
  <c r="AF341" i="7"/>
  <c r="AF342" i="7"/>
  <c r="AF343" i="7"/>
  <c r="AF344" i="7"/>
  <c r="AF345" i="7"/>
  <c r="AF346" i="7"/>
  <c r="AF347" i="7"/>
  <c r="AF348" i="7"/>
  <c r="AF349" i="7"/>
  <c r="AF350" i="7"/>
  <c r="AF351" i="7"/>
  <c r="AF352" i="7"/>
  <c r="AF353" i="7"/>
  <c r="AF354" i="7"/>
  <c r="AF355" i="7"/>
  <c r="AF356" i="7"/>
  <c r="AF357" i="7"/>
  <c r="AF358" i="7"/>
  <c r="AF359" i="7"/>
  <c r="AF360" i="7"/>
  <c r="AF361" i="7"/>
  <c r="AF362" i="7"/>
  <c r="AF363" i="7"/>
  <c r="AF364" i="7"/>
  <c r="AF365" i="7"/>
  <c r="AF366" i="7"/>
  <c r="AF367" i="7"/>
  <c r="AF368" i="7"/>
  <c r="AF369" i="7"/>
  <c r="AF370" i="7"/>
  <c r="AF371" i="7"/>
  <c r="AF372" i="7"/>
  <c r="AF373" i="7"/>
  <c r="AF374" i="7"/>
  <c r="AF375" i="7"/>
  <c r="AF376" i="7"/>
  <c r="AF377" i="7"/>
  <c r="AF378" i="7"/>
  <c r="AF379" i="7"/>
  <c r="AF380" i="7"/>
  <c r="AF381" i="7"/>
  <c r="AF382" i="7"/>
  <c r="AF383" i="7"/>
  <c r="AF384" i="7"/>
  <c r="AF385" i="7"/>
  <c r="AF386" i="7"/>
  <c r="AF387" i="7"/>
  <c r="AF388" i="7"/>
  <c r="AF389" i="7"/>
  <c r="AF390" i="7"/>
  <c r="AF391" i="7"/>
  <c r="AF392" i="7"/>
  <c r="AF393" i="7"/>
  <c r="AF394" i="7"/>
  <c r="AF395" i="7"/>
  <c r="AF396" i="7"/>
  <c r="AF397" i="7"/>
  <c r="AF398" i="7"/>
  <c r="AF399" i="7"/>
  <c r="AF400" i="7"/>
  <c r="AF401" i="7"/>
  <c r="AF402" i="7"/>
  <c r="AF403" i="7"/>
  <c r="AF404" i="7"/>
  <c r="AF405" i="7"/>
  <c r="AF406" i="7"/>
  <c r="AF407" i="7"/>
  <c r="AF408" i="7"/>
  <c r="AF409" i="7"/>
  <c r="AF410" i="7"/>
  <c r="AF411" i="7"/>
  <c r="AF412" i="7"/>
  <c r="AF413" i="7"/>
  <c r="AF414" i="7"/>
  <c r="AF415" i="7"/>
  <c r="AF416" i="7"/>
  <c r="AF417" i="7"/>
  <c r="AF418" i="7"/>
  <c r="AF419" i="7"/>
  <c r="AF420" i="7"/>
  <c r="AF421" i="7"/>
  <c r="AF422" i="7"/>
  <c r="AF423" i="7"/>
  <c r="AF424" i="7"/>
  <c r="AF425" i="7"/>
  <c r="AF426" i="7"/>
  <c r="AF427" i="7"/>
  <c r="AF428" i="7"/>
  <c r="AF429" i="7"/>
  <c r="AF430" i="7"/>
  <c r="AF431" i="7"/>
  <c r="AF432" i="7"/>
  <c r="AF433" i="7"/>
  <c r="AF434" i="7"/>
  <c r="AF435" i="7"/>
  <c r="AF436" i="7"/>
  <c r="AF437" i="7"/>
  <c r="AF438" i="7"/>
  <c r="AF439" i="7"/>
  <c r="AF440" i="7"/>
  <c r="AF441" i="7"/>
  <c r="AF442" i="7"/>
  <c r="AF443" i="7"/>
  <c r="AF444" i="7"/>
  <c r="AF445" i="7"/>
  <c r="AF446" i="7"/>
  <c r="AF447" i="7"/>
  <c r="AF448" i="7"/>
  <c r="AF449" i="7"/>
  <c r="AF450" i="7"/>
  <c r="AF451" i="7"/>
  <c r="AF452" i="7"/>
  <c r="AF453" i="7"/>
  <c r="AF454" i="7"/>
  <c r="AF455" i="7"/>
  <c r="AF456" i="7"/>
  <c r="AF457" i="7"/>
  <c r="AF458" i="7"/>
  <c r="AF459" i="7"/>
  <c r="AF460" i="7"/>
  <c r="AF461" i="7"/>
  <c r="AF462" i="7"/>
  <c r="AF463" i="7"/>
  <c r="AF464" i="7"/>
  <c r="AF465" i="7"/>
  <c r="AF466" i="7"/>
  <c r="AF467" i="7"/>
  <c r="AF468" i="7"/>
  <c r="AF469" i="7"/>
  <c r="AF470" i="7"/>
  <c r="AF471" i="7"/>
  <c r="AF472" i="7"/>
  <c r="AF473" i="7"/>
  <c r="AF474" i="7"/>
  <c r="AF475" i="7"/>
  <c r="AF476" i="7"/>
  <c r="AF477" i="7"/>
  <c r="AF478" i="7"/>
  <c r="AF479" i="7"/>
  <c r="AF480" i="7"/>
  <c r="AF481" i="7"/>
  <c r="AF482" i="7"/>
  <c r="AF483" i="7"/>
  <c r="AF484" i="7"/>
  <c r="AF485" i="7"/>
  <c r="AF486" i="7"/>
  <c r="AF487" i="7"/>
  <c r="AF488" i="7"/>
  <c r="AF489" i="7"/>
  <c r="AF490" i="7"/>
  <c r="AF491" i="7"/>
  <c r="AF492" i="7"/>
  <c r="AF493" i="7"/>
  <c r="AF494" i="7"/>
  <c r="AF495" i="7"/>
  <c r="AF496" i="7"/>
  <c r="AF497" i="7"/>
  <c r="AF498" i="7"/>
  <c r="AF499" i="7"/>
  <c r="AF500" i="7"/>
  <c r="AF501" i="7"/>
  <c r="AF502" i="7"/>
  <c r="AF503" i="7"/>
  <c r="AF504" i="7"/>
  <c r="AF505" i="7"/>
  <c r="AF506" i="7"/>
  <c r="AF507" i="7"/>
  <c r="AF508" i="7"/>
  <c r="AF509" i="7"/>
  <c r="AF510" i="7"/>
  <c r="AF511" i="7"/>
  <c r="AF512" i="7"/>
  <c r="AF513" i="7"/>
  <c r="AF514" i="7"/>
  <c r="AF515" i="7"/>
  <c r="AF516" i="7"/>
  <c r="AF517" i="7"/>
  <c r="AF518" i="7"/>
  <c r="AF519" i="7"/>
  <c r="AF520" i="7"/>
  <c r="AF521" i="7"/>
  <c r="AF522" i="7"/>
  <c r="AF523" i="7"/>
  <c r="AF524" i="7"/>
  <c r="AF525" i="7"/>
  <c r="AF526" i="7"/>
  <c r="AF527" i="7"/>
  <c r="AF528" i="7"/>
  <c r="AF529" i="7"/>
  <c r="AF530" i="7"/>
  <c r="AF531" i="7"/>
  <c r="AF532" i="7"/>
  <c r="AF533" i="7"/>
  <c r="AF534" i="7"/>
  <c r="AF535" i="7"/>
  <c r="AF536" i="7"/>
  <c r="AF537" i="7"/>
  <c r="AF538" i="7"/>
  <c r="AF539" i="7"/>
  <c r="AF540" i="7"/>
  <c r="AF541" i="7"/>
  <c r="AF542" i="7"/>
  <c r="AF543" i="7"/>
  <c r="AF544" i="7"/>
  <c r="AF545" i="7"/>
  <c r="AF546" i="7"/>
  <c r="AF547" i="7"/>
  <c r="AF548" i="7"/>
  <c r="AF549" i="7"/>
  <c r="AF550" i="7"/>
  <c r="AF551" i="7"/>
  <c r="AF552" i="7"/>
  <c r="AF553" i="7"/>
  <c r="AF554" i="7"/>
  <c r="AF555" i="7"/>
  <c r="AF556" i="7"/>
  <c r="AF557" i="7"/>
  <c r="AF558" i="7"/>
  <c r="AF559" i="7"/>
  <c r="AF560" i="7"/>
  <c r="AF561" i="7"/>
  <c r="AF562" i="7"/>
  <c r="AF563" i="7"/>
  <c r="AF564" i="7"/>
  <c r="AF565" i="7"/>
  <c r="AF566" i="7"/>
  <c r="AF567" i="7"/>
  <c r="AF568" i="7"/>
  <c r="AF569" i="7"/>
  <c r="AF570" i="7"/>
  <c r="AF571" i="7"/>
  <c r="AF572" i="7"/>
  <c r="AF573" i="7"/>
  <c r="AF574" i="7"/>
  <c r="AF575" i="7"/>
  <c r="AF576" i="7"/>
  <c r="AF577" i="7"/>
  <c r="AF578" i="7"/>
  <c r="AF579" i="7"/>
  <c r="AF580" i="7"/>
  <c r="AF581" i="7"/>
  <c r="AF582" i="7"/>
  <c r="AF583" i="7"/>
  <c r="AF584" i="7"/>
  <c r="AF585" i="7"/>
  <c r="AF586" i="7"/>
  <c r="AF587" i="7"/>
  <c r="AF588" i="7"/>
  <c r="AF589" i="7"/>
  <c r="AF590" i="7"/>
  <c r="AF591" i="7"/>
  <c r="AF592" i="7"/>
  <c r="AF593" i="7"/>
  <c r="AF594" i="7"/>
  <c r="AF595" i="7"/>
  <c r="AF596" i="7"/>
  <c r="AF597" i="7"/>
  <c r="AF598" i="7"/>
  <c r="AF599" i="7"/>
  <c r="AF600" i="7"/>
  <c r="AF601" i="7"/>
  <c r="AF602" i="7"/>
  <c r="AF603" i="7"/>
  <c r="AF604" i="7"/>
  <c r="AF605" i="7"/>
  <c r="AF606" i="7"/>
  <c r="AF607" i="7"/>
  <c r="AF608" i="7"/>
  <c r="AF609" i="7"/>
  <c r="AF610" i="7"/>
  <c r="AF611" i="7"/>
  <c r="AF612" i="7"/>
  <c r="AF613" i="7"/>
  <c r="AF614" i="7"/>
  <c r="AF615" i="7"/>
  <c r="AF616" i="7"/>
  <c r="AF617" i="7"/>
  <c r="AF618" i="7"/>
  <c r="AF619" i="7"/>
  <c r="AF620" i="7"/>
  <c r="AF621" i="7"/>
  <c r="AF622" i="7"/>
  <c r="AF623" i="7"/>
  <c r="AF624" i="7"/>
  <c r="AF625" i="7"/>
  <c r="AF626" i="7"/>
  <c r="AF627" i="7"/>
  <c r="AF628" i="7"/>
  <c r="AF629" i="7"/>
  <c r="AF630" i="7"/>
  <c r="AF631" i="7"/>
  <c r="AF632" i="7"/>
  <c r="AF633" i="7"/>
  <c r="AF634" i="7"/>
  <c r="AF635" i="7"/>
  <c r="AF636" i="7"/>
  <c r="AF637" i="7"/>
  <c r="AF638" i="7"/>
  <c r="AF639" i="7"/>
  <c r="AF640" i="7"/>
  <c r="AF641" i="7"/>
  <c r="AF642" i="7"/>
  <c r="AF643" i="7"/>
  <c r="AF644" i="7"/>
  <c r="AF645" i="7"/>
  <c r="AF646" i="7"/>
  <c r="AF647" i="7"/>
  <c r="AF648" i="7"/>
  <c r="AF649" i="7"/>
  <c r="AF650" i="7"/>
  <c r="AF651" i="7"/>
  <c r="AF652" i="7"/>
  <c r="AF653" i="7"/>
  <c r="AF654" i="7"/>
  <c r="AF655" i="7"/>
  <c r="AF656" i="7"/>
  <c r="AF657" i="7"/>
  <c r="AF658" i="7"/>
  <c r="AF659" i="7"/>
  <c r="AF660" i="7"/>
  <c r="AF661" i="7"/>
  <c r="AF662" i="7"/>
  <c r="AF663" i="7"/>
  <c r="AF664" i="7"/>
  <c r="AF665" i="7"/>
  <c r="AF666" i="7"/>
  <c r="AF667" i="7"/>
  <c r="AF668" i="7"/>
  <c r="AF669" i="7"/>
  <c r="AF670" i="7"/>
  <c r="AF671" i="7"/>
  <c r="AF672" i="7"/>
  <c r="AF673" i="7"/>
  <c r="AF674" i="7"/>
  <c r="AF675" i="7"/>
  <c r="AF676" i="7"/>
  <c r="AF677" i="7"/>
  <c r="AF678" i="7"/>
  <c r="AF679" i="7"/>
  <c r="AF680" i="7"/>
  <c r="AF681" i="7"/>
  <c r="AF682" i="7"/>
  <c r="AF683" i="7"/>
  <c r="AF684" i="7"/>
  <c r="AF685" i="7"/>
  <c r="AF686" i="7"/>
  <c r="AF687" i="7"/>
  <c r="AF688" i="7"/>
  <c r="AF689" i="7"/>
  <c r="AF690" i="7"/>
  <c r="AF691" i="7"/>
  <c r="AF692" i="7"/>
  <c r="AF693" i="7"/>
  <c r="AF694" i="7"/>
  <c r="AF695" i="7"/>
  <c r="AF696" i="7"/>
  <c r="AF697" i="7"/>
  <c r="AF698" i="7"/>
  <c r="AF699" i="7"/>
  <c r="AF700" i="7"/>
  <c r="AF701" i="7"/>
  <c r="AF702" i="7"/>
  <c r="AF703" i="7"/>
  <c r="AF704" i="7"/>
  <c r="AF705" i="7"/>
  <c r="AF706" i="7"/>
  <c r="AF707" i="7"/>
  <c r="AF708" i="7"/>
  <c r="AF709" i="7"/>
  <c r="AF710" i="7"/>
  <c r="AF711" i="7"/>
  <c r="AF712" i="7"/>
  <c r="AF713" i="7"/>
  <c r="AF714" i="7"/>
  <c r="AF715" i="7"/>
  <c r="AF716" i="7"/>
  <c r="AF717" i="7"/>
  <c r="AF718" i="7"/>
  <c r="AF719" i="7"/>
  <c r="AF720" i="7"/>
  <c r="AF721" i="7"/>
  <c r="AF722" i="7"/>
  <c r="AF723" i="7"/>
  <c r="AF724" i="7"/>
  <c r="AF725" i="7"/>
  <c r="AF726" i="7"/>
  <c r="AF727" i="7"/>
  <c r="AF728" i="7"/>
  <c r="AF729" i="7"/>
  <c r="AF730" i="7"/>
  <c r="AF731" i="7"/>
  <c r="AF732" i="7"/>
  <c r="AF733" i="7"/>
  <c r="AF734" i="7"/>
  <c r="AF735" i="7"/>
  <c r="AF736" i="7"/>
  <c r="AF737" i="7"/>
  <c r="AF738" i="7"/>
  <c r="AF739" i="7"/>
  <c r="AF740" i="7"/>
  <c r="AF741" i="7"/>
  <c r="AF742" i="7"/>
  <c r="AF743" i="7"/>
  <c r="AF744" i="7"/>
  <c r="AF745" i="7"/>
  <c r="AF746" i="7"/>
  <c r="AF747" i="7"/>
  <c r="AF748" i="7"/>
  <c r="AF749" i="7"/>
  <c r="AF750" i="7"/>
  <c r="AF751" i="7"/>
  <c r="AF752" i="7"/>
  <c r="AF753" i="7"/>
  <c r="AF754" i="7"/>
  <c r="AG754" i="7" s="1"/>
  <c r="AH754" i="7" s="1"/>
  <c r="AF755" i="7"/>
  <c r="AG755" i="7" s="1"/>
  <c r="AH755" i="7" s="1"/>
  <c r="AF756" i="7"/>
  <c r="AG756" i="7" s="1"/>
  <c r="AH756" i="7" s="1"/>
  <c r="AF757" i="7"/>
  <c r="AG757" i="7" s="1"/>
  <c r="AF758" i="7"/>
  <c r="AG758" i="7" s="1"/>
  <c r="AH758" i="7" s="1"/>
  <c r="AF759" i="7"/>
  <c r="AG759" i="7" s="1"/>
  <c r="AH759" i="7" s="1"/>
  <c r="AF760" i="7"/>
  <c r="AG760" i="7" s="1"/>
  <c r="AH760" i="7" s="1"/>
  <c r="AF761" i="7"/>
  <c r="AG761" i="7" s="1"/>
  <c r="AH761" i="7" s="1"/>
  <c r="AF762" i="7"/>
  <c r="AG762" i="7" s="1"/>
  <c r="AH762" i="7" s="1"/>
  <c r="AF763" i="7"/>
  <c r="AG763" i="7" s="1"/>
  <c r="AH763" i="7" s="1"/>
  <c r="AF764" i="7"/>
  <c r="AG764" i="7" s="1"/>
  <c r="AH764" i="7" s="1"/>
  <c r="AF765" i="7"/>
  <c r="AG765" i="7" s="1"/>
  <c r="AH765" i="7" s="1"/>
  <c r="AF766" i="7"/>
  <c r="AG766" i="7" s="1"/>
  <c r="AH766" i="7" s="1"/>
  <c r="AF767" i="7"/>
  <c r="AG767" i="7" s="1"/>
  <c r="AH767" i="7" s="1"/>
  <c r="AF768" i="7"/>
  <c r="AG768" i="7" s="1"/>
  <c r="AH768" i="7" s="1"/>
  <c r="AF769" i="7"/>
  <c r="AG769" i="7" s="1"/>
  <c r="AH769" i="7" s="1"/>
  <c r="AF770" i="7"/>
  <c r="AG770" i="7" s="1"/>
  <c r="AH770" i="7" s="1"/>
  <c r="AF771" i="7"/>
  <c r="AG771" i="7" s="1"/>
  <c r="AH771" i="7" s="1"/>
  <c r="AF772" i="7"/>
  <c r="AG772" i="7" s="1"/>
  <c r="AH772" i="7" s="1"/>
  <c r="AF773" i="7"/>
  <c r="AG773" i="7" s="1"/>
  <c r="AH773" i="7" s="1"/>
  <c r="AF774" i="7"/>
  <c r="AG774" i="7" s="1"/>
  <c r="AH774" i="7" s="1"/>
  <c r="AF775" i="7"/>
  <c r="AG775" i="7" s="1"/>
  <c r="AH775" i="7" s="1"/>
  <c r="AF776" i="7"/>
  <c r="AG776" i="7" s="1"/>
  <c r="AH776" i="7" s="1"/>
  <c r="AF777" i="7"/>
  <c r="AG777" i="7" s="1"/>
  <c r="AH777" i="7" s="1"/>
  <c r="AF778" i="7"/>
  <c r="AG778" i="7" s="1"/>
  <c r="AH778" i="7" s="1"/>
  <c r="AF779" i="7"/>
  <c r="AG779" i="7" s="1"/>
  <c r="AH779" i="7" s="1"/>
  <c r="AF780" i="7"/>
  <c r="AG780" i="7" s="1"/>
  <c r="AH780" i="7" s="1"/>
  <c r="AF781" i="7"/>
  <c r="AG781" i="7" s="1"/>
  <c r="AH781" i="7" s="1"/>
  <c r="AF782" i="7"/>
  <c r="AG782" i="7" s="1"/>
  <c r="AH782" i="7" s="1"/>
  <c r="AF783" i="7"/>
  <c r="AG783" i="7" s="1"/>
  <c r="AH783" i="7" s="1"/>
  <c r="AF784" i="7"/>
  <c r="AG784" i="7" s="1"/>
  <c r="AH784" i="7" s="1"/>
  <c r="AF785" i="7"/>
  <c r="AG785" i="7" s="1"/>
  <c r="AH785" i="7" s="1"/>
  <c r="AF786" i="7"/>
  <c r="AG786" i="7" s="1"/>
  <c r="AH786" i="7" s="1"/>
  <c r="AF787" i="7"/>
  <c r="AG787" i="7" s="1"/>
  <c r="AH787" i="7" s="1"/>
  <c r="AF788" i="7"/>
  <c r="AG788" i="7" s="1"/>
  <c r="AH788" i="7" s="1"/>
  <c r="AF789" i="7"/>
  <c r="AG789" i="7" s="1"/>
  <c r="AF790" i="7"/>
  <c r="AG790" i="7" s="1"/>
  <c r="AH790" i="7" s="1"/>
  <c r="AF791" i="7"/>
  <c r="AG791" i="7" s="1"/>
  <c r="AH791" i="7" s="1"/>
  <c r="AF792" i="7"/>
  <c r="AG792" i="7" s="1"/>
  <c r="AH792" i="7" s="1"/>
  <c r="AF793" i="7"/>
  <c r="AG793" i="7" s="1"/>
  <c r="AH793" i="7" s="1"/>
  <c r="AF794" i="7"/>
  <c r="AG794" i="7" s="1"/>
  <c r="AH794" i="7" s="1"/>
  <c r="AF795" i="7"/>
  <c r="AG795" i="7" s="1"/>
  <c r="AH795" i="7" s="1"/>
  <c r="AF796" i="7"/>
  <c r="AG796" i="7" s="1"/>
  <c r="AH796" i="7" s="1"/>
  <c r="AF797" i="7"/>
  <c r="AG797" i="7" s="1"/>
  <c r="AH797" i="7" s="1"/>
  <c r="AF798" i="7"/>
  <c r="AG798" i="7" s="1"/>
  <c r="AH798" i="7" s="1"/>
  <c r="AF799" i="7"/>
  <c r="AG799" i="7" s="1"/>
  <c r="AH799" i="7" s="1"/>
  <c r="AF800" i="7"/>
  <c r="AG800" i="7" s="1"/>
  <c r="AH800" i="7" s="1"/>
  <c r="AF801" i="7"/>
  <c r="AG801" i="7" s="1"/>
  <c r="AH801" i="7" s="1"/>
  <c r="AF802" i="7"/>
  <c r="AG802" i="7" s="1"/>
  <c r="AH802" i="7" s="1"/>
  <c r="AF803" i="7"/>
  <c r="AG803" i="7" s="1"/>
  <c r="AH803" i="7" s="1"/>
  <c r="AF804" i="7"/>
  <c r="AG804" i="7" s="1"/>
  <c r="AH804" i="7" s="1"/>
  <c r="AF805" i="7"/>
  <c r="AG805" i="7" s="1"/>
  <c r="AH805" i="7" s="1"/>
  <c r="AF806" i="7"/>
  <c r="AG806" i="7" s="1"/>
  <c r="AH806" i="7" s="1"/>
  <c r="AF807" i="7"/>
  <c r="AG807" i="7" s="1"/>
  <c r="AH807" i="7" s="1"/>
  <c r="AF808" i="7"/>
  <c r="AG808" i="7" s="1"/>
  <c r="AH808" i="7" s="1"/>
  <c r="AF809" i="7"/>
  <c r="AG809" i="7" s="1"/>
  <c r="AH809" i="7" s="1"/>
  <c r="AF810" i="7"/>
  <c r="AG810" i="7" s="1"/>
  <c r="AH810" i="7" s="1"/>
  <c r="AF811" i="7"/>
  <c r="AG811" i="7" s="1"/>
  <c r="AH811" i="7" s="1"/>
  <c r="AF812" i="7"/>
  <c r="AG812" i="7" s="1"/>
  <c r="AH812" i="7" s="1"/>
  <c r="AF813" i="7"/>
  <c r="AG813" i="7" s="1"/>
  <c r="AH813" i="7" s="1"/>
  <c r="AF814" i="7"/>
  <c r="AG814" i="7" s="1"/>
  <c r="AH814" i="7" s="1"/>
  <c r="AF815" i="7"/>
  <c r="AG815" i="7" s="1"/>
  <c r="AH815" i="7" s="1"/>
  <c r="AF816" i="7"/>
  <c r="AG816" i="7" s="1"/>
  <c r="AH816" i="7" s="1"/>
  <c r="AF817" i="7"/>
  <c r="AG817" i="7" s="1"/>
  <c r="AH817" i="7" s="1"/>
  <c r="AF818" i="7"/>
  <c r="AG818" i="7" s="1"/>
  <c r="AH818" i="7" s="1"/>
  <c r="AF819" i="7"/>
  <c r="AG819" i="7" s="1"/>
  <c r="AH819" i="7" s="1"/>
  <c r="AF820" i="7"/>
  <c r="AG820" i="7" s="1"/>
  <c r="AH820" i="7" s="1"/>
  <c r="AF821" i="7"/>
  <c r="AG821" i="7" s="1"/>
  <c r="AH821" i="7" s="1"/>
  <c r="AF822" i="7"/>
  <c r="AG822" i="7" s="1"/>
  <c r="AH822" i="7" s="1"/>
  <c r="AF823" i="7"/>
  <c r="AG823" i="7" s="1"/>
  <c r="AH823" i="7" s="1"/>
  <c r="AF824" i="7"/>
  <c r="AG824" i="7" s="1"/>
  <c r="AH824" i="7" s="1"/>
  <c r="AF825" i="7"/>
  <c r="AG825" i="7" s="1"/>
  <c r="AH825" i="7" s="1"/>
  <c r="AF826" i="7"/>
  <c r="AG826" i="7" s="1"/>
  <c r="AH826" i="7" s="1"/>
  <c r="AF827" i="7"/>
  <c r="AG827" i="7" s="1"/>
  <c r="AH827" i="7" s="1"/>
  <c r="AF828" i="7"/>
  <c r="AG828" i="7" s="1"/>
  <c r="AH828" i="7" s="1"/>
  <c r="AF829" i="7"/>
  <c r="AG829" i="7" s="1"/>
  <c r="AH829" i="7" s="1"/>
  <c r="AF830" i="7"/>
  <c r="AG830" i="7" s="1"/>
  <c r="AH830" i="7" s="1"/>
  <c r="AF831" i="7"/>
  <c r="AG831" i="7" s="1"/>
  <c r="AH831" i="7" s="1"/>
  <c r="AF832" i="7"/>
  <c r="AG832" i="7" s="1"/>
  <c r="AH832" i="7" s="1"/>
  <c r="AF833" i="7"/>
  <c r="AG833" i="7" s="1"/>
  <c r="AH833" i="7" s="1"/>
  <c r="AF834" i="7"/>
  <c r="AG834" i="7" s="1"/>
  <c r="AH834" i="7" s="1"/>
  <c r="AF835" i="7"/>
  <c r="AG835" i="7" s="1"/>
  <c r="AH835" i="7" s="1"/>
  <c r="AF836" i="7"/>
  <c r="AG836" i="7" s="1"/>
  <c r="AH836" i="7" s="1"/>
  <c r="AF837" i="7"/>
  <c r="AG837" i="7" s="1"/>
  <c r="AH837" i="7" s="1"/>
  <c r="AF838" i="7"/>
  <c r="AG838" i="7" s="1"/>
  <c r="AH838" i="7" s="1"/>
  <c r="AF839" i="7"/>
  <c r="AG839" i="7" s="1"/>
  <c r="AH839" i="7" s="1"/>
  <c r="AF840" i="7"/>
  <c r="AG840" i="7" s="1"/>
  <c r="AH840" i="7" s="1"/>
  <c r="AF841" i="7"/>
  <c r="AG841" i="7" s="1"/>
  <c r="AH841" i="7" s="1"/>
  <c r="AF842" i="7"/>
  <c r="AG842" i="7" s="1"/>
  <c r="AH842" i="7" s="1"/>
  <c r="AF843" i="7"/>
  <c r="AG843" i="7" s="1"/>
  <c r="AH843" i="7" s="1"/>
  <c r="AF844" i="7"/>
  <c r="AG844" i="7" s="1"/>
  <c r="AH844" i="7" s="1"/>
  <c r="AF845" i="7"/>
  <c r="AG845" i="7" s="1"/>
  <c r="AH845" i="7" s="1"/>
  <c r="AF846" i="7"/>
  <c r="AG846" i="7" s="1"/>
  <c r="AH846" i="7" s="1"/>
  <c r="AF847" i="7"/>
  <c r="AG847" i="7" s="1"/>
  <c r="AH847" i="7" s="1"/>
  <c r="AF848" i="7"/>
  <c r="AG848" i="7" s="1"/>
  <c r="AH848" i="7" s="1"/>
  <c r="AF849" i="7"/>
  <c r="AG849" i="7" s="1"/>
  <c r="AH849" i="7" s="1"/>
  <c r="AF850" i="7"/>
  <c r="AG850" i="7" s="1"/>
  <c r="AH850" i="7" s="1"/>
  <c r="AF851" i="7"/>
  <c r="AG851" i="7" s="1"/>
  <c r="AH851" i="7" s="1"/>
  <c r="AF852" i="7"/>
  <c r="AG852" i="7" s="1"/>
  <c r="AH852" i="7" s="1"/>
  <c r="AF853" i="7"/>
  <c r="AG853" i="7" s="1"/>
  <c r="AH853" i="7" s="1"/>
  <c r="AF854" i="7"/>
  <c r="AG854" i="7" s="1"/>
  <c r="AH854" i="7" s="1"/>
  <c r="AF855" i="7"/>
  <c r="AG855" i="7" s="1"/>
  <c r="AH855" i="7" s="1"/>
  <c r="AF856" i="7"/>
  <c r="AG856" i="7" s="1"/>
  <c r="AH856" i="7" s="1"/>
  <c r="AF857" i="7"/>
  <c r="AG857" i="7" s="1"/>
  <c r="AH857" i="7" s="1"/>
  <c r="AF858" i="7"/>
  <c r="AG858" i="7" s="1"/>
  <c r="AH858" i="7" s="1"/>
  <c r="AF859" i="7"/>
  <c r="AG859" i="7" s="1"/>
  <c r="AH859" i="7" s="1"/>
  <c r="AF860" i="7"/>
  <c r="AG860" i="7" s="1"/>
  <c r="AH860" i="7" s="1"/>
  <c r="AF861" i="7"/>
  <c r="AG861" i="7" s="1"/>
  <c r="AH861" i="7" s="1"/>
  <c r="AF862" i="7"/>
  <c r="AG862" i="7" s="1"/>
  <c r="AH862" i="7" s="1"/>
  <c r="AF863" i="7"/>
  <c r="AG863" i="7" s="1"/>
  <c r="AH863" i="7" s="1"/>
  <c r="AF864" i="7"/>
  <c r="AG864" i="7" s="1"/>
  <c r="AH864" i="7" s="1"/>
  <c r="AF865" i="7"/>
  <c r="AG865" i="7" s="1"/>
  <c r="AH865" i="7" s="1"/>
  <c r="AF866" i="7"/>
  <c r="AG866" i="7" s="1"/>
  <c r="AH866" i="7" s="1"/>
  <c r="AF867" i="7"/>
  <c r="AG867" i="7" s="1"/>
  <c r="AH867" i="7" s="1"/>
  <c r="AF868" i="7"/>
  <c r="AG868" i="7" s="1"/>
  <c r="AH868" i="7" s="1"/>
  <c r="AF869" i="7"/>
  <c r="AG869" i="7" s="1"/>
  <c r="AH869" i="7" s="1"/>
  <c r="AF870" i="7"/>
  <c r="AG870" i="7" s="1"/>
  <c r="AH870" i="7" s="1"/>
  <c r="AF871" i="7"/>
  <c r="AG871" i="7" s="1"/>
  <c r="AF872" i="7"/>
  <c r="AG872" i="7" s="1"/>
  <c r="AH872" i="7" s="1"/>
  <c r="AF873" i="7"/>
  <c r="AG873" i="7" s="1"/>
  <c r="AH873" i="7" s="1"/>
  <c r="AF874" i="7"/>
  <c r="AG874" i="7" s="1"/>
  <c r="AH874" i="7" s="1"/>
  <c r="AF875" i="7"/>
  <c r="AG875" i="7" s="1"/>
  <c r="AH875" i="7" s="1"/>
  <c r="AF876" i="7"/>
  <c r="AG876" i="7" s="1"/>
  <c r="AH876" i="7" s="1"/>
  <c r="AF877" i="7"/>
  <c r="AG877" i="7" s="1"/>
  <c r="AH877" i="7" s="1"/>
  <c r="AF878" i="7"/>
  <c r="AG878" i="7" s="1"/>
  <c r="AH878" i="7" s="1"/>
  <c r="AF879" i="7"/>
  <c r="AG879" i="7" s="1"/>
  <c r="AH879" i="7" s="1"/>
  <c r="AF880" i="7"/>
  <c r="AG880" i="7" s="1"/>
  <c r="AH880" i="7" s="1"/>
  <c r="AF881" i="7"/>
  <c r="AG881" i="7" s="1"/>
  <c r="AH881" i="7" s="1"/>
  <c r="AF882" i="7"/>
  <c r="AG882" i="7" s="1"/>
  <c r="AH882" i="7" s="1"/>
  <c r="AF883" i="7"/>
  <c r="AG883" i="7" s="1"/>
  <c r="AH883" i="7" s="1"/>
  <c r="AF884" i="7"/>
  <c r="AG884" i="7" s="1"/>
  <c r="AH884" i="7" s="1"/>
  <c r="AF885" i="7"/>
  <c r="AG885" i="7" s="1"/>
  <c r="AH885" i="7" s="1"/>
  <c r="AF886" i="7"/>
  <c r="AG886" i="7" s="1"/>
  <c r="AH886" i="7" s="1"/>
  <c r="AF887" i="7"/>
  <c r="AG887" i="7" s="1"/>
  <c r="AH887" i="7" s="1"/>
  <c r="AF888" i="7"/>
  <c r="AG888" i="7" s="1"/>
  <c r="AH888" i="7" s="1"/>
  <c r="AF889" i="7"/>
  <c r="AG889" i="7" s="1"/>
  <c r="AH889" i="7" s="1"/>
  <c r="AF890" i="7"/>
  <c r="AG890" i="7" s="1"/>
  <c r="AH890" i="7" s="1"/>
  <c r="AF891" i="7"/>
  <c r="AG891" i="7" s="1"/>
  <c r="AH891" i="7" s="1"/>
  <c r="AF892" i="7"/>
  <c r="AG892" i="7" s="1"/>
  <c r="AH892" i="7" s="1"/>
  <c r="AF893" i="7"/>
  <c r="AG893" i="7" s="1"/>
  <c r="AH893" i="7" s="1"/>
  <c r="AF894" i="7"/>
  <c r="AG894" i="7" s="1"/>
  <c r="AH894" i="7" s="1"/>
  <c r="AF895" i="7"/>
  <c r="AG895" i="7" s="1"/>
  <c r="AH895" i="7" s="1"/>
  <c r="AF896" i="7"/>
  <c r="AG896" i="7" s="1"/>
  <c r="AH896" i="7" s="1"/>
  <c r="AF897" i="7"/>
  <c r="AG897" i="7" s="1"/>
  <c r="AH897" i="7" s="1"/>
  <c r="AF898" i="7"/>
  <c r="AG898" i="7" s="1"/>
  <c r="AH898" i="7" s="1"/>
  <c r="AF899" i="7"/>
  <c r="AG899" i="7" s="1"/>
  <c r="AH899" i="7" s="1"/>
  <c r="AF900" i="7"/>
  <c r="AG900" i="7" s="1"/>
  <c r="AH900" i="7" s="1"/>
  <c r="AF901" i="7"/>
  <c r="AG901" i="7" s="1"/>
  <c r="AH901" i="7" s="1"/>
  <c r="AF902" i="7"/>
  <c r="AG902" i="7" s="1"/>
  <c r="AH902" i="7" s="1"/>
  <c r="AF903" i="7"/>
  <c r="AG903" i="7" s="1"/>
  <c r="AH903" i="7" s="1"/>
  <c r="AF904" i="7"/>
  <c r="AG904" i="7" s="1"/>
  <c r="AH904" i="7" s="1"/>
  <c r="AF905" i="7"/>
  <c r="AG905" i="7" s="1"/>
  <c r="AH905" i="7" s="1"/>
  <c r="AF906" i="7"/>
  <c r="AG906" i="7" s="1"/>
  <c r="AH906" i="7" s="1"/>
  <c r="AF907" i="7"/>
  <c r="AG907" i="7" s="1"/>
  <c r="AH907" i="7" s="1"/>
  <c r="AF908" i="7"/>
  <c r="AG908" i="7" s="1"/>
  <c r="AH908" i="7" s="1"/>
  <c r="AF909" i="7"/>
  <c r="AG909" i="7" s="1"/>
  <c r="AH909" i="7" s="1"/>
  <c r="AF910" i="7"/>
  <c r="AG910" i="7" s="1"/>
  <c r="AH910" i="7" s="1"/>
  <c r="AF911" i="7"/>
  <c r="AG911" i="7" s="1"/>
  <c r="AH911" i="7" s="1"/>
  <c r="AF912" i="7"/>
  <c r="AG912" i="7" s="1"/>
  <c r="AH912" i="7" s="1"/>
  <c r="AF913" i="7"/>
  <c r="AG913" i="7" s="1"/>
  <c r="AH913" i="7" s="1"/>
  <c r="AF914" i="7"/>
  <c r="AG914" i="7" s="1"/>
  <c r="AH914" i="7" s="1"/>
  <c r="AF915" i="7"/>
  <c r="AG915" i="7" s="1"/>
  <c r="AH915" i="7" s="1"/>
  <c r="AF916" i="7"/>
  <c r="AG916" i="7" s="1"/>
  <c r="AH916" i="7" s="1"/>
  <c r="AF917" i="7"/>
  <c r="AG917" i="7" s="1"/>
  <c r="AH917" i="7" s="1"/>
  <c r="AF918" i="7"/>
  <c r="AG918" i="7" s="1"/>
  <c r="AH918" i="7" s="1"/>
  <c r="AF919" i="7"/>
  <c r="AG919" i="7" s="1"/>
  <c r="AH919" i="7" s="1"/>
  <c r="AF920" i="7"/>
  <c r="AG920" i="7" s="1"/>
  <c r="AH920" i="7" s="1"/>
  <c r="AF921" i="7"/>
  <c r="AG921" i="7" s="1"/>
  <c r="AH921" i="7" s="1"/>
  <c r="AF922" i="7"/>
  <c r="AG922" i="7" s="1"/>
  <c r="AH922" i="7" s="1"/>
  <c r="AF923" i="7"/>
  <c r="AG923" i="7" s="1"/>
  <c r="AH923" i="7" s="1"/>
  <c r="AF924" i="7"/>
  <c r="AG924" i="7" s="1"/>
  <c r="AH924" i="7" s="1"/>
  <c r="AF925" i="7"/>
  <c r="AG925" i="7" s="1"/>
  <c r="AH925" i="7" s="1"/>
  <c r="AF926" i="7"/>
  <c r="AG926" i="7" s="1"/>
  <c r="AH926" i="7" s="1"/>
  <c r="AF927" i="7"/>
  <c r="AG927" i="7" s="1"/>
  <c r="AH927" i="7" s="1"/>
  <c r="AF928" i="7"/>
  <c r="AG928" i="7" s="1"/>
  <c r="AH928" i="7" s="1"/>
  <c r="AF929" i="7"/>
  <c r="AG929" i="7" s="1"/>
  <c r="AH929" i="7" s="1"/>
  <c r="AF930" i="7"/>
  <c r="AG930" i="7" s="1"/>
  <c r="AH930" i="7" s="1"/>
  <c r="AF931" i="7"/>
  <c r="AG931" i="7" s="1"/>
  <c r="AH931" i="7" s="1"/>
  <c r="AF932" i="7"/>
  <c r="AG932" i="7" s="1"/>
  <c r="AH932" i="7" s="1"/>
  <c r="AF933" i="7"/>
  <c r="AG933" i="7" s="1"/>
  <c r="AH933" i="7" s="1"/>
  <c r="AF934" i="7"/>
  <c r="AG934" i="7" s="1"/>
  <c r="AH934" i="7" s="1"/>
  <c r="AF935" i="7"/>
  <c r="AG935" i="7" s="1"/>
  <c r="AH935" i="7" s="1"/>
  <c r="AF936" i="7"/>
  <c r="AG936" i="7" s="1"/>
  <c r="AH936" i="7" s="1"/>
  <c r="AF937" i="7"/>
  <c r="AG937" i="7" s="1"/>
  <c r="AH937" i="7" s="1"/>
  <c r="AF938" i="7"/>
  <c r="AG938" i="7" s="1"/>
  <c r="AH938" i="7" s="1"/>
  <c r="AF939" i="7"/>
  <c r="AG939" i="7" s="1"/>
  <c r="AH939" i="7" s="1"/>
  <c r="AF940" i="7"/>
  <c r="AG940" i="7" s="1"/>
  <c r="AH940" i="7" s="1"/>
  <c r="AF941" i="7"/>
  <c r="AG941" i="7" s="1"/>
  <c r="AH941" i="7" s="1"/>
  <c r="AF942" i="7"/>
  <c r="AG942" i="7" s="1"/>
  <c r="AH942" i="7" s="1"/>
  <c r="AF943" i="7"/>
  <c r="AG943" i="7" s="1"/>
  <c r="AH943" i="7" s="1"/>
  <c r="AF944" i="7"/>
  <c r="AG944" i="7" s="1"/>
  <c r="AH944" i="7" s="1"/>
  <c r="AF945" i="7"/>
  <c r="AG945" i="7" s="1"/>
  <c r="AH945" i="7" s="1"/>
  <c r="AF946" i="7"/>
  <c r="AG946" i="7" s="1"/>
  <c r="AH946" i="7" s="1"/>
  <c r="AF947" i="7"/>
  <c r="AG947" i="7" s="1"/>
  <c r="AH947" i="7" s="1"/>
  <c r="AF948" i="7"/>
  <c r="AG948" i="7" s="1"/>
  <c r="AH948" i="7" s="1"/>
  <c r="AF949" i="7"/>
  <c r="AG949" i="7" s="1"/>
  <c r="AH949" i="7" s="1"/>
  <c r="AF950" i="7"/>
  <c r="AG950" i="7" s="1"/>
  <c r="AH950" i="7" s="1"/>
  <c r="AF951" i="7"/>
  <c r="AG951" i="7" s="1"/>
  <c r="AH951" i="7" s="1"/>
  <c r="AF952" i="7"/>
  <c r="AG952" i="7" s="1"/>
  <c r="AH952" i="7" s="1"/>
  <c r="AF953" i="7"/>
  <c r="AG953" i="7" s="1"/>
  <c r="AH953" i="7" s="1"/>
  <c r="AF954" i="7"/>
  <c r="AG954" i="7" s="1"/>
  <c r="AH954" i="7" s="1"/>
  <c r="AF955" i="7"/>
  <c r="AG955" i="7" s="1"/>
  <c r="AH955" i="7" s="1"/>
  <c r="AF956" i="7"/>
  <c r="AG956" i="7" s="1"/>
  <c r="AH956" i="7" s="1"/>
  <c r="AF957" i="7"/>
  <c r="AG957" i="7" s="1"/>
  <c r="AH957" i="7" s="1"/>
  <c r="AF958" i="7"/>
  <c r="AG958" i="7" s="1"/>
  <c r="AH958" i="7" s="1"/>
  <c r="AF959" i="7"/>
  <c r="AG959" i="7" s="1"/>
  <c r="AH959" i="7" s="1"/>
  <c r="AF960" i="7"/>
  <c r="AG960" i="7" s="1"/>
  <c r="AH960" i="7" s="1"/>
  <c r="AF961" i="7"/>
  <c r="AG961" i="7" s="1"/>
  <c r="AH961" i="7" s="1"/>
  <c r="AF962" i="7"/>
  <c r="AG962" i="7" s="1"/>
  <c r="AH962" i="7" s="1"/>
  <c r="AF963" i="7"/>
  <c r="AG963" i="7" s="1"/>
  <c r="AH963" i="7" s="1"/>
  <c r="AF964" i="7"/>
  <c r="AG964" i="7" s="1"/>
  <c r="AH964" i="7" s="1"/>
  <c r="AF965" i="7"/>
  <c r="AG965" i="7" s="1"/>
  <c r="AH965" i="7" s="1"/>
  <c r="AF966" i="7"/>
  <c r="AG966" i="7" s="1"/>
  <c r="AH966" i="7" s="1"/>
  <c r="AF967" i="7"/>
  <c r="AG967" i="7" s="1"/>
  <c r="AH967" i="7" s="1"/>
  <c r="AF968" i="7"/>
  <c r="AG968" i="7" s="1"/>
  <c r="AH968" i="7" s="1"/>
  <c r="AF969" i="7"/>
  <c r="AG969" i="7" s="1"/>
  <c r="AH969" i="7" s="1"/>
  <c r="AF970" i="7"/>
  <c r="AG970" i="7" s="1"/>
  <c r="AH970" i="7" s="1"/>
  <c r="AF971" i="7"/>
  <c r="AG971" i="7" s="1"/>
  <c r="AH971" i="7" s="1"/>
  <c r="AF972" i="7"/>
  <c r="AG972" i="7" s="1"/>
  <c r="AH972" i="7" s="1"/>
  <c r="AF973" i="7"/>
  <c r="AG973" i="7" s="1"/>
  <c r="AH973" i="7" s="1"/>
  <c r="AF974" i="7"/>
  <c r="AG974" i="7" s="1"/>
  <c r="AH974" i="7" s="1"/>
  <c r="AF975" i="7"/>
  <c r="AG975" i="7" s="1"/>
  <c r="AH975" i="7" s="1"/>
  <c r="AF976" i="7"/>
  <c r="AG976" i="7" s="1"/>
  <c r="AH976" i="7" s="1"/>
  <c r="AF977" i="7"/>
  <c r="AG977" i="7" s="1"/>
  <c r="AH977" i="7" s="1"/>
  <c r="AF978" i="7"/>
  <c r="AG978" i="7" s="1"/>
  <c r="AH978" i="7" s="1"/>
  <c r="AF979" i="7"/>
  <c r="AG979" i="7" s="1"/>
  <c r="AH979" i="7" s="1"/>
  <c r="AF980" i="7"/>
  <c r="AG980" i="7" s="1"/>
  <c r="AH980" i="7" s="1"/>
  <c r="AF981" i="7"/>
  <c r="AG981" i="7" s="1"/>
  <c r="AH981" i="7" s="1"/>
  <c r="AF982" i="7"/>
  <c r="AG982" i="7" s="1"/>
  <c r="AH982" i="7" s="1"/>
  <c r="AF983" i="7"/>
  <c r="AG983" i="7" s="1"/>
  <c r="AH983" i="7" s="1"/>
  <c r="AF984" i="7"/>
  <c r="AG984" i="7" s="1"/>
  <c r="AH984" i="7" s="1"/>
  <c r="AF985" i="7"/>
  <c r="AG985" i="7" s="1"/>
  <c r="AH985" i="7" s="1"/>
  <c r="AF986" i="7"/>
  <c r="AG986" i="7" s="1"/>
  <c r="AH986" i="7" s="1"/>
  <c r="AF987" i="7"/>
  <c r="AG987" i="7" s="1"/>
  <c r="AH987" i="7" s="1"/>
  <c r="AF988" i="7"/>
  <c r="AG988" i="7" s="1"/>
  <c r="AH988" i="7" s="1"/>
  <c r="AF989" i="7"/>
  <c r="AG989" i="7" s="1"/>
  <c r="AH989" i="7" s="1"/>
  <c r="AF990" i="7"/>
  <c r="AG990" i="7" s="1"/>
  <c r="AH990" i="7" s="1"/>
  <c r="AF991" i="7"/>
  <c r="AG991" i="7" s="1"/>
  <c r="AH991" i="7" s="1"/>
  <c r="AF992" i="7"/>
  <c r="AG992" i="7" s="1"/>
  <c r="AH992" i="7" s="1"/>
  <c r="AF993" i="7"/>
  <c r="AG993" i="7" s="1"/>
  <c r="AH993" i="7" s="1"/>
  <c r="AF994" i="7"/>
  <c r="AG994" i="7" s="1"/>
  <c r="AH994" i="7" s="1"/>
  <c r="AF995" i="7"/>
  <c r="AG995" i="7" s="1"/>
  <c r="AH995" i="7" s="1"/>
  <c r="AF996" i="7"/>
  <c r="AG996" i="7" s="1"/>
  <c r="AH996" i="7" s="1"/>
  <c r="AF997" i="7"/>
  <c r="AG997" i="7" s="1"/>
  <c r="AH997" i="7" s="1"/>
  <c r="AF998" i="7"/>
  <c r="AG998" i="7" s="1"/>
  <c r="AH998" i="7" s="1"/>
  <c r="AF999" i="7"/>
  <c r="AG999" i="7" s="1"/>
  <c r="AH999" i="7" s="1"/>
  <c r="AF1000" i="7"/>
  <c r="AG1000" i="7" s="1"/>
  <c r="AH1000" i="7" s="1"/>
  <c r="AF1001" i="7"/>
  <c r="AG1001" i="7" s="1"/>
  <c r="AH1001" i="7" s="1"/>
  <c r="AG2" i="7"/>
  <c r="AH2" i="7" s="1"/>
  <c r="AG3" i="7"/>
  <c r="AH3" i="7" s="1"/>
  <c r="AG4" i="7"/>
  <c r="AH4" i="7" s="1"/>
  <c r="AG5" i="7"/>
  <c r="AH5" i="7" s="1"/>
  <c r="AG6" i="7"/>
  <c r="AH6" i="7" s="1"/>
  <c r="AG7" i="7"/>
  <c r="AH7" i="7" s="1"/>
  <c r="AG8" i="7"/>
  <c r="AH8" i="7" s="1"/>
  <c r="AG9" i="7"/>
  <c r="AH9" i="7" s="1"/>
  <c r="AG10" i="7"/>
  <c r="AH10" i="7" s="1"/>
  <c r="AG11" i="7"/>
  <c r="AH11" i="7" s="1"/>
  <c r="AG12" i="7"/>
  <c r="AH12" i="7" s="1"/>
  <c r="AG13" i="7"/>
  <c r="AH13" i="7" s="1"/>
  <c r="AG14" i="7"/>
  <c r="AH14" i="7" s="1"/>
  <c r="AG15" i="7"/>
  <c r="AH15" i="7" s="1"/>
  <c r="AG16" i="7"/>
  <c r="AH16" i="7" s="1"/>
  <c r="AG17" i="7"/>
  <c r="AH17" i="7" s="1"/>
  <c r="AG18" i="7"/>
  <c r="AH18" i="7" s="1"/>
  <c r="AG19" i="7"/>
  <c r="AH19" i="7" s="1"/>
  <c r="AG20" i="7"/>
  <c r="AH20" i="7" s="1"/>
  <c r="AG21" i="7"/>
  <c r="AH21" i="7" s="1"/>
  <c r="AG22" i="7"/>
  <c r="AH22" i="7" s="1"/>
  <c r="AG23" i="7"/>
  <c r="AH23" i="7" s="1"/>
  <c r="AG24" i="7"/>
  <c r="AH24" i="7" s="1"/>
  <c r="AG25" i="7"/>
  <c r="AH25" i="7" s="1"/>
  <c r="AG26" i="7"/>
  <c r="AH26" i="7" s="1"/>
  <c r="AG27" i="7"/>
  <c r="AH27" i="7" s="1"/>
  <c r="AG28" i="7"/>
  <c r="AH28" i="7" s="1"/>
  <c r="AG29" i="7"/>
  <c r="AH29" i="7" s="1"/>
  <c r="AG30" i="7"/>
  <c r="AH30" i="7" s="1"/>
  <c r="AG31" i="7"/>
  <c r="AH31" i="7" s="1"/>
  <c r="AG32" i="7"/>
  <c r="AH32" i="7" s="1"/>
  <c r="AG33" i="7"/>
  <c r="AH33" i="7" s="1"/>
  <c r="AG34" i="7"/>
  <c r="AH34" i="7" s="1"/>
  <c r="AG35" i="7"/>
  <c r="AH35" i="7" s="1"/>
  <c r="AG36" i="7"/>
  <c r="AH36" i="7" s="1"/>
  <c r="AG37" i="7"/>
  <c r="AH37" i="7" s="1"/>
  <c r="AG38" i="7"/>
  <c r="AH38" i="7" s="1"/>
  <c r="AG39" i="7"/>
  <c r="AH39" i="7" s="1"/>
  <c r="AG40" i="7"/>
  <c r="AH40" i="7" s="1"/>
  <c r="AG41" i="7"/>
  <c r="AH41" i="7" s="1"/>
  <c r="AG42" i="7"/>
  <c r="AH42" i="7" s="1"/>
  <c r="AG43" i="7"/>
  <c r="AH43" i="7" s="1"/>
  <c r="AG44" i="7"/>
  <c r="AH44" i="7" s="1"/>
  <c r="AG45" i="7"/>
  <c r="AH45" i="7" s="1"/>
  <c r="AG46" i="7"/>
  <c r="AH46" i="7" s="1"/>
  <c r="AG47" i="7"/>
  <c r="AH47" i="7" s="1"/>
  <c r="AG48" i="7"/>
  <c r="AH48" i="7" s="1"/>
  <c r="AG49" i="7"/>
  <c r="AH49" i="7" s="1"/>
  <c r="AG50" i="7"/>
  <c r="AH50" i="7" s="1"/>
  <c r="AG51" i="7"/>
  <c r="AH51" i="7" s="1"/>
  <c r="AG52" i="7"/>
  <c r="AH52" i="7" s="1"/>
  <c r="AG53" i="7"/>
  <c r="AH53" i="7" s="1"/>
  <c r="AG54" i="7"/>
  <c r="AH54" i="7" s="1"/>
  <c r="AG55" i="7"/>
  <c r="AH55" i="7" s="1"/>
  <c r="AG56" i="7"/>
  <c r="AH56" i="7" s="1"/>
  <c r="AG57" i="7"/>
  <c r="AH57" i="7" s="1"/>
  <c r="AG58" i="7"/>
  <c r="AH58" i="7" s="1"/>
  <c r="AG59" i="7"/>
  <c r="AH59" i="7" s="1"/>
  <c r="AG60" i="7"/>
  <c r="AH60" i="7" s="1"/>
  <c r="AG61" i="7"/>
  <c r="AH61" i="7" s="1"/>
  <c r="AG62" i="7"/>
  <c r="AH62" i="7" s="1"/>
  <c r="AG63" i="7"/>
  <c r="AH63" i="7" s="1"/>
  <c r="AG64" i="7"/>
  <c r="AH64" i="7" s="1"/>
  <c r="AG65" i="7"/>
  <c r="AH65" i="7" s="1"/>
  <c r="AG66" i="7"/>
  <c r="AH66" i="7" s="1"/>
  <c r="AG67" i="7"/>
  <c r="AH67" i="7" s="1"/>
  <c r="AG68" i="7"/>
  <c r="AH68" i="7" s="1"/>
  <c r="AG69" i="7"/>
  <c r="AH69" i="7" s="1"/>
  <c r="AG70" i="7"/>
  <c r="AH70" i="7" s="1"/>
  <c r="AG71" i="7"/>
  <c r="AH71" i="7" s="1"/>
  <c r="AG72" i="7"/>
  <c r="AH72" i="7" s="1"/>
  <c r="AG73" i="7"/>
  <c r="AH73" i="7" s="1"/>
  <c r="AG74" i="7"/>
  <c r="AH74" i="7" s="1"/>
  <c r="AG75" i="7"/>
  <c r="AH75" i="7" s="1"/>
  <c r="AG76" i="7"/>
  <c r="AH76" i="7" s="1"/>
  <c r="AG77" i="7"/>
  <c r="AH77" i="7" s="1"/>
  <c r="AG78" i="7"/>
  <c r="AH78" i="7" s="1"/>
  <c r="AG79" i="7"/>
  <c r="AH79" i="7" s="1"/>
  <c r="AG80" i="7"/>
  <c r="AH80" i="7" s="1"/>
  <c r="AG81" i="7"/>
  <c r="AH81" i="7" s="1"/>
  <c r="AG82" i="7"/>
  <c r="AH82" i="7" s="1"/>
  <c r="AG83" i="7"/>
  <c r="AH83" i="7" s="1"/>
  <c r="AG84" i="7"/>
  <c r="AH84" i="7" s="1"/>
  <c r="AG85" i="7"/>
  <c r="AH85" i="7" s="1"/>
  <c r="AG86" i="7"/>
  <c r="AH86" i="7" s="1"/>
  <c r="AG87" i="7"/>
  <c r="AH87" i="7" s="1"/>
  <c r="AG88" i="7"/>
  <c r="AH88" i="7" s="1"/>
  <c r="AG89" i="7"/>
  <c r="AH89" i="7" s="1"/>
  <c r="AG90" i="7"/>
  <c r="AH90" i="7" s="1"/>
  <c r="AG91" i="7"/>
  <c r="AH91" i="7" s="1"/>
  <c r="AG92" i="7"/>
  <c r="AH92" i="7" s="1"/>
  <c r="AG93" i="7"/>
  <c r="AH93" i="7" s="1"/>
  <c r="AG94" i="7"/>
  <c r="AH94" i="7" s="1"/>
  <c r="AG95" i="7"/>
  <c r="AH95" i="7" s="1"/>
  <c r="AG96" i="7"/>
  <c r="AH96" i="7" s="1"/>
  <c r="AG97" i="7"/>
  <c r="AH97" i="7" s="1"/>
  <c r="AG98" i="7"/>
  <c r="AH98" i="7" s="1"/>
  <c r="AG99" i="7"/>
  <c r="AH99" i="7" s="1"/>
  <c r="AG100" i="7"/>
  <c r="AH100" i="7" s="1"/>
  <c r="AG101" i="7"/>
  <c r="AH101" i="7" s="1"/>
  <c r="AG102" i="7"/>
  <c r="AH102" i="7" s="1"/>
  <c r="AG103" i="7"/>
  <c r="AH103" i="7" s="1"/>
  <c r="AG104" i="7"/>
  <c r="AH104" i="7" s="1"/>
  <c r="AG105" i="7"/>
  <c r="AH105" i="7" s="1"/>
  <c r="AG106" i="7"/>
  <c r="AH106" i="7" s="1"/>
  <c r="AG107" i="7"/>
  <c r="AH107" i="7" s="1"/>
  <c r="AG108" i="7"/>
  <c r="AH108" i="7" s="1"/>
  <c r="AG109" i="7"/>
  <c r="AH109" i="7" s="1"/>
  <c r="AG110" i="7"/>
  <c r="AH110" i="7" s="1"/>
  <c r="AG111" i="7"/>
  <c r="AH111" i="7" s="1"/>
  <c r="AG112" i="7"/>
  <c r="AH112" i="7" s="1"/>
  <c r="AG113" i="7"/>
  <c r="AH113" i="7" s="1"/>
  <c r="AG114" i="7"/>
  <c r="AH114" i="7" s="1"/>
  <c r="AG115" i="7"/>
  <c r="AH115" i="7" s="1"/>
  <c r="AG116" i="7"/>
  <c r="AH116" i="7" s="1"/>
  <c r="AG117" i="7"/>
  <c r="AH117" i="7" s="1"/>
  <c r="AG118" i="7"/>
  <c r="AH118" i="7" s="1"/>
  <c r="AG119" i="7"/>
  <c r="AH119" i="7" s="1"/>
  <c r="AG120" i="7"/>
  <c r="AH120" i="7" s="1"/>
  <c r="AG121" i="7"/>
  <c r="AH121" i="7" s="1"/>
  <c r="AG122" i="7"/>
  <c r="AH122" i="7" s="1"/>
  <c r="AG123" i="7"/>
  <c r="AH123" i="7" s="1"/>
  <c r="AG124" i="7"/>
  <c r="AH124" i="7" s="1"/>
  <c r="AG125" i="7"/>
  <c r="AH125" i="7" s="1"/>
  <c r="AG126" i="7"/>
  <c r="AH126" i="7" s="1"/>
  <c r="AG127" i="7"/>
  <c r="AH127" i="7" s="1"/>
  <c r="AG128" i="7"/>
  <c r="AH128" i="7" s="1"/>
  <c r="AG129" i="7"/>
  <c r="AH129" i="7" s="1"/>
  <c r="AG130" i="7"/>
  <c r="AH130" i="7" s="1"/>
  <c r="AG131" i="7"/>
  <c r="AH131" i="7" s="1"/>
  <c r="AG132" i="7"/>
  <c r="AH132" i="7" s="1"/>
  <c r="AG133" i="7"/>
  <c r="AH133" i="7" s="1"/>
  <c r="AG134" i="7"/>
  <c r="AH134" i="7" s="1"/>
  <c r="AG135" i="7"/>
  <c r="AH135" i="7" s="1"/>
  <c r="AG136" i="7"/>
  <c r="AH136" i="7" s="1"/>
  <c r="AG137" i="7"/>
  <c r="AH137" i="7" s="1"/>
  <c r="AG138" i="7"/>
  <c r="AH138" i="7" s="1"/>
  <c r="AG139" i="7"/>
  <c r="AH139" i="7" s="1"/>
  <c r="AG140" i="7"/>
  <c r="AH140" i="7" s="1"/>
  <c r="AG141" i="7"/>
  <c r="AH141" i="7" s="1"/>
  <c r="AG142" i="7"/>
  <c r="AH142" i="7" s="1"/>
  <c r="AG143" i="7"/>
  <c r="AH143" i="7" s="1"/>
  <c r="AG144" i="7"/>
  <c r="AH144" i="7" s="1"/>
  <c r="AG145" i="7"/>
  <c r="AH145" i="7" s="1"/>
  <c r="AG146" i="7"/>
  <c r="AH146" i="7" s="1"/>
  <c r="AG147" i="7"/>
  <c r="AH147" i="7" s="1"/>
  <c r="AG148" i="7"/>
  <c r="AH148" i="7" s="1"/>
  <c r="AG149" i="7"/>
  <c r="AH149" i="7" s="1"/>
  <c r="AG150" i="7"/>
  <c r="AH150" i="7" s="1"/>
  <c r="AG151" i="7"/>
  <c r="AH151" i="7" s="1"/>
  <c r="AG152" i="7"/>
  <c r="AH152" i="7" s="1"/>
  <c r="AG153" i="7"/>
  <c r="AH153" i="7" s="1"/>
  <c r="AG154" i="7"/>
  <c r="AH154" i="7" s="1"/>
  <c r="AG155" i="7"/>
  <c r="AH155" i="7" s="1"/>
  <c r="AG156" i="7"/>
  <c r="AH156" i="7" s="1"/>
  <c r="AG157" i="7"/>
  <c r="AG158" i="7"/>
  <c r="AH158" i="7" s="1"/>
  <c r="AG159" i="7"/>
  <c r="AG160" i="7"/>
  <c r="AH160" i="7" s="1"/>
  <c r="AG161" i="7"/>
  <c r="AH161" i="7" s="1"/>
  <c r="AG162" i="7"/>
  <c r="AH162" i="7" s="1"/>
  <c r="AG163" i="7"/>
  <c r="AH163" i="7" s="1"/>
  <c r="AG164" i="7"/>
  <c r="AH164" i="7" s="1"/>
  <c r="AG165" i="7"/>
  <c r="AH165" i="7" s="1"/>
  <c r="AG166" i="7"/>
  <c r="AH166" i="7" s="1"/>
  <c r="AG167" i="7"/>
  <c r="AH167" i="7" s="1"/>
  <c r="AG168" i="7"/>
  <c r="AH168" i="7" s="1"/>
  <c r="AG169" i="7"/>
  <c r="AG170" i="7"/>
  <c r="AH170" i="7" s="1"/>
  <c r="AG171" i="7"/>
  <c r="AH171" i="7" s="1"/>
  <c r="AG172" i="7"/>
  <c r="AH172" i="7" s="1"/>
  <c r="AG173" i="7"/>
  <c r="AH173" i="7" s="1"/>
  <c r="AG174" i="7"/>
  <c r="AH174" i="7" s="1"/>
  <c r="AG175" i="7"/>
  <c r="AH175" i="7" s="1"/>
  <c r="AG176" i="7"/>
  <c r="AH176" i="7" s="1"/>
  <c r="AG177" i="7"/>
  <c r="AH177" i="7" s="1"/>
  <c r="AG178" i="7"/>
  <c r="AH178" i="7" s="1"/>
  <c r="AG179" i="7"/>
  <c r="AH179" i="7" s="1"/>
  <c r="AG180" i="7"/>
  <c r="AH180" i="7" s="1"/>
  <c r="AG181" i="7"/>
  <c r="AH181" i="7" s="1"/>
  <c r="AG182" i="7"/>
  <c r="AH182" i="7" s="1"/>
  <c r="AG183" i="7"/>
  <c r="AH183" i="7" s="1"/>
  <c r="AG184" i="7"/>
  <c r="AH184" i="7" s="1"/>
  <c r="AG185" i="7"/>
  <c r="AH185" i="7" s="1"/>
  <c r="AG186" i="7"/>
  <c r="AH186" i="7" s="1"/>
  <c r="AG187" i="7"/>
  <c r="AH187" i="7" s="1"/>
  <c r="AG188" i="7"/>
  <c r="AH188" i="7" s="1"/>
  <c r="AG189" i="7"/>
  <c r="AH189" i="7" s="1"/>
  <c r="AG190" i="7"/>
  <c r="AH190" i="7" s="1"/>
  <c r="AG191" i="7"/>
  <c r="AH191" i="7" s="1"/>
  <c r="AG192" i="7"/>
  <c r="AH192" i="7" s="1"/>
  <c r="AG193" i="7"/>
  <c r="AH193" i="7" s="1"/>
  <c r="AG194" i="7"/>
  <c r="AH194" i="7" s="1"/>
  <c r="AG195" i="7"/>
  <c r="AH195" i="7" s="1"/>
  <c r="AG196" i="7"/>
  <c r="AH196" i="7" s="1"/>
  <c r="AG197" i="7"/>
  <c r="AH197" i="7" s="1"/>
  <c r="AG198" i="7"/>
  <c r="AH198" i="7" s="1"/>
  <c r="AG199" i="7"/>
  <c r="AH199" i="7" s="1"/>
  <c r="AG200" i="7"/>
  <c r="AH200" i="7" s="1"/>
  <c r="AG201" i="7"/>
  <c r="AH201" i="7" s="1"/>
  <c r="AG202" i="7"/>
  <c r="AH202" i="7" s="1"/>
  <c r="AG203" i="7"/>
  <c r="AH203" i="7" s="1"/>
  <c r="AG204" i="7"/>
  <c r="AH204" i="7" s="1"/>
  <c r="AG205" i="7"/>
  <c r="AH205" i="7" s="1"/>
  <c r="AG206" i="7"/>
  <c r="AH206" i="7" s="1"/>
  <c r="AG207" i="7"/>
  <c r="AH207" i="7" s="1"/>
  <c r="AG208" i="7"/>
  <c r="AH208" i="7" s="1"/>
  <c r="AG209" i="7"/>
  <c r="AH209" i="7" s="1"/>
  <c r="AG210" i="7"/>
  <c r="AH210" i="7" s="1"/>
  <c r="AG211" i="7"/>
  <c r="AH211" i="7" s="1"/>
  <c r="AG212" i="7"/>
  <c r="AH212" i="7" s="1"/>
  <c r="AG213" i="7"/>
  <c r="AH213" i="7" s="1"/>
  <c r="AG214" i="7"/>
  <c r="AH214" i="7" s="1"/>
  <c r="AG215" i="7"/>
  <c r="AH215" i="7" s="1"/>
  <c r="AG216" i="7"/>
  <c r="AH216" i="7" s="1"/>
  <c r="AG217" i="7"/>
  <c r="AH217" i="7" s="1"/>
  <c r="AG218" i="7"/>
  <c r="AH218" i="7" s="1"/>
  <c r="AG219" i="7"/>
  <c r="AH219" i="7" s="1"/>
  <c r="AG220" i="7"/>
  <c r="AH220" i="7" s="1"/>
  <c r="AG221" i="7"/>
  <c r="AH221" i="7" s="1"/>
  <c r="AG222" i="7"/>
  <c r="AH222" i="7" s="1"/>
  <c r="AG223" i="7"/>
  <c r="AH223" i="7" s="1"/>
  <c r="AG224" i="7"/>
  <c r="AH224" i="7" s="1"/>
  <c r="AG225" i="7"/>
  <c r="AH225" i="7" s="1"/>
  <c r="AG226" i="7"/>
  <c r="AH226" i="7" s="1"/>
  <c r="AG227" i="7"/>
  <c r="AH227" i="7" s="1"/>
  <c r="AG228" i="7"/>
  <c r="AH228" i="7" s="1"/>
  <c r="AG229" i="7"/>
  <c r="AH229" i="7" s="1"/>
  <c r="AG230" i="7"/>
  <c r="AH230" i="7" s="1"/>
  <c r="AG231" i="7"/>
  <c r="AH231" i="7" s="1"/>
  <c r="AG232" i="7"/>
  <c r="AH232" i="7" s="1"/>
  <c r="AG233" i="7"/>
  <c r="AH233" i="7" s="1"/>
  <c r="AG234" i="7"/>
  <c r="AH234" i="7" s="1"/>
  <c r="AG235" i="7"/>
  <c r="AH235" i="7" s="1"/>
  <c r="AG236" i="7"/>
  <c r="AH236" i="7" s="1"/>
  <c r="AG237" i="7"/>
  <c r="AH237" i="7" s="1"/>
  <c r="AG238" i="7"/>
  <c r="AH238" i="7" s="1"/>
  <c r="AG239" i="7"/>
  <c r="AH239" i="7" s="1"/>
  <c r="AG240" i="7"/>
  <c r="AH240" i="7" s="1"/>
  <c r="AG241" i="7"/>
  <c r="AH241" i="7" s="1"/>
  <c r="AG242" i="7"/>
  <c r="AH242" i="7" s="1"/>
  <c r="AG243" i="7"/>
  <c r="AH243" i="7" s="1"/>
  <c r="AG244" i="7"/>
  <c r="AH244" i="7" s="1"/>
  <c r="AG245" i="7"/>
  <c r="AH245" i="7" s="1"/>
  <c r="AG246" i="7"/>
  <c r="AH246" i="7" s="1"/>
  <c r="AG247" i="7"/>
  <c r="AH247" i="7" s="1"/>
  <c r="AG248" i="7"/>
  <c r="AH248" i="7" s="1"/>
  <c r="AG249" i="7"/>
  <c r="AH249" i="7" s="1"/>
  <c r="AG250" i="7"/>
  <c r="AH250" i="7" s="1"/>
  <c r="AG251" i="7"/>
  <c r="AH251" i="7" s="1"/>
  <c r="AG252" i="7"/>
  <c r="AH252" i="7" s="1"/>
  <c r="AG253" i="7"/>
  <c r="AH253" i="7" s="1"/>
  <c r="AG254" i="7"/>
  <c r="AH254" i="7" s="1"/>
  <c r="AG255" i="7"/>
  <c r="AG256" i="7"/>
  <c r="AH256" i="7" s="1"/>
  <c r="AG257" i="7"/>
  <c r="AH257" i="7" s="1"/>
  <c r="AG258" i="7"/>
  <c r="AH258" i="7" s="1"/>
  <c r="AG259" i="7"/>
  <c r="AH259" i="7" s="1"/>
  <c r="AG260" i="7"/>
  <c r="AH260" i="7" s="1"/>
  <c r="AG261" i="7"/>
  <c r="AH261" i="7" s="1"/>
  <c r="AG262" i="7"/>
  <c r="AH262" i="7" s="1"/>
  <c r="AG263" i="7"/>
  <c r="AH263" i="7" s="1"/>
  <c r="AG264" i="7"/>
  <c r="AH264" i="7" s="1"/>
  <c r="AG265" i="7"/>
  <c r="AH265" i="7" s="1"/>
  <c r="AG266" i="7"/>
  <c r="AH266" i="7" s="1"/>
  <c r="AG267" i="7"/>
  <c r="AH267" i="7" s="1"/>
  <c r="AG268" i="7"/>
  <c r="AH268" i="7" s="1"/>
  <c r="AG269" i="7"/>
  <c r="AH269" i="7" s="1"/>
  <c r="AG270" i="7"/>
  <c r="AH270" i="7" s="1"/>
  <c r="AG271" i="7"/>
  <c r="AH271" i="7" s="1"/>
  <c r="AG272" i="7"/>
  <c r="AH272" i="7" s="1"/>
  <c r="AG273" i="7"/>
  <c r="AH273" i="7" s="1"/>
  <c r="AG274" i="7"/>
  <c r="AH274" i="7" s="1"/>
  <c r="AG275" i="7"/>
  <c r="AH275" i="7" s="1"/>
  <c r="AG276" i="7"/>
  <c r="AH276" i="7" s="1"/>
  <c r="AG277" i="7"/>
  <c r="AH277" i="7" s="1"/>
  <c r="AG278" i="7"/>
  <c r="AH278" i="7" s="1"/>
  <c r="AG279" i="7"/>
  <c r="AH279" i="7" s="1"/>
  <c r="AG280" i="7"/>
  <c r="AH280" i="7" s="1"/>
  <c r="AG281" i="7"/>
  <c r="AH281" i="7" s="1"/>
  <c r="AG282" i="7"/>
  <c r="AH282" i="7" s="1"/>
  <c r="AG283" i="7"/>
  <c r="AH283" i="7" s="1"/>
  <c r="AG284" i="7"/>
  <c r="AH284" i="7" s="1"/>
  <c r="AG285" i="7"/>
  <c r="AH285" i="7" s="1"/>
  <c r="AG286" i="7"/>
  <c r="AH286" i="7" s="1"/>
  <c r="AG287" i="7"/>
  <c r="AH287" i="7" s="1"/>
  <c r="AG288" i="7"/>
  <c r="AH288" i="7" s="1"/>
  <c r="AG289" i="7"/>
  <c r="AH289" i="7" s="1"/>
  <c r="AG290" i="7"/>
  <c r="AH290" i="7" s="1"/>
  <c r="AG291" i="7"/>
  <c r="AH291" i="7" s="1"/>
  <c r="AG292" i="7"/>
  <c r="AH292" i="7" s="1"/>
  <c r="AG293" i="7"/>
  <c r="AG294" i="7"/>
  <c r="AH294" i="7" s="1"/>
  <c r="AG295" i="7"/>
  <c r="AH295" i="7" s="1"/>
  <c r="AG296" i="7"/>
  <c r="AG297" i="7"/>
  <c r="AH297" i="7" s="1"/>
  <c r="AG298" i="7"/>
  <c r="AH298" i="7" s="1"/>
  <c r="AG299" i="7"/>
  <c r="AH299" i="7" s="1"/>
  <c r="AG300" i="7"/>
  <c r="AH300" i="7" s="1"/>
  <c r="AG301" i="7"/>
  <c r="AH301" i="7" s="1"/>
  <c r="AG302" i="7"/>
  <c r="AH302" i="7" s="1"/>
  <c r="AG303" i="7"/>
  <c r="AH303" i="7" s="1"/>
  <c r="AG304" i="7"/>
  <c r="AH304" i="7" s="1"/>
  <c r="AG305" i="7"/>
  <c r="AH305" i="7" s="1"/>
  <c r="AG306" i="7"/>
  <c r="AH306" i="7" s="1"/>
  <c r="AG307" i="7"/>
  <c r="AH307" i="7" s="1"/>
  <c r="AG308" i="7"/>
  <c r="AH308" i="7" s="1"/>
  <c r="AG309" i="7"/>
  <c r="AH309" i="7" s="1"/>
  <c r="AG310" i="7"/>
  <c r="AH310" i="7" s="1"/>
  <c r="AG311" i="7"/>
  <c r="AH311" i="7" s="1"/>
  <c r="AG312" i="7"/>
  <c r="AH312" i="7" s="1"/>
  <c r="AG313" i="7"/>
  <c r="AH313" i="7" s="1"/>
  <c r="AG314" i="7"/>
  <c r="AH314" i="7" s="1"/>
  <c r="AG315" i="7"/>
  <c r="AH315" i="7" s="1"/>
  <c r="AG316" i="7"/>
  <c r="AH316" i="7" s="1"/>
  <c r="AG317" i="7"/>
  <c r="AH317" i="7" s="1"/>
  <c r="AG318" i="7"/>
  <c r="AH318" i="7" s="1"/>
  <c r="AG319" i="7"/>
  <c r="AH319" i="7" s="1"/>
  <c r="AG320" i="7"/>
  <c r="AH320" i="7" s="1"/>
  <c r="AG321" i="7"/>
  <c r="AH321" i="7" s="1"/>
  <c r="AG322" i="7"/>
  <c r="AH322" i="7" s="1"/>
  <c r="AG323" i="7"/>
  <c r="AH323" i="7" s="1"/>
  <c r="AG324" i="7"/>
  <c r="AH324" i="7" s="1"/>
  <c r="AG325" i="7"/>
  <c r="AH325" i="7" s="1"/>
  <c r="AG326" i="7"/>
  <c r="AH326" i="7" s="1"/>
  <c r="AG327" i="7"/>
  <c r="AH327" i="7" s="1"/>
  <c r="AG328" i="7"/>
  <c r="AH328" i="7" s="1"/>
  <c r="AG329" i="7"/>
  <c r="AH329" i="7" s="1"/>
  <c r="AG330" i="7"/>
  <c r="AH330" i="7" s="1"/>
  <c r="AG331" i="7"/>
  <c r="AH331" i="7" s="1"/>
  <c r="AG332" i="7"/>
  <c r="AH332" i="7" s="1"/>
  <c r="AG333" i="7"/>
  <c r="AH333" i="7" s="1"/>
  <c r="AG334" i="7"/>
  <c r="AH334" i="7" s="1"/>
  <c r="AG335" i="7"/>
  <c r="AH335" i="7" s="1"/>
  <c r="AG336" i="7"/>
  <c r="AH336" i="7" s="1"/>
  <c r="AG337" i="7"/>
  <c r="AH337" i="7" s="1"/>
  <c r="AG338" i="7"/>
  <c r="AH338" i="7" s="1"/>
  <c r="AG339" i="7"/>
  <c r="AH339" i="7" s="1"/>
  <c r="AG340" i="7"/>
  <c r="AH340" i="7" s="1"/>
  <c r="AG341" i="7"/>
  <c r="AH341" i="7" s="1"/>
  <c r="AG342" i="7"/>
  <c r="AH342" i="7" s="1"/>
  <c r="AG343" i="7"/>
  <c r="AH343" i="7" s="1"/>
  <c r="AG344" i="7"/>
  <c r="AH344" i="7" s="1"/>
  <c r="AG345" i="7"/>
  <c r="AH345" i="7" s="1"/>
  <c r="AG346" i="7"/>
  <c r="AH346" i="7" s="1"/>
  <c r="AG347" i="7"/>
  <c r="AH347" i="7" s="1"/>
  <c r="AG348" i="7"/>
  <c r="AH348" i="7" s="1"/>
  <c r="AG349" i="7"/>
  <c r="AH349" i="7" s="1"/>
  <c r="AG350" i="7"/>
  <c r="AH350" i="7" s="1"/>
  <c r="AG351" i="7"/>
  <c r="AH351" i="7" s="1"/>
  <c r="AG352" i="7"/>
  <c r="AH352" i="7" s="1"/>
  <c r="AG353" i="7"/>
  <c r="AH353" i="7" s="1"/>
  <c r="AG354" i="7"/>
  <c r="AH354" i="7" s="1"/>
  <c r="AG355" i="7"/>
  <c r="AH355" i="7" s="1"/>
  <c r="AG356" i="7"/>
  <c r="AH356" i="7" s="1"/>
  <c r="AG357" i="7"/>
  <c r="AH357" i="7" s="1"/>
  <c r="AG358" i="7"/>
  <c r="AH358" i="7" s="1"/>
  <c r="AG359" i="7"/>
  <c r="AH359" i="7" s="1"/>
  <c r="AG360" i="7"/>
  <c r="AH360" i="7" s="1"/>
  <c r="AG361" i="7"/>
  <c r="AH361" i="7" s="1"/>
  <c r="AG362" i="7"/>
  <c r="AH362" i="7" s="1"/>
  <c r="AG363" i="7"/>
  <c r="AH363" i="7" s="1"/>
  <c r="AG364" i="7"/>
  <c r="AH364" i="7" s="1"/>
  <c r="AG365" i="7"/>
  <c r="AH365" i="7" s="1"/>
  <c r="AG366" i="7"/>
  <c r="AH366" i="7" s="1"/>
  <c r="AG367" i="7"/>
  <c r="AH367" i="7" s="1"/>
  <c r="AG368" i="7"/>
  <c r="AH368" i="7" s="1"/>
  <c r="AG369" i="7"/>
  <c r="AH369" i="7" s="1"/>
  <c r="AG370" i="7"/>
  <c r="AH370" i="7" s="1"/>
  <c r="AG371" i="7"/>
  <c r="AH371" i="7" s="1"/>
  <c r="AG372" i="7"/>
  <c r="AH372" i="7" s="1"/>
  <c r="AG373" i="7"/>
  <c r="AH373" i="7" s="1"/>
  <c r="AG374" i="7"/>
  <c r="AH374" i="7" s="1"/>
  <c r="AG375" i="7"/>
  <c r="AH375" i="7" s="1"/>
  <c r="AG376" i="7"/>
  <c r="AH376" i="7" s="1"/>
  <c r="AG377" i="7"/>
  <c r="AH377" i="7" s="1"/>
  <c r="AG378" i="7"/>
  <c r="AH378" i="7" s="1"/>
  <c r="AG379" i="7"/>
  <c r="AH379" i="7" s="1"/>
  <c r="AG380" i="7"/>
  <c r="AH380" i="7" s="1"/>
  <c r="AG381" i="7"/>
  <c r="AG382" i="7"/>
  <c r="AH382" i="7" s="1"/>
  <c r="AG383" i="7"/>
  <c r="AG384" i="7"/>
  <c r="AH384" i="7" s="1"/>
  <c r="AG385" i="7"/>
  <c r="AH385" i="7" s="1"/>
  <c r="AG386" i="7"/>
  <c r="AH386" i="7" s="1"/>
  <c r="AG387" i="7"/>
  <c r="AH387" i="7" s="1"/>
  <c r="AG388" i="7"/>
  <c r="AH388" i="7" s="1"/>
  <c r="AG389" i="7"/>
  <c r="AH389" i="7" s="1"/>
  <c r="AG390" i="7"/>
  <c r="AH390" i="7" s="1"/>
  <c r="AG391" i="7"/>
  <c r="AH391" i="7" s="1"/>
  <c r="AG392" i="7"/>
  <c r="AH392" i="7" s="1"/>
  <c r="AG393" i="7"/>
  <c r="AH393" i="7" s="1"/>
  <c r="AG394" i="7"/>
  <c r="AH394" i="7" s="1"/>
  <c r="AG395" i="7"/>
  <c r="AH395" i="7" s="1"/>
  <c r="AG396" i="7"/>
  <c r="AH396" i="7" s="1"/>
  <c r="AG397" i="7"/>
  <c r="AH397" i="7" s="1"/>
  <c r="AG398" i="7"/>
  <c r="AH398" i="7" s="1"/>
  <c r="AG399" i="7"/>
  <c r="AH399" i="7" s="1"/>
  <c r="AG400" i="7"/>
  <c r="AH400" i="7" s="1"/>
  <c r="AG401" i="7"/>
  <c r="AH401" i="7" s="1"/>
  <c r="AG402" i="7"/>
  <c r="AH402" i="7" s="1"/>
  <c r="AG403" i="7"/>
  <c r="AH403" i="7" s="1"/>
  <c r="AG404" i="7"/>
  <c r="AH404" i="7" s="1"/>
  <c r="AG405" i="7"/>
  <c r="AH405" i="7" s="1"/>
  <c r="AG406" i="7"/>
  <c r="AH406" i="7" s="1"/>
  <c r="AG407" i="7"/>
  <c r="AH407" i="7" s="1"/>
  <c r="AG408" i="7"/>
  <c r="AH408" i="7" s="1"/>
  <c r="AG409" i="7"/>
  <c r="AH409" i="7" s="1"/>
  <c r="AG410" i="7"/>
  <c r="AH410" i="7" s="1"/>
  <c r="AG411" i="7"/>
  <c r="AH411" i="7" s="1"/>
  <c r="AG412" i="7"/>
  <c r="AH412" i="7" s="1"/>
  <c r="AG413" i="7"/>
  <c r="AH413" i="7" s="1"/>
  <c r="AG414" i="7"/>
  <c r="AH414" i="7" s="1"/>
  <c r="AG415" i="7"/>
  <c r="AH415" i="7" s="1"/>
  <c r="AG416" i="7"/>
  <c r="AH416" i="7" s="1"/>
  <c r="AG417" i="7"/>
  <c r="AH417" i="7" s="1"/>
  <c r="AG418" i="7"/>
  <c r="AH418" i="7" s="1"/>
  <c r="AG419" i="7"/>
  <c r="AH419" i="7" s="1"/>
  <c r="AG420" i="7"/>
  <c r="AH420" i="7" s="1"/>
  <c r="AG421" i="7"/>
  <c r="AH421" i="7" s="1"/>
  <c r="AG422" i="7"/>
  <c r="AH422" i="7" s="1"/>
  <c r="AG423" i="7"/>
  <c r="AH423" i="7" s="1"/>
  <c r="AG424" i="7"/>
  <c r="AH424" i="7" s="1"/>
  <c r="AG425" i="7"/>
  <c r="AH425" i="7" s="1"/>
  <c r="AG426" i="7"/>
  <c r="AH426" i="7" s="1"/>
  <c r="AG427" i="7"/>
  <c r="AH427" i="7" s="1"/>
  <c r="AG428" i="7"/>
  <c r="AH428" i="7" s="1"/>
  <c r="AG429" i="7"/>
  <c r="AH429" i="7" s="1"/>
  <c r="AG430" i="7"/>
  <c r="AH430" i="7" s="1"/>
  <c r="AG431" i="7"/>
  <c r="AH431" i="7" s="1"/>
  <c r="AG432" i="7"/>
  <c r="AH432" i="7" s="1"/>
  <c r="AG433" i="7"/>
  <c r="AH433" i="7" s="1"/>
  <c r="AG434" i="7"/>
  <c r="AH434" i="7" s="1"/>
  <c r="AG435" i="7"/>
  <c r="AH435" i="7" s="1"/>
  <c r="AG436" i="7"/>
  <c r="AH436" i="7" s="1"/>
  <c r="AG437" i="7"/>
  <c r="AH437" i="7" s="1"/>
  <c r="AG438" i="7"/>
  <c r="AH438" i="7" s="1"/>
  <c r="AG439" i="7"/>
  <c r="AH439" i="7" s="1"/>
  <c r="AG440" i="7"/>
  <c r="AH440" i="7" s="1"/>
  <c r="AG441" i="7"/>
  <c r="AH441" i="7" s="1"/>
  <c r="AG442" i="7"/>
  <c r="AH442" i="7" s="1"/>
  <c r="AG443" i="7"/>
  <c r="AH443" i="7" s="1"/>
  <c r="AG444" i="7"/>
  <c r="AH444" i="7" s="1"/>
  <c r="AG445" i="7"/>
  <c r="AH445" i="7" s="1"/>
  <c r="AG446" i="7"/>
  <c r="AH446" i="7" s="1"/>
  <c r="AG447" i="7"/>
  <c r="AH447" i="7" s="1"/>
  <c r="AG448" i="7"/>
  <c r="AH448" i="7" s="1"/>
  <c r="AG449" i="7"/>
  <c r="AH449" i="7" s="1"/>
  <c r="AG450" i="7"/>
  <c r="AH450" i="7" s="1"/>
  <c r="AG451" i="7"/>
  <c r="AH451" i="7" s="1"/>
  <c r="AG452" i="7"/>
  <c r="AH452" i="7" s="1"/>
  <c r="AG453" i="7"/>
  <c r="AH453" i="7" s="1"/>
  <c r="AG454" i="7"/>
  <c r="AH454" i="7" s="1"/>
  <c r="AG455" i="7"/>
  <c r="AH455" i="7" s="1"/>
  <c r="AG456" i="7"/>
  <c r="AH456" i="7" s="1"/>
  <c r="AG457" i="7"/>
  <c r="AH457" i="7" s="1"/>
  <c r="AG458" i="7"/>
  <c r="AH458" i="7" s="1"/>
  <c r="AG459" i="7"/>
  <c r="AH459" i="7" s="1"/>
  <c r="AG460" i="7"/>
  <c r="AH460" i="7" s="1"/>
  <c r="AG461" i="7"/>
  <c r="AH461" i="7" s="1"/>
  <c r="AG462" i="7"/>
  <c r="AH462" i="7" s="1"/>
  <c r="AG463" i="7"/>
  <c r="AH463" i="7" s="1"/>
  <c r="AG464" i="7"/>
  <c r="AH464" i="7" s="1"/>
  <c r="AG465" i="7"/>
  <c r="AH465" i="7" s="1"/>
  <c r="AG466" i="7"/>
  <c r="AH466" i="7" s="1"/>
  <c r="AG467" i="7"/>
  <c r="AH467" i="7" s="1"/>
  <c r="AG468" i="7"/>
  <c r="AH468" i="7" s="1"/>
  <c r="AG469" i="7"/>
  <c r="AH469" i="7" s="1"/>
  <c r="AG470" i="7"/>
  <c r="AH470" i="7" s="1"/>
  <c r="AG471" i="7"/>
  <c r="AH471" i="7" s="1"/>
  <c r="AG472" i="7"/>
  <c r="AH472" i="7" s="1"/>
  <c r="AG473" i="7"/>
  <c r="AH473" i="7" s="1"/>
  <c r="AG474" i="7"/>
  <c r="AG475" i="7"/>
  <c r="AH475" i="7" s="1"/>
  <c r="AG476" i="7"/>
  <c r="AH476" i="7" s="1"/>
  <c r="AG477" i="7"/>
  <c r="AH477" i="7" s="1"/>
  <c r="AG478" i="7"/>
  <c r="AH478" i="7" s="1"/>
  <c r="AG479" i="7"/>
  <c r="AH479" i="7" s="1"/>
  <c r="AG480" i="7"/>
  <c r="AH480" i="7" s="1"/>
  <c r="AG481" i="7"/>
  <c r="AH481" i="7" s="1"/>
  <c r="AG482" i="7"/>
  <c r="AH482" i="7" s="1"/>
  <c r="AG483" i="7"/>
  <c r="AH483" i="7" s="1"/>
  <c r="AG484" i="7"/>
  <c r="AH484" i="7" s="1"/>
  <c r="AG485" i="7"/>
  <c r="AH485" i="7" s="1"/>
  <c r="AG486" i="7"/>
  <c r="AH486" i="7" s="1"/>
  <c r="AG487" i="7"/>
  <c r="AH487" i="7" s="1"/>
  <c r="AG488" i="7"/>
  <c r="AH488" i="7" s="1"/>
  <c r="AG489" i="7"/>
  <c r="AH489" i="7" s="1"/>
  <c r="AG490" i="7"/>
  <c r="AH490" i="7" s="1"/>
  <c r="AG491" i="7"/>
  <c r="AH491" i="7" s="1"/>
  <c r="AG492" i="7"/>
  <c r="AH492" i="7" s="1"/>
  <c r="AG493" i="7"/>
  <c r="AH493" i="7" s="1"/>
  <c r="AG494" i="7"/>
  <c r="AH494" i="7" s="1"/>
  <c r="AG495" i="7"/>
  <c r="AH495" i="7" s="1"/>
  <c r="AG496" i="7"/>
  <c r="AH496" i="7" s="1"/>
  <c r="AG497" i="7"/>
  <c r="AH497" i="7" s="1"/>
  <c r="AG498" i="7"/>
  <c r="AH498" i="7" s="1"/>
  <c r="AG499" i="7"/>
  <c r="AH499" i="7" s="1"/>
  <c r="AG500" i="7"/>
  <c r="AH500" i="7" s="1"/>
  <c r="AG501" i="7"/>
  <c r="AH501" i="7" s="1"/>
  <c r="AG502" i="7"/>
  <c r="AH502" i="7" s="1"/>
  <c r="AG503" i="7"/>
  <c r="AH503" i="7" s="1"/>
  <c r="AG504" i="7"/>
  <c r="AH504" i="7" s="1"/>
  <c r="AG505" i="7"/>
  <c r="AH505" i="7" s="1"/>
  <c r="AG506" i="7"/>
  <c r="AH506" i="7" s="1"/>
  <c r="AG507" i="7"/>
  <c r="AH507" i="7" s="1"/>
  <c r="AG508" i="7"/>
  <c r="AH508" i="7" s="1"/>
  <c r="AG509" i="7"/>
  <c r="AH509" i="7" s="1"/>
  <c r="AG510" i="7"/>
  <c r="AH510" i="7" s="1"/>
  <c r="AG511" i="7"/>
  <c r="AH511" i="7" s="1"/>
  <c r="AG512" i="7"/>
  <c r="AH512" i="7" s="1"/>
  <c r="AG513" i="7"/>
  <c r="AH513" i="7" s="1"/>
  <c r="AG514" i="7"/>
  <c r="AH514" i="7" s="1"/>
  <c r="AG515" i="7"/>
  <c r="AH515" i="7" s="1"/>
  <c r="AG516" i="7"/>
  <c r="AH516" i="7" s="1"/>
  <c r="AG517" i="7"/>
  <c r="AH517" i="7" s="1"/>
  <c r="AG518" i="7"/>
  <c r="AH518" i="7" s="1"/>
  <c r="AG519" i="7"/>
  <c r="AH519" i="7" s="1"/>
  <c r="AG520" i="7"/>
  <c r="AH520" i="7" s="1"/>
  <c r="AG521" i="7"/>
  <c r="AH521" i="7" s="1"/>
  <c r="AG522" i="7"/>
  <c r="AH522" i="7" s="1"/>
  <c r="AG523" i="7"/>
  <c r="AH523" i="7" s="1"/>
  <c r="AG524" i="7"/>
  <c r="AH524" i="7" s="1"/>
  <c r="AG525" i="7"/>
  <c r="AH525" i="7" s="1"/>
  <c r="AG526" i="7"/>
  <c r="AH526" i="7" s="1"/>
  <c r="AG527" i="7"/>
  <c r="AH527" i="7" s="1"/>
  <c r="AG528" i="7"/>
  <c r="AH528" i="7" s="1"/>
  <c r="AG529" i="7"/>
  <c r="AH529" i="7" s="1"/>
  <c r="AG530" i="7"/>
  <c r="AH530" i="7" s="1"/>
  <c r="AG531" i="7"/>
  <c r="AH531" i="7" s="1"/>
  <c r="AG532" i="7"/>
  <c r="AH532" i="7" s="1"/>
  <c r="AG533" i="7"/>
  <c r="AH533" i="7" s="1"/>
  <c r="AG534" i="7"/>
  <c r="AH534" i="7" s="1"/>
  <c r="AG535" i="7"/>
  <c r="AH535" i="7" s="1"/>
  <c r="AG536" i="7"/>
  <c r="AH536" i="7" s="1"/>
  <c r="AG537" i="7"/>
  <c r="AH537" i="7" s="1"/>
  <c r="AG538" i="7"/>
  <c r="AH538" i="7" s="1"/>
  <c r="AG539" i="7"/>
  <c r="AH539" i="7" s="1"/>
  <c r="AG540" i="7"/>
  <c r="AH540" i="7" s="1"/>
  <c r="AG541" i="7"/>
  <c r="AH541" i="7" s="1"/>
  <c r="AG542" i="7"/>
  <c r="AH542" i="7" s="1"/>
  <c r="AG543" i="7"/>
  <c r="AH543" i="7" s="1"/>
  <c r="AG544" i="7"/>
  <c r="AG545" i="7"/>
  <c r="AH545" i="7" s="1"/>
  <c r="AG546" i="7"/>
  <c r="AH546" i="7" s="1"/>
  <c r="AG547" i="7"/>
  <c r="AH547" i="7" s="1"/>
  <c r="AG548" i="7"/>
  <c r="AH548" i="7" s="1"/>
  <c r="AG549" i="7"/>
  <c r="AH549" i="7" s="1"/>
  <c r="AG550" i="7"/>
  <c r="AH550" i="7" s="1"/>
  <c r="AG551" i="7"/>
  <c r="AH551" i="7" s="1"/>
  <c r="AG552" i="7"/>
  <c r="AG553" i="7"/>
  <c r="AH553" i="7" s="1"/>
  <c r="AG554" i="7"/>
  <c r="AH554" i="7" s="1"/>
  <c r="AG555" i="7"/>
  <c r="AH555" i="7" s="1"/>
  <c r="AG556" i="7"/>
  <c r="AH556" i="7" s="1"/>
  <c r="AG557" i="7"/>
  <c r="AH557" i="7" s="1"/>
  <c r="AG558" i="7"/>
  <c r="AH558" i="7" s="1"/>
  <c r="AG559" i="7"/>
  <c r="AH559" i="7" s="1"/>
  <c r="AG560" i="7"/>
  <c r="AH560" i="7" s="1"/>
  <c r="AG561" i="7"/>
  <c r="AH561" i="7" s="1"/>
  <c r="AG562" i="7"/>
  <c r="AH562" i="7" s="1"/>
  <c r="AG563" i="7"/>
  <c r="AH563" i="7" s="1"/>
  <c r="AG564" i="7"/>
  <c r="AH564" i="7" s="1"/>
  <c r="AG565" i="7"/>
  <c r="AH565" i="7" s="1"/>
  <c r="AG566" i="7"/>
  <c r="AH566" i="7" s="1"/>
  <c r="AG567" i="7"/>
  <c r="AH567" i="7" s="1"/>
  <c r="AG568" i="7"/>
  <c r="AH568" i="7" s="1"/>
  <c r="AG569" i="7"/>
  <c r="AH569" i="7" s="1"/>
  <c r="AG570" i="7"/>
  <c r="AH570" i="7" s="1"/>
  <c r="AG571" i="7"/>
  <c r="AH571" i="7" s="1"/>
  <c r="AG572" i="7"/>
  <c r="AH572" i="7" s="1"/>
  <c r="AG573" i="7"/>
  <c r="AH573" i="7" s="1"/>
  <c r="AG574" i="7"/>
  <c r="AH574" i="7" s="1"/>
  <c r="AG575" i="7"/>
  <c r="AH575" i="7" s="1"/>
  <c r="AG576" i="7"/>
  <c r="AH576" i="7" s="1"/>
  <c r="AG577" i="7"/>
  <c r="AH577" i="7" s="1"/>
  <c r="AG578" i="7"/>
  <c r="AH578" i="7" s="1"/>
  <c r="AG579" i="7"/>
  <c r="AH579" i="7" s="1"/>
  <c r="AG580" i="7"/>
  <c r="AH580" i="7" s="1"/>
  <c r="AG581" i="7"/>
  <c r="AH581" i="7" s="1"/>
  <c r="AG582" i="7"/>
  <c r="AH582" i="7" s="1"/>
  <c r="AG583" i="7"/>
  <c r="AH583" i="7" s="1"/>
  <c r="AG584" i="7"/>
  <c r="AH584" i="7" s="1"/>
  <c r="AG585" i="7"/>
  <c r="AH585" i="7" s="1"/>
  <c r="AG586" i="7"/>
  <c r="AH586" i="7" s="1"/>
  <c r="AG587" i="7"/>
  <c r="AH587" i="7" s="1"/>
  <c r="AG588" i="7"/>
  <c r="AH588" i="7" s="1"/>
  <c r="AG589" i="7"/>
  <c r="AH589" i="7" s="1"/>
  <c r="AG590" i="7"/>
  <c r="AH590" i="7" s="1"/>
  <c r="AG591" i="7"/>
  <c r="AH591" i="7" s="1"/>
  <c r="AG592" i="7"/>
  <c r="AH592" i="7" s="1"/>
  <c r="AG593" i="7"/>
  <c r="AH593" i="7" s="1"/>
  <c r="AG594" i="7"/>
  <c r="AH594" i="7" s="1"/>
  <c r="AG595" i="7"/>
  <c r="AH595" i="7" s="1"/>
  <c r="AG596" i="7"/>
  <c r="AH596" i="7" s="1"/>
  <c r="AG597" i="7"/>
  <c r="AH597" i="7" s="1"/>
  <c r="AG598" i="7"/>
  <c r="AH598" i="7" s="1"/>
  <c r="AG599" i="7"/>
  <c r="AH599" i="7" s="1"/>
  <c r="AG600" i="7"/>
  <c r="AH600" i="7" s="1"/>
  <c r="AG601" i="7"/>
  <c r="AH601" i="7" s="1"/>
  <c r="AG602" i="7"/>
  <c r="AH602" i="7" s="1"/>
  <c r="AG603" i="7"/>
  <c r="AH603" i="7" s="1"/>
  <c r="AG604" i="7"/>
  <c r="AH604" i="7" s="1"/>
  <c r="AG605" i="7"/>
  <c r="AH605" i="7" s="1"/>
  <c r="AG606" i="7"/>
  <c r="AH606" i="7" s="1"/>
  <c r="AG607" i="7"/>
  <c r="AH607" i="7" s="1"/>
  <c r="AG608" i="7"/>
  <c r="AH608" i="7" s="1"/>
  <c r="AG609" i="7"/>
  <c r="AH609" i="7" s="1"/>
  <c r="AG610" i="7"/>
  <c r="AH610" i="7" s="1"/>
  <c r="AG611" i="7"/>
  <c r="AH611" i="7" s="1"/>
  <c r="AG612" i="7"/>
  <c r="AH612" i="7" s="1"/>
  <c r="AG613" i="7"/>
  <c r="AH613" i="7" s="1"/>
  <c r="AG614" i="7"/>
  <c r="AH614" i="7" s="1"/>
  <c r="AG615" i="7"/>
  <c r="AH615" i="7" s="1"/>
  <c r="AG616" i="7"/>
  <c r="AH616" i="7" s="1"/>
  <c r="AG617" i="7"/>
  <c r="AG618" i="7"/>
  <c r="AH618" i="7" s="1"/>
  <c r="AG619" i="7"/>
  <c r="AH619" i="7" s="1"/>
  <c r="AG620" i="7"/>
  <c r="AH620" i="7" s="1"/>
  <c r="AG621" i="7"/>
  <c r="AH621" i="7" s="1"/>
  <c r="AG622" i="7"/>
  <c r="AH622" i="7" s="1"/>
  <c r="AG623" i="7"/>
  <c r="AH623" i="7" s="1"/>
  <c r="AG624" i="7"/>
  <c r="AH624" i="7" s="1"/>
  <c r="AG625" i="7"/>
  <c r="AH625" i="7" s="1"/>
  <c r="AG626" i="7"/>
  <c r="AH626" i="7" s="1"/>
  <c r="AG627" i="7"/>
  <c r="AH627" i="7" s="1"/>
  <c r="AG628" i="7"/>
  <c r="AH628" i="7" s="1"/>
  <c r="AG629" i="7"/>
  <c r="AH629" i="7" s="1"/>
  <c r="AG630" i="7"/>
  <c r="AH630" i="7" s="1"/>
  <c r="AG631" i="7"/>
  <c r="AH631" i="7" s="1"/>
  <c r="AG632" i="7"/>
  <c r="AH632" i="7" s="1"/>
  <c r="AG633" i="7"/>
  <c r="AH633" i="7" s="1"/>
  <c r="AG634" i="7"/>
  <c r="AH634" i="7" s="1"/>
  <c r="AG635" i="7"/>
  <c r="AH635" i="7" s="1"/>
  <c r="AG636" i="7"/>
  <c r="AH636" i="7" s="1"/>
  <c r="AG637" i="7"/>
  <c r="AH637" i="7" s="1"/>
  <c r="AG638" i="7"/>
  <c r="AH638" i="7" s="1"/>
  <c r="AG639" i="7"/>
  <c r="AH639" i="7" s="1"/>
  <c r="AG640" i="7"/>
  <c r="AH640" i="7" s="1"/>
  <c r="AG641" i="7"/>
  <c r="AH641" i="7" s="1"/>
  <c r="AG642" i="7"/>
  <c r="AH642" i="7" s="1"/>
  <c r="AG643" i="7"/>
  <c r="AH643" i="7" s="1"/>
  <c r="AG644" i="7"/>
  <c r="AH644" i="7" s="1"/>
  <c r="AG645" i="7"/>
  <c r="AH645" i="7" s="1"/>
  <c r="AG646" i="7"/>
  <c r="AH646" i="7" s="1"/>
  <c r="AG647" i="7"/>
  <c r="AH647" i="7" s="1"/>
  <c r="AG648" i="7"/>
  <c r="AH648" i="7" s="1"/>
  <c r="AG649" i="7"/>
  <c r="AH649" i="7" s="1"/>
  <c r="AG650" i="7"/>
  <c r="AH650" i="7" s="1"/>
  <c r="AG651" i="7"/>
  <c r="AH651" i="7" s="1"/>
  <c r="AG652" i="7"/>
  <c r="AH652" i="7" s="1"/>
  <c r="AG653" i="7"/>
  <c r="AH653" i="7" s="1"/>
  <c r="AG654" i="7"/>
  <c r="AH654" i="7" s="1"/>
  <c r="AG655" i="7"/>
  <c r="AH655" i="7" s="1"/>
  <c r="AG656" i="7"/>
  <c r="AH656" i="7" s="1"/>
  <c r="AG657" i="7"/>
  <c r="AH657" i="7" s="1"/>
  <c r="AG658" i="7"/>
  <c r="AH658" i="7" s="1"/>
  <c r="AG659" i="7"/>
  <c r="AH659" i="7" s="1"/>
  <c r="AG660" i="7"/>
  <c r="AH660" i="7" s="1"/>
  <c r="AG661" i="7"/>
  <c r="AH661" i="7" s="1"/>
  <c r="AG662" i="7"/>
  <c r="AH662" i="7" s="1"/>
  <c r="AG663" i="7"/>
  <c r="AH663" i="7" s="1"/>
  <c r="AG664" i="7"/>
  <c r="AH664" i="7" s="1"/>
  <c r="AG665" i="7"/>
  <c r="AH665" i="7" s="1"/>
  <c r="AG666" i="7"/>
  <c r="AH666" i="7" s="1"/>
  <c r="AG667" i="7"/>
  <c r="AH667" i="7" s="1"/>
  <c r="AG668" i="7"/>
  <c r="AH668" i="7" s="1"/>
  <c r="AG669" i="7"/>
  <c r="AH669" i="7" s="1"/>
  <c r="AG670" i="7"/>
  <c r="AH670" i="7" s="1"/>
  <c r="AG671" i="7"/>
  <c r="AH671" i="7" s="1"/>
  <c r="AG672" i="7"/>
  <c r="AH672" i="7" s="1"/>
  <c r="AG673" i="7"/>
  <c r="AH673" i="7" s="1"/>
  <c r="AG674" i="7"/>
  <c r="AH674" i="7" s="1"/>
  <c r="AG675" i="7"/>
  <c r="AH675" i="7" s="1"/>
  <c r="AG676" i="7"/>
  <c r="AH676" i="7" s="1"/>
  <c r="AG677" i="7"/>
  <c r="AH677" i="7" s="1"/>
  <c r="AG678" i="7"/>
  <c r="AH678" i="7" s="1"/>
  <c r="AG679" i="7"/>
  <c r="AH679" i="7" s="1"/>
  <c r="AG680" i="7"/>
  <c r="AH680" i="7" s="1"/>
  <c r="AG681" i="7"/>
  <c r="AH681" i="7" s="1"/>
  <c r="AG682" i="7"/>
  <c r="AH682" i="7" s="1"/>
  <c r="AG683" i="7"/>
  <c r="AH683" i="7" s="1"/>
  <c r="AG684" i="7"/>
  <c r="AH684" i="7" s="1"/>
  <c r="AG685" i="7"/>
  <c r="AH685" i="7" s="1"/>
  <c r="AG686" i="7"/>
  <c r="AH686" i="7" s="1"/>
  <c r="AG687" i="7"/>
  <c r="AH687" i="7" s="1"/>
  <c r="AG688" i="7"/>
  <c r="AH688" i="7" s="1"/>
  <c r="AG689" i="7"/>
  <c r="AH689" i="7" s="1"/>
  <c r="AG690" i="7"/>
  <c r="AH690" i="7" s="1"/>
  <c r="AG691" i="7"/>
  <c r="AH691" i="7" s="1"/>
  <c r="AG692" i="7"/>
  <c r="AH692" i="7" s="1"/>
  <c r="AG693" i="7"/>
  <c r="AH693" i="7" s="1"/>
  <c r="AG694" i="7"/>
  <c r="AH694" i="7" s="1"/>
  <c r="AG695" i="7"/>
  <c r="AH695" i="7" s="1"/>
  <c r="AG696" i="7"/>
  <c r="AH696" i="7" s="1"/>
  <c r="AG697" i="7"/>
  <c r="AH697" i="7" s="1"/>
  <c r="AG698" i="7"/>
  <c r="AH698" i="7" s="1"/>
  <c r="AG699" i="7"/>
  <c r="AH699" i="7" s="1"/>
  <c r="AG700" i="7"/>
  <c r="AH700" i="7" s="1"/>
  <c r="AG701" i="7"/>
  <c r="AH701" i="7" s="1"/>
  <c r="AG702" i="7"/>
  <c r="AG703" i="7"/>
  <c r="AH703" i="7" s="1"/>
  <c r="AG704" i="7"/>
  <c r="AH704" i="7" s="1"/>
  <c r="AG705" i="7"/>
  <c r="AH705" i="7" s="1"/>
  <c r="AG706" i="7"/>
  <c r="AH706" i="7" s="1"/>
  <c r="AG707" i="7"/>
  <c r="AH707" i="7" s="1"/>
  <c r="AG708" i="7"/>
  <c r="AH708" i="7" s="1"/>
  <c r="AG709" i="7"/>
  <c r="AH709" i="7" s="1"/>
  <c r="AG710" i="7"/>
  <c r="AH710" i="7" s="1"/>
  <c r="AG711" i="7"/>
  <c r="AH711" i="7" s="1"/>
  <c r="AG712" i="7"/>
  <c r="AH712" i="7" s="1"/>
  <c r="AG713" i="7"/>
  <c r="AH713" i="7" s="1"/>
  <c r="AG714" i="7"/>
  <c r="AH714" i="7" s="1"/>
  <c r="AG715" i="7"/>
  <c r="AH715" i="7" s="1"/>
  <c r="AG716" i="7"/>
  <c r="AH716" i="7" s="1"/>
  <c r="AG717" i="7"/>
  <c r="AH717" i="7" s="1"/>
  <c r="AG718" i="7"/>
  <c r="AH718" i="7" s="1"/>
  <c r="AG719" i="7"/>
  <c r="AG720" i="7"/>
  <c r="AH720" i="7" s="1"/>
  <c r="AG721" i="7"/>
  <c r="AH721" i="7" s="1"/>
  <c r="AG722" i="7"/>
  <c r="AH722" i="7" s="1"/>
  <c r="AG723" i="7"/>
  <c r="AH723" i="7" s="1"/>
  <c r="AG724" i="7"/>
  <c r="AH724" i="7" s="1"/>
  <c r="AG725" i="7"/>
  <c r="AH725" i="7" s="1"/>
  <c r="AG726" i="7"/>
  <c r="AH726" i="7" s="1"/>
  <c r="AG727" i="7"/>
  <c r="AH727" i="7" s="1"/>
  <c r="AG728" i="7"/>
  <c r="AH728" i="7" s="1"/>
  <c r="AG729" i="7"/>
  <c r="AH729" i="7" s="1"/>
  <c r="AG730" i="7"/>
  <c r="AH730" i="7" s="1"/>
  <c r="AG731" i="7"/>
  <c r="AH731" i="7" s="1"/>
  <c r="AG732" i="7"/>
  <c r="AH732" i="7" s="1"/>
  <c r="AG733" i="7"/>
  <c r="AH733" i="7" s="1"/>
  <c r="AG734" i="7"/>
  <c r="AH734" i="7" s="1"/>
  <c r="AG735" i="7"/>
  <c r="AH735" i="7" s="1"/>
  <c r="AG736" i="7"/>
  <c r="AH736" i="7" s="1"/>
  <c r="AG737" i="7"/>
  <c r="AH737" i="7" s="1"/>
  <c r="AG738" i="7"/>
  <c r="AH738" i="7" s="1"/>
  <c r="AG739" i="7"/>
  <c r="AH739" i="7" s="1"/>
  <c r="AG740" i="7"/>
  <c r="AH740" i="7" s="1"/>
  <c r="AG741" i="7"/>
  <c r="AH741" i="7" s="1"/>
  <c r="AG742" i="7"/>
  <c r="AH742" i="7" s="1"/>
  <c r="AG743" i="7"/>
  <c r="AH743" i="7" s="1"/>
  <c r="AG744" i="7"/>
  <c r="AH744" i="7" s="1"/>
  <c r="AG745" i="7"/>
  <c r="AH745" i="7" s="1"/>
  <c r="AG746" i="7"/>
  <c r="AH746" i="7" s="1"/>
  <c r="AG747" i="7"/>
  <c r="AH747" i="7" s="1"/>
  <c r="AG748" i="7"/>
  <c r="AH748" i="7" s="1"/>
  <c r="AG749" i="7"/>
  <c r="AH749" i="7" s="1"/>
  <c r="AG750" i="7"/>
  <c r="AH750" i="7" s="1"/>
  <c r="AG751" i="7"/>
  <c r="AH751" i="7" s="1"/>
  <c r="AG752" i="7"/>
  <c r="AH752" i="7" s="1"/>
  <c r="AG753" i="7"/>
  <c r="AH753" i="7" s="1"/>
  <c r="Y129" i="7" l="1"/>
  <c r="AD129" i="7"/>
  <c r="Y247" i="7"/>
  <c r="AD247" i="7"/>
  <c r="Y248" i="7"/>
  <c r="AD248" i="7"/>
  <c r="Y583" i="7"/>
  <c r="Y643" i="7"/>
  <c r="Y652" i="7"/>
  <c r="AD914" i="7"/>
  <c r="AD978" i="7"/>
  <c r="AD989" i="7"/>
  <c r="AD999" i="7"/>
  <c r="Y11" i="7"/>
  <c r="Y28" i="7"/>
  <c r="Y103" i="7"/>
  <c r="Y113" i="7"/>
  <c r="Y393" i="7"/>
  <c r="Y451" i="7"/>
  <c r="Y614" i="7"/>
  <c r="Y713" i="7"/>
  <c r="AD929" i="7"/>
  <c r="Y41" i="7"/>
  <c r="Y503" i="7"/>
  <c r="Y661" i="7"/>
  <c r="Y674" i="7"/>
  <c r="Y819" i="7"/>
  <c r="Y843" i="7"/>
  <c r="Y931" i="7"/>
  <c r="AD942" i="7"/>
  <c r="AH757" i="7"/>
  <c r="AH789" i="7"/>
  <c r="AH871" i="7"/>
  <c r="AH157" i="7"/>
  <c r="AH159" i="7"/>
  <c r="AH169" i="7"/>
  <c r="AH255" i="7"/>
  <c r="AH293" i="7"/>
  <c r="AH296" i="7"/>
  <c r="AH381" i="7"/>
  <c r="AH383" i="7"/>
  <c r="AH474" i="7"/>
  <c r="AH544" i="7"/>
  <c r="AH552" i="7"/>
  <c r="AH617" i="7"/>
  <c r="AH702" i="7"/>
  <c r="AH719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4D2D4C-A6AE-4B2B-81EB-9C1384ACD446}" keepAlive="1" name="Query - Clean Sales" description="Connection to the 'Clean Sales' query in the workbook." type="5" refreshedVersion="8" background="1" saveData="1">
    <dbPr connection="Provider=Microsoft.Mashup.OleDb.1;Data Source=$Workbook$;Location=&quot;Clean Sales&quot;;Extended Properties=&quot;&quot;" command="SELECT * FROM [Clean Sales]"/>
  </connection>
  <connection id="2" xr16:uid="{728DB7DB-0403-44E1-8761-6C0814632923}" keepAlive="1" name="Query - Raw Sales" description="Connection to the 'Raw Sales' query in the workbook." type="5" refreshedVersion="8" background="1" saveData="1">
    <dbPr connection="Provider=Microsoft.Mashup.OleDb.1;Data Source=$Workbook$;Location=&quot;Raw Sales&quot;;Extended Properties=&quot;&quot;" command="SELECT * FROM [Raw Sales]"/>
  </connection>
  <connection id="3" xr16:uid="{50CC23F1-7535-4F52-94F4-2DD1A8CA6CE9}" keepAlive="1" name="Query - Working Sales" description="Connection to the 'Working Sales' query in the workbook." type="5" refreshedVersion="8" background="1" saveData="1">
    <dbPr connection="Provider=Microsoft.Mashup.OleDb.1;Data Source=$Workbook$;Location=&quot;Working Sales&quot;;Extended Properties=&quot;&quot;" command="SELECT * FROM [Working Sal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<sst xmlns="http://schemas.openxmlformats.org/spreadsheetml/2006/main" count="20321" uniqueCount="3158">
  <si>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</si>
  <si>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</si>
  <si>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</si>
  <si>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</si>
  <si>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</si>
  <si>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</si>
  <si>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</si>
  <si>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</si>
  <si>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</si>
  <si>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569</t>
  </si>
  <si>
    <t>08/15/2023</t>
  </si>
  <si>
    <t>MALE</t>
  </si>
  <si>
    <t>52</t>
  </si>
  <si>
    <t>Electronics</t>
  </si>
  <si>
    <t>4</t>
  </si>
  <si>
    <t>50</t>
  </si>
  <si>
    <t>200</t>
  </si>
  <si>
    <t>147</t>
  </si>
  <si>
    <t>28/09/2023</t>
  </si>
  <si>
    <t>cust147</t>
  </si>
  <si>
    <t>male</t>
  </si>
  <si>
    <t>23</t>
  </si>
  <si>
    <t>1</t>
  </si>
  <si>
    <t>300</t>
  </si>
  <si>
    <t>988</t>
  </si>
  <si>
    <t>28/05/2023</t>
  </si>
  <si>
    <t>Female</t>
  </si>
  <si>
    <t>63</t>
  </si>
  <si>
    <t>clothing</t>
  </si>
  <si>
    <t>3</t>
  </si>
  <si>
    <t>25</t>
  </si>
  <si>
    <t>75</t>
  </si>
  <si>
    <t>745</t>
  </si>
  <si>
    <t>2023-04-13</t>
  </si>
  <si>
    <t>Male</t>
  </si>
  <si>
    <t>54</t>
  </si>
  <si>
    <t>Beauty</t>
  </si>
  <si>
    <t>2</t>
  </si>
  <si>
    <t>100</t>
  </si>
  <si>
    <t>271</t>
  </si>
  <si>
    <t>CUST271</t>
  </si>
  <si>
    <t>62</t>
  </si>
  <si>
    <t xml:space="preserve">Beauty </t>
  </si>
  <si>
    <t>30.00</t>
  </si>
  <si>
    <t>120</t>
  </si>
  <si>
    <t>329</t>
  </si>
  <si>
    <t>F</t>
  </si>
  <si>
    <t>46</t>
  </si>
  <si>
    <t>electronics</t>
  </si>
  <si>
    <t>$25</t>
  </si>
  <si>
    <t>833</t>
  </si>
  <si>
    <t>16/06/2023</t>
  </si>
  <si>
    <t>42</t>
  </si>
  <si>
    <t>697</t>
  </si>
  <si>
    <t>01/15/2023</t>
  </si>
  <si>
    <t>53</t>
  </si>
  <si>
    <t>Clothing</t>
  </si>
  <si>
    <t>500</t>
  </si>
  <si>
    <t>172</t>
  </si>
  <si>
    <t>17/09/2023</t>
  </si>
  <si>
    <t>CUST172</t>
  </si>
  <si>
    <t>32</t>
  </si>
  <si>
    <t>beauty</t>
  </si>
  <si>
    <t>433</t>
  </si>
  <si>
    <t>2023-02-27</t>
  </si>
  <si>
    <t>29</t>
  </si>
  <si>
    <t>263</t>
  </si>
  <si>
    <t>2023-08-28</t>
  </si>
  <si>
    <t>CUST263</t>
  </si>
  <si>
    <t>BEAUTY</t>
  </si>
  <si>
    <t>30</t>
  </si>
  <si>
    <t>60</t>
  </si>
  <si>
    <t>494</t>
  </si>
  <si>
    <t>2023-09-18</t>
  </si>
  <si>
    <t>CUST494</t>
  </si>
  <si>
    <t xml:space="preserve"> 50 </t>
  </si>
  <si>
    <t>862</t>
  </si>
  <si>
    <t>31/05/2023</t>
  </si>
  <si>
    <t>28</t>
  </si>
  <si>
    <t>1200</t>
  </si>
  <si>
    <t>356</t>
  </si>
  <si>
    <t>2023-06-10</t>
  </si>
  <si>
    <t>CUST356</t>
  </si>
  <si>
    <t>50.0</t>
  </si>
  <si>
    <t>500.00</t>
  </si>
  <si>
    <t>1500</t>
  </si>
  <si>
    <t>726</t>
  </si>
  <si>
    <t>June 17, 2023</t>
  </si>
  <si>
    <t>47.0</t>
  </si>
  <si>
    <t>CLOTHING</t>
  </si>
  <si>
    <t>955</t>
  </si>
  <si>
    <t>2023-07-14</t>
  </si>
  <si>
    <t>58</t>
  </si>
  <si>
    <t>897</t>
  </si>
  <si>
    <t>26/09/2023</t>
  </si>
  <si>
    <t>64</t>
  </si>
  <si>
    <t>$50</t>
  </si>
  <si>
    <t>645</t>
  </si>
  <si>
    <t>35</t>
  </si>
  <si>
    <t>ELECTRONICS</t>
  </si>
  <si>
    <t xml:space="preserve"> 30 </t>
  </si>
  <si>
    <t>423</t>
  </si>
  <si>
    <t>2023-03-08</t>
  </si>
  <si>
    <t>CUST-423</t>
  </si>
  <si>
    <t>27</t>
  </si>
  <si>
    <t>348</t>
  </si>
  <si>
    <t>2023-12-03</t>
  </si>
  <si>
    <t>600</t>
  </si>
  <si>
    <t>958</t>
  </si>
  <si>
    <t xml:space="preserve"> Electronics</t>
  </si>
  <si>
    <t>791</t>
  </si>
  <si>
    <t>December 05, 2023</t>
  </si>
  <si>
    <t>female</t>
  </si>
  <si>
    <t>51</t>
  </si>
  <si>
    <t>254</t>
  </si>
  <si>
    <t>28/07/2023</t>
  </si>
  <si>
    <t>41.0</t>
  </si>
  <si>
    <t xml:space="preserve">Electronics </t>
  </si>
  <si>
    <t>657</t>
  </si>
  <si>
    <t>2023-02-11</t>
  </si>
  <si>
    <t>40.0</t>
  </si>
  <si>
    <t>803</t>
  </si>
  <si>
    <t>22/11/2023</t>
  </si>
  <si>
    <t>39</t>
  </si>
  <si>
    <t xml:space="preserve">Clothing </t>
  </si>
  <si>
    <t>December 26, 2023</t>
  </si>
  <si>
    <t>CUST025</t>
  </si>
  <si>
    <t>923</t>
  </si>
  <si>
    <t>900</t>
  </si>
  <si>
    <t>554</t>
  </si>
  <si>
    <t>150</t>
  </si>
  <si>
    <t>309</t>
  </si>
  <si>
    <t>23-Dec-2023</t>
  </si>
  <si>
    <t>CUST309</t>
  </si>
  <si>
    <t>26</t>
  </si>
  <si>
    <t>10</t>
  </si>
  <si>
    <t>2023-10-07</t>
  </si>
  <si>
    <t>CUST010</t>
  </si>
  <si>
    <t>504</t>
  </si>
  <si>
    <t>16/05/2023</t>
  </si>
  <si>
    <t>FEMALE</t>
  </si>
  <si>
    <t>38</t>
  </si>
  <si>
    <t>568</t>
  </si>
  <si>
    <t>August 27, 2023</t>
  </si>
  <si>
    <t>565</t>
  </si>
  <si>
    <t>07-Nov-2023</t>
  </si>
  <si>
    <t>45</t>
  </si>
  <si>
    <t>$30</t>
  </si>
  <si>
    <t>165</t>
  </si>
  <si>
    <t>CUST165</t>
  </si>
  <si>
    <t>61</t>
  </si>
  <si>
    <t>April 09, 2023</t>
  </si>
  <si>
    <t>21</t>
  </si>
  <si>
    <t>50.00</t>
  </si>
  <si>
    <t>169</t>
  </si>
  <si>
    <t>2023-11-17</t>
  </si>
  <si>
    <t>CUST169</t>
  </si>
  <si>
    <t>18</t>
  </si>
  <si>
    <t>164</t>
  </si>
  <si>
    <t>CUST164</t>
  </si>
  <si>
    <t>47</t>
  </si>
  <si>
    <t xml:space="preserve">CUST026  </t>
  </si>
  <si>
    <t>$500</t>
  </si>
  <si>
    <t>1000</t>
  </si>
  <si>
    <t>217</t>
  </si>
  <si>
    <t>13/08/2023</t>
  </si>
  <si>
    <t xml:space="preserve">  CUST217</t>
  </si>
  <si>
    <t>285</t>
  </si>
  <si>
    <t>15/08/2023</t>
  </si>
  <si>
    <t>cust285</t>
  </si>
  <si>
    <t>31</t>
  </si>
  <si>
    <t xml:space="preserve"> 25 </t>
  </si>
  <si>
    <t>596</t>
  </si>
  <si>
    <t>07-Feb-2023</t>
  </si>
  <si>
    <t>103</t>
  </si>
  <si>
    <t>01/17/2023</t>
  </si>
  <si>
    <t>CUST103</t>
  </si>
  <si>
    <t>59</t>
  </si>
  <si>
    <t>610</t>
  </si>
  <si>
    <t>2023-01-03</t>
  </si>
  <si>
    <t xml:space="preserve"> 300 </t>
  </si>
  <si>
    <t>604</t>
  </si>
  <si>
    <t>778</t>
  </si>
  <si>
    <t>583</t>
  </si>
  <si>
    <t>24</t>
  </si>
  <si>
    <t>678</t>
  </si>
  <si>
    <t>$300</t>
  </si>
  <si>
    <t>126</t>
  </si>
  <si>
    <t>2023-10-26</t>
  </si>
  <si>
    <t>CUST126</t>
  </si>
  <si>
    <t>28.0</t>
  </si>
  <si>
    <t>90</t>
  </si>
  <si>
    <t>409</t>
  </si>
  <si>
    <t>12/18/2023</t>
  </si>
  <si>
    <t>CUST409</t>
  </si>
  <si>
    <t xml:space="preserve"> 21</t>
  </si>
  <si>
    <t>771</t>
  </si>
  <si>
    <t>14</t>
  </si>
  <si>
    <t>2023-01-17</t>
  </si>
  <si>
    <t>CUST014</t>
  </si>
  <si>
    <t>814</t>
  </si>
  <si>
    <t>552</t>
  </si>
  <si>
    <t>49</t>
  </si>
  <si>
    <t>CUST100</t>
  </si>
  <si>
    <t>41</t>
  </si>
  <si>
    <t>588</t>
  </si>
  <si>
    <t>455</t>
  </si>
  <si>
    <t>2023-07-01</t>
  </si>
  <si>
    <t>CUST455</t>
  </si>
  <si>
    <t>996</t>
  </si>
  <si>
    <t>2023-05-16</t>
  </si>
  <si>
    <t>362</t>
  </si>
  <si>
    <t>2023-11-27</t>
  </si>
  <si>
    <t>114</t>
  </si>
  <si>
    <t>2023-07-22</t>
  </si>
  <si>
    <t>CUST114</t>
  </si>
  <si>
    <t>22</t>
  </si>
  <si>
    <t>865</t>
  </si>
  <si>
    <t>2023-12-21</t>
  </si>
  <si>
    <t>95</t>
  </si>
  <si>
    <t>2023-11-24</t>
  </si>
  <si>
    <t>CUST095</t>
  </si>
  <si>
    <t>929</t>
  </si>
  <si>
    <t>01/27/2023</t>
  </si>
  <si>
    <t>452</t>
  </si>
  <si>
    <t>CUST452</t>
  </si>
  <si>
    <t>48</t>
  </si>
  <si>
    <t>468</t>
  </si>
  <si>
    <t>40</t>
  </si>
  <si>
    <t>420</t>
  </si>
  <si>
    <t>2023-01-23</t>
  </si>
  <si>
    <t>CUST420</t>
  </si>
  <si>
    <t>2000</t>
  </si>
  <si>
    <t>795</t>
  </si>
  <si>
    <t>2023-11-28</t>
  </si>
  <si>
    <t>57</t>
  </si>
  <si>
    <t>454</t>
  </si>
  <si>
    <t>2023-02-22</t>
  </si>
  <si>
    <t xml:space="preserve">CUST454  </t>
  </si>
  <si>
    <t xml:space="preserve"> 46</t>
  </si>
  <si>
    <t>882</t>
  </si>
  <si>
    <t>2023-06-06</t>
  </si>
  <si>
    <t>750</t>
  </si>
  <si>
    <t>2023-03-06</t>
  </si>
  <si>
    <t>602</t>
  </si>
  <si>
    <t>12/23/2023</t>
  </si>
  <si>
    <t>20</t>
  </si>
  <si>
    <t>931</t>
  </si>
  <si>
    <t>2023-09-02</t>
  </si>
  <si>
    <t>673</t>
  </si>
  <si>
    <t>February 01, 2023</t>
  </si>
  <si>
    <t>43.0</t>
  </si>
  <si>
    <t>2023-08-05</t>
  </si>
  <si>
    <t>CUST035</t>
  </si>
  <si>
    <t>February 10, 2023</t>
  </si>
  <si>
    <t>CUST054</t>
  </si>
  <si>
    <t>327</t>
  </si>
  <si>
    <t>2023-09-29</t>
  </si>
  <si>
    <t>CUST327</t>
  </si>
  <si>
    <t>846</t>
  </si>
  <si>
    <t>559</t>
  </si>
  <si>
    <t>01-Jan-2023</t>
  </si>
  <si>
    <t>548</t>
  </si>
  <si>
    <t>2023-04-09</t>
  </si>
  <si>
    <t>599</t>
  </si>
  <si>
    <t>2023-11-19</t>
  </si>
  <si>
    <t>543</t>
  </si>
  <si>
    <t>2023-07-26</t>
  </si>
  <si>
    <t>M</t>
  </si>
  <si>
    <t>331</t>
  </si>
  <si>
    <t>11-Feb-2023</t>
  </si>
  <si>
    <t>432</t>
  </si>
  <si>
    <t>CUST432</t>
  </si>
  <si>
    <t>910</t>
  </si>
  <si>
    <t>325</t>
  </si>
  <si>
    <t>658</t>
  </si>
  <si>
    <t>59.0</t>
  </si>
  <si>
    <t>486</t>
  </si>
  <si>
    <t>CUST486</t>
  </si>
  <si>
    <t>421</t>
  </si>
  <si>
    <t>CUST421</t>
  </si>
  <si>
    <t>37</t>
  </si>
  <si>
    <t xml:space="preserve"> 500 </t>
  </si>
  <si>
    <t>652</t>
  </si>
  <si>
    <t>2023-05-01</t>
  </si>
  <si>
    <t>34</t>
  </si>
  <si>
    <t>431</t>
  </si>
  <si>
    <t>2023-10-15</t>
  </si>
  <si>
    <t>300.00</t>
  </si>
  <si>
    <t>278</t>
  </si>
  <si>
    <t>13/03/2023</t>
  </si>
  <si>
    <t>CUST278</t>
  </si>
  <si>
    <t>737</t>
  </si>
  <si>
    <t>29/06/2023</t>
  </si>
  <si>
    <t>33</t>
  </si>
  <si>
    <t>977</t>
  </si>
  <si>
    <t>2023-02-08</t>
  </si>
  <si>
    <t>735</t>
  </si>
  <si>
    <t>730</t>
  </si>
  <si>
    <t>04-Aug-2023</t>
  </si>
  <si>
    <t>36</t>
  </si>
  <si>
    <t>570</t>
  </si>
  <si>
    <t>410</t>
  </si>
  <si>
    <t>2023-11-21</t>
  </si>
  <si>
    <t>CUST410</t>
  </si>
  <si>
    <t>622</t>
  </si>
  <si>
    <t>2023-08-22</t>
  </si>
  <si>
    <t>723</t>
  </si>
  <si>
    <t>54.0</t>
  </si>
  <si>
    <t>109</t>
  </si>
  <si>
    <t>18/10/2023</t>
  </si>
  <si>
    <t>CUST109</t>
  </si>
  <si>
    <t>717</t>
  </si>
  <si>
    <t>2023-03-11</t>
  </si>
  <si>
    <t>911</t>
  </si>
  <si>
    <t>21/05/2023</t>
  </si>
  <si>
    <t>42.0</t>
  </si>
  <si>
    <t>906</t>
  </si>
  <si>
    <t>975</t>
  </si>
  <si>
    <t>2023-03-30</t>
  </si>
  <si>
    <t>56.0</t>
  </si>
  <si>
    <t>710</t>
  </si>
  <si>
    <t>2023-10-31</t>
  </si>
  <si>
    <t>233</t>
  </si>
  <si>
    <t>29/12/2023</t>
  </si>
  <si>
    <t>CUST233</t>
  </si>
  <si>
    <t>611</t>
  </si>
  <si>
    <t>02/24/2023</t>
  </si>
  <si>
    <t>154</t>
  </si>
  <si>
    <t>CUST154</t>
  </si>
  <si>
    <t>141</t>
  </si>
  <si>
    <t>cust141</t>
  </si>
  <si>
    <t>238</t>
  </si>
  <si>
    <t>CUST238</t>
  </si>
  <si>
    <t>39.0</t>
  </si>
  <si>
    <t>598</t>
  </si>
  <si>
    <t>2023-08-01</t>
  </si>
  <si>
    <t>935</t>
  </si>
  <si>
    <t>306</t>
  </si>
  <si>
    <t>2023-08-21</t>
  </si>
  <si>
    <t>CUST306</t>
  </si>
  <si>
    <t>907</t>
  </si>
  <si>
    <t>45.0</t>
  </si>
  <si>
    <t>111</t>
  </si>
  <si>
    <t>CUST111</t>
  </si>
  <si>
    <t>2023-08-03</t>
  </si>
  <si>
    <t>CUST027</t>
  </si>
  <si>
    <t>11/13/2023</t>
  </si>
  <si>
    <t>CUST058</t>
  </si>
  <si>
    <t>2023-11-06</t>
  </si>
  <si>
    <t>CUST047</t>
  </si>
  <si>
    <t>260</t>
  </si>
  <si>
    <t>July 01, 2023</t>
  </si>
  <si>
    <t>CUST260</t>
  </si>
  <si>
    <t>993</t>
  </si>
  <si>
    <t>751</t>
  </si>
  <si>
    <t>2023-08-31</t>
  </si>
  <si>
    <t>99</t>
  </si>
  <si>
    <t>December 17, 2023</t>
  </si>
  <si>
    <t>CUST099</t>
  </si>
  <si>
    <t>974</t>
  </si>
  <si>
    <t>May 03, 2023</t>
  </si>
  <si>
    <t>139</t>
  </si>
  <si>
    <t>CUST139</t>
  </si>
  <si>
    <t>412</t>
  </si>
  <si>
    <t>CUST412</t>
  </si>
  <si>
    <t>19</t>
  </si>
  <si>
    <t>714</t>
  </si>
  <si>
    <t>617</t>
  </si>
  <si>
    <t>08/26/2023</t>
  </si>
  <si>
    <t>797</t>
  </si>
  <si>
    <t>25.00</t>
  </si>
  <si>
    <t>44</t>
  </si>
  <si>
    <t>2023-02-19</t>
  </si>
  <si>
    <t>CUST044</t>
  </si>
  <si>
    <t>532</t>
  </si>
  <si>
    <t>06/19/2023</t>
  </si>
  <si>
    <t>64.0</t>
  </si>
  <si>
    <t>01/24/2023</t>
  </si>
  <si>
    <t>CUST064</t>
  </si>
  <si>
    <t>741</t>
  </si>
  <si>
    <t>11/30/2023</t>
  </si>
  <si>
    <t>48.0</t>
  </si>
  <si>
    <t>743</t>
  </si>
  <si>
    <t>2023-01-16</t>
  </si>
  <si>
    <t>CUST039</t>
  </si>
  <si>
    <t>784</t>
  </si>
  <si>
    <t>319</t>
  </si>
  <si>
    <t>2023-10-05</t>
  </si>
  <si>
    <t>CUST319</t>
  </si>
  <si>
    <t>229</t>
  </si>
  <si>
    <t>2023-10-29</t>
  </si>
  <si>
    <t>CUST229</t>
  </si>
  <si>
    <t>936</t>
  </si>
  <si>
    <t>February 07, 2023</t>
  </si>
  <si>
    <t>614</t>
  </si>
  <si>
    <t>243</t>
  </si>
  <si>
    <t>23/05/2023</t>
  </si>
  <si>
    <t>CUST243</t>
  </si>
  <si>
    <t>835</t>
  </si>
  <si>
    <t xml:space="preserve"> Clothing</t>
  </si>
  <si>
    <t>396</t>
  </si>
  <si>
    <t>2023-02-23</t>
  </si>
  <si>
    <t>CUST396</t>
  </si>
  <si>
    <t>55</t>
  </si>
  <si>
    <t>206</t>
  </si>
  <si>
    <t>CUST206</t>
  </si>
  <si>
    <t>61.0</t>
  </si>
  <si>
    <t>972</t>
  </si>
  <si>
    <t>738</t>
  </si>
  <si>
    <t>2023-04-25</t>
  </si>
  <si>
    <t>317</t>
  </si>
  <si>
    <t>30/01/2023</t>
  </si>
  <si>
    <t>CUST317</t>
  </si>
  <si>
    <t>187</t>
  </si>
  <si>
    <t>07-Jun-2023</t>
  </si>
  <si>
    <t>558</t>
  </si>
  <si>
    <t>October 08, 2023</t>
  </si>
  <si>
    <t>651</t>
  </si>
  <si>
    <t>2023-05-27</t>
  </si>
  <si>
    <t>816</t>
  </si>
  <si>
    <t>2023-08-12</t>
  </si>
  <si>
    <t>320</t>
  </si>
  <si>
    <t>CUST062</t>
  </si>
  <si>
    <t>912</t>
  </si>
  <si>
    <t>505</t>
  </si>
  <si>
    <t>2023-01-20</t>
  </si>
  <si>
    <t>601</t>
  </si>
  <si>
    <t>2023-04-10</t>
  </si>
  <si>
    <t>516</t>
  </si>
  <si>
    <t>564</t>
  </si>
  <si>
    <t>2023-10-24</t>
  </si>
  <si>
    <t>397</t>
  </si>
  <si>
    <t>cust397</t>
  </si>
  <si>
    <t xml:space="preserve"> Beauty</t>
  </si>
  <si>
    <t>966</t>
  </si>
  <si>
    <t>2023-02-20</t>
  </si>
  <si>
    <t>474</t>
  </si>
  <si>
    <t>2023-07-15</t>
  </si>
  <si>
    <t>171</t>
  </si>
  <si>
    <t>CUST171</t>
  </si>
  <si>
    <t>223</t>
  </si>
  <si>
    <t>CUST223</t>
  </si>
  <si>
    <t>337</t>
  </si>
  <si>
    <t>CUST337</t>
  </si>
  <si>
    <t>783</t>
  </si>
  <si>
    <t>12/17/2023</t>
  </si>
  <si>
    <t>56</t>
  </si>
  <si>
    <t>110</t>
  </si>
  <si>
    <t>June 11, 2023</t>
  </si>
  <si>
    <t>CUST110</t>
  </si>
  <si>
    <t>221</t>
  </si>
  <si>
    <t>May 07, 2023</t>
  </si>
  <si>
    <t>CUST221</t>
  </si>
  <si>
    <t>352</t>
  </si>
  <si>
    <t>CUST352</t>
  </si>
  <si>
    <t>579</t>
  </si>
  <si>
    <t>21/09/2023</t>
  </si>
  <si>
    <t>322</t>
  </si>
  <si>
    <t>January 30, 2023</t>
  </si>
  <si>
    <t>205</t>
  </si>
  <si>
    <t>CUST205</t>
  </si>
  <si>
    <t>43</t>
  </si>
  <si>
    <t>149</t>
  </si>
  <si>
    <t>2023-10-11</t>
  </si>
  <si>
    <t>CUST149</t>
  </si>
  <si>
    <t>866</t>
  </si>
  <si>
    <t>05-May-2023</t>
  </si>
  <si>
    <t>621</t>
  </si>
  <si>
    <t>2023-03-04</t>
  </si>
  <si>
    <t>268</t>
  </si>
  <si>
    <t>February 20, 2023</t>
  </si>
  <si>
    <t>CUST268</t>
  </si>
  <si>
    <t>844</t>
  </si>
  <si>
    <t>446</t>
  </si>
  <si>
    <t>21.0</t>
  </si>
  <si>
    <t>506</t>
  </si>
  <si>
    <t>984</t>
  </si>
  <si>
    <t>29/08/2023</t>
  </si>
  <si>
    <t>129</t>
  </si>
  <si>
    <t>CUST129</t>
  </si>
  <si>
    <t>747</t>
  </si>
  <si>
    <t xml:space="preserve"> 23</t>
  </si>
  <si>
    <t>837</t>
  </si>
  <si>
    <t>591</t>
  </si>
  <si>
    <t>566</t>
  </si>
  <si>
    <t>875</t>
  </si>
  <si>
    <t>541</t>
  </si>
  <si>
    <t>408</t>
  </si>
  <si>
    <t>15/04/2023</t>
  </si>
  <si>
    <t>CUST408</t>
  </si>
  <si>
    <t>818</t>
  </si>
  <si>
    <t>2023-05-18</t>
  </si>
  <si>
    <t>492</t>
  </si>
  <si>
    <t>2023-06-29</t>
  </si>
  <si>
    <t>CUST492</t>
  </si>
  <si>
    <t>793</t>
  </si>
  <si>
    <t>05-Feb-2023</t>
  </si>
  <si>
    <t>553</t>
  </si>
  <si>
    <t>2023-03-31</t>
  </si>
  <si>
    <t>366</t>
  </si>
  <si>
    <t>CUST366</t>
  </si>
  <si>
    <t>587</t>
  </si>
  <si>
    <t>971</t>
  </si>
  <si>
    <t>2023-12-05</t>
  </si>
  <si>
    <t>135</t>
  </si>
  <si>
    <t>2023-02-26</t>
  </si>
  <si>
    <t>20.0</t>
  </si>
  <si>
    <t>667</t>
  </si>
  <si>
    <t>16</t>
  </si>
  <si>
    <t>17/02/2023</t>
  </si>
  <si>
    <t>CUST016</t>
  </si>
  <si>
    <t>644</t>
  </si>
  <si>
    <t>2023-09-06</t>
  </si>
  <si>
    <t>160</t>
  </si>
  <si>
    <t>2023-08-11</t>
  </si>
  <si>
    <t>CUST160</t>
  </si>
  <si>
    <t>819</t>
  </si>
  <si>
    <t>06/15/2023</t>
  </si>
  <si>
    <t>35.0</t>
  </si>
  <si>
    <t>956</t>
  </si>
  <si>
    <t>925</t>
  </si>
  <si>
    <t>398</t>
  </si>
  <si>
    <t>CUST398</t>
  </si>
  <si>
    <t xml:space="preserve"> 48</t>
  </si>
  <si>
    <t>173</t>
  </si>
  <si>
    <t>CUST173</t>
  </si>
  <si>
    <t>245</t>
  </si>
  <si>
    <t>CUST245</t>
  </si>
  <si>
    <t>358</t>
  </si>
  <si>
    <t>CUST358</t>
  </si>
  <si>
    <t>759</t>
  </si>
  <si>
    <t>2023-07-08</t>
  </si>
  <si>
    <t>799</t>
  </si>
  <si>
    <t>286</t>
  </si>
  <si>
    <t>October 09, 2023</t>
  </si>
  <si>
    <t>CUST286</t>
  </si>
  <si>
    <t>361</t>
  </si>
  <si>
    <t>CUST361</t>
  </si>
  <si>
    <t>626</t>
  </si>
  <si>
    <t>510</t>
  </si>
  <si>
    <t xml:space="preserve"> 39</t>
  </si>
  <si>
    <t>257</t>
  </si>
  <si>
    <t>CUST-055</t>
  </si>
  <si>
    <t>631</t>
  </si>
  <si>
    <t>November 10, 2023</t>
  </si>
  <si>
    <t>98</t>
  </si>
  <si>
    <t>23/04/2023</t>
  </si>
  <si>
    <t>CUST098</t>
  </si>
  <si>
    <t>298</t>
  </si>
  <si>
    <t>2023-04-20</t>
  </si>
  <si>
    <t>CUST298</t>
  </si>
  <si>
    <t>464</t>
  </si>
  <si>
    <t>2023-01-13</t>
  </si>
  <si>
    <t>CUST464</t>
  </si>
  <si>
    <t>443</t>
  </si>
  <si>
    <t>CUST443</t>
  </si>
  <si>
    <t>31-Jan-2023</t>
  </si>
  <si>
    <t>cust300</t>
  </si>
  <si>
    <t>128</t>
  </si>
  <si>
    <t>July 05, 2023</t>
  </si>
  <si>
    <t>390</t>
  </si>
  <si>
    <t>09/28/2023</t>
  </si>
  <si>
    <t>467</t>
  </si>
  <si>
    <t>2023-07-30</t>
  </si>
  <si>
    <t xml:space="preserve">CUST467  </t>
  </si>
  <si>
    <t>340</t>
  </si>
  <si>
    <t>2023-10-19</t>
  </si>
  <si>
    <t>CUST340</t>
  </si>
  <si>
    <t>628</t>
  </si>
  <si>
    <t>2023-11-01</t>
  </si>
  <si>
    <t>418</t>
  </si>
  <si>
    <t>CUST418</t>
  </si>
  <si>
    <t>81</t>
  </si>
  <si>
    <t>17/05/2023</t>
  </si>
  <si>
    <t>CUST081</t>
  </si>
  <si>
    <t>159</t>
  </si>
  <si>
    <t>2023-05-31</t>
  </si>
  <si>
    <t>989</t>
  </si>
  <si>
    <t>12/28/2023</t>
  </si>
  <si>
    <t>755</t>
  </si>
  <si>
    <t>April 22, 2023</t>
  </si>
  <si>
    <t>654</t>
  </si>
  <si>
    <t>21/06/2023</t>
  </si>
  <si>
    <t>690</t>
  </si>
  <si>
    <t>893</t>
  </si>
  <si>
    <t>2023-04-21</t>
  </si>
  <si>
    <t>677</t>
  </si>
  <si>
    <t>10/27/2023</t>
  </si>
  <si>
    <t>524</t>
  </si>
  <si>
    <t>03-Oct-2023</t>
  </si>
  <si>
    <t>514</t>
  </si>
  <si>
    <t>2023-03-01</t>
  </si>
  <si>
    <t>272</t>
  </si>
  <si>
    <t>2023-02-25</t>
  </si>
  <si>
    <t>CUST272</t>
  </si>
  <si>
    <t xml:space="preserve"> 61</t>
  </si>
  <si>
    <t>725</t>
  </si>
  <si>
    <t>August 21, 2023</t>
  </si>
  <si>
    <t>702</t>
  </si>
  <si>
    <t xml:space="preserve"> 60</t>
  </si>
  <si>
    <t>964</t>
  </si>
  <si>
    <t>515</t>
  </si>
  <si>
    <t>709</t>
  </si>
  <si>
    <t>2023-07-21</t>
  </si>
  <si>
    <t>669</t>
  </si>
  <si>
    <t>19/06/2023</t>
  </si>
  <si>
    <t>180</t>
  </si>
  <si>
    <t>CUST180</t>
  </si>
  <si>
    <t>481</t>
  </si>
  <si>
    <t>CUST481</t>
  </si>
  <si>
    <t>373</t>
  </si>
  <si>
    <t>CUST373</t>
  </si>
  <si>
    <t>447</t>
  </si>
  <si>
    <t>CUST447</t>
  </si>
  <si>
    <t xml:space="preserve"> 22</t>
  </si>
  <si>
    <t>123</t>
  </si>
  <si>
    <t>15-May-2023</t>
  </si>
  <si>
    <t>529</t>
  </si>
  <si>
    <t>2023-08-09</t>
  </si>
  <si>
    <t>479</t>
  </si>
  <si>
    <t>CUST479</t>
  </si>
  <si>
    <t>762</t>
  </si>
  <si>
    <t>891</t>
  </si>
  <si>
    <t xml:space="preserve"> 41</t>
  </si>
  <si>
    <t>385</t>
  </si>
  <si>
    <t>CUST385</t>
  </si>
  <si>
    <t>888</t>
  </si>
  <si>
    <t>687</t>
  </si>
  <si>
    <t>404</t>
  </si>
  <si>
    <t>994</t>
  </si>
  <si>
    <t>18/12/2023</t>
  </si>
  <si>
    <t>692</t>
  </si>
  <si>
    <t>806</t>
  </si>
  <si>
    <t>2023-03-20</t>
  </si>
  <si>
    <t>864</t>
  </si>
  <si>
    <t>378</t>
  </si>
  <si>
    <t>2023-06-28</t>
  </si>
  <si>
    <t>807</t>
  </si>
  <si>
    <t>148</t>
  </si>
  <si>
    <t>CUST148</t>
  </si>
  <si>
    <t>715</t>
  </si>
  <si>
    <t>26/11/2023</t>
  </si>
  <si>
    <t>424</t>
  </si>
  <si>
    <t>11/23/2023</t>
  </si>
  <si>
    <t>CUST424</t>
  </si>
  <si>
    <t>400</t>
  </si>
  <si>
    <t>24/02/2023</t>
  </si>
  <si>
    <t>CUST400</t>
  </si>
  <si>
    <t xml:space="preserve"> 53</t>
  </si>
  <si>
    <t>2023-03-05</t>
  </si>
  <si>
    <t xml:space="preserve">  CUST052</t>
  </si>
  <si>
    <t>909</t>
  </si>
  <si>
    <t>2023-10-01</t>
  </si>
  <si>
    <t>335</t>
  </si>
  <si>
    <t>CUST335</t>
  </si>
  <si>
    <t>2023-04-12</t>
  </si>
  <si>
    <t>508</t>
  </si>
  <si>
    <t>770</t>
  </si>
  <si>
    <t>October 22, 2023</t>
  </si>
  <si>
    <t>904</t>
  </si>
  <si>
    <t>210</t>
  </si>
  <si>
    <t>April 13, 2023</t>
  </si>
  <si>
    <t>CUST210</t>
  </si>
  <si>
    <t>295</t>
  </si>
  <si>
    <t>07/28/2023</t>
  </si>
  <si>
    <t>CUST295</t>
  </si>
  <si>
    <t>143</t>
  </si>
  <si>
    <t>2023-07-17</t>
  </si>
  <si>
    <t>CUST143</t>
  </si>
  <si>
    <t>2023-10-02</t>
  </si>
  <si>
    <t>167</t>
  </si>
  <si>
    <t>2023-09-17</t>
  </si>
  <si>
    <t>CUST167</t>
  </si>
  <si>
    <t xml:space="preserve"> 43</t>
  </si>
  <si>
    <t>633</t>
  </si>
  <si>
    <t>2023-08-07</t>
  </si>
  <si>
    <t>82</t>
  </si>
  <si>
    <t>2023-12-26</t>
  </si>
  <si>
    <t>CUST082</t>
  </si>
  <si>
    <t>941</t>
  </si>
  <si>
    <t>700</t>
  </si>
  <si>
    <t>918</t>
  </si>
  <si>
    <t>67</t>
  </si>
  <si>
    <t>2023-05-29</t>
  </si>
  <si>
    <t>CUST067</t>
  </si>
  <si>
    <t>789</t>
  </si>
  <si>
    <t>30/09/2023</t>
  </si>
  <si>
    <t>668</t>
  </si>
  <si>
    <t>2023-07-28</t>
  </si>
  <si>
    <t>290</t>
  </si>
  <si>
    <t>2023-10-04</t>
  </si>
  <si>
    <t>CUST290</t>
  </si>
  <si>
    <t>493</t>
  </si>
  <si>
    <t>25/11/2023</t>
  </si>
  <si>
    <t>545</t>
  </si>
  <si>
    <t>2023-06-01</t>
  </si>
  <si>
    <t>284</t>
  </si>
  <si>
    <t>CUST284</t>
  </si>
  <si>
    <t>748</t>
  </si>
  <si>
    <t>20/03/2023</t>
  </si>
  <si>
    <t>954</t>
  </si>
  <si>
    <t>65</t>
  </si>
  <si>
    <t>CUST065</t>
  </si>
  <si>
    <t>659</t>
  </si>
  <si>
    <t>2023-03-19</t>
  </si>
  <si>
    <t>265</t>
  </si>
  <si>
    <t>CUST265</t>
  </si>
  <si>
    <t xml:space="preserve"> 55</t>
  </si>
  <si>
    <t>949</t>
  </si>
  <si>
    <t>August 02, 2023</t>
  </si>
  <si>
    <t>970</t>
  </si>
  <si>
    <t>815</t>
  </si>
  <si>
    <t>27/08/2023</t>
  </si>
  <si>
    <t>14-Jan-2023</t>
  </si>
  <si>
    <t>CUST021</t>
  </si>
  <si>
    <t xml:space="preserve"> 50</t>
  </si>
  <si>
    <t>488</t>
  </si>
  <si>
    <t>06/18/2023</t>
  </si>
  <si>
    <t>CUST488</t>
  </si>
  <si>
    <t>781</t>
  </si>
  <si>
    <t>708</t>
  </si>
  <si>
    <t>14/01/2023</t>
  </si>
  <si>
    <t>297</t>
  </si>
  <si>
    <t>436</t>
  </si>
  <si>
    <t>2023-03-18</t>
  </si>
  <si>
    <t xml:space="preserve"> 57</t>
  </si>
  <si>
    <t>542</t>
  </si>
  <si>
    <t>262</t>
  </si>
  <si>
    <t>CUST262</t>
  </si>
  <si>
    <t>458</t>
  </si>
  <si>
    <t>14/11/2023</t>
  </si>
  <si>
    <t>CUST458</t>
  </si>
  <si>
    <t>664</t>
  </si>
  <si>
    <t>2023-12-28</t>
  </si>
  <si>
    <t>511</t>
  </si>
  <si>
    <t>438</t>
  </si>
  <si>
    <t>CUST438</t>
  </si>
  <si>
    <t>919</t>
  </si>
  <si>
    <t>694</t>
  </si>
  <si>
    <t>839</t>
  </si>
  <si>
    <t>24/06/2023</t>
  </si>
  <si>
    <t xml:space="preserve"> 20</t>
  </si>
  <si>
    <t>189</t>
  </si>
  <si>
    <t>2023-01-30</t>
  </si>
  <si>
    <t>CUST189</t>
  </si>
  <si>
    <t>252</t>
  </si>
  <si>
    <t>CUST252</t>
  </si>
  <si>
    <t xml:space="preserve"> 54</t>
  </si>
  <si>
    <t>72</t>
  </si>
  <si>
    <t>CUST072</t>
  </si>
  <si>
    <t>448</t>
  </si>
  <si>
    <t>21/01/2023</t>
  </si>
  <si>
    <t>779</t>
  </si>
  <si>
    <t xml:space="preserve"> 56</t>
  </si>
  <si>
    <t>351</t>
  </si>
  <si>
    <t>September 25, 2023</t>
  </si>
  <si>
    <t>CUST351</t>
  </si>
  <si>
    <t>345</t>
  </si>
  <si>
    <t>2023-11-14</t>
  </si>
  <si>
    <t xml:space="preserve"> 62</t>
  </si>
  <si>
    <t>368</t>
  </si>
  <si>
    <t>08/23/2023</t>
  </si>
  <si>
    <t>CUST368</t>
  </si>
  <si>
    <t>827</t>
  </si>
  <si>
    <t>2023-11-09</t>
  </si>
  <si>
    <t>948</t>
  </si>
  <si>
    <t>2023-10-13</t>
  </si>
  <si>
    <t>363</t>
  </si>
  <si>
    <t>724</t>
  </si>
  <si>
    <t>19/04/2023</t>
  </si>
  <si>
    <t>884</t>
  </si>
  <si>
    <t>29-Apr-2023</t>
  </si>
  <si>
    <t>696</t>
  </si>
  <si>
    <t>472</t>
  </si>
  <si>
    <t>26/12/2023</t>
  </si>
  <si>
    <t>CUST472</t>
  </si>
  <si>
    <t xml:space="preserve"> 38</t>
  </si>
  <si>
    <t>995</t>
  </si>
  <si>
    <t>April 30, 2023</t>
  </si>
  <si>
    <t>627</t>
  </si>
  <si>
    <t>2023-10-14</t>
  </si>
  <si>
    <t>980</t>
  </si>
  <si>
    <t>29/07/2023</t>
  </si>
  <si>
    <t xml:space="preserve"> 31</t>
  </si>
  <si>
    <t>656</t>
  </si>
  <si>
    <t>857</t>
  </si>
  <si>
    <t>12/31/2023</t>
  </si>
  <si>
    <t>501</t>
  </si>
  <si>
    <t>450</t>
  </si>
  <si>
    <t>18/04/2023</t>
  </si>
  <si>
    <t>CUST450</t>
  </si>
  <si>
    <t>219</t>
  </si>
  <si>
    <t>2023-08-20</t>
  </si>
  <si>
    <t>CUST219</t>
  </si>
  <si>
    <t>240</t>
  </si>
  <si>
    <t>CUST240</t>
  </si>
  <si>
    <t>531</t>
  </si>
  <si>
    <t>2023-12-07</t>
  </si>
  <si>
    <t>535</t>
  </si>
  <si>
    <t>193</t>
  </si>
  <si>
    <t>2023-02-13</t>
  </si>
  <si>
    <t>CUST193</t>
  </si>
  <si>
    <t>744</t>
  </si>
  <si>
    <t>192</t>
  </si>
  <si>
    <t>2023-02-10</t>
  </si>
  <si>
    <t>CUST192</t>
  </si>
  <si>
    <t>456</t>
  </si>
  <si>
    <t>854</t>
  </si>
  <si>
    <t>681</t>
  </si>
  <si>
    <t>07/14/2023</t>
  </si>
  <si>
    <t>133</t>
  </si>
  <si>
    <t>CUST133</t>
  </si>
  <si>
    <t>376</t>
  </si>
  <si>
    <t>CUST376</t>
  </si>
  <si>
    <t>253</t>
  </si>
  <si>
    <t>CUST253</t>
  </si>
  <si>
    <t>683</t>
  </si>
  <si>
    <t>2023-01-04</t>
  </si>
  <si>
    <t>982</t>
  </si>
  <si>
    <t>264</t>
  </si>
  <si>
    <t>2023-01-28</t>
  </si>
  <si>
    <t>71</t>
  </si>
  <si>
    <t>CUST071</t>
  </si>
  <si>
    <t>273</t>
  </si>
  <si>
    <t>CUST273</t>
  </si>
  <si>
    <t>983</t>
  </si>
  <si>
    <t>328</t>
  </si>
  <si>
    <t>CUST328</t>
  </si>
  <si>
    <t>116</t>
  </si>
  <si>
    <t>324</t>
  </si>
  <si>
    <t>CUST324</t>
  </si>
  <si>
    <t>978</t>
  </si>
  <si>
    <t>675</t>
  </si>
  <si>
    <t>719</t>
  </si>
  <si>
    <t>2023-04-04</t>
  </si>
  <si>
    <t>427</t>
  </si>
  <si>
    <t>CUST427</t>
  </si>
  <si>
    <t>519</t>
  </si>
  <si>
    <t>786</t>
  </si>
  <si>
    <t>453</t>
  </si>
  <si>
    <t>CUST453</t>
  </si>
  <si>
    <t>466</t>
  </si>
  <si>
    <t>2023-06-20</t>
  </si>
  <si>
    <t>CUST466</t>
  </si>
  <si>
    <t>63.0</t>
  </si>
  <si>
    <t>571</t>
  </si>
  <si>
    <t>460</t>
  </si>
  <si>
    <t>2023-05-02</t>
  </si>
  <si>
    <t>CUST460</t>
  </si>
  <si>
    <t>620</t>
  </si>
  <si>
    <t>2023-05-08</t>
  </si>
  <si>
    <t>279</t>
  </si>
  <si>
    <t>886</t>
  </si>
  <si>
    <t>660</t>
  </si>
  <si>
    <t>2023-04-29</t>
  </si>
  <si>
    <t>CUST003</t>
  </si>
  <si>
    <t>230</t>
  </si>
  <si>
    <t>April 23, 2023</t>
  </si>
  <si>
    <t>850</t>
  </si>
  <si>
    <t>943</t>
  </si>
  <si>
    <t>16-Oct-2023</t>
  </si>
  <si>
    <t>665</t>
  </si>
  <si>
    <t>871</t>
  </si>
  <si>
    <t>31/08/2023</t>
  </si>
  <si>
    <t>CUST200</t>
  </si>
  <si>
    <t>372</t>
  </si>
  <si>
    <t>CUST372</t>
  </si>
  <si>
    <t>873</t>
  </si>
  <si>
    <t>915</t>
  </si>
  <si>
    <t>05/30/2023</t>
  </si>
  <si>
    <t>66</t>
  </si>
  <si>
    <t>CUST066</t>
  </si>
  <si>
    <t>483</t>
  </si>
  <si>
    <t>CUST483</t>
  </si>
  <si>
    <t>02/22/2023</t>
  </si>
  <si>
    <t>cust041</t>
  </si>
  <si>
    <t xml:space="preserve"> 34</t>
  </si>
  <si>
    <t>772</t>
  </si>
  <si>
    <t>2023-07-12</t>
  </si>
  <si>
    <t>732</t>
  </si>
  <si>
    <t>473</t>
  </si>
  <si>
    <t>25/02/2023</t>
  </si>
  <si>
    <t>962</t>
  </si>
  <si>
    <t>19/10/2023</t>
  </si>
  <si>
    <t>572</t>
  </si>
  <si>
    <t>20/04/2023</t>
  </si>
  <si>
    <t>274</t>
  </si>
  <si>
    <t>CUST274</t>
  </si>
  <si>
    <t>706</t>
  </si>
  <si>
    <t>2023-11-15</t>
  </si>
  <si>
    <t>740</t>
  </si>
  <si>
    <t>2023-02-05</t>
  </si>
  <si>
    <t>769</t>
  </si>
  <si>
    <t>2023-06-09</t>
  </si>
  <si>
    <t>178</t>
  </si>
  <si>
    <t>CUST178</t>
  </si>
  <si>
    <t>301</t>
  </si>
  <si>
    <t xml:space="preserve">  CUST301</t>
  </si>
  <si>
    <t>CUST038</t>
  </si>
  <si>
    <t>499</t>
  </si>
  <si>
    <t>15/01/2023</t>
  </si>
  <si>
    <t>CUST499</t>
  </si>
  <si>
    <t>203</t>
  </si>
  <si>
    <t>16-May-2023</t>
  </si>
  <si>
    <t>CUST203</t>
  </si>
  <si>
    <t>237</t>
  </si>
  <si>
    <t>CUST237</t>
  </si>
  <si>
    <t>2023-01-06</t>
  </si>
  <si>
    <t>CUST150</t>
  </si>
  <si>
    <t>218</t>
  </si>
  <si>
    <t>09/22/2023</t>
  </si>
  <si>
    <t>CUST218</t>
  </si>
  <si>
    <t>685</t>
  </si>
  <si>
    <t>2023-06-02</t>
  </si>
  <si>
    <t>527</t>
  </si>
  <si>
    <t>April 11, 2023</t>
  </si>
  <si>
    <t>636</t>
  </si>
  <si>
    <t>2023-03-23</t>
  </si>
  <si>
    <t>619</t>
  </si>
  <si>
    <t>10/13/2023</t>
  </si>
  <si>
    <t xml:space="preserve"> 47</t>
  </si>
  <si>
    <t>419</t>
  </si>
  <si>
    <t>303</t>
  </si>
  <si>
    <t xml:space="preserve"> 19</t>
  </si>
  <si>
    <t>870</t>
  </si>
  <si>
    <t>930</t>
  </si>
  <si>
    <t>2023-05-10</t>
  </si>
  <si>
    <t>883</t>
  </si>
  <si>
    <t>2023-05-09</t>
  </si>
  <si>
    <t>938</t>
  </si>
  <si>
    <t>389</t>
  </si>
  <si>
    <t>December 01, 2023</t>
  </si>
  <si>
    <t>CUST389</t>
  </si>
  <si>
    <t>676</t>
  </si>
  <si>
    <t>388</t>
  </si>
  <si>
    <t>CUST388</t>
  </si>
  <si>
    <t>586</t>
  </si>
  <si>
    <t>2023-12-11</t>
  </si>
  <si>
    <t>391</t>
  </si>
  <si>
    <t>January 05, 2023</t>
  </si>
  <si>
    <t>CUST391</t>
  </si>
  <si>
    <t>926</t>
  </si>
  <si>
    <t>2023-08-14</t>
  </si>
  <si>
    <t>353</t>
  </si>
  <si>
    <t>194</t>
  </si>
  <si>
    <t>September 06, 2023</t>
  </si>
  <si>
    <t>CUST194</t>
  </si>
  <si>
    <t>236</t>
  </si>
  <si>
    <t>2023-04-28</t>
  </si>
  <si>
    <t>CUST236</t>
  </si>
  <si>
    <t>792</t>
  </si>
  <si>
    <t>847</t>
  </si>
  <si>
    <t>2023-04-08</t>
  </si>
  <si>
    <t>CUST056</t>
  </si>
  <si>
    <t>512</t>
  </si>
  <si>
    <t>2023-11-07</t>
  </si>
  <si>
    <t>97</t>
  </si>
  <si>
    <t>October 13, 2023</t>
  </si>
  <si>
    <t xml:space="preserve">  CUST097</t>
  </si>
  <si>
    <t>142</t>
  </si>
  <si>
    <t>CUST142</t>
  </si>
  <si>
    <t>707</t>
  </si>
  <si>
    <t xml:space="preserve"> 26</t>
  </si>
  <si>
    <t>874</t>
  </si>
  <si>
    <t>2023-06-26</t>
  </si>
  <si>
    <t>869</t>
  </si>
  <si>
    <t>2023-10-25</t>
  </si>
  <si>
    <t>933</t>
  </si>
  <si>
    <t>2023-02-03</t>
  </si>
  <si>
    <t>121</t>
  </si>
  <si>
    <t xml:space="preserve">  CUST121</t>
  </si>
  <si>
    <t>713</t>
  </si>
  <si>
    <t>573</t>
  </si>
  <si>
    <t>09/19/2023</t>
  </si>
  <si>
    <t>CUST063</t>
  </si>
  <si>
    <t>768</t>
  </si>
  <si>
    <t>01/14/2023</t>
  </si>
  <si>
    <t>24.0</t>
  </si>
  <si>
    <t>976</t>
  </si>
  <si>
    <t>415</t>
  </si>
  <si>
    <t>2023-01-27</t>
  </si>
  <si>
    <t>CUST415</t>
  </si>
  <si>
    <t>2023-05-21</t>
  </si>
  <si>
    <t>CUST-004</t>
  </si>
  <si>
    <t>2023-07-05</t>
  </si>
  <si>
    <t>CUST059</t>
  </si>
  <si>
    <t>224</t>
  </si>
  <si>
    <t>06/23/2023</t>
  </si>
  <si>
    <t>CUST224</t>
  </si>
  <si>
    <t>625</t>
  </si>
  <si>
    <t>102</t>
  </si>
  <si>
    <t>04/28/2023</t>
  </si>
  <si>
    <t>CUST102</t>
  </si>
  <si>
    <t>729</t>
  </si>
  <si>
    <t>2023-05-23</t>
  </si>
  <si>
    <t>222</t>
  </si>
  <si>
    <t>26/04/2023</t>
  </si>
  <si>
    <t>808</t>
  </si>
  <si>
    <t>2023-04-01</t>
  </si>
  <si>
    <t>5</t>
  </si>
  <si>
    <t>CUST005</t>
  </si>
  <si>
    <t>2023-07-13</t>
  </si>
  <si>
    <t>CUST053</t>
  </si>
  <si>
    <t>30/04/2023</t>
  </si>
  <si>
    <t>CUST018</t>
  </si>
  <si>
    <t>753</t>
  </si>
  <si>
    <t>28/02/2023</t>
  </si>
  <si>
    <t xml:space="preserve"> 32</t>
  </si>
  <si>
    <t>922</t>
  </si>
  <si>
    <t>307</t>
  </si>
  <si>
    <t>CUST307</t>
  </si>
  <si>
    <t>672</t>
  </si>
  <si>
    <t>156</t>
  </si>
  <si>
    <t>2023-11-25</t>
  </si>
  <si>
    <t>CUST156</t>
  </si>
  <si>
    <t>490</t>
  </si>
  <si>
    <t>CUST490</t>
  </si>
  <si>
    <t>686</t>
  </si>
  <si>
    <t>19/07/2023</t>
  </si>
  <si>
    <t>885</t>
  </si>
  <si>
    <t>March 03, 2023</t>
  </si>
  <si>
    <t>249</t>
  </si>
  <si>
    <t>10/20/2023</t>
  </si>
  <si>
    <t>250</t>
  </si>
  <si>
    <t>2023-10-23</t>
  </si>
  <si>
    <t>CUST250</t>
  </si>
  <si>
    <t>359</t>
  </si>
  <si>
    <t>485</t>
  </si>
  <si>
    <t>CUST485</t>
  </si>
  <si>
    <t>442</t>
  </si>
  <si>
    <t>March 17, 2023</t>
  </si>
  <si>
    <t>cust442</t>
  </si>
  <si>
    <t>826</t>
  </si>
  <si>
    <t>860</t>
  </si>
  <si>
    <t>23-May-2023</t>
  </si>
  <si>
    <t>CUST031</t>
  </si>
  <si>
    <t>282</t>
  </si>
  <si>
    <t>2023-08-25</t>
  </si>
  <si>
    <t>CUST282</t>
  </si>
  <si>
    <t>684</t>
  </si>
  <si>
    <t>2023-06-30</t>
  </si>
  <si>
    <t>981</t>
  </si>
  <si>
    <t>2023-08-19</t>
  </si>
  <si>
    <t>118</t>
  </si>
  <si>
    <t>05/16/2023</t>
  </si>
  <si>
    <t>701</t>
  </si>
  <si>
    <t>12/14/2023</t>
  </si>
  <si>
    <t>117</t>
  </si>
  <si>
    <t>2023-03-15</t>
  </si>
  <si>
    <t>CUST117</t>
  </si>
  <si>
    <t>526</t>
  </si>
  <si>
    <t>10-Dec-2023</t>
  </si>
  <si>
    <t xml:space="preserve"> 33</t>
  </si>
  <si>
    <t>674</t>
  </si>
  <si>
    <t>2023-04-16</t>
  </si>
  <si>
    <t>292</t>
  </si>
  <si>
    <t>CUST292</t>
  </si>
  <si>
    <t>2023-04-23</t>
  </si>
  <si>
    <t>382</t>
  </si>
  <si>
    <t>2023-05-26</t>
  </si>
  <si>
    <t>308</t>
  </si>
  <si>
    <t>05-Aug-2023</t>
  </si>
  <si>
    <t>CUST308</t>
  </si>
  <si>
    <t>603</t>
  </si>
  <si>
    <t>16/07/2023</t>
  </si>
  <si>
    <t xml:space="preserve"> 40</t>
  </si>
  <si>
    <t>201</t>
  </si>
  <si>
    <t xml:space="preserve">  CUST201</t>
  </si>
  <si>
    <t>578</t>
  </si>
  <si>
    <t>26/05/2023</t>
  </si>
  <si>
    <t>386</t>
  </si>
  <si>
    <t>2023-12-27</t>
  </si>
  <si>
    <t>CUST386</t>
  </si>
  <si>
    <t>877</t>
  </si>
  <si>
    <t>2023-06-19</t>
  </si>
  <si>
    <t>670</t>
  </si>
  <si>
    <t>917</t>
  </si>
  <si>
    <t>805</t>
  </si>
  <si>
    <t>650</t>
  </si>
  <si>
    <t>315</t>
  </si>
  <si>
    <t>CUST315</t>
  </si>
  <si>
    <t>509</t>
  </si>
  <si>
    <t>281</t>
  </si>
  <si>
    <t>05/23/2023</t>
  </si>
  <si>
    <t>CUST281</t>
  </si>
  <si>
    <t>965</t>
  </si>
  <si>
    <t>766</t>
  </si>
  <si>
    <t>354</t>
  </si>
  <si>
    <t>2023-04-15</t>
  </si>
  <si>
    <t>49.0</t>
  </si>
  <si>
    <t>653</t>
  </si>
  <si>
    <t>208</t>
  </si>
  <si>
    <t>CUST208</t>
  </si>
  <si>
    <t>380</t>
  </si>
  <si>
    <t>06-May-2023</t>
  </si>
  <si>
    <t>CUST380</t>
  </si>
  <si>
    <t>774</t>
  </si>
  <si>
    <t>413</t>
  </si>
  <si>
    <t>CUST413</t>
  </si>
  <si>
    <t>802</t>
  </si>
  <si>
    <t>2023-11-29</t>
  </si>
  <si>
    <t>CUST024</t>
  </si>
  <si>
    <t>341</t>
  </si>
  <si>
    <t>07-May-2023</t>
  </si>
  <si>
    <t>CUST341</t>
  </si>
  <si>
    <t>703</t>
  </si>
  <si>
    <t>26-Mar-2023</t>
  </si>
  <si>
    <t>863</t>
  </si>
  <si>
    <t>04/24/2023</t>
  </si>
  <si>
    <t>155</t>
  </si>
  <si>
    <t>2023-05-17</t>
  </si>
  <si>
    <t>CUST155</t>
  </si>
  <si>
    <t>872</t>
  </si>
  <si>
    <t>11-Oct-2023</t>
  </si>
  <si>
    <t>563</t>
  </si>
  <si>
    <t>796</t>
  </si>
  <si>
    <t>323</t>
  </si>
  <si>
    <t>CUST323</t>
  </si>
  <si>
    <t>761</t>
  </si>
  <si>
    <t>592</t>
  </si>
  <si>
    <t>2023-01-24</t>
  </si>
  <si>
    <t>83</t>
  </si>
  <si>
    <t>16/12/2023</t>
  </si>
  <si>
    <t>CUST083</t>
  </si>
  <si>
    <t>721</t>
  </si>
  <si>
    <t>2023-05-14</t>
  </si>
  <si>
    <t xml:space="preserve"> 52</t>
  </si>
  <si>
    <t>465</t>
  </si>
  <si>
    <t>CUST465</t>
  </si>
  <si>
    <t>557</t>
  </si>
  <si>
    <t>2023-07-27</t>
  </si>
  <si>
    <t>334</t>
  </si>
  <si>
    <t>CUST334</t>
  </si>
  <si>
    <t>11</t>
  </si>
  <si>
    <t>2023-02-14</t>
  </si>
  <si>
    <t>CUST011</t>
  </si>
  <si>
    <t>471</t>
  </si>
  <si>
    <t>23/03/2023</t>
  </si>
  <si>
    <t>CUST033</t>
  </si>
  <si>
    <t>581</t>
  </si>
  <si>
    <t>889</t>
  </si>
  <si>
    <t>383</t>
  </si>
  <si>
    <t>2023-03-22</t>
  </si>
  <si>
    <t>CUST383</t>
  </si>
  <si>
    <t>612</t>
  </si>
  <si>
    <t>2023-08-06</t>
  </si>
  <si>
    <t>794</t>
  </si>
  <si>
    <t>913</t>
  </si>
  <si>
    <t>921</t>
  </si>
  <si>
    <t xml:space="preserve"> 51</t>
  </si>
  <si>
    <t>379</t>
  </si>
  <si>
    <t>CUST379</t>
  </si>
  <si>
    <t>2023-05-06</t>
  </si>
  <si>
    <t>CUST090</t>
  </si>
  <si>
    <t>214</t>
  </si>
  <si>
    <t>CUST214</t>
  </si>
  <si>
    <t>849</t>
  </si>
  <si>
    <t>134</t>
  </si>
  <si>
    <t>CUST134</t>
  </si>
  <si>
    <t>347</t>
  </si>
  <si>
    <t>August 03, 2023</t>
  </si>
  <si>
    <t>8</t>
  </si>
  <si>
    <t>CUST008</t>
  </si>
  <si>
    <t>624</t>
  </si>
  <si>
    <t>2023-08-26</t>
  </si>
  <si>
    <t>321</t>
  </si>
  <si>
    <t>790</t>
  </si>
  <si>
    <t>2023-08-08</t>
  </si>
  <si>
    <t>188</t>
  </si>
  <si>
    <t>2023-05-03</t>
  </si>
  <si>
    <t>305</t>
  </si>
  <si>
    <t>CUST305</t>
  </si>
  <si>
    <t>CUST032</t>
  </si>
  <si>
    <t>967</t>
  </si>
  <si>
    <t>2023-04-17</t>
  </si>
  <si>
    <t>62.0</t>
  </si>
  <si>
    <t>241</t>
  </si>
  <si>
    <t>CUST241</t>
  </si>
  <si>
    <t>734</t>
  </si>
  <si>
    <t>2023-01-10</t>
  </si>
  <si>
    <t>175</t>
  </si>
  <si>
    <t>CUST175</t>
  </si>
  <si>
    <t>246</t>
  </si>
  <si>
    <t>04/20/2023</t>
  </si>
  <si>
    <t xml:space="preserve">  CUST246</t>
  </si>
  <si>
    <t>2023-11-18</t>
  </si>
  <si>
    <t>CUST057</t>
  </si>
  <si>
    <t>758</t>
  </si>
  <si>
    <t xml:space="preserve"> 64</t>
  </si>
  <si>
    <t>146</t>
  </si>
  <si>
    <t>91</t>
  </si>
  <si>
    <t>2023-03-25</t>
  </si>
  <si>
    <t>393</t>
  </si>
  <si>
    <t>CUST393</t>
  </si>
  <si>
    <t>311</t>
  </si>
  <si>
    <t>CUST311</t>
  </si>
  <si>
    <t>360</t>
  </si>
  <si>
    <t>CUST360</t>
  </si>
  <si>
    <t>94</t>
  </si>
  <si>
    <t>19/05/2023</t>
  </si>
  <si>
    <t>CUST094</t>
  </si>
  <si>
    <t>823</t>
  </si>
  <si>
    <t>08/19/2023</t>
  </si>
  <si>
    <t>757</t>
  </si>
  <si>
    <t>25/12/2023</t>
  </si>
  <si>
    <t>377</t>
  </si>
  <si>
    <t>CUST377</t>
  </si>
  <si>
    <t>244</t>
  </si>
  <si>
    <t>December 09, 2023</t>
  </si>
  <si>
    <t>CUST244</t>
  </si>
  <si>
    <t>832</t>
  </si>
  <si>
    <t>88</t>
  </si>
  <si>
    <t>29/03/2023</t>
  </si>
  <si>
    <t>CUST088</t>
  </si>
  <si>
    <t>215</t>
  </si>
  <si>
    <t>November 29, 2023</t>
  </si>
  <si>
    <t>cust215</t>
  </si>
  <si>
    <t>58.0</t>
  </si>
  <si>
    <t>991</t>
  </si>
  <si>
    <t>174</t>
  </si>
  <si>
    <t>12-Apr-2023</t>
  </si>
  <si>
    <t>CUST174</t>
  </si>
  <si>
    <t>426</t>
  </si>
  <si>
    <t>2023-03-24</t>
  </si>
  <si>
    <t>CUST426</t>
  </si>
  <si>
    <t>782</t>
  </si>
  <si>
    <t>119</t>
  </si>
  <si>
    <t>03/13/2023</t>
  </si>
  <si>
    <t>CUST119</t>
  </si>
  <si>
    <t>2023-05-07</t>
  </si>
  <si>
    <t>643</t>
  </si>
  <si>
    <t>09/24/2023</t>
  </si>
  <si>
    <t>CUST001</t>
  </si>
  <si>
    <t>395</t>
  </si>
  <si>
    <t>2023-12-06</t>
  </si>
  <si>
    <t>402</t>
  </si>
  <si>
    <t>2023-03-21</t>
  </si>
  <si>
    <t>CUST402</t>
  </si>
  <si>
    <t>405</t>
  </si>
  <si>
    <t>CUST405</t>
  </si>
  <si>
    <t>859</t>
  </si>
  <si>
    <t>2023-08-18</t>
  </si>
  <si>
    <t>813</t>
  </si>
  <si>
    <t>2023-10-03</t>
  </si>
  <si>
    <t>163</t>
  </si>
  <si>
    <t>2023-01-02</t>
  </si>
  <si>
    <t>CUST163</t>
  </si>
  <si>
    <t>115</t>
  </si>
  <si>
    <t>CUST115</t>
  </si>
  <si>
    <t>151</t>
  </si>
  <si>
    <t>December 15, 2023</t>
  </si>
  <si>
    <t>CUST151</t>
  </si>
  <si>
    <t>597</t>
  </si>
  <si>
    <t>08/22/2023</t>
  </si>
  <si>
    <t>680</t>
  </si>
  <si>
    <t>2023-10-22</t>
  </si>
  <si>
    <t>53.0</t>
  </si>
  <si>
    <t>733</t>
  </si>
  <si>
    <t>369</t>
  </si>
  <si>
    <t>CUST369</t>
  </si>
  <si>
    <t>544</t>
  </si>
  <si>
    <t>2023-12-23</t>
  </si>
  <si>
    <t>478</t>
  </si>
  <si>
    <t>04/13/2023</t>
  </si>
  <si>
    <t>CUST478</t>
  </si>
  <si>
    <t>533</t>
  </si>
  <si>
    <t>16/11/2023</t>
  </si>
  <si>
    <t>997</t>
  </si>
  <si>
    <t>52.0</t>
  </si>
  <si>
    <t>595</t>
  </si>
  <si>
    <t>968</t>
  </si>
  <si>
    <t>259</t>
  </si>
  <si>
    <t>CUST259</t>
  </si>
  <si>
    <t>855</t>
  </si>
  <si>
    <t>September 01, 2023</t>
  </si>
  <si>
    <t>136</t>
  </si>
  <si>
    <t>CUST136</t>
  </si>
  <si>
    <t>934</t>
  </si>
  <si>
    <t>2023-07-25</t>
  </si>
  <si>
    <t xml:space="preserve"> 30</t>
  </si>
  <si>
    <t>642</t>
  </si>
  <si>
    <t>22/05/2023</t>
  </si>
  <si>
    <t>593</t>
  </si>
  <si>
    <t>952</t>
  </si>
  <si>
    <t>November 13, 2023</t>
  </si>
  <si>
    <t>502</t>
  </si>
  <si>
    <t>2023-04-02</t>
  </si>
  <si>
    <t>539</t>
  </si>
  <si>
    <t>661</t>
  </si>
  <si>
    <t>582</t>
  </si>
  <si>
    <t xml:space="preserve"> 35</t>
  </si>
  <si>
    <t>344</t>
  </si>
  <si>
    <t>2023-01-21</t>
  </si>
  <si>
    <t>CUST344</t>
  </si>
  <si>
    <t>682</t>
  </si>
  <si>
    <t>809</t>
  </si>
  <si>
    <t>25/09/2023</t>
  </si>
  <si>
    <t>294</t>
  </si>
  <si>
    <t>2023-03-27</t>
  </si>
  <si>
    <t>CUST294</t>
  </si>
  <si>
    <t>365</t>
  </si>
  <si>
    <t>2023-06-11</t>
  </si>
  <si>
    <t>718</t>
  </si>
  <si>
    <t>25/08/2023</t>
  </si>
  <si>
    <t>15</t>
  </si>
  <si>
    <t>cust015</t>
  </si>
  <si>
    <t>87</t>
  </si>
  <si>
    <t>November 22, 2023</t>
  </si>
  <si>
    <t>CUST087</t>
  </si>
  <si>
    <t>371</t>
  </si>
  <si>
    <t>21/02/2023</t>
  </si>
  <si>
    <t>CUST371</t>
  </si>
  <si>
    <t>166</t>
  </si>
  <si>
    <t>CUST166</t>
  </si>
  <si>
    <t>890</t>
  </si>
  <si>
    <t>20/12/2023</t>
  </si>
  <si>
    <t>336</t>
  </si>
  <si>
    <t>12-Dec-2023</t>
  </si>
  <si>
    <t>CUST336</t>
  </si>
  <si>
    <t>CUST060</t>
  </si>
  <si>
    <t>355</t>
  </si>
  <si>
    <t>425</t>
  </si>
  <si>
    <t>15/05/2023</t>
  </si>
  <si>
    <t>CUST425</t>
  </si>
  <si>
    <t>55.0</t>
  </si>
  <si>
    <t>293</t>
  </si>
  <si>
    <t>CUST-293</t>
  </si>
  <si>
    <t>2023-02-17</t>
  </si>
  <si>
    <t>CUST042</t>
  </si>
  <si>
    <t>330</t>
  </si>
  <si>
    <t>615</t>
  </si>
  <si>
    <t>23/12/2023</t>
  </si>
  <si>
    <t>430</t>
  </si>
  <si>
    <t>80</t>
  </si>
  <si>
    <t>2023-12-10</t>
  </si>
  <si>
    <t>CUST080</t>
  </si>
  <si>
    <t>CUST029</t>
  </si>
  <si>
    <t>255</t>
  </si>
  <si>
    <t>April 08, 2023</t>
  </si>
  <si>
    <t xml:space="preserve">CUST255  </t>
  </si>
  <si>
    <t>756</t>
  </si>
  <si>
    <t>08/27/2023</t>
  </si>
  <si>
    <t>459</t>
  </si>
  <si>
    <t>384</t>
  </si>
  <si>
    <t>314</t>
  </si>
  <si>
    <t>CUST314</t>
  </si>
  <si>
    <t>85</t>
  </si>
  <si>
    <t>2023-02-06</t>
  </si>
  <si>
    <t>CUST085</t>
  </si>
  <si>
    <t>575</t>
  </si>
  <si>
    <t>2023-03-28</t>
  </si>
  <si>
    <t>137</t>
  </si>
  <si>
    <t>CUST137</t>
  </si>
  <si>
    <t>112</t>
  </si>
  <si>
    <t>2023-12-02</t>
  </si>
  <si>
    <t>CUST112</t>
  </si>
  <si>
    <t>195</t>
  </si>
  <si>
    <t>CUST195</t>
  </si>
  <si>
    <t>179</t>
  </si>
  <si>
    <t>29/09/2023</t>
  </si>
  <si>
    <t>894</t>
  </si>
  <si>
    <t>05-Sep-2023</t>
  </si>
  <si>
    <t>497</t>
  </si>
  <si>
    <t>CUST497</t>
  </si>
  <si>
    <t>130</t>
  </si>
  <si>
    <t>12-Mar-2023</t>
  </si>
  <si>
    <t>CUST130</t>
  </si>
  <si>
    <t>338</t>
  </si>
  <si>
    <t>CUST338</t>
  </si>
  <si>
    <t>609</t>
  </si>
  <si>
    <t>2023-12-19</t>
  </si>
  <si>
    <t>125</t>
  </si>
  <si>
    <t>CUST125</t>
  </si>
  <si>
    <t>969</t>
  </si>
  <si>
    <t>227</t>
  </si>
  <si>
    <t>269</t>
  </si>
  <si>
    <t>CUST269</t>
  </si>
  <si>
    <t>986</t>
  </si>
  <si>
    <t>840</t>
  </si>
  <si>
    <t>May 24, 2023</t>
  </si>
  <si>
    <t>104</t>
  </si>
  <si>
    <t>CUST104</t>
  </si>
  <si>
    <t>594</t>
  </si>
  <si>
    <t>861</t>
  </si>
  <si>
    <t>663</t>
  </si>
  <si>
    <t>March 20, 2023</t>
  </si>
  <si>
    <t>23.0</t>
  </si>
  <si>
    <t>228</t>
  </si>
  <si>
    <t>939</t>
  </si>
  <si>
    <t>302</t>
  </si>
  <si>
    <t>14/07/2023</t>
  </si>
  <si>
    <t>CUST302</t>
  </si>
  <si>
    <t>276</t>
  </si>
  <si>
    <t>CUST276</t>
  </si>
  <si>
    <t>127</t>
  </si>
  <si>
    <t>2023-07-24</t>
  </si>
  <si>
    <t xml:space="preserve">CUST127  </t>
  </si>
  <si>
    <t>33.0</t>
  </si>
  <si>
    <t>406</t>
  </si>
  <si>
    <t>2023-04-18</t>
  </si>
  <si>
    <t>CUST406</t>
  </si>
  <si>
    <t>22.0</t>
  </si>
  <si>
    <t>898</t>
  </si>
  <si>
    <t>2023-11-02</t>
  </si>
  <si>
    <t>CUST037</t>
  </si>
  <si>
    <t>140</t>
  </si>
  <si>
    <t>CUST140</t>
  </si>
  <si>
    <t>304</t>
  </si>
  <si>
    <t>534</t>
  </si>
  <si>
    <t>546</t>
  </si>
  <si>
    <t>213</t>
  </si>
  <si>
    <t>24/07/2023</t>
  </si>
  <si>
    <t>469</t>
  </si>
  <si>
    <t xml:space="preserve"> 18</t>
  </si>
  <si>
    <t>199</t>
  </si>
  <si>
    <t>December 04, 2023</t>
  </si>
  <si>
    <t>528</t>
  </si>
  <si>
    <t>2023-07-06</t>
  </si>
  <si>
    <t>800</t>
  </si>
  <si>
    <t>242</t>
  </si>
  <si>
    <t>CUST242</t>
  </si>
  <si>
    <t>343</t>
  </si>
  <si>
    <t>550</t>
  </si>
  <si>
    <t>387</t>
  </si>
  <si>
    <t>2023-06-04</t>
  </si>
  <si>
    <t>867</t>
  </si>
  <si>
    <t>207</t>
  </si>
  <si>
    <t>CUST207</t>
  </si>
  <si>
    <t>296</t>
  </si>
  <si>
    <t>CUST296</t>
  </si>
  <si>
    <t>777</t>
  </si>
  <si>
    <t>December 20, 2023</t>
  </si>
  <si>
    <t>74</t>
  </si>
  <si>
    <t>2023-11-22</t>
  </si>
  <si>
    <t>CUST074</t>
  </si>
  <si>
    <t>752</t>
  </si>
  <si>
    <t>105</t>
  </si>
  <si>
    <t>695</t>
  </si>
  <si>
    <t>716</t>
  </si>
  <si>
    <t>973</t>
  </si>
  <si>
    <t>22-Mar-2023</t>
  </si>
  <si>
    <t>17</t>
  </si>
  <si>
    <t>2023-04-22</t>
  </si>
  <si>
    <t>CUST017</t>
  </si>
  <si>
    <t>440</t>
  </si>
  <si>
    <t>92</t>
  </si>
  <si>
    <t>CUST092</t>
  </si>
  <si>
    <t>89</t>
  </si>
  <si>
    <t>CUST089</t>
  </si>
  <si>
    <t>451</t>
  </si>
  <si>
    <t>CUST451</t>
  </si>
  <si>
    <t>239</t>
  </si>
  <si>
    <t>CUST239</t>
  </si>
  <si>
    <t>830</t>
  </si>
  <si>
    <t>247</t>
  </si>
  <si>
    <t>CUST247</t>
  </si>
  <si>
    <t>720</t>
  </si>
  <si>
    <t>2023-01-26</t>
  </si>
  <si>
    <t>158</t>
  </si>
  <si>
    <t>27/02/2023</t>
  </si>
  <si>
    <t>CUST158</t>
  </si>
  <si>
    <t>480</t>
  </si>
  <si>
    <t>646</t>
  </si>
  <si>
    <t>853</t>
  </si>
  <si>
    <t>2023-05-04</t>
  </si>
  <si>
    <t>829</t>
  </si>
  <si>
    <t>CUST019</t>
  </si>
  <si>
    <t>831</t>
  </si>
  <si>
    <t>122</t>
  </si>
  <si>
    <t>843</t>
  </si>
  <si>
    <t>05/22/2023</t>
  </si>
  <si>
    <t>881</t>
  </si>
  <si>
    <t>2023-05-19</t>
  </si>
  <si>
    <t>275</t>
  </si>
  <si>
    <t>CUST275</t>
  </si>
  <si>
    <t>434</t>
  </si>
  <si>
    <t>February 08, 2023</t>
  </si>
  <si>
    <t>CUST434</t>
  </si>
  <si>
    <t>312</t>
  </si>
  <si>
    <t>2023-09-07</t>
  </si>
  <si>
    <t>CUST312</t>
  </si>
  <si>
    <t>868</t>
  </si>
  <si>
    <t>927</t>
  </si>
  <si>
    <t>547</t>
  </si>
  <si>
    <t>March 07, 2023</t>
  </si>
  <si>
    <t>182</t>
  </si>
  <si>
    <t>185</t>
  </si>
  <si>
    <t>CUST185</t>
  </si>
  <si>
    <t xml:space="preserve"> 24</t>
  </si>
  <si>
    <t>407</t>
  </si>
  <si>
    <t>2023-06-25</t>
  </si>
  <si>
    <t>607</t>
  </si>
  <si>
    <t>17/03/2023</t>
  </si>
  <si>
    <t>693</t>
  </si>
  <si>
    <t>04/23/2023</t>
  </si>
  <si>
    <t>521</t>
  </si>
  <si>
    <t>August 12, 2023</t>
  </si>
  <si>
    <t>381</t>
  </si>
  <si>
    <t>411</t>
  </si>
  <si>
    <t>CUST411</t>
  </si>
  <si>
    <t>635</t>
  </si>
  <si>
    <t>2023-08-17</t>
  </si>
  <si>
    <t>370</t>
  </si>
  <si>
    <t xml:space="preserve">CUST370  </t>
  </si>
  <si>
    <t>901</t>
  </si>
  <si>
    <t>April 10, 2023</t>
  </si>
  <si>
    <t>780</t>
  </si>
  <si>
    <t>79</t>
  </si>
  <si>
    <t>574</t>
  </si>
  <si>
    <t>August 31, 2023</t>
  </si>
  <si>
    <t>638</t>
  </si>
  <si>
    <t>608</t>
  </si>
  <si>
    <t>801</t>
  </si>
  <si>
    <t>2023-08-10</t>
  </si>
  <si>
    <t>838</t>
  </si>
  <si>
    <t>2023-05-13</t>
  </si>
  <si>
    <t>942</t>
  </si>
  <si>
    <t>18/03/2023</t>
  </si>
  <si>
    <t>417</t>
  </si>
  <si>
    <t>CUST417</t>
  </si>
  <si>
    <t>749</t>
  </si>
  <si>
    <t>562</t>
  </si>
  <si>
    <t>68</t>
  </si>
  <si>
    <t>CUST068</t>
  </si>
  <si>
    <t>537</t>
  </si>
  <si>
    <t>2023-06-03</t>
  </si>
  <si>
    <t>78</t>
  </si>
  <si>
    <t>106</t>
  </si>
  <si>
    <t xml:space="preserve">  CUST106</t>
  </si>
  <si>
    <t>787</t>
  </si>
  <si>
    <t>January 22, 2023</t>
  </si>
  <si>
    <t>639</t>
  </si>
  <si>
    <t>13/05/2023</t>
  </si>
  <si>
    <t>560</t>
  </si>
  <si>
    <t>2023-06-05</t>
  </si>
  <si>
    <t>776</t>
  </si>
  <si>
    <t>691</t>
  </si>
  <si>
    <t>876</t>
  </si>
  <si>
    <t>947</t>
  </si>
  <si>
    <t>March 02, 2023</t>
  </si>
  <si>
    <t>878</t>
  </si>
  <si>
    <t>736</t>
  </si>
  <si>
    <t>916</t>
  </si>
  <si>
    <t>2023-12-24</t>
  </si>
  <si>
    <t>491</t>
  </si>
  <si>
    <t>851</t>
  </si>
  <si>
    <t>08-Sep-2023</t>
  </si>
  <si>
    <t>606</t>
  </si>
  <si>
    <t>364</t>
  </si>
  <si>
    <t>23/08/2023</t>
  </si>
  <si>
    <t>CUST364</t>
  </si>
  <si>
    <t>70</t>
  </si>
  <si>
    <t>2023-02-21</t>
  </si>
  <si>
    <t>549</t>
  </si>
  <si>
    <t>161</t>
  </si>
  <si>
    <t>CUST161</t>
  </si>
  <si>
    <t>12</t>
  </si>
  <si>
    <t>30/10/2023</t>
  </si>
  <si>
    <t>CUST012</t>
  </si>
  <si>
    <t>145</t>
  </si>
  <si>
    <t>CUST145</t>
  </si>
  <si>
    <t>518</t>
  </si>
  <si>
    <t>2023-05-11</t>
  </si>
  <si>
    <t>428</t>
  </si>
  <si>
    <t>2023-10-10</t>
  </si>
  <si>
    <t>640</t>
  </si>
  <si>
    <t>177</t>
  </si>
  <si>
    <t>CUST177</t>
  </si>
  <si>
    <t>441</t>
  </si>
  <si>
    <t>CUST441</t>
  </si>
  <si>
    <t>522</t>
  </si>
  <si>
    <t>2023-01-01</t>
  </si>
  <si>
    <t>879</t>
  </si>
  <si>
    <t>951</t>
  </si>
  <si>
    <t>689</t>
  </si>
  <si>
    <t>232</t>
  </si>
  <si>
    <t>CUST232</t>
  </si>
  <si>
    <t>211</t>
  </si>
  <si>
    <t>2024-01-01</t>
  </si>
  <si>
    <t>CUST211</t>
  </si>
  <si>
    <t>641</t>
  </si>
  <si>
    <t>November 23, 2023</t>
  </si>
  <si>
    <t>144</t>
  </si>
  <si>
    <t>CUST144</t>
  </si>
  <si>
    <t xml:space="preserve"> 59</t>
  </si>
  <si>
    <t>754</t>
  </si>
  <si>
    <t>16/10/2023</t>
  </si>
  <si>
    <t>520</t>
  </si>
  <si>
    <t>299</t>
  </si>
  <si>
    <t>CUST299</t>
  </si>
  <si>
    <t>767</t>
  </si>
  <si>
    <t>24/10/2023</t>
  </si>
  <si>
    <t>429</t>
  </si>
  <si>
    <t>CUST429</t>
  </si>
  <si>
    <t>613</t>
  </si>
  <si>
    <t>937</t>
  </si>
  <si>
    <t>23/10/2023</t>
  </si>
  <si>
    <t>946</t>
  </si>
  <si>
    <t>9</t>
  </si>
  <si>
    <t>13/12/2023</t>
  </si>
  <si>
    <t>157</t>
  </si>
  <si>
    <t>2023-06-24</t>
  </si>
  <si>
    <t>CUST157</t>
  </si>
  <si>
    <t>540</t>
  </si>
  <si>
    <t>2023-12-08</t>
  </si>
  <si>
    <t>507</t>
  </si>
  <si>
    <t>37.0</t>
  </si>
  <si>
    <t>437</t>
  </si>
  <si>
    <t>CUST437</t>
  </si>
  <si>
    <t>267</t>
  </si>
  <si>
    <t>CUST267</t>
  </si>
  <si>
    <t>462</t>
  </si>
  <si>
    <t>577</t>
  </si>
  <si>
    <t>13/02/2023</t>
  </si>
  <si>
    <t>339</t>
  </si>
  <si>
    <t>256</t>
  </si>
  <si>
    <t>February 18, 2023</t>
  </si>
  <si>
    <t>CUST256</t>
  </si>
  <si>
    <t>811</t>
  </si>
  <si>
    <t>858</t>
  </si>
  <si>
    <t>666</t>
  </si>
  <si>
    <t>561</t>
  </si>
  <si>
    <t>27/05/2023</t>
  </si>
  <si>
    <t>209</t>
  </si>
  <si>
    <t>2023-12-20</t>
  </si>
  <si>
    <t>CUST209</t>
  </si>
  <si>
    <t>288</t>
  </si>
  <si>
    <t>CUST002</t>
  </si>
  <si>
    <t>342</t>
  </si>
  <si>
    <t>CUST342</t>
  </si>
  <si>
    <t>270</t>
  </si>
  <si>
    <t>CUST270</t>
  </si>
  <si>
    <t>266</t>
  </si>
  <si>
    <t>821</t>
  </si>
  <si>
    <t>903</t>
  </si>
  <si>
    <t>April 27, 2023</t>
  </si>
  <si>
    <t>96</t>
  </si>
  <si>
    <t>979</t>
  </si>
  <si>
    <t>cust043</t>
  </si>
  <si>
    <t>822</t>
  </si>
  <si>
    <t>845</t>
  </si>
  <si>
    <t>841</t>
  </si>
  <si>
    <t>629</t>
  </si>
  <si>
    <t>CUST046</t>
  </si>
  <si>
    <t>162</t>
  </si>
  <si>
    <t>08/21/2023</t>
  </si>
  <si>
    <t>CUST162</t>
  </si>
  <si>
    <t>728</t>
  </si>
  <si>
    <t>630</t>
  </si>
  <si>
    <t>289</t>
  </si>
  <si>
    <t>30/11/2023</t>
  </si>
  <si>
    <t>CUST289</t>
  </si>
  <si>
    <t>590</t>
  </si>
  <si>
    <t>2023-03-17</t>
  </si>
  <si>
    <t>902</t>
  </si>
  <si>
    <t>963</t>
  </si>
  <si>
    <t>576</t>
  </si>
  <si>
    <t>316</t>
  </si>
  <si>
    <t>CUST316</t>
  </si>
  <si>
    <t>899</t>
  </si>
  <si>
    <t>25/05/2023</t>
  </si>
  <si>
    <t>231</t>
  </si>
  <si>
    <t>CUST231</t>
  </si>
  <si>
    <t>810</t>
  </si>
  <si>
    <t>699</t>
  </si>
  <si>
    <t>22/06/2023</t>
  </si>
  <si>
    <t>834</t>
  </si>
  <si>
    <t>712</t>
  </si>
  <si>
    <t>77</t>
  </si>
  <si>
    <t>July 09, 2023</t>
  </si>
  <si>
    <t>CUST077</t>
  </si>
  <si>
    <t>634</t>
  </si>
  <si>
    <t>2023-10-08</t>
  </si>
  <si>
    <t>985</t>
  </si>
  <si>
    <t>248</t>
  </si>
  <si>
    <t>2023-03-09</t>
  </si>
  <si>
    <t>820</t>
  </si>
  <si>
    <t>987</t>
  </si>
  <si>
    <t>477</t>
  </si>
  <si>
    <t>24/04/2023</t>
  </si>
  <si>
    <t>671</t>
  </si>
  <si>
    <t>86</t>
  </si>
  <si>
    <t>2023-11-08</t>
  </si>
  <si>
    <t>CUST086</t>
  </si>
  <si>
    <t>470</t>
  </si>
  <si>
    <t>CUST470</t>
  </si>
  <si>
    <t>226</t>
  </si>
  <si>
    <t>29/10/2023</t>
  </si>
  <si>
    <t>CUST226</t>
  </si>
  <si>
    <t>775</t>
  </si>
  <si>
    <t>332</t>
  </si>
  <si>
    <t>2023-04-06</t>
  </si>
  <si>
    <t>CUST332</t>
  </si>
  <si>
    <t>234</t>
  </si>
  <si>
    <t>11/20/2023</t>
  </si>
  <si>
    <t xml:space="preserve">  CUST234</t>
  </si>
  <si>
    <t>589</t>
  </si>
  <si>
    <t>476</t>
  </si>
  <si>
    <t>27.0</t>
  </si>
  <si>
    <t>880</t>
  </si>
  <si>
    <t>21/08/2023</t>
  </si>
  <si>
    <t>422</t>
  </si>
  <si>
    <t>CUST422</t>
  </si>
  <si>
    <t>688</t>
  </si>
  <si>
    <t>183</t>
  </si>
  <si>
    <t>September 08, 2023</t>
  </si>
  <si>
    <t>CUST183</t>
  </si>
  <si>
    <t>618</t>
  </si>
  <si>
    <t>333</t>
  </si>
  <si>
    <t>CUST333</t>
  </si>
  <si>
    <t>439</t>
  </si>
  <si>
    <t>CUST439</t>
  </si>
  <si>
    <t>2023-08-24</t>
  </si>
  <si>
    <t>CUST050</t>
  </si>
  <si>
    <t>887</t>
  </si>
  <si>
    <t>6</t>
  </si>
  <si>
    <t>04/25/2023</t>
  </si>
  <si>
    <t>CUST006</t>
  </si>
  <si>
    <t>530</t>
  </si>
  <si>
    <t>235</t>
  </si>
  <si>
    <t>2023-01-31</t>
  </si>
  <si>
    <t>CUST235</t>
  </si>
  <si>
    <t>487</t>
  </si>
  <si>
    <t>CUST487</t>
  </si>
  <si>
    <t>914</t>
  </si>
  <si>
    <t>498</t>
  </si>
  <si>
    <t>CUST498</t>
  </si>
  <si>
    <t>908</t>
  </si>
  <si>
    <t>12/29/2023</t>
  </si>
  <si>
    <t>107</t>
  </si>
  <si>
    <t>cust107</t>
  </si>
  <si>
    <t>444</t>
  </si>
  <si>
    <t>CUST444</t>
  </si>
  <si>
    <t>489</t>
  </si>
  <si>
    <t>CUST489</t>
  </si>
  <si>
    <t>647</t>
  </si>
  <si>
    <t>13</t>
  </si>
  <si>
    <t>CUST013</t>
  </si>
  <si>
    <t>739</t>
  </si>
  <si>
    <t>727</t>
  </si>
  <si>
    <t>06/22/2023</t>
  </si>
  <si>
    <t>191</t>
  </si>
  <si>
    <t>957</t>
  </si>
  <si>
    <t>2023-08-15</t>
  </si>
  <si>
    <t>283</t>
  </si>
  <si>
    <t>CUST283</t>
  </si>
  <si>
    <t>CUST030</t>
  </si>
  <si>
    <t>170</t>
  </si>
  <si>
    <t>CUST170</t>
  </si>
  <si>
    <t>181</t>
  </si>
  <si>
    <t xml:space="preserve">  CUST181</t>
  </si>
  <si>
    <t>101</t>
  </si>
  <si>
    <t>2023-01-29</t>
  </si>
  <si>
    <t>CUST101</t>
  </si>
  <si>
    <t>32.0</t>
  </si>
  <si>
    <t>198</t>
  </si>
  <si>
    <t>2023-03-07</t>
  </si>
  <si>
    <t xml:space="preserve">  CUST198</t>
  </si>
  <si>
    <t>496</t>
  </si>
  <si>
    <t>722</t>
  </si>
  <si>
    <t>July 14, 2023</t>
  </si>
  <si>
    <t>648</t>
  </si>
  <si>
    <t>14/08/2023</t>
  </si>
  <si>
    <t>990</t>
  </si>
  <si>
    <t>2023-05-25</t>
  </si>
  <si>
    <t>944</t>
  </si>
  <si>
    <t>711</t>
  </si>
  <si>
    <t>10/16/2023</t>
  </si>
  <si>
    <t>374</t>
  </si>
  <si>
    <t>CUST374</t>
  </si>
  <si>
    <t>679</t>
  </si>
  <si>
    <t>2023-01-11</t>
  </si>
  <si>
    <t>895</t>
  </si>
  <si>
    <t>2023-05-22</t>
  </si>
  <si>
    <t>649</t>
  </si>
  <si>
    <t>798</t>
  </si>
  <si>
    <t>August 04, 2023</t>
  </si>
  <si>
    <t>848</t>
  </si>
  <si>
    <t>461</t>
  </si>
  <si>
    <t>CUST461</t>
  </si>
  <si>
    <t>414</t>
  </si>
  <si>
    <t>CUST414</t>
  </si>
  <si>
    <t>132</t>
  </si>
  <si>
    <t>2023-09-10</t>
  </si>
  <si>
    <t>CUST132</t>
  </si>
  <si>
    <t>CUST040</t>
  </si>
  <si>
    <t>435</t>
  </si>
  <si>
    <t>216</t>
  </si>
  <si>
    <t>July 11, 2023</t>
  </si>
  <si>
    <t>556</t>
  </si>
  <si>
    <t>567</t>
  </si>
  <si>
    <t>2023-06-14</t>
  </si>
  <si>
    <t xml:space="preserve"> 25</t>
  </si>
  <si>
    <t>763</t>
  </si>
  <si>
    <t>475</t>
  </si>
  <si>
    <t>20/01/2023</t>
  </si>
  <si>
    <t>CUST475</t>
  </si>
  <si>
    <t>457</t>
  </si>
  <si>
    <t>CUST457</t>
  </si>
  <si>
    <t>812</t>
  </si>
  <si>
    <t>2023-11-12</t>
  </si>
  <si>
    <t>261</t>
  </si>
  <si>
    <t>CUST261</t>
  </si>
  <si>
    <t>817</t>
  </si>
  <si>
    <t>828</t>
  </si>
  <si>
    <t>310</t>
  </si>
  <si>
    <t>CUST310</t>
  </si>
  <si>
    <t>277</t>
  </si>
  <si>
    <t>CUST277</t>
  </si>
  <si>
    <t>637</t>
  </si>
  <si>
    <t>2023-09-01</t>
  </si>
  <si>
    <t>655</t>
  </si>
  <si>
    <t>623</t>
  </si>
  <si>
    <t>2023-03-10</t>
  </si>
  <si>
    <t>836</t>
  </si>
  <si>
    <t>394</t>
  </si>
  <si>
    <t>CUST394</t>
  </si>
  <si>
    <t>953</t>
  </si>
  <si>
    <t>April 26, 2023</t>
  </si>
  <si>
    <t>108</t>
  </si>
  <si>
    <t>960</t>
  </si>
  <si>
    <t>525</t>
  </si>
  <si>
    <t>785</t>
  </si>
  <si>
    <t>2023-03-03</t>
  </si>
  <si>
    <t>CUST048</t>
  </si>
  <si>
    <t>204</t>
  </si>
  <si>
    <t>2023-09-28</t>
  </si>
  <si>
    <t>CUST204</t>
  </si>
  <si>
    <t>940</t>
  </si>
  <si>
    <t>632</t>
  </si>
  <si>
    <t>16/09/2023</t>
  </si>
  <si>
    <t>10/15/2023</t>
  </si>
  <si>
    <t>CUST022</t>
  </si>
  <si>
    <t>18.0</t>
  </si>
  <si>
    <t>403</t>
  </si>
  <si>
    <t>20/05/2023</t>
  </si>
  <si>
    <t>CUST403</t>
  </si>
  <si>
    <t>84</t>
  </si>
  <si>
    <t>CUST084</t>
  </si>
  <si>
    <t>131</t>
  </si>
  <si>
    <t>416</t>
  </si>
  <si>
    <t>CUST416</t>
  </si>
  <si>
    <t>842</t>
  </si>
  <si>
    <t>12/26/2023</t>
  </si>
  <si>
    <t>742</t>
  </si>
  <si>
    <t>698</t>
  </si>
  <si>
    <t>287</t>
  </si>
  <si>
    <t>124</t>
  </si>
  <si>
    <t>27/10/2023</t>
  </si>
  <si>
    <t>CUST124</t>
  </si>
  <si>
    <t>December 24, 2023</t>
  </si>
  <si>
    <t>CUST034</t>
  </si>
  <si>
    <t>992</t>
  </si>
  <si>
    <t>517</t>
  </si>
  <si>
    <t>924</t>
  </si>
  <si>
    <t>2023-11-05</t>
  </si>
  <si>
    <t>959</t>
  </si>
  <si>
    <t>220</t>
  </si>
  <si>
    <t>CUST220</t>
  </si>
  <si>
    <t>892</t>
  </si>
  <si>
    <t>482</t>
  </si>
  <si>
    <t>2023-04-27</t>
  </si>
  <si>
    <t>CUST482</t>
  </si>
  <si>
    <t>932</t>
  </si>
  <si>
    <t>02/28/2023</t>
  </si>
  <si>
    <t>357</t>
  </si>
  <si>
    <t>CUST357</t>
  </si>
  <si>
    <t>662</t>
  </si>
  <si>
    <t>2023-12-22</t>
  </si>
  <si>
    <t>225</t>
  </si>
  <si>
    <t>760</t>
  </si>
  <si>
    <t>93</t>
  </si>
  <si>
    <t>152</t>
  </si>
  <si>
    <t>CUST152</t>
  </si>
  <si>
    <t>318</t>
  </si>
  <si>
    <t>449</t>
  </si>
  <si>
    <t>804</t>
  </si>
  <si>
    <t>August 24, 2023</t>
  </si>
  <si>
    <t>746</t>
  </si>
  <si>
    <t>January 11, 2023</t>
  </si>
  <si>
    <t>523</t>
  </si>
  <si>
    <t>280</t>
  </si>
  <si>
    <t>CUST280</t>
  </si>
  <si>
    <t>584</t>
  </si>
  <si>
    <t>765</t>
  </si>
  <si>
    <t>605</t>
  </si>
  <si>
    <t>07/24/2023</t>
  </si>
  <si>
    <t>998</t>
  </si>
  <si>
    <t>350</t>
  </si>
  <si>
    <t>2023-10-17</t>
  </si>
  <si>
    <t>CUST350</t>
  </si>
  <si>
    <t>928</t>
  </si>
  <si>
    <t>375</t>
  </si>
  <si>
    <t>CUST375</t>
  </si>
  <si>
    <t>401</t>
  </si>
  <si>
    <t>CUST401</t>
  </si>
  <si>
    <t>705</t>
  </si>
  <si>
    <t>258</t>
  </si>
  <si>
    <t>2023-12-04</t>
  </si>
  <si>
    <t>CUST258</t>
  </si>
  <si>
    <t>945</t>
  </si>
  <si>
    <t>30.0</t>
  </si>
  <si>
    <t>852</t>
  </si>
  <si>
    <t>2023-10-12</t>
  </si>
  <si>
    <t>73</t>
  </si>
  <si>
    <t>CUST073</t>
  </si>
  <si>
    <t>196</t>
  </si>
  <si>
    <t>484</t>
  </si>
  <si>
    <t>CUST484</t>
  </si>
  <si>
    <t>856</t>
  </si>
  <si>
    <t>November 27, 2023</t>
  </si>
  <si>
    <t>138</t>
  </si>
  <si>
    <t>CUST138</t>
  </si>
  <si>
    <t>495</t>
  </si>
  <si>
    <t>773</t>
  </si>
  <si>
    <t>2023-07-23</t>
  </si>
  <si>
    <t>551</t>
  </si>
  <si>
    <t>463</t>
  </si>
  <si>
    <t>2023-07-31</t>
  </si>
  <si>
    <t>202</t>
  </si>
  <si>
    <t>CUST202</t>
  </si>
  <si>
    <t>313</t>
  </si>
  <si>
    <t>291</t>
  </si>
  <si>
    <t>2023-01-08</t>
  </si>
  <si>
    <t>CUST291</t>
  </si>
  <si>
    <t>961</t>
  </si>
  <si>
    <t>190</t>
  </si>
  <si>
    <t>CUST190</t>
  </si>
  <si>
    <t>764</t>
  </si>
  <si>
    <t>113</t>
  </si>
  <si>
    <t>13/09/2023</t>
  </si>
  <si>
    <t>CUST113</t>
  </si>
  <si>
    <t>950</t>
  </si>
  <si>
    <t>184</t>
  </si>
  <si>
    <t xml:space="preserve">  CUST184</t>
  </si>
  <si>
    <t>153</t>
  </si>
  <si>
    <t>CUST153</t>
  </si>
  <si>
    <t>825</t>
  </si>
  <si>
    <t>August 26, 2023</t>
  </si>
  <si>
    <t>326</t>
  </si>
  <si>
    <t>09/15/2023</t>
  </si>
  <si>
    <t>CUST326</t>
  </si>
  <si>
    <t>704</t>
  </si>
  <si>
    <t>2023-07-03</t>
  </si>
  <si>
    <t>445</t>
  </si>
  <si>
    <t>CUST445</t>
  </si>
  <si>
    <t>788</t>
  </si>
  <si>
    <t>2023-06-27</t>
  </si>
  <si>
    <t>7</t>
  </si>
  <si>
    <t>CUST007</t>
  </si>
  <si>
    <t>251</t>
  </si>
  <si>
    <t>CUST251</t>
  </si>
  <si>
    <t>824</t>
  </si>
  <si>
    <t xml:space="preserve"> 63</t>
  </si>
  <si>
    <t>76</t>
  </si>
  <si>
    <t>513</t>
  </si>
  <si>
    <t>392</t>
  </si>
  <si>
    <t>CUST392</t>
  </si>
  <si>
    <t>896</t>
  </si>
  <si>
    <t>69</t>
  </si>
  <si>
    <t>2023-04-30</t>
  </si>
  <si>
    <t>CUST069</t>
  </si>
  <si>
    <t>999</t>
  </si>
  <si>
    <t>168</t>
  </si>
  <si>
    <t>CUST168</t>
  </si>
  <si>
    <t>905</t>
  </si>
  <si>
    <t>731</t>
  </si>
  <si>
    <t>555</t>
  </si>
  <si>
    <t>25.0</t>
  </si>
  <si>
    <t>367</t>
  </si>
  <si>
    <t>2023-01-05</t>
  </si>
  <si>
    <t>57.0</t>
  </si>
  <si>
    <t>346</t>
  </si>
  <si>
    <t>CUST346</t>
  </si>
  <si>
    <t>585</t>
  </si>
  <si>
    <t>536</t>
  </si>
  <si>
    <t>399</t>
  </si>
  <si>
    <t>CUST399</t>
  </si>
  <si>
    <t>186</t>
  </si>
  <si>
    <t>CUST186</t>
  </si>
  <si>
    <t>349</t>
  </si>
  <si>
    <t>10/26/2023</t>
  </si>
  <si>
    <t>CUST349</t>
  </si>
  <si>
    <t>616</t>
  </si>
  <si>
    <t>23/09/2023</t>
  </si>
  <si>
    <t>920</t>
  </si>
  <si>
    <t>212</t>
  </si>
  <si>
    <t>09-Jun-2023</t>
  </si>
  <si>
    <t>CUST212</t>
  </si>
  <si>
    <t>580</t>
  </si>
  <si>
    <t>503</t>
  </si>
  <si>
    <t>538</t>
  </si>
  <si>
    <t>09/17/2023</t>
  </si>
  <si>
    <t>197</t>
  </si>
  <si>
    <t>CUST197</t>
  </si>
  <si>
    <t>176</t>
  </si>
  <si>
    <t>2023-07-11</t>
  </si>
  <si>
    <t>01/30/2023</t>
  </si>
  <si>
    <t>11/17/2023</t>
  </si>
  <si>
    <t>02-Jun-2023</t>
  </si>
  <si>
    <t>November 12, 2023</t>
  </si>
  <si>
    <t>November 07, 2023</t>
  </si>
  <si>
    <t>09/14/2023</t>
  </si>
  <si>
    <t>September 11, 2023</t>
  </si>
  <si>
    <t>18-Nov-2023</t>
  </si>
  <si>
    <t>06/21/2023</t>
  </si>
  <si>
    <t>06/16/2023</t>
  </si>
  <si>
    <t>08-May-2023</t>
  </si>
  <si>
    <t>09-Dec-2023</t>
  </si>
  <si>
    <t>January 01, 2023</t>
  </si>
  <si>
    <t>February 11, 2023</t>
  </si>
  <si>
    <t>06-Mar-2023</t>
  </si>
  <si>
    <t>04-Oct-2023</t>
  </si>
  <si>
    <t>06/17/2023</t>
  </si>
  <si>
    <t>04-Jun-2023</t>
  </si>
  <si>
    <t>02-Oct-2023</t>
  </si>
  <si>
    <t>02-Nov-2023</t>
  </si>
  <si>
    <t>09-Sep-2023</t>
  </si>
  <si>
    <t>08-Jan-2023</t>
  </si>
  <si>
    <t>04/19/2023</t>
  </si>
  <si>
    <t>06-Feb-2023</t>
  </si>
  <si>
    <t>12/15/2023</t>
  </si>
  <si>
    <t>09/16/2023</t>
  </si>
  <si>
    <t>12-Feb-2023</t>
  </si>
  <si>
    <t>2023-01-07</t>
  </si>
  <si>
    <t>04/21/2023</t>
  </si>
  <si>
    <t>04-Nov-2023</t>
  </si>
  <si>
    <t>01-Apr-2023</t>
  </si>
  <si>
    <t>07-Sep-2023</t>
  </si>
  <si>
    <t>June 07, 2023</t>
  </si>
  <si>
    <t>27/12/2023</t>
  </si>
  <si>
    <t>24-Jan-2023</t>
  </si>
  <si>
    <t>10/23/2023</t>
  </si>
  <si>
    <t>24-Nov-2023</t>
  </si>
  <si>
    <t>02-Feb-2023</t>
  </si>
  <si>
    <t>11-Jun-2023</t>
  </si>
  <si>
    <t>May 05, 2023</t>
  </si>
  <si>
    <t>October 12, 2023</t>
  </si>
  <si>
    <t>11/15/2023</t>
  </si>
  <si>
    <t>01-Jul-2023</t>
  </si>
  <si>
    <t>01/13/2023</t>
  </si>
  <si>
    <t>December 02, 2023</t>
  </si>
  <si>
    <t>August 06, 2023</t>
  </si>
  <si>
    <t>07/29/2023</t>
  </si>
  <si>
    <t>February 05, 2023</t>
  </si>
  <si>
    <t>08-Jun-2023</t>
  </si>
  <si>
    <t>August 01, 2023</t>
  </si>
  <si>
    <t>03-Sep-2023</t>
  </si>
  <si>
    <t>23/01/2023</t>
  </si>
  <si>
    <t>06-Jul-2023</t>
  </si>
  <si>
    <t>08-Nov-2023</t>
  </si>
  <si>
    <t>09/29/2023</t>
  </si>
  <si>
    <t>10-Oct-2023</t>
  </si>
  <si>
    <t>09-Aug-2023</t>
  </si>
  <si>
    <t>01/31/2023</t>
  </si>
  <si>
    <t>05-Nov-2023</t>
  </si>
  <si>
    <t>October 03, 2023</t>
  </si>
  <si>
    <t>27-Jul-2023</t>
  </si>
  <si>
    <t>07/17/2023</t>
  </si>
  <si>
    <t>05/15/2023</t>
  </si>
  <si>
    <t>08/24/2023</t>
  </si>
  <si>
    <t>05-Apr-2023</t>
  </si>
  <si>
    <t>2023-10-06</t>
  </si>
  <si>
    <t>03-Aug-2023</t>
  </si>
  <si>
    <t>25-May-2023</t>
  </si>
  <si>
    <t>11-Aug-2023</t>
  </si>
  <si>
    <t>09-May-2023</t>
  </si>
  <si>
    <t>February 04, 2023</t>
  </si>
  <si>
    <t>04-Jul-2023</t>
  </si>
  <si>
    <t>03/19/2023</t>
  </si>
  <si>
    <t>23/11/2023</t>
  </si>
  <si>
    <t>09/25/2023</t>
  </si>
  <si>
    <t>December 11, 2023</t>
  </si>
  <si>
    <t>2023-09-04</t>
  </si>
  <si>
    <t>07/30/2023</t>
  </si>
  <si>
    <t>01/19/2023</t>
  </si>
  <si>
    <t>20-May-2023</t>
  </si>
  <si>
    <t>03-Jun-2023</t>
  </si>
  <si>
    <t>04/29/2023</t>
  </si>
  <si>
    <t>06-Sep-2023</t>
  </si>
  <si>
    <t>14/05/2023</t>
  </si>
  <si>
    <t>06-Dec-2023</t>
  </si>
  <si>
    <t>14/10/2023</t>
  </si>
  <si>
    <t>02/16/2023</t>
  </si>
  <si>
    <t>12/19/2023</t>
  </si>
  <si>
    <t>10/17/2023</t>
  </si>
  <si>
    <t>08-Dec-2023</t>
  </si>
  <si>
    <t>09-Apr-2023</t>
  </si>
  <si>
    <t>30/05/2023</t>
  </si>
  <si>
    <t>04/27/2023</t>
  </si>
  <si>
    <t>21/03/2023</t>
  </si>
  <si>
    <t>January 02, 2023</t>
  </si>
  <si>
    <t>08-Jul-2023</t>
  </si>
  <si>
    <t>19-Nov-2023</t>
  </si>
  <si>
    <t>2023-11-10</t>
  </si>
  <si>
    <t>14-May-2023</t>
  </si>
  <si>
    <t>09-Jul-2023</t>
  </si>
  <si>
    <t>01-Oct-2023</t>
  </si>
  <si>
    <t>10/21/2023</t>
  </si>
  <si>
    <t>09-Jan-2023</t>
  </si>
  <si>
    <t>14/12/2023</t>
  </si>
  <si>
    <t>December 10, 2023</t>
  </si>
  <si>
    <t>02/17/2023</t>
  </si>
  <si>
    <t>August 05, 2023</t>
  </si>
  <si>
    <t>05-Oct-2023</t>
  </si>
  <si>
    <t>June 01, 2023</t>
  </si>
  <si>
    <t>25-Feb-2023</t>
  </si>
  <si>
    <t>May 06, 2023</t>
  </si>
  <si>
    <t>03/26/2023</t>
  </si>
  <si>
    <t>October 11, 2023</t>
  </si>
  <si>
    <t>06/24/2023</t>
  </si>
  <si>
    <t>01/26/2023</t>
  </si>
  <si>
    <t>02-Apr-2023</t>
  </si>
  <si>
    <t>07-Jan-2023</t>
  </si>
  <si>
    <t>04-May-2023</t>
  </si>
  <si>
    <t>25-Jan-2023</t>
  </si>
  <si>
    <t>June 10, 2023</t>
  </si>
  <si>
    <t>04-Jan-2023</t>
  </si>
  <si>
    <t>03/20/2023</t>
  </si>
  <si>
    <t>2023-05-12</t>
  </si>
  <si>
    <t>09-Mar-2023</t>
  </si>
  <si>
    <t>2023-09-11</t>
  </si>
  <si>
    <t>April 12, 2023</t>
  </si>
  <si>
    <t>24/11/2023</t>
  </si>
  <si>
    <t>November 06, 2023</t>
  </si>
  <si>
    <t>26-Nov-2023</t>
  </si>
  <si>
    <t>29-Aug-2023</t>
  </si>
  <si>
    <t>11/14/2023</t>
  </si>
  <si>
    <t>16/01/2023</t>
  </si>
  <si>
    <t>December 12, 2023</t>
  </si>
  <si>
    <t>02-May-2023</t>
  </si>
  <si>
    <t>09/18/2023</t>
  </si>
  <si>
    <t>August 07, 2023</t>
  </si>
  <si>
    <t>08/18/2023</t>
  </si>
  <si>
    <t>September 05, 2023</t>
  </si>
  <si>
    <t>March 12, 2023</t>
  </si>
  <si>
    <t>07/26/2023</t>
  </si>
  <si>
    <t>01-Feb-2023</t>
  </si>
  <si>
    <t>03/22/2023</t>
  </si>
  <si>
    <t>12/16/2023</t>
  </si>
  <si>
    <t>06/29/2023</t>
  </si>
  <si>
    <t>03-May-2023</t>
  </si>
  <si>
    <t>18/05/2023</t>
  </si>
  <si>
    <t>09-Oct-2023</t>
  </si>
  <si>
    <t>30-Jun-2023</t>
  </si>
  <si>
    <t>27/01/2023</t>
  </si>
  <si>
    <t>07/15/2023</t>
  </si>
  <si>
    <t>27/11/2023</t>
  </si>
  <si>
    <t>03-Mar-2023</t>
  </si>
  <si>
    <t>2023-09-09</t>
  </si>
  <si>
    <t>01-Dec-2023</t>
  </si>
  <si>
    <t>02/14/2023</t>
  </si>
  <si>
    <t>January 06, 2023</t>
  </si>
  <si>
    <t>12-Jun-2023</t>
  </si>
  <si>
    <t>04/22/2023</t>
  </si>
  <si>
    <t>04-Apr-2023</t>
  </si>
  <si>
    <t>08-Feb-2023</t>
  </si>
  <si>
    <t>22-Oct-2023</t>
  </si>
  <si>
    <t>20/06/2023</t>
  </si>
  <si>
    <t>05/21/2023</t>
  </si>
  <si>
    <t>03-Nov-2023</t>
  </si>
  <si>
    <t>05-Jun-2023</t>
  </si>
  <si>
    <t>09-Feb-2023</t>
  </si>
  <si>
    <t>10/31/2023</t>
  </si>
  <si>
    <t>06/13/2023</t>
  </si>
  <si>
    <t>08-Aug-2023</t>
  </si>
  <si>
    <t>11/28/2023</t>
  </si>
  <si>
    <t>01/21/2023</t>
  </si>
  <si>
    <t>19-Jul-2023</t>
  </si>
  <si>
    <t>02/20/2023</t>
  </si>
  <si>
    <t>July 03, 2023</t>
  </si>
  <si>
    <t>09/30/2023</t>
  </si>
  <si>
    <t>03/23/2023</t>
  </si>
  <si>
    <t>06-Jun-2023</t>
  </si>
  <si>
    <t>01/22/2023</t>
  </si>
  <si>
    <t>10-May-2023</t>
  </si>
  <si>
    <t>10/19/2023</t>
  </si>
  <si>
    <t>May 01, 2023</t>
  </si>
  <si>
    <t>March 05, 2023</t>
  </si>
  <si>
    <t>01-Mar-2023</t>
  </si>
  <si>
    <t>26/10/2023</t>
  </si>
  <si>
    <t>June 09, 2023</t>
  </si>
  <si>
    <t>CUST147</t>
  </si>
  <si>
    <t>CUST329</t>
  </si>
  <si>
    <t>CUST433</t>
  </si>
  <si>
    <t>CUST423</t>
  </si>
  <si>
    <t>CUST348</t>
  </si>
  <si>
    <t>CUST254</t>
  </si>
  <si>
    <t>CUST061</t>
  </si>
  <si>
    <t>CUST026</t>
  </si>
  <si>
    <t>CUST217</t>
  </si>
  <si>
    <t>CUST285</t>
  </si>
  <si>
    <t>CUST362</t>
  </si>
  <si>
    <t>CUST468</t>
  </si>
  <si>
    <t>CUST454</t>
  </si>
  <si>
    <t>CUST331</t>
  </si>
  <si>
    <t>CUST325</t>
  </si>
  <si>
    <t>CUST431</t>
  </si>
  <si>
    <t>CUST141</t>
  </si>
  <si>
    <t>CUST320</t>
  </si>
  <si>
    <t>CUST397</t>
  </si>
  <si>
    <t>CUST474</t>
  </si>
  <si>
    <t>CUST322</t>
  </si>
  <si>
    <t>CUST446</t>
  </si>
  <si>
    <t>CUST135</t>
  </si>
  <si>
    <t>CUST049</t>
  </si>
  <si>
    <t>CUST075</t>
  </si>
  <si>
    <t>CUST257</t>
  </si>
  <si>
    <t>CUST055</t>
  </si>
  <si>
    <t>CUST300</t>
  </si>
  <si>
    <t>CUST128</t>
  </si>
  <si>
    <t>CUST390</t>
  </si>
  <si>
    <t>CUST467</t>
  </si>
  <si>
    <t>CUST159</t>
  </si>
  <si>
    <t>CUST123</t>
  </si>
  <si>
    <t>CUST404</t>
  </si>
  <si>
    <t>CUST378</t>
  </si>
  <si>
    <t>CUST052</t>
  </si>
  <si>
    <t>CUST023</t>
  </si>
  <si>
    <t>CUST051</t>
  </si>
  <si>
    <t>CUST493</t>
  </si>
  <si>
    <t>CUST436</t>
  </si>
  <si>
    <t>CUST448</t>
  </si>
  <si>
    <t>CUST345</t>
  </si>
  <si>
    <t>CUST363</t>
  </si>
  <si>
    <t>CUST456</t>
  </si>
  <si>
    <t>CUST264</t>
  </si>
  <si>
    <t>CUST116</t>
  </si>
  <si>
    <t>CUST279</t>
  </si>
  <si>
    <t>CUST230</t>
  </si>
  <si>
    <t>CUST041</t>
  </si>
  <si>
    <t>CUST500</t>
  </si>
  <si>
    <t>CUST301</t>
  </si>
  <si>
    <t>CUST303</t>
  </si>
  <si>
    <t>CUST353</t>
  </si>
  <si>
    <t>CUST097</t>
  </si>
  <si>
    <t>CUST121</t>
  </si>
  <si>
    <t>CUST004</t>
  </si>
  <si>
    <t>CUST222</t>
  </si>
  <si>
    <t>CUST249</t>
  </si>
  <si>
    <t>CUST359</t>
  </si>
  <si>
    <t>CUST442</t>
  </si>
  <si>
    <t>CUST118</t>
  </si>
  <si>
    <t>CUST028</t>
  </si>
  <si>
    <t>CUST382</t>
  </si>
  <si>
    <t>CUST201</t>
  </si>
  <si>
    <t>CUST354</t>
  </si>
  <si>
    <t>CUST471</t>
  </si>
  <si>
    <t>CUST347</t>
  </si>
  <si>
    <t>CUST321</t>
  </si>
  <si>
    <t>CUST188</t>
  </si>
  <si>
    <t>CUST246</t>
  </si>
  <si>
    <t>CUST146</t>
  </si>
  <si>
    <t>CUST091</t>
  </si>
  <si>
    <t>CUST215</t>
  </si>
  <si>
    <t>CUST120</t>
  </si>
  <si>
    <t>CUST395</t>
  </si>
  <si>
    <t>CUST365</t>
  </si>
  <si>
    <t>CUST015</t>
  </si>
  <si>
    <t>CUST355</t>
  </si>
  <si>
    <t>CUST293</t>
  </si>
  <si>
    <t>CUST330</t>
  </si>
  <si>
    <t>CUST255</t>
  </si>
  <si>
    <t>CUST459</t>
  </si>
  <si>
    <t>CUST384</t>
  </si>
  <si>
    <t>CUST179</t>
  </si>
  <si>
    <t>CUST227</t>
  </si>
  <si>
    <t>CUST228</t>
  </si>
  <si>
    <t>CUST127</t>
  </si>
  <si>
    <t>CUST304</t>
  </si>
  <si>
    <t>CUST213</t>
  </si>
  <si>
    <t>CUST469</t>
  </si>
  <si>
    <t>CUST199</t>
  </si>
  <si>
    <t>CUST343</t>
  </si>
  <si>
    <t>CUST387</t>
  </si>
  <si>
    <t>CUST105</t>
  </si>
  <si>
    <t>CUST440</t>
  </si>
  <si>
    <t>CUST480</t>
  </si>
  <si>
    <t>CUST122</t>
  </si>
  <si>
    <t>CUST182</t>
  </si>
  <si>
    <t>CUST407</t>
  </si>
  <si>
    <t>CUST381</t>
  </si>
  <si>
    <t>CUST370</t>
  </si>
  <si>
    <t>CUST079</t>
  </si>
  <si>
    <t>CUST078</t>
  </si>
  <si>
    <t>CUST106</t>
  </si>
  <si>
    <t>CUST491</t>
  </si>
  <si>
    <t>CUST070</t>
  </si>
  <si>
    <t>CUST428</t>
  </si>
  <si>
    <t>CUST009</t>
  </si>
  <si>
    <t>CUST462</t>
  </si>
  <si>
    <t>CUST339</t>
  </si>
  <si>
    <t>CUST288</t>
  </si>
  <si>
    <t>CUST266</t>
  </si>
  <si>
    <t>CUST096</t>
  </si>
  <si>
    <t>CUST043</t>
  </si>
  <si>
    <t>CUST248</t>
  </si>
  <si>
    <t>CUST477</t>
  </si>
  <si>
    <t>CUST234</t>
  </si>
  <si>
    <t>CUST476</t>
  </si>
  <si>
    <t>CUST107</t>
  </si>
  <si>
    <t>CUST191</t>
  </si>
  <si>
    <t>CUST181</t>
  </si>
  <si>
    <t>CUST198</t>
  </si>
  <si>
    <t>CUST496</t>
  </si>
  <si>
    <t>CUST435</t>
  </si>
  <si>
    <t>CUST216</t>
  </si>
  <si>
    <t>CUST036</t>
  </si>
  <si>
    <t>CUST108</t>
  </si>
  <si>
    <t>CUST131</t>
  </si>
  <si>
    <t>CUST287</t>
  </si>
  <si>
    <t>CUST020</t>
  </si>
  <si>
    <t>CUST225</t>
  </si>
  <si>
    <t>CUST093</t>
  </si>
  <si>
    <t>CUST318</t>
  </si>
  <si>
    <t>CUST196</t>
  </si>
  <si>
    <t>CUST495</t>
  </si>
  <si>
    <t>CUST463</t>
  </si>
  <si>
    <t>CUST313</t>
  </si>
  <si>
    <t>CUST184</t>
  </si>
  <si>
    <t>CUST045</t>
  </si>
  <si>
    <t>CUST076</t>
  </si>
  <si>
    <t>CUST367</t>
  </si>
  <si>
    <t>CUST176</t>
  </si>
  <si>
    <t>CUST-001</t>
  </si>
  <si>
    <t xml:space="preserve">  CUST002</t>
  </si>
  <si>
    <t>Cust003</t>
  </si>
  <si>
    <t>cust005</t>
  </si>
  <si>
    <t xml:space="preserve">CUST004   </t>
  </si>
  <si>
    <t>cust006</t>
  </si>
  <si>
    <t>CUST-007</t>
  </si>
  <si>
    <t xml:space="preserve">CUST009   </t>
  </si>
  <si>
    <t xml:space="preserve">CUST010  </t>
  </si>
  <si>
    <t>cust012</t>
  </si>
  <si>
    <t>Cust013</t>
  </si>
  <si>
    <t>Cust014</t>
  </si>
  <si>
    <t xml:space="preserve">CUST016  </t>
  </si>
  <si>
    <t>cust017</t>
  </si>
  <si>
    <t xml:space="preserve">CUST018   </t>
  </si>
  <si>
    <t>Cust019</t>
  </si>
  <si>
    <t>cust021</t>
  </si>
  <si>
    <t xml:space="preserve">CUST022  </t>
  </si>
  <si>
    <t>Cust024</t>
  </si>
  <si>
    <t xml:space="preserve">CUST028   </t>
  </si>
  <si>
    <t xml:space="preserve">  CUST029</t>
  </si>
  <si>
    <t xml:space="preserve">CUST030 </t>
  </si>
  <si>
    <t>Cust031</t>
  </si>
  <si>
    <t xml:space="preserve">  CUST032</t>
  </si>
  <si>
    <t xml:space="preserve">CUST033   </t>
  </si>
  <si>
    <t>cust034</t>
  </si>
  <si>
    <t xml:space="preserve">CUST035 </t>
  </si>
  <si>
    <t xml:space="preserve">CUST036   </t>
  </si>
  <si>
    <t xml:space="preserve">  CUST037</t>
  </si>
  <si>
    <t>cust038</t>
  </si>
  <si>
    <t xml:space="preserve">CUST039  </t>
  </si>
  <si>
    <t>CUST-040</t>
  </si>
  <si>
    <t xml:space="preserve">CUST042   </t>
  </si>
  <si>
    <t xml:space="preserve">CUST045  </t>
  </si>
  <si>
    <t xml:space="preserve"> cust046</t>
  </si>
  <si>
    <t xml:space="preserve">CUST047   </t>
  </si>
  <si>
    <t>Cust048</t>
  </si>
  <si>
    <t>CUST-049</t>
  </si>
  <si>
    <t xml:space="preserve"> cust050</t>
  </si>
  <si>
    <t xml:space="preserve"> cust051</t>
  </si>
  <si>
    <t>CUST-052</t>
  </si>
  <si>
    <t xml:space="preserve">CUST053 </t>
  </si>
  <si>
    <t xml:space="preserve">CUST054  </t>
  </si>
  <si>
    <t xml:space="preserve">CUST055  </t>
  </si>
  <si>
    <t>cust056</t>
  </si>
  <si>
    <t xml:space="preserve">CUST057 </t>
  </si>
  <si>
    <t xml:space="preserve">CUST006   </t>
  </si>
  <si>
    <t xml:space="preserve"> cust058</t>
  </si>
  <si>
    <t>CUST-059</t>
  </si>
  <si>
    <t xml:space="preserve"> cust060</t>
  </si>
  <si>
    <t xml:space="preserve">CUST061 </t>
  </si>
  <si>
    <t>cust062</t>
  </si>
  <si>
    <t>cust063</t>
  </si>
  <si>
    <t xml:space="preserve">CUST064   </t>
  </si>
  <si>
    <t>Cust065</t>
  </si>
  <si>
    <t xml:space="preserve">  CUST015</t>
  </si>
  <si>
    <t>CUST-066</t>
  </si>
  <si>
    <t xml:space="preserve">  CUST067</t>
  </si>
  <si>
    <t xml:space="preserve"> cust068</t>
  </si>
  <si>
    <t>Cust026</t>
  </si>
  <si>
    <t xml:space="preserve">CUST070   </t>
  </si>
  <si>
    <t>CUST-071</t>
  </si>
  <si>
    <t>CUST-072</t>
  </si>
  <si>
    <t>CUST-073</t>
  </si>
  <si>
    <t xml:space="preserve"> cust074</t>
  </si>
  <si>
    <t xml:space="preserve"> cust075</t>
  </si>
  <si>
    <t>cust076</t>
  </si>
  <si>
    <t>cust077</t>
  </si>
  <si>
    <t xml:space="preserve">CUST078 </t>
  </si>
  <si>
    <t xml:space="preserve"> cust079</t>
  </si>
  <si>
    <t>cust080</t>
  </si>
  <si>
    <t xml:space="preserve">CUST082 </t>
  </si>
  <si>
    <t xml:space="preserve"> cust040</t>
  </si>
  <si>
    <t xml:space="preserve">CUST083 </t>
  </si>
  <si>
    <t>Cust084</t>
  </si>
  <si>
    <t xml:space="preserve"> cust086</t>
  </si>
  <si>
    <t>CUST-087</t>
  </si>
  <si>
    <t xml:space="preserve">  CUST088</t>
  </si>
  <si>
    <t>cust089</t>
  </si>
  <si>
    <t xml:space="preserve"> cust090</t>
  </si>
  <si>
    <t xml:space="preserve">CUST092  </t>
  </si>
  <si>
    <t xml:space="preserve">CUST093 </t>
  </si>
  <si>
    <t xml:space="preserve">  CUST094</t>
  </si>
  <si>
    <t xml:space="preserve">CUST095  </t>
  </si>
  <si>
    <t>Cust046</t>
  </si>
  <si>
    <t>Cust096</t>
  </si>
  <si>
    <t xml:space="preserve"> cust004</t>
  </si>
  <si>
    <t>cust097</t>
  </si>
  <si>
    <t xml:space="preserve">  CUST098</t>
  </si>
  <si>
    <t xml:space="preserve"> cust099</t>
  </si>
  <si>
    <t>Cust090</t>
  </si>
  <si>
    <t xml:space="preserve">CUST030   </t>
  </si>
  <si>
    <t xml:space="preserve">  CUST100</t>
  </si>
  <si>
    <t>Cust101</t>
  </si>
  <si>
    <t xml:space="preserve">CUST083   </t>
  </si>
  <si>
    <t xml:space="preserve">CUST102 </t>
  </si>
  <si>
    <t>Cust103</t>
  </si>
  <si>
    <t>CUST-104</t>
  </si>
  <si>
    <t xml:space="preserve">CUST105  </t>
  </si>
  <si>
    <t xml:space="preserve">  CUST108</t>
  </si>
  <si>
    <t xml:space="preserve">  CUST109</t>
  </si>
  <si>
    <t xml:space="preserve">CUST110  </t>
  </si>
  <si>
    <t xml:space="preserve">CUST111  </t>
  </si>
  <si>
    <t xml:space="preserve"> cust113</t>
  </si>
  <si>
    <t xml:space="preserve">  CUST114</t>
  </si>
  <si>
    <t xml:space="preserve">CUST115 </t>
  </si>
  <si>
    <t xml:space="preserve">CUST116 </t>
  </si>
  <si>
    <t xml:space="preserve">  CUST045</t>
  </si>
  <si>
    <t>Cust118</t>
  </si>
  <si>
    <t xml:space="preserve">CUST119   </t>
  </si>
  <si>
    <t>CUST-120</t>
  </si>
  <si>
    <t xml:space="preserve">CUST122   </t>
  </si>
  <si>
    <t xml:space="preserve"> cust124</t>
  </si>
  <si>
    <t xml:space="preserve">CUST125   </t>
  </si>
  <si>
    <t>Cust126</t>
  </si>
  <si>
    <t>Cust127</t>
  </si>
  <si>
    <t>Cust128</t>
  </si>
  <si>
    <t>Cust129</t>
  </si>
  <si>
    <t>cust028</t>
  </si>
  <si>
    <t xml:space="preserve"> cust130</t>
  </si>
  <si>
    <t>Cust051</t>
  </si>
  <si>
    <t xml:space="preserve">CUST132  </t>
  </si>
  <si>
    <t>cust133</t>
  </si>
  <si>
    <t xml:space="preserve">CUST006  </t>
  </si>
  <si>
    <t xml:space="preserve"> cust007</t>
  </si>
  <si>
    <t xml:space="preserve">  CUST117</t>
  </si>
  <si>
    <t>cust134</t>
  </si>
  <si>
    <t>CUST-135</t>
  </si>
  <si>
    <t>cust137</t>
  </si>
  <si>
    <t xml:space="preserve">  CUST139</t>
  </si>
  <si>
    <t xml:space="preserve">CUST140   </t>
  </si>
  <si>
    <t>CUST-106</t>
  </si>
  <si>
    <t>cust143</t>
  </si>
  <si>
    <t xml:space="preserve">CUST064  </t>
  </si>
  <si>
    <t>Cust083</t>
  </si>
  <si>
    <t xml:space="preserve">  CUST144</t>
  </si>
  <si>
    <t xml:space="preserve">CUST145 </t>
  </si>
  <si>
    <t>CUST-043</t>
  </si>
  <si>
    <t>CUST-146</t>
  </si>
  <si>
    <t xml:space="preserve"> cust116</t>
  </si>
  <si>
    <t>cust060</t>
  </si>
  <si>
    <t xml:space="preserve"> cust148</t>
  </si>
  <si>
    <t xml:space="preserve"> cust081</t>
  </si>
  <si>
    <t xml:space="preserve"> cust149</t>
  </si>
  <si>
    <t xml:space="preserve"> cust150</t>
  </si>
  <si>
    <t xml:space="preserve">CUST151 </t>
  </si>
  <si>
    <t>cust152</t>
  </si>
  <si>
    <t xml:space="preserve">  CUST043</t>
  </si>
  <si>
    <t>cust153</t>
  </si>
  <si>
    <t>CUST-154</t>
  </si>
  <si>
    <t xml:space="preserve">CUST155 </t>
  </si>
  <si>
    <t xml:space="preserve"> cust156</t>
  </si>
  <si>
    <t xml:space="preserve">  CUST157</t>
  </si>
  <si>
    <t xml:space="preserve">CUST057   </t>
  </si>
  <si>
    <t xml:space="preserve">CUST159  </t>
  </si>
  <si>
    <t xml:space="preserve">CUST160   </t>
  </si>
  <si>
    <t>CUST-161</t>
  </si>
  <si>
    <t xml:space="preserve">  CUST162</t>
  </si>
  <si>
    <t xml:space="preserve">CUST163   </t>
  </si>
  <si>
    <t xml:space="preserve">CUST164   </t>
  </si>
  <si>
    <t xml:space="preserve">CUST165 </t>
  </si>
  <si>
    <t xml:space="preserve">CUST166 </t>
  </si>
  <si>
    <t xml:space="preserve">CUST167   </t>
  </si>
  <si>
    <t>CUST-153</t>
  </si>
  <si>
    <t xml:space="preserve">  CUST168</t>
  </si>
  <si>
    <t>CUST-169</t>
  </si>
  <si>
    <t xml:space="preserve">CUST170  </t>
  </si>
  <si>
    <t xml:space="preserve">CUST171   </t>
  </si>
  <si>
    <t xml:space="preserve">CUST172   </t>
  </si>
  <si>
    <t>CUST-021</t>
  </si>
  <si>
    <t xml:space="preserve">CUST173  </t>
  </si>
  <si>
    <t xml:space="preserve">CUST174  </t>
  </si>
  <si>
    <t xml:space="preserve">CUST139  </t>
  </si>
  <si>
    <t>Cust175</t>
  </si>
  <si>
    <t xml:space="preserve">CUST176  </t>
  </si>
  <si>
    <t xml:space="preserve">CUST177  </t>
  </si>
  <si>
    <t xml:space="preserve"> cust178</t>
  </si>
  <si>
    <t>CUST-179</t>
  </si>
  <si>
    <t xml:space="preserve">CUST181 </t>
  </si>
  <si>
    <t xml:space="preserve"> cust182</t>
  </si>
  <si>
    <t xml:space="preserve">CUST183 </t>
  </si>
  <si>
    <t xml:space="preserve">CUST184  </t>
  </si>
  <si>
    <t>CUST-185</t>
  </si>
  <si>
    <t>CUST-186</t>
  </si>
  <si>
    <t>CUST-187</t>
  </si>
  <si>
    <t>cust188</t>
  </si>
  <si>
    <t xml:space="preserve">CUST189  </t>
  </si>
  <si>
    <t>cust190</t>
  </si>
  <si>
    <t xml:space="preserve">CUST191  </t>
  </si>
  <si>
    <t xml:space="preserve"> cust192</t>
  </si>
  <si>
    <t xml:space="preserve">CUST193  </t>
  </si>
  <si>
    <t xml:space="preserve"> cust195</t>
  </si>
  <si>
    <t>CUST-196</t>
  </si>
  <si>
    <t>cust197</t>
  </si>
  <si>
    <t>cust198</t>
  </si>
  <si>
    <t>Cust199</t>
  </si>
  <si>
    <t xml:space="preserve">CUST018  </t>
  </si>
  <si>
    <t xml:space="preserve"> cust200</t>
  </si>
  <si>
    <t>Cust202</t>
  </si>
  <si>
    <t>CUST-044</t>
  </si>
  <si>
    <t>cust203</t>
  </si>
  <si>
    <t>Cust204</t>
  </si>
  <si>
    <t xml:space="preserve"> cust137</t>
  </si>
  <si>
    <t>cust205</t>
  </si>
  <si>
    <t xml:space="preserve">  CUST136</t>
  </si>
  <si>
    <t xml:space="preserve">  CUST092</t>
  </si>
  <si>
    <t xml:space="preserve">  CUST147</t>
  </si>
  <si>
    <t xml:space="preserve">  CUST207</t>
  </si>
  <si>
    <t xml:space="preserve"> cust208</t>
  </si>
  <si>
    <t xml:space="preserve">  CUST209</t>
  </si>
  <si>
    <t xml:space="preserve"> cust189</t>
  </si>
  <si>
    <t>CUST-170</t>
  </si>
  <si>
    <t xml:space="preserve">  CUST210</t>
  </si>
  <si>
    <t xml:space="preserve">CUST191   </t>
  </si>
  <si>
    <t xml:space="preserve">CUST211   </t>
  </si>
  <si>
    <t xml:space="preserve">  CUST212</t>
  </si>
  <si>
    <t xml:space="preserve">CUST098   </t>
  </si>
  <si>
    <t xml:space="preserve">  CUST132</t>
  </si>
  <si>
    <t>Cust216</t>
  </si>
  <si>
    <t xml:space="preserve">CUST217  </t>
  </si>
  <si>
    <t xml:space="preserve">CUST109  </t>
  </si>
  <si>
    <t xml:space="preserve">CUST219 </t>
  </si>
  <si>
    <t xml:space="preserve">CUST220  </t>
  </si>
  <si>
    <t xml:space="preserve">CUST221 </t>
  </si>
  <si>
    <t xml:space="preserve">CUST222   </t>
  </si>
  <si>
    <t xml:space="preserve">CUST223  </t>
  </si>
  <si>
    <t>CUST-224</t>
  </si>
  <si>
    <t xml:space="preserve">CUST225 </t>
  </si>
  <si>
    <t xml:space="preserve">CUST133   </t>
  </si>
  <si>
    <t>Cust226</t>
  </si>
  <si>
    <t>CUST-227</t>
  </si>
  <si>
    <t xml:space="preserve"> cust145</t>
  </si>
  <si>
    <t xml:space="preserve">CUST228   </t>
  </si>
  <si>
    <t>Cust229</t>
  </si>
  <si>
    <t xml:space="preserve">CUST230   </t>
  </si>
  <si>
    <t xml:space="preserve">  CUST118</t>
  </si>
  <si>
    <t xml:space="preserve">CUST060   </t>
  </si>
  <si>
    <t xml:space="preserve">  CUST231</t>
  </si>
  <si>
    <t xml:space="preserve">CUST232   </t>
  </si>
  <si>
    <t xml:space="preserve">CUST003   </t>
  </si>
  <si>
    <t xml:space="preserve"> cust044</t>
  </si>
  <si>
    <t xml:space="preserve">  CUST223</t>
  </si>
  <si>
    <t xml:space="preserve">  CUST235</t>
  </si>
  <si>
    <t xml:space="preserve">  CUST236</t>
  </si>
  <si>
    <t xml:space="preserve"> cust057</t>
  </si>
  <si>
    <t>cust163</t>
  </si>
  <si>
    <t xml:space="preserve">CUST237   </t>
  </si>
  <si>
    <t>CUST-081</t>
  </si>
  <si>
    <t xml:space="preserve">CUST093   </t>
  </si>
  <si>
    <t xml:space="preserve">CUST238   </t>
  </si>
  <si>
    <t xml:space="preserve">CUST114   </t>
  </si>
  <si>
    <t xml:space="preserve"> cust235</t>
  </si>
  <si>
    <t>cust239</t>
  </si>
  <si>
    <t xml:space="preserve">CUST240   </t>
  </si>
  <si>
    <t xml:space="preserve">CUST242  </t>
  </si>
  <si>
    <t xml:space="preserve">CUST243  </t>
  </si>
  <si>
    <t xml:space="preserve">CUST244 </t>
  </si>
  <si>
    <t>cust246</t>
  </si>
  <si>
    <t xml:space="preserve">CUST247   </t>
  </si>
  <si>
    <t xml:space="preserve"> cust248</t>
  </si>
  <si>
    <t xml:space="preserve">CUST249   </t>
  </si>
  <si>
    <t>cust250</t>
  </si>
  <si>
    <t xml:space="preserve"> cust251</t>
  </si>
  <si>
    <t>CUST-252</t>
  </si>
  <si>
    <t xml:space="preserve">CUST253   </t>
  </si>
  <si>
    <t xml:space="preserve">CUST254   </t>
  </si>
  <si>
    <t xml:space="preserve">CUST256 </t>
  </si>
  <si>
    <t xml:space="preserve"> cust133</t>
  </si>
  <si>
    <t xml:space="preserve">CUST066   </t>
  </si>
  <si>
    <t xml:space="preserve">CUST176   </t>
  </si>
  <si>
    <t xml:space="preserve"> cust257</t>
  </si>
  <si>
    <t xml:space="preserve">CUST258  </t>
  </si>
  <si>
    <t xml:space="preserve">CUST252   </t>
  </si>
  <si>
    <t xml:space="preserve">CUST259 </t>
  </si>
  <si>
    <t xml:space="preserve">CUST260   </t>
  </si>
  <si>
    <t xml:space="preserve">CUST261  </t>
  </si>
  <si>
    <t xml:space="preserve"> cust262</t>
  </si>
  <si>
    <t xml:space="preserve">  CUST263</t>
  </si>
  <si>
    <t>Cust264</t>
  </si>
  <si>
    <t>cust196</t>
  </si>
  <si>
    <t>Cust265</t>
  </si>
  <si>
    <t xml:space="preserve"> cust266</t>
  </si>
  <si>
    <t>CUST-267</t>
  </si>
  <si>
    <t>cust268</t>
  </si>
  <si>
    <t xml:space="preserve">CUST017  </t>
  </si>
  <si>
    <t>Cust114</t>
  </si>
  <si>
    <t>cust269</t>
  </si>
  <si>
    <t xml:space="preserve">CUST270  </t>
  </si>
  <si>
    <t xml:space="preserve">CUST108 </t>
  </si>
  <si>
    <t>cust184</t>
  </si>
  <si>
    <t>CUST-217</t>
  </si>
  <si>
    <t xml:space="preserve">  CUST271</t>
  </si>
  <si>
    <t xml:space="preserve">CUST272 </t>
  </si>
  <si>
    <t xml:space="preserve">  CUST273</t>
  </si>
  <si>
    <t xml:space="preserve"> cust274</t>
  </si>
  <si>
    <t xml:space="preserve">CUST275  </t>
  </si>
  <si>
    <t>cust276</t>
  </si>
  <si>
    <t>Cust277</t>
  </si>
  <si>
    <t xml:space="preserve"> cust278</t>
  </si>
  <si>
    <t xml:space="preserve">  CUST279</t>
  </si>
  <si>
    <t xml:space="preserve">CUST280  </t>
  </si>
  <si>
    <t xml:space="preserve">  CUST073</t>
  </si>
  <si>
    <t>Cust281</t>
  </si>
  <si>
    <t xml:space="preserve">CUST282   </t>
  </si>
  <si>
    <t>Cust283</t>
  </si>
  <si>
    <t>CUST-284</t>
  </si>
  <si>
    <t>Cust285</t>
  </si>
  <si>
    <t xml:space="preserve">CUST286  </t>
  </si>
  <si>
    <t>CUST-111</t>
  </si>
  <si>
    <t>CUST-042</t>
  </si>
  <si>
    <t>cust088</t>
  </si>
  <si>
    <t>CUST-287</t>
  </si>
  <si>
    <t>CUST-020</t>
  </si>
  <si>
    <t xml:space="preserve">CUST024   </t>
  </si>
  <si>
    <t xml:space="preserve"> cust289</t>
  </si>
  <si>
    <t xml:space="preserve"> cust290</t>
  </si>
  <si>
    <t>Cust292</t>
  </si>
  <si>
    <t xml:space="preserve">CUST294   </t>
  </si>
  <si>
    <t xml:space="preserve">CUST127 </t>
  </si>
  <si>
    <t xml:space="preserve">CUST081   </t>
  </si>
  <si>
    <t>cust295</t>
  </si>
  <si>
    <t xml:space="preserve">CUST296  </t>
  </si>
  <si>
    <t>cust086</t>
  </si>
  <si>
    <t>cust297</t>
  </si>
  <si>
    <t xml:space="preserve">CUST298 </t>
  </si>
  <si>
    <t xml:space="preserve">CUST299 </t>
  </si>
  <si>
    <t xml:space="preserve">CUST278 </t>
  </si>
  <si>
    <t xml:space="preserve">  CUST302</t>
  </si>
  <si>
    <t>Cust303</t>
  </si>
  <si>
    <t xml:space="preserve">CUST304 </t>
  </si>
  <si>
    <t>Cust100</t>
  </si>
  <si>
    <t xml:space="preserve">  CUST264</t>
  </si>
  <si>
    <t xml:space="preserve">CUST204   </t>
  </si>
  <si>
    <t xml:space="preserve">CUST274   </t>
  </si>
  <si>
    <t xml:space="preserve"> cust305</t>
  </si>
  <si>
    <t>CUST-306</t>
  </si>
  <si>
    <t>cust305</t>
  </si>
  <si>
    <t xml:space="preserve">CUST307 </t>
  </si>
  <si>
    <t>Cust308</t>
  </si>
  <si>
    <t xml:space="preserve">CUST104 </t>
  </si>
  <si>
    <t>cust309</t>
  </si>
  <si>
    <t xml:space="preserve">CUST245 </t>
  </si>
  <si>
    <t>cust310</t>
  </si>
  <si>
    <t xml:space="preserve">CUST268  </t>
  </si>
  <si>
    <t>cust260</t>
  </si>
  <si>
    <t xml:space="preserve">CUST176 </t>
  </si>
  <si>
    <t>cust100</t>
  </si>
  <si>
    <t xml:space="preserve"> cust311</t>
  </si>
  <si>
    <t>CUST-313</t>
  </si>
  <si>
    <t xml:space="preserve">CUST272   </t>
  </si>
  <si>
    <t>Cust072</t>
  </si>
  <si>
    <t xml:space="preserve">CUST314 </t>
  </si>
  <si>
    <t xml:space="preserve">  CUST247</t>
  </si>
  <si>
    <t xml:space="preserve">CUST315   </t>
  </si>
  <si>
    <t xml:space="preserve">CUST316  </t>
  </si>
  <si>
    <t>cust249</t>
  </si>
  <si>
    <t xml:space="preserve">  CUST085</t>
  </si>
  <si>
    <t xml:space="preserve">CUST317 </t>
  </si>
  <si>
    <t xml:space="preserve">  CUST011</t>
  </si>
  <si>
    <t xml:space="preserve">CUST184 </t>
  </si>
  <si>
    <t xml:space="preserve">CUST318 </t>
  </si>
  <si>
    <t xml:space="preserve">CUST319   </t>
  </si>
  <si>
    <t xml:space="preserve">CUST320  </t>
  </si>
  <si>
    <t xml:space="preserve">CUST321 </t>
  </si>
  <si>
    <t xml:space="preserve">CUST019   </t>
  </si>
  <si>
    <t xml:space="preserve">  CUST021</t>
  </si>
  <si>
    <t xml:space="preserve">CUST322 </t>
  </si>
  <si>
    <t>CUST-323</t>
  </si>
  <si>
    <t xml:space="preserve">CUST326   </t>
  </si>
  <si>
    <t xml:space="preserve">CUST327   </t>
  </si>
  <si>
    <t xml:space="preserve">CUST328  </t>
  </si>
  <si>
    <t xml:space="preserve">CUST329   </t>
  </si>
  <si>
    <t xml:space="preserve"> cust330</t>
  </si>
  <si>
    <t xml:space="preserve">CUST331  </t>
  </si>
  <si>
    <t xml:space="preserve"> cust301</t>
  </si>
  <si>
    <t>cust201</t>
  </si>
  <si>
    <t>Cust332</t>
  </si>
  <si>
    <t xml:space="preserve"> cust298</t>
  </si>
  <si>
    <t xml:space="preserve">CUST148   </t>
  </si>
  <si>
    <t>Cust197</t>
  </si>
  <si>
    <t xml:space="preserve">CUST121   </t>
  </si>
  <si>
    <t xml:space="preserve">CUST333 </t>
  </si>
  <si>
    <t xml:space="preserve">CUST334  </t>
  </si>
  <si>
    <t xml:space="preserve">CUST292  </t>
  </si>
  <si>
    <t xml:space="preserve">CUST293  </t>
  </si>
  <si>
    <t xml:space="preserve">  CUST224</t>
  </si>
  <si>
    <t>Cust319</t>
  </si>
  <si>
    <t>CUST-163</t>
  </si>
  <si>
    <t xml:space="preserve">  CUST336</t>
  </si>
  <si>
    <t>cust338</t>
  </si>
  <si>
    <t xml:space="preserve">CUST339 </t>
  </si>
  <si>
    <t>Cust172</t>
  </si>
  <si>
    <t xml:space="preserve">  CUST006</t>
  </si>
  <si>
    <t>cust138</t>
  </si>
  <si>
    <t>Cust340</t>
  </si>
  <si>
    <t xml:space="preserve">CUST341   </t>
  </si>
  <si>
    <t xml:space="preserve">CUST096 </t>
  </si>
  <si>
    <t xml:space="preserve">CUST342 </t>
  </si>
  <si>
    <t xml:space="preserve"> cust343</t>
  </si>
  <si>
    <t xml:space="preserve">  CUST179</t>
  </si>
  <si>
    <t xml:space="preserve">CUST111 </t>
  </si>
  <si>
    <t xml:space="preserve"> cust186</t>
  </si>
  <si>
    <t xml:space="preserve">CUST345 </t>
  </si>
  <si>
    <t>CUST-076</t>
  </si>
  <si>
    <t>CUST-346</t>
  </si>
  <si>
    <t xml:space="preserve">CUST257   </t>
  </si>
  <si>
    <t>CUST-347</t>
  </si>
  <si>
    <t xml:space="preserve">CUST117  </t>
  </si>
  <si>
    <t xml:space="preserve">CUST349 </t>
  </si>
  <si>
    <t xml:space="preserve">CUST086  </t>
  </si>
  <si>
    <t>CUST-350</t>
  </si>
  <si>
    <t xml:space="preserve">  CUST351</t>
  </si>
  <si>
    <t>CUST-352</t>
  </si>
  <si>
    <t>Cust353</t>
  </si>
  <si>
    <t>cust354</t>
  </si>
  <si>
    <t xml:space="preserve"> cust250</t>
  </si>
  <si>
    <t xml:space="preserve">CUST355 </t>
  </si>
  <si>
    <t xml:space="preserve">CUST248   </t>
  </si>
  <si>
    <t xml:space="preserve">CUST206  </t>
  </si>
  <si>
    <t xml:space="preserve">CUST089  </t>
  </si>
  <si>
    <t xml:space="preserve">CUST267   </t>
  </si>
  <si>
    <t>cust356</t>
  </si>
  <si>
    <t xml:space="preserve">CUST331 </t>
  </si>
  <si>
    <t>cust357</t>
  </si>
  <si>
    <t xml:space="preserve">  CUST035</t>
  </si>
  <si>
    <t>Cust253</t>
  </si>
  <si>
    <t>Cust359</t>
  </si>
  <si>
    <t xml:space="preserve">CUST361 </t>
  </si>
  <si>
    <t xml:space="preserve">CUST022 </t>
  </si>
  <si>
    <t xml:space="preserve">CUST362  </t>
  </si>
  <si>
    <t>cust065</t>
  </si>
  <si>
    <t xml:space="preserve">CUST090   </t>
  </si>
  <si>
    <t>Cust363</t>
  </si>
  <si>
    <t>CUST-285</t>
  </si>
  <si>
    <t xml:space="preserve"> cust227</t>
  </si>
  <si>
    <t xml:space="preserve">CUST241 </t>
  </si>
  <si>
    <t xml:space="preserve">  CUST364</t>
  </si>
  <si>
    <t xml:space="preserve">CUST365   </t>
  </si>
  <si>
    <t>Cust366</t>
  </si>
  <si>
    <t xml:space="preserve">CUST320   </t>
  </si>
  <si>
    <t xml:space="preserve">  CUST131</t>
  </si>
  <si>
    <t xml:space="preserve">CUST367   </t>
  </si>
  <si>
    <t xml:space="preserve">CUST045   </t>
  </si>
  <si>
    <t xml:space="preserve">CUST368  </t>
  </si>
  <si>
    <t>cust087</t>
  </si>
  <si>
    <t xml:space="preserve">  CUST370</t>
  </si>
  <si>
    <t>CUST-321</t>
  </si>
  <si>
    <t>Cust371</t>
  </si>
  <si>
    <t xml:space="preserve"> cust372</t>
  </si>
  <si>
    <t xml:space="preserve">CUST373   </t>
  </si>
  <si>
    <t xml:space="preserve">CUST054   </t>
  </si>
  <si>
    <t xml:space="preserve">CUST374  </t>
  </si>
  <si>
    <t xml:space="preserve"> cust375</t>
  </si>
  <si>
    <t xml:space="preserve">CUST370 </t>
  </si>
  <si>
    <t xml:space="preserve"> cust373</t>
  </si>
  <si>
    <t>cust355</t>
  </si>
  <si>
    <t xml:space="preserve">CUST268   </t>
  </si>
  <si>
    <t xml:space="preserve">CUST256   </t>
  </si>
  <si>
    <t>cust275</t>
  </si>
  <si>
    <t>cust376</t>
  </si>
  <si>
    <t>cust377</t>
  </si>
  <si>
    <t xml:space="preserve">CUST378  </t>
  </si>
  <si>
    <t xml:space="preserve">CUST116  </t>
  </si>
  <si>
    <t xml:space="preserve">CUST379  </t>
  </si>
  <si>
    <t xml:space="preserve"> cust332</t>
  </si>
  <si>
    <t xml:space="preserve"> cust380</t>
  </si>
  <si>
    <t>Cust164</t>
  </si>
  <si>
    <t>cust381</t>
  </si>
  <si>
    <t xml:space="preserve"> cust121</t>
  </si>
  <si>
    <t xml:space="preserve">CUST326 </t>
  </si>
  <si>
    <t xml:space="preserve">CUST075  </t>
  </si>
  <si>
    <t xml:space="preserve">  CUST082</t>
  </si>
  <si>
    <t>CUST-382</t>
  </si>
  <si>
    <t xml:space="preserve">CUST383 </t>
  </si>
  <si>
    <t xml:space="preserve">CUST262 </t>
  </si>
  <si>
    <t xml:space="preserve">  CUST020</t>
  </si>
  <si>
    <t xml:space="preserve"> cust233</t>
  </si>
  <si>
    <t xml:space="preserve"> cust309</t>
  </si>
  <si>
    <t xml:space="preserve">CUST384 </t>
  </si>
  <si>
    <t>cust385</t>
  </si>
  <si>
    <t xml:space="preserve">CUST332  </t>
  </si>
  <si>
    <t xml:space="preserve"> cust386</t>
  </si>
  <si>
    <t xml:space="preserve">CUST171 </t>
  </si>
  <si>
    <t xml:space="preserve">CUST078   </t>
  </si>
  <si>
    <t xml:space="preserve">CUST008 </t>
  </si>
  <si>
    <t xml:space="preserve"> cust231</t>
  </si>
  <si>
    <t xml:space="preserve"> cust314</t>
  </si>
  <si>
    <t xml:space="preserve"> cust283</t>
  </si>
  <si>
    <t>cust387</t>
  </si>
  <si>
    <t xml:space="preserve">CUST388   </t>
  </si>
  <si>
    <t xml:space="preserve">CUST295  </t>
  </si>
  <si>
    <t xml:space="preserve">CUST389 </t>
  </si>
  <si>
    <t>cust033</t>
  </si>
  <si>
    <t xml:space="preserve"> cust390</t>
  </si>
  <si>
    <t xml:space="preserve">CUST391 </t>
  </si>
  <si>
    <t xml:space="preserve"> cust392</t>
  </si>
  <si>
    <t>cust393</t>
  </si>
  <si>
    <t xml:space="preserve"> cust089</t>
  </si>
  <si>
    <t>Cust394</t>
  </si>
  <si>
    <t xml:space="preserve">CUST106  </t>
  </si>
  <si>
    <t xml:space="preserve">CUST395  </t>
  </si>
  <si>
    <t>cust396</t>
  </si>
  <si>
    <t xml:space="preserve">  CUST143</t>
  </si>
  <si>
    <t xml:space="preserve">CUST355   </t>
  </si>
  <si>
    <t xml:space="preserve">CUST398 </t>
  </si>
  <si>
    <t>CUST-399</t>
  </si>
  <si>
    <t xml:space="preserve">  CUST400</t>
  </si>
  <si>
    <t xml:space="preserve">CUST386   </t>
  </si>
  <si>
    <t xml:space="preserve">CUST234 </t>
  </si>
  <si>
    <t>cust368</t>
  </si>
  <si>
    <t>CUST-140</t>
  </si>
  <si>
    <t xml:space="preserve">CUST371  </t>
  </si>
  <si>
    <t xml:space="preserve"> cust401</t>
  </si>
  <si>
    <t>Cust309</t>
  </si>
  <si>
    <t xml:space="preserve">  CUST403</t>
  </si>
  <si>
    <t xml:space="preserve"> cust404</t>
  </si>
  <si>
    <t xml:space="preserve"> cust252</t>
  </si>
  <si>
    <t xml:space="preserve">CUST251 </t>
  </si>
  <si>
    <t>Cust274</t>
  </si>
  <si>
    <t>CUST-092</t>
  </si>
  <si>
    <t>Cust069</t>
  </si>
  <si>
    <t>CUST-405</t>
  </si>
  <si>
    <t>CUST-407</t>
  </si>
  <si>
    <t>CUST-099</t>
  </si>
  <si>
    <t>Cust135</t>
  </si>
  <si>
    <t>cust408</t>
  </si>
  <si>
    <t xml:space="preserve">CUST409  </t>
  </si>
  <si>
    <t xml:space="preserve">CUST303 </t>
  </si>
  <si>
    <t>CUST-411</t>
  </si>
  <si>
    <t>cust412</t>
  </si>
  <si>
    <t>Cust413</t>
  </si>
  <si>
    <t>Cust212</t>
  </si>
  <si>
    <t>cust327</t>
  </si>
  <si>
    <t>CUST-266</t>
  </si>
  <si>
    <t xml:space="preserve">CUST054 </t>
  </si>
  <si>
    <t>cust414</t>
  </si>
  <si>
    <t xml:space="preserve">CUST024 </t>
  </si>
  <si>
    <t xml:space="preserve">CUST415  </t>
  </si>
  <si>
    <t xml:space="preserve">CUST063 </t>
  </si>
  <si>
    <t>Cust219</t>
  </si>
  <si>
    <t>CUST-143</t>
  </si>
  <si>
    <t xml:space="preserve">CUST377  </t>
  </si>
  <si>
    <t>CUST-416</t>
  </si>
  <si>
    <t>Cust160</t>
  </si>
  <si>
    <t xml:space="preserve">CUST243   </t>
  </si>
  <si>
    <t xml:space="preserve">CUST285   </t>
  </si>
  <si>
    <t xml:space="preserve">CUST418  </t>
  </si>
  <si>
    <t>cust173</t>
  </si>
  <si>
    <t>Cust112</t>
  </si>
  <si>
    <t xml:space="preserve"> cust329</t>
  </si>
  <si>
    <t xml:space="preserve">CUST419 </t>
  </si>
  <si>
    <t xml:space="preserve"> cust420</t>
  </si>
  <si>
    <t xml:space="preserve">CUST348   </t>
  </si>
  <si>
    <t xml:space="preserve">  CUST421</t>
  </si>
  <si>
    <t xml:space="preserve">  CUST407</t>
  </si>
  <si>
    <t xml:space="preserve"> cust422</t>
  </si>
  <si>
    <t>Cust109</t>
  </si>
  <si>
    <t xml:space="preserve">CUST236 </t>
  </si>
  <si>
    <t xml:space="preserve">CUST424 </t>
  </si>
  <si>
    <t xml:space="preserve">CUST215 </t>
  </si>
  <si>
    <t xml:space="preserve">CUST356 </t>
  </si>
  <si>
    <t>Cust425</t>
  </si>
  <si>
    <t xml:space="preserve">CUST426  </t>
  </si>
  <si>
    <t xml:space="preserve">CUST427 </t>
  </si>
  <si>
    <t xml:space="preserve"> cust263</t>
  </si>
  <si>
    <t xml:space="preserve">CUST025   </t>
  </si>
  <si>
    <t xml:space="preserve">  CUST411</t>
  </si>
  <si>
    <t xml:space="preserve">  CUST397</t>
  </si>
  <si>
    <t>cust428</t>
  </si>
  <si>
    <t xml:space="preserve">CUST197  </t>
  </si>
  <si>
    <t xml:space="preserve">CUST142   </t>
  </si>
  <si>
    <t xml:space="preserve"> cust374</t>
  </si>
  <si>
    <t xml:space="preserve">CUST039   </t>
  </si>
  <si>
    <t xml:space="preserve">CUST063  </t>
  </si>
  <si>
    <t>CUST-429</t>
  </si>
  <si>
    <t xml:space="preserve"> cust292</t>
  </si>
  <si>
    <t xml:space="preserve">  CUST119</t>
  </si>
  <si>
    <t xml:space="preserve">CUST430   </t>
  </si>
  <si>
    <t xml:space="preserve">CUST066  </t>
  </si>
  <si>
    <t xml:space="preserve">CUST431  </t>
  </si>
  <si>
    <t>cust432</t>
  </si>
  <si>
    <t xml:space="preserve">  CUST095</t>
  </si>
  <si>
    <t>CUST-221</t>
  </si>
  <si>
    <t xml:space="preserve">CUST433   </t>
  </si>
  <si>
    <t>cust434</t>
  </si>
  <si>
    <t>CUST-435</t>
  </si>
  <si>
    <t xml:space="preserve">CUST436  </t>
  </si>
  <si>
    <t>CUST-311</t>
  </si>
  <si>
    <t xml:space="preserve">CUST346 </t>
  </si>
  <si>
    <t xml:space="preserve">CUST375  </t>
  </si>
  <si>
    <t>Cust424</t>
  </si>
  <si>
    <t>Cust356</t>
  </si>
  <si>
    <t>Cust322</t>
  </si>
  <si>
    <t xml:space="preserve">CUST067   </t>
  </si>
  <si>
    <t xml:space="preserve">CUST188  </t>
  </si>
  <si>
    <t>Cust437</t>
  </si>
  <si>
    <t xml:space="preserve">CUST390 </t>
  </si>
  <si>
    <t>CUST-400</t>
  </si>
  <si>
    <t xml:space="preserve">CUST217 </t>
  </si>
  <si>
    <t>CUST-438</t>
  </si>
  <si>
    <t xml:space="preserve">  CUST433</t>
  </si>
  <si>
    <t xml:space="preserve">CUST273   </t>
  </si>
  <si>
    <t xml:space="preserve">CUST182   </t>
  </si>
  <si>
    <t xml:space="preserve">CUST307  </t>
  </si>
  <si>
    <t>cust439</t>
  </si>
  <si>
    <t xml:space="preserve">CUST140 </t>
  </si>
  <si>
    <t xml:space="preserve">CUST078  </t>
  </si>
  <si>
    <t>Cust440</t>
  </si>
  <si>
    <t>Cust441</t>
  </si>
  <si>
    <t xml:space="preserve"> cust405</t>
  </si>
  <si>
    <t>Cust259</t>
  </si>
  <si>
    <t xml:space="preserve">CUST442 </t>
  </si>
  <si>
    <t>Cust057</t>
  </si>
  <si>
    <t xml:space="preserve"> cust351</t>
  </si>
  <si>
    <t xml:space="preserve"> cust445</t>
  </si>
  <si>
    <t>cust447</t>
  </si>
  <si>
    <t>Cust448</t>
  </si>
  <si>
    <t xml:space="preserve">CUST027   </t>
  </si>
  <si>
    <t xml:space="preserve"> cust218</t>
  </si>
  <si>
    <t xml:space="preserve"> cust082</t>
  </si>
  <si>
    <t xml:space="preserve">CUST222  </t>
  </si>
  <si>
    <t>cust210</t>
  </si>
  <si>
    <t xml:space="preserve">CUST239  </t>
  </si>
  <si>
    <t xml:space="preserve">  CUST449</t>
  </si>
  <si>
    <t xml:space="preserve">  CUST284</t>
  </si>
  <si>
    <t xml:space="preserve">CUST049   </t>
  </si>
  <si>
    <t>cust410</t>
  </si>
  <si>
    <t>cust450</t>
  </si>
  <si>
    <t xml:space="preserve">CUST451   </t>
  </si>
  <si>
    <t xml:space="preserve">  CUST453</t>
  </si>
  <si>
    <t xml:space="preserve">CUST291 </t>
  </si>
  <si>
    <t xml:space="preserve">  CUST314</t>
  </si>
  <si>
    <t xml:space="preserve">CUST056 </t>
  </si>
  <si>
    <t xml:space="preserve">CUST454   </t>
  </si>
  <si>
    <t>Cust269</t>
  </si>
  <si>
    <t>cust455</t>
  </si>
  <si>
    <t>cust371</t>
  </si>
  <si>
    <t>cust456</t>
  </si>
  <si>
    <t xml:space="preserve">CUST113 </t>
  </si>
  <si>
    <t xml:space="preserve">CUST048   </t>
  </si>
  <si>
    <t xml:space="preserve">CUST457  </t>
  </si>
  <si>
    <t xml:space="preserve">CUST458 </t>
  </si>
  <si>
    <t xml:space="preserve">CUST279  </t>
  </si>
  <si>
    <t xml:space="preserve">CUST428   </t>
  </si>
  <si>
    <t xml:space="preserve">CUST186 </t>
  </si>
  <si>
    <t xml:space="preserve"> cust459</t>
  </si>
  <si>
    <t xml:space="preserve">CUST257 </t>
  </si>
  <si>
    <t>CUST-101</t>
  </si>
  <si>
    <t xml:space="preserve">CUST098  </t>
  </si>
  <si>
    <t xml:space="preserve"> cust183</t>
  </si>
  <si>
    <t xml:space="preserve">CUST460   </t>
  </si>
  <si>
    <t xml:space="preserve">CUST216  </t>
  </si>
  <si>
    <t xml:space="preserve">CUST263   </t>
  </si>
  <si>
    <t>Cust242</t>
  </si>
  <si>
    <t xml:space="preserve">CUST358 </t>
  </si>
  <si>
    <t xml:space="preserve">CUST462  </t>
  </si>
  <si>
    <t xml:space="preserve"> cust136</t>
  </si>
  <si>
    <t>Cust074</t>
  </si>
  <si>
    <t>cust192</t>
  </si>
  <si>
    <t xml:space="preserve">CUST007 </t>
  </si>
  <si>
    <t xml:space="preserve">CUST463  </t>
  </si>
  <si>
    <t>Cust021</t>
  </si>
  <si>
    <t>CUST-068</t>
  </si>
  <si>
    <t xml:space="preserve">CUST246  </t>
  </si>
  <si>
    <t xml:space="preserve"> cust215</t>
  </si>
  <si>
    <t>CUST-447</t>
  </si>
  <si>
    <t>Cust464</t>
  </si>
  <si>
    <t>CUST-031</t>
  </si>
  <si>
    <t>Cust465</t>
  </si>
  <si>
    <t xml:space="preserve">CUST466  </t>
  </si>
  <si>
    <t xml:space="preserve">CUST450 </t>
  </si>
  <si>
    <t xml:space="preserve">CUST434   </t>
  </si>
  <si>
    <t xml:space="preserve"> cust219</t>
  </si>
  <si>
    <t xml:space="preserve">CUST046 </t>
  </si>
  <si>
    <t xml:space="preserve">CUST468  </t>
  </si>
  <si>
    <t xml:space="preserve">CUST396  </t>
  </si>
  <si>
    <t xml:space="preserve"> cust255</t>
  </si>
  <si>
    <t xml:space="preserve">CUST021  </t>
  </si>
  <si>
    <t xml:space="preserve">CUST469 </t>
  </si>
  <si>
    <t xml:space="preserve">CUST306 </t>
  </si>
  <si>
    <t xml:space="preserve"> cust470</t>
  </si>
  <si>
    <t xml:space="preserve">  CUST090</t>
  </si>
  <si>
    <t xml:space="preserve"> cust352</t>
  </si>
  <si>
    <t>Cust275</t>
  </si>
  <si>
    <t xml:space="preserve">  CUST384</t>
  </si>
  <si>
    <t>Cust125</t>
  </si>
  <si>
    <t xml:space="preserve">CUST219  </t>
  </si>
  <si>
    <t xml:space="preserve">  CUST030</t>
  </si>
  <si>
    <t>Cust323</t>
  </si>
  <si>
    <t xml:space="preserve">  CUST401</t>
  </si>
  <si>
    <t xml:space="preserve"> cust472</t>
  </si>
  <si>
    <t>CUST-017</t>
  </si>
  <si>
    <t>cust289</t>
  </si>
  <si>
    <t>cust473</t>
  </si>
  <si>
    <t xml:space="preserve">  CUST454</t>
  </si>
  <si>
    <t>CUST-128</t>
  </si>
  <si>
    <t xml:space="preserve">CUST012  </t>
  </si>
  <si>
    <t xml:space="preserve">CUST181   </t>
  </si>
  <si>
    <t xml:space="preserve"> cust249</t>
  </si>
  <si>
    <t xml:space="preserve">CUST467 </t>
  </si>
  <si>
    <t>Cust234</t>
  </si>
  <si>
    <t>CUST-450</t>
  </si>
  <si>
    <t>CUST-357</t>
  </si>
  <si>
    <t xml:space="preserve">  CUST166</t>
  </si>
  <si>
    <t>cust030</t>
  </si>
  <si>
    <t xml:space="preserve">CUST474 </t>
  </si>
  <si>
    <t>cust475</t>
  </si>
  <si>
    <t>CUST-023</t>
  </si>
  <si>
    <t>Cust115</t>
  </si>
  <si>
    <t>cust070</t>
  </si>
  <si>
    <t xml:space="preserve">CUST476   </t>
  </si>
  <si>
    <t xml:space="preserve">CUST344  </t>
  </si>
  <si>
    <t>CUST-477</t>
  </si>
  <si>
    <t xml:space="preserve">CUST021 </t>
  </si>
  <si>
    <t>Cust478</t>
  </si>
  <si>
    <t>cust389</t>
  </si>
  <si>
    <t xml:space="preserve"> cust480</t>
  </si>
  <si>
    <t xml:space="preserve">CUST481  </t>
  </si>
  <si>
    <t>CUST-463</t>
  </si>
  <si>
    <t xml:space="preserve">CUST261   </t>
  </si>
  <si>
    <t xml:space="preserve"> cust284</t>
  </si>
  <si>
    <t xml:space="preserve">CUST358  </t>
  </si>
  <si>
    <t>CUST-093</t>
  </si>
  <si>
    <t>CUST-482</t>
  </si>
  <si>
    <t xml:space="preserve"> cust177</t>
  </si>
  <si>
    <t>Cust023</t>
  </si>
  <si>
    <t xml:space="preserve">CUST050  </t>
  </si>
  <si>
    <t>Cust288</t>
  </si>
  <si>
    <t>Cust454</t>
  </si>
  <si>
    <t xml:space="preserve"> cust483</t>
  </si>
  <si>
    <t xml:space="preserve">CUST422 </t>
  </si>
  <si>
    <t xml:space="preserve">CUST484  </t>
  </si>
  <si>
    <t>cust485</t>
  </si>
  <si>
    <t>CUST-339</t>
  </si>
  <si>
    <t>CUST-075</t>
  </si>
  <si>
    <t>CUST-174</t>
  </si>
  <si>
    <t xml:space="preserve">CUST052 </t>
  </si>
  <si>
    <t xml:space="preserve">CUST135 </t>
  </si>
  <si>
    <t xml:space="preserve">CUST486  </t>
  </si>
  <si>
    <t>cust095</t>
  </si>
  <si>
    <t xml:space="preserve">CUST028 </t>
  </si>
  <si>
    <t>Cust171</t>
  </si>
  <si>
    <t xml:space="preserve"> cust281</t>
  </si>
  <si>
    <t xml:space="preserve">  CUST487</t>
  </si>
  <si>
    <t xml:space="preserve"> cust052</t>
  </si>
  <si>
    <t xml:space="preserve">  CUST320</t>
  </si>
  <si>
    <t xml:space="preserve">  CUST280</t>
  </si>
  <si>
    <t xml:space="preserve">CUST265  </t>
  </si>
  <si>
    <t>CUST-058</t>
  </si>
  <si>
    <t>CUST-046</t>
  </si>
  <si>
    <t xml:space="preserve"> cust147</t>
  </si>
  <si>
    <t>cust460</t>
  </si>
  <si>
    <t xml:space="preserve">CUST027  </t>
  </si>
  <si>
    <t>Cust165</t>
  </si>
  <si>
    <t xml:space="preserve">  CUST063</t>
  </si>
  <si>
    <t xml:space="preserve">CUST488  </t>
  </si>
  <si>
    <t>Cust489</t>
  </si>
  <si>
    <t>cust490</t>
  </si>
  <si>
    <t xml:space="preserve"> cust087</t>
  </si>
  <si>
    <t xml:space="preserve">CUST491   </t>
  </si>
  <si>
    <t>CUST-465</t>
  </si>
  <si>
    <t xml:space="preserve">  CUST261</t>
  </si>
  <si>
    <t>Cust492</t>
  </si>
  <si>
    <t>cust493</t>
  </si>
  <si>
    <t>cust494</t>
  </si>
  <si>
    <t xml:space="preserve">CUST495 </t>
  </si>
  <si>
    <t>cust464</t>
  </si>
  <si>
    <t xml:space="preserve">CUST490  </t>
  </si>
  <si>
    <t>cust341</t>
  </si>
  <si>
    <t>Cust063</t>
  </si>
  <si>
    <t xml:space="preserve"> cust426</t>
  </si>
  <si>
    <t xml:space="preserve"> cust009</t>
  </si>
  <si>
    <t xml:space="preserve">  CUST180</t>
  </si>
  <si>
    <t xml:space="preserve">CUST273  </t>
  </si>
  <si>
    <t xml:space="preserve">  CUST330</t>
  </si>
  <si>
    <t>Cust248</t>
  </si>
  <si>
    <t xml:space="preserve"> cust193</t>
  </si>
  <si>
    <t xml:space="preserve">CUST237  </t>
  </si>
  <si>
    <t xml:space="preserve">CUST331   </t>
  </si>
  <si>
    <t>cust487</t>
  </si>
  <si>
    <t xml:space="preserve">CUST153 </t>
  </si>
  <si>
    <t xml:space="preserve">CUST149 </t>
  </si>
  <si>
    <t>CUST-030</t>
  </si>
  <si>
    <t xml:space="preserve">CUST270 </t>
  </si>
  <si>
    <t xml:space="preserve">CUST309 </t>
  </si>
  <si>
    <t xml:space="preserve">CUST147  </t>
  </si>
  <si>
    <t xml:space="preserve">CUST090  </t>
  </si>
  <si>
    <t xml:space="preserve">  CUST167</t>
  </si>
  <si>
    <t xml:space="preserve">CUST077  </t>
  </si>
  <si>
    <t xml:space="preserve">  CUST203</t>
  </si>
  <si>
    <t xml:space="preserve">CUST027 </t>
  </si>
  <si>
    <t>CUST-496</t>
  </si>
  <si>
    <t>Cust189</t>
  </si>
  <si>
    <t xml:space="preserve">CUST012 </t>
  </si>
  <si>
    <t xml:space="preserve">CUST472  </t>
  </si>
  <si>
    <t xml:space="preserve">CUST497   </t>
  </si>
  <si>
    <t xml:space="preserve">CUST342   </t>
  </si>
  <si>
    <t>cust032</t>
  </si>
  <si>
    <t xml:space="preserve"> cust498</t>
  </si>
  <si>
    <t>cust299</t>
  </si>
  <si>
    <t xml:space="preserve"> cust435</t>
  </si>
  <si>
    <t xml:space="preserve"> cust491</t>
  </si>
  <si>
    <t>CUST-366</t>
  </si>
  <si>
    <t xml:space="preserve">CUST125 </t>
  </si>
  <si>
    <t xml:space="preserve">CUST432  </t>
  </si>
  <si>
    <t>cust500</t>
  </si>
  <si>
    <t xml:space="preserve">CUST390  </t>
  </si>
  <si>
    <t>Date_Format_Check</t>
  </si>
  <si>
    <t>Date_Parse_as_MMDDYYYY</t>
  </si>
  <si>
    <t>Date_Parse_Month_Name_FINAL</t>
  </si>
  <si>
    <t>Customer_ID_Check_No_Dash_Format</t>
  </si>
  <si>
    <t>Customer_ID_Dash_Removed_Uppercased_FINAL</t>
  </si>
  <si>
    <t>Transaction_ID_Whitespace_Removed_FINAL</t>
  </si>
  <si>
    <t>Date_Whitespace_Removed</t>
  </si>
  <si>
    <t>Customer_ID_Whitespace_Removed</t>
  </si>
  <si>
    <t>Gender_Whitespace_Removed</t>
  </si>
  <si>
    <t>Gender_Abbreviation_Expanded</t>
  </si>
  <si>
    <t>Gender_Capitalization_Standardized_FINAL</t>
  </si>
  <si>
    <t>Age_Whitespace_Removed</t>
  </si>
  <si>
    <t>Age_Decimal_Separator_Fixed_Rounded_FINAL</t>
  </si>
  <si>
    <t>Product_Category_Whitespace_Removed</t>
  </si>
  <si>
    <t>Product_Category_Capitalization_Standardized_FINAL</t>
  </si>
  <si>
    <t>Quantity_Converted_To_Integer</t>
  </si>
  <si>
    <t>Price_Per_Unit_Whitespace_Removed</t>
  </si>
  <si>
    <t>Price_Per_Unit_Dollar_Sign_Removed</t>
  </si>
  <si>
    <t>Price_Per_Unit_Decimal_Separator_Fixed</t>
  </si>
  <si>
    <t>Total_Amount_Whitespace_Removed</t>
  </si>
  <si>
    <t>Total_Amount_Converted_To_Integer</t>
  </si>
  <si>
    <t>Quantity_Repopulate_Missing_Values_With_Calculation_FINAL</t>
  </si>
  <si>
    <t>Price_Per_Unit_Repopulate_Missing_Values_With_Calculation_FINAL</t>
  </si>
  <si>
    <t>Total_Amount_Repopulate_Missing_Values_With_Calculation_FINAL</t>
  </si>
  <si>
    <t>Price Per Unit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</si>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</sst>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4" formatCode="_-[$$-409]* #,##0_ ;_-[$$-409]* \-#,##0\ ;_-[$$-409]* &quot;-&quot;??_ ;_-@_ 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80C68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3" borderId="0" xfId="0" applyFill="1"/>
    <xf numFmtId="14" fontId="0" fillId="4" borderId="0" xfId="0" applyNumberFormat="1" applyFill="1"/>
    <xf numFmtId="0" fontId="0" fillId="4" borderId="0" xfId="0" applyFill="1"/>
    <xf numFmtId="164" fontId="0" fillId="0" borderId="0" xfId="1" applyNumberFormat="1" applyFont="1"/>
    <xf numFmtId="164" fontId="0" fillId="4" borderId="0" xfId="1" applyNumberFormat="1" applyFont="1" applyFill="1"/>
    <xf numFmtId="164" fontId="0" fillId="4" borderId="0" xfId="0" applyNumberFormat="1" applyFill="1"/>
  </cellXfs>
  <cellStyles count="2">
    <cellStyle name="Currency" xfId="1" builtinId="4"/>
    <cellStyle name="Normal" xfId="0" builtinId="0"/>
  </cellStyles>
  <dxfs count="34">
    <dxf>
      <numFmt numFmtId="164" formatCode="_-[$$-409]* #,##0_ ;_-[$$-409]* \-#,##0\ ;_-[$$-409]* &quot;-&quot;??_ ;_-@_ "/>
      <fill>
        <patternFill patternType="solid">
          <fgColor indexed="64"/>
          <bgColor rgb="FF80C684"/>
        </patternFill>
      </fill>
    </dxf>
    <dxf>
      <numFmt numFmtId="0" formatCode="General"/>
      <fill>
        <patternFill patternType="solid">
          <fgColor indexed="64"/>
          <bgColor theme="0" tint="-0.249977111117893"/>
        </patternFill>
      </fill>
    </dxf>
    <dxf>
      <numFmt numFmtId="0" formatCode="General"/>
      <fill>
        <patternFill patternType="solid">
          <fgColor indexed="64"/>
          <bgColor theme="0" tint="-0.249977111117893"/>
        </patternFill>
      </fill>
    </dxf>
    <dxf>
      <numFmt numFmtId="164" formatCode="_-[$$-409]* #,##0_ ;_-[$$-409]* \-#,##0\ ;_-[$$-409]* &quot;-&quot;??_ ;_-@_ "/>
      <fill>
        <patternFill patternType="solid">
          <fgColor indexed="64"/>
          <bgColor rgb="FF80C684"/>
        </patternFill>
      </fill>
    </dxf>
    <dxf>
      <numFmt numFmtId="0" formatCode="General"/>
      <fill>
        <patternFill patternType="solid">
          <fgColor indexed="64"/>
          <bgColor theme="0" tint="-0.249977111117893"/>
        </patternFill>
      </fill>
    </dxf>
    <dxf>
      <numFmt numFmtId="0" formatCode="General"/>
      <fill>
        <patternFill patternType="solid">
          <fgColor indexed="64"/>
          <bgColor theme="0" tint="-0.249977111117893"/>
        </patternFill>
      </fill>
    </dxf>
    <dxf>
      <numFmt numFmtId="0" formatCode="General"/>
      <fill>
        <patternFill patternType="solid">
          <fgColor indexed="64"/>
          <bgColor theme="0" tint="-0.249977111117893"/>
        </patternFill>
      </fill>
    </dxf>
    <dxf>
      <numFmt numFmtId="0" formatCode="General"/>
      <fill>
        <patternFill patternType="solid">
          <fgColor indexed="64"/>
          <bgColor rgb="FF80C684"/>
        </patternFill>
      </fill>
    </dxf>
    <dxf>
      <numFmt numFmtId="0" formatCode="General"/>
      <fill>
        <patternFill patternType="solid">
          <fgColor indexed="64"/>
          <bgColor theme="0" tint="-0.249977111117893"/>
        </patternFill>
      </fill>
    </dxf>
    <dxf>
      <numFmt numFmtId="0" formatCode="General"/>
      <fill>
        <patternFill patternType="solid">
          <fgColor indexed="64"/>
          <bgColor theme="0" tint="-0.249977111117893"/>
        </patternFill>
      </fill>
    </dxf>
    <dxf>
      <numFmt numFmtId="0" formatCode="General"/>
      <fill>
        <patternFill patternType="solid">
          <fgColor indexed="64"/>
          <bgColor rgb="FF80C684"/>
        </patternFill>
      </fill>
    </dxf>
    <dxf>
      <numFmt numFmtId="0" formatCode="General"/>
      <fill>
        <patternFill patternType="solid">
          <fgColor indexed="64"/>
          <bgColor theme="0" tint="-0.249977111117893"/>
        </patternFill>
      </fill>
    </dxf>
    <dxf>
      <numFmt numFmtId="0" formatCode="General"/>
      <fill>
        <patternFill patternType="solid">
          <fgColor indexed="64"/>
          <bgColor rgb="FF80C684"/>
        </patternFill>
      </fill>
    </dxf>
    <dxf>
      <numFmt numFmtId="0" formatCode="General"/>
      <fill>
        <patternFill patternType="solid">
          <fgColor indexed="64"/>
          <bgColor theme="0" tint="-0.249977111117893"/>
        </patternFill>
      </fill>
    </dxf>
    <dxf>
      <numFmt numFmtId="0" formatCode="General"/>
      <fill>
        <patternFill patternType="solid">
          <fgColor indexed="64"/>
          <bgColor rgb="FF80C684"/>
        </patternFill>
      </fill>
    </dxf>
    <dxf>
      <numFmt numFmtId="0" formatCode="General"/>
      <fill>
        <patternFill patternType="solid">
          <fgColor indexed="64"/>
          <bgColor theme="0" tint="-0.34998626667073579"/>
        </patternFill>
      </fill>
    </dxf>
    <dxf>
      <numFmt numFmtId="0" formatCode="General"/>
      <fill>
        <patternFill patternType="solid">
          <fgColor indexed="64"/>
          <bgColor theme="0" tint="-0.34998626667073579"/>
        </patternFill>
      </fill>
    </dxf>
    <dxf>
      <numFmt numFmtId="0" formatCode="General"/>
      <fill>
        <patternFill patternType="solid">
          <fgColor indexed="64"/>
          <bgColor rgb="FF80C684"/>
        </patternFill>
      </fill>
    </dxf>
    <dxf>
      <numFmt numFmtId="0" formatCode="General"/>
      <fill>
        <patternFill patternType="solid">
          <fgColor indexed="64"/>
          <bgColor theme="0" tint="-0.249977111117893"/>
        </patternFill>
      </fill>
    </dxf>
    <dxf>
      <numFmt numFmtId="0" formatCode="General"/>
      <fill>
        <patternFill patternType="solid">
          <fgColor indexed="64"/>
          <bgColor theme="0" tint="-0.249977111117893"/>
        </patternFill>
      </fill>
    </dxf>
    <dxf>
      <numFmt numFmtId="19" formatCode="dd/mm/yyyy"/>
      <fill>
        <patternFill patternType="solid">
          <fgColor indexed="64"/>
          <bgColor rgb="FF80C684"/>
        </patternFill>
      </fill>
    </dxf>
    <dxf>
      <numFmt numFmtId="19" formatCode="dd/mm/yyyy"/>
      <fill>
        <patternFill patternType="solid">
          <fgColor indexed="64"/>
          <bgColor theme="0" tint="-0.249977111117893"/>
        </patternFill>
      </fill>
    </dxf>
    <dxf>
      <numFmt numFmtId="19" formatCode="dd/mm/yyyy"/>
      <fill>
        <patternFill patternType="solid">
          <fgColor indexed="64"/>
          <bgColor theme="0" tint="-0.249977111117893"/>
        </patternFill>
      </fill>
    </dxf>
    <dxf>
      <numFmt numFmtId="0" formatCode="General"/>
      <fill>
        <patternFill patternType="solid">
          <fgColor indexed="64"/>
          <bgColor theme="0" tint="-0.249977111117893"/>
        </patternFill>
      </fill>
    </dxf>
    <dxf>
      <numFmt numFmtId="0" formatCode="General"/>
      <fill>
        <patternFill patternType="solid">
          <fgColor indexed="64"/>
          <bgColor rgb="FF80C684"/>
        </patternFill>
      </fill>
    </dxf>
    <dxf>
      <numFmt numFmtId="164" formatCode="_-[$$-409]* #,##0_ ;_-[$$-409]* \-#,##0\ ;_-[$$-409]* &quot;-&quot;??_ ;_-@_ "/>
    </dxf>
    <dxf>
      <numFmt numFmtId="164" formatCode="_-[$$-409]* #,##0_ ;_-[$$-409]* \-#,##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colors>
    <mruColors>
      <color rgb="FF80C684"/>
      <color rgb="FFE2EFDA"/>
      <color rgb="FF5CB85C"/>
      <color rgb="FF4CAE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70E50F1-4116-40A4-BCD8-665EF77EC2F6}" autoFormatId="16" applyNumberFormats="0" applyBorderFormats="0" applyFontFormats="0" applyPatternFormats="0" applyAlignmentFormats="0" applyWidthHeightFormats="0">
  <queryTableRefresh nextId="10">
    <queryTableFields count="9">
      <queryTableField id="1" name="Transaction ID" tableColumnId="1"/>
      <queryTableField id="2" name="Date" tableColumnId="2"/>
      <queryTableField id="3" name="Customer ID" tableColumnId="3"/>
      <queryTableField id="4" name="Gender" tableColumnId="4"/>
      <queryTableField id="5" name="Age" tableColumnId="5"/>
      <queryTableField id="6" name="Product Category" tableColumnId="6"/>
      <queryTableField id="7" name="Quantity" tableColumnId="7"/>
      <queryTableField id="8" name="Price per Unit" tableColumnId="8"/>
      <queryTableField id="9" name="Total Amount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6C79FFC-22BB-4062-A6E0-B82310A399A7}" autoFormatId="16" applyNumberFormats="0" applyBorderFormats="0" applyFontFormats="0" applyPatternFormats="0" applyAlignmentFormats="0" applyWidthHeightFormats="0">
  <queryTableRefresh nextId="42" unboundColumnsRight="3">
    <queryTableFields count="34">
      <queryTableField id="1" name="Transaction ID" tableColumnId="1"/>
      <queryTableField id="41" dataBound="0" tableColumnId="12"/>
      <queryTableField id="2" name="Date" tableColumnId="2"/>
      <queryTableField id="19" dataBound="0" tableColumnId="22"/>
      <queryTableField id="10" dataBound="0" tableColumnId="10"/>
      <queryTableField id="11" dataBound="0" tableColumnId="11"/>
      <queryTableField id="13" dataBound="0" tableColumnId="14"/>
      <queryTableField id="3" name="Customer ID" tableColumnId="3"/>
      <queryTableField id="20" dataBound="0" tableColumnId="23"/>
      <queryTableField id="17" dataBound="0" tableColumnId="19"/>
      <queryTableField id="18" dataBound="0" tableColumnId="20"/>
      <queryTableField id="4" name="Gender" tableColumnId="4"/>
      <queryTableField id="23" dataBound="0" tableColumnId="26"/>
      <queryTableField id="22" dataBound="0" tableColumnId="25"/>
      <queryTableField id="24" dataBound="0" tableColumnId="27"/>
      <queryTableField id="5" name="Age" tableColumnId="5"/>
      <queryTableField id="25" dataBound="0" tableColumnId="28"/>
      <queryTableField id="27" dataBound="0" tableColumnId="30"/>
      <queryTableField id="6" name="Product Category" tableColumnId="6"/>
      <queryTableField id="28" dataBound="0" tableColumnId="31"/>
      <queryTableField id="29" dataBound="0" tableColumnId="32"/>
      <queryTableField id="7" name="Quantity" tableColumnId="7"/>
      <queryTableField id="31" dataBound="0" tableColumnId="34"/>
      <queryTableField id="30" dataBound="0" tableColumnId="33"/>
      <queryTableField id="39" dataBound="0" tableColumnId="42"/>
      <queryTableField id="8" name="Price per Unit" tableColumnId="8"/>
      <queryTableField id="33" dataBound="0" tableColumnId="36"/>
      <queryTableField id="32" dataBound="0" tableColumnId="35"/>
      <queryTableField id="36" dataBound="0" tableColumnId="39"/>
      <queryTableField id="37" dataBound="0" tableColumnId="40"/>
      <queryTableField id="9" name="Total Amount" tableColumnId="9"/>
      <queryTableField id="34" dataBound="0" tableColumnId="37"/>
      <queryTableField id="35" dataBound="0" tableColumnId="38"/>
      <queryTableField id="40" dataBound="0" tableColumnId="4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A89B6027-9663-4367-9321-9EC7E0DA4B2B}" autoFormatId="16" applyNumberFormats="0" applyBorderFormats="0" applyFontFormats="0" applyPatternFormats="0" applyAlignmentFormats="0" applyWidthHeightFormats="0">
  <queryTableRefresh nextId="14">
    <queryTableFields count="9">
      <queryTableField id="1" name="Transaction ID" tableColumnId="1"/>
      <queryTableField id="2" name="Date" tableColumnId="2"/>
      <queryTableField id="3" name="Customer ID" tableColumnId="3"/>
      <queryTableField id="4" name="Gender" tableColumnId="4"/>
      <queryTableField id="11" name="Age" tableColumnId="5"/>
      <queryTableField id="6" name="Product Category" tableColumnId="6"/>
      <queryTableField id="7" name="Quantity" tableColumnId="7"/>
      <queryTableField id="8" name="Price per Unit" tableColumnId="8"/>
      <queryTableField id="9" name="Total Amoun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38D7A6-55FB-48D5-A55A-8AB90A351C5F}" name="Raw_Sales" displayName="Raw_Sales" ref="A1:I1025" tableType="queryTable" totalsRowShown="0">
  <autoFilter ref="A1:I1025" xr:uid="{DD38D7A6-55FB-48D5-A55A-8AB90A351C5F}"/>
  <tableColumns count="9">
    <tableColumn id="1" xr3:uid="{12ABB96D-E248-4581-80F4-86501EC6D295}" uniqueName="1" name="Transaction ID" queryTableFieldId="1"/>
    <tableColumn id="2" xr3:uid="{AB5D8FA2-56A1-463D-AE93-A8C2FEA2C117}" uniqueName="2" name="Date" queryTableFieldId="2"/>
    <tableColumn id="3" xr3:uid="{0ED9CBD3-5DD8-496C-8D13-C8732923596E}" uniqueName="3" name="Customer ID" queryTableFieldId="3"/>
    <tableColumn id="4" xr3:uid="{1CB3BAFD-BFF7-45CE-B3D8-CCA615EB03D4}" uniqueName="4" name="Gender" queryTableFieldId="4"/>
    <tableColumn id="5" xr3:uid="{48A73C14-04E1-4CE7-90EF-EB4266224532}" uniqueName="5" name="Age" queryTableFieldId="5"/>
    <tableColumn id="6" xr3:uid="{209CDCD3-3F56-4FFC-8B46-F7D86BDED031}" uniqueName="6" name="Product Category" queryTableFieldId="6"/>
    <tableColumn id="7" xr3:uid="{3E8C8709-A832-4309-AD46-2DC29DCE18E6}" uniqueName="7" name="Quantity" queryTableFieldId="7"/>
    <tableColumn id="8" xr3:uid="{B7337AC6-46D0-49AA-83FC-2536BCD76F77}" uniqueName="8" name="Price per Unit" queryTableFieldId="8"/>
    <tableColumn id="9" xr3:uid="{42275DC7-350F-4227-A013-4137FCCE6AA8}" uniqueName="9" name="Total Amount" queryTableFieldId="9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493289-C2A1-488D-A06E-6C20339E79EF}" name="Working_Sales" displayName="Working_Sales" ref="A1:AH1001" tableType="queryTable" totalsRowShown="0">
  <tableColumns count="34">
    <tableColumn id="1" xr3:uid="{F7365B2F-B230-4B53-AD6F-F4AC3E7DC61D}" uniqueName="1" name="Transaction ID" queryTableFieldId="1" dataDxfId="33"/>
    <tableColumn id="12" xr3:uid="{1828198B-538F-42B7-BECD-B4856EBF5055}" uniqueName="12" name="Transaction_ID_Whitespace_Removed_FINAL" queryTableFieldId="41" dataDxfId="24">
      <calculatedColumnFormula>CLEAN(TRIM(Working_Sales[[#This Row],[Transaction ID]]))</calculatedColumnFormula>
    </tableColumn>
    <tableColumn id="2" xr3:uid="{9D05714A-2B56-422B-A444-8AF3EB980261}" uniqueName="2" name="Date" queryTableFieldId="2"/>
    <tableColumn id="22" xr3:uid="{018CACF3-1935-4CCC-9DA3-3435C02C83A8}" uniqueName="22" name="Date_Whitespace_Removed" queryTableFieldId="19" dataDxfId="23">
      <calculatedColumnFormula>CLEAN(TRIM(Working_Sales[[#This Row],[Date]]))</calculatedColumnFormula>
    </tableColumn>
    <tableColumn id="10" xr3:uid="{C04BC0F4-CF1B-46AD-B8B7-E67650ACD757}" uniqueName="10" name="Date_Format_Check" queryTableFieldId="10" dataDxfId="22">
      <calculatedColumnFormula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calculatedColumnFormula>
    </tableColumn>
    <tableColumn id="11" xr3:uid="{4F38E50C-6755-4CD6-84A9-E6D5B9DD29B3}" uniqueName="11" name="Date_Parse_as_MMDDYYYY" queryTableFieldId="11" dataDxfId="21">
      <calculatedColumnFormula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calculatedColumnFormula>
    </tableColumn>
    <tableColumn id="14" xr3:uid="{B2AE2A60-0E39-45F9-AADD-918465A6DEF2}" uniqueName="14" name="Date_Parse_Month_Name_FINAL" queryTableFieldId="13" dataDxfId="20">
      <calculatedColumnFormula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calculatedColumnFormula>
    </tableColumn>
    <tableColumn id="3" xr3:uid="{8BAE8DFC-300F-44E1-B284-6B40DBFB1A28}" uniqueName="3" name="Customer ID" queryTableFieldId="3"/>
    <tableColumn id="23" xr3:uid="{1C34B3FF-D46C-4951-AC85-EA369186B55D}" uniqueName="23" name="Customer_ID_Whitespace_Removed" queryTableFieldId="20" dataDxfId="19">
      <calculatedColumnFormula>CLEAN(TRIM(Working_Sales[[#This Row],[Customer ID]]))</calculatedColumnFormula>
    </tableColumn>
    <tableColumn id="19" xr3:uid="{3B8EDE38-F501-4574-84D7-36BEF0735E92}" uniqueName="19" name="Customer_ID_Check_No_Dash_Format" queryTableFieldId="17" dataDxfId="18">
      <calculatedColumnFormula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calculatedColumnFormula>
    </tableColumn>
    <tableColumn id="20" xr3:uid="{380F44CF-01F9-4447-9554-FA9246EBC2C4}" uniqueName="20" name="Customer_ID_Dash_Removed_Uppercased_FINAL" queryTableFieldId="18" dataDxfId="17">
      <calculatedColumnFormula>IF(
   Working_Sales[[#This Row],[Customer_ID_Check_No_Dash_Format]]="INVALID",
   UPPER(
      SUBSTITUTE(Working_Sales[[#This Row],[Customer_ID_Whitespace_Removed]],"-","")
   ),
   Working_Sales[[#This Row],[Customer_ID_Whitespace_Removed]]
)</calculatedColumnFormula>
    </tableColumn>
    <tableColumn id="4" xr3:uid="{636FE69B-E162-4D22-A3A4-4461DA57FC3A}" uniqueName="4" name="Gender" queryTableFieldId="4"/>
    <tableColumn id="26" xr3:uid="{B74CEC50-2987-4B2B-B1BB-137E0C2D8FB3}" uniqueName="26" name="Gender_Whitespace_Removed" queryTableFieldId="23" dataDxfId="16">
      <calculatedColumnFormula>CLEAN(TRIM(Working_Sales[[#This Row],[Gender]]))</calculatedColumnFormula>
    </tableColumn>
    <tableColumn id="25" xr3:uid="{CBA880CC-36B2-4222-8011-EE26A982DFF5}" uniqueName="25" name="Gender_Abbreviation_Expanded" queryTableFieldId="22" dataDxfId="15">
      <calculatedColumnFormula array="1">_xlfn.SWITCH(
   Working_Sales[[#This Row],[Gender_Whitespace_Removed]],
   "m", "Male",
   "f", "Female",
   Working_Sales[[#This Row],[Gender_Whitespace_Removed]]
)</calculatedColumnFormula>
    </tableColumn>
    <tableColumn id="27" xr3:uid="{00FD07A0-4D22-4BA1-8026-AE93BEBBC32A}" uniqueName="27" name="Gender_Capitalization_Standardized_FINAL" queryTableFieldId="24" dataDxfId="14">
      <calculatedColumnFormula>PROPER(Working_Sales[[#This Row],[Gender_Abbreviation_Expanded]])</calculatedColumnFormula>
    </tableColumn>
    <tableColumn id="5" xr3:uid="{438FA506-54C1-4CD0-B6CD-177416492944}" uniqueName="5" name="Age" queryTableFieldId="5"/>
    <tableColumn id="28" xr3:uid="{39032575-5931-4944-94B8-0E9ED2FCA5C7}" uniqueName="28" name="Age_Whitespace_Removed" queryTableFieldId="25" dataDxfId="13">
      <calculatedColumnFormula>CLEAN(TRIM(Working_Sales[[#This Row],[Age]]))</calculatedColumnFormula>
    </tableColumn>
    <tableColumn id="30" xr3:uid="{ECD80297-E427-4328-94D1-EEFD0447E871}" uniqueName="30" name="Age_Decimal_Separator_Fixed_Rounded_FINAL" queryTableFieldId="27" dataDxfId="12">
      <calculatedColumnFormula>INT(SUBSTITUTE(Working_Sales[[#This Row],[Age_Whitespace_Removed]],".",","))</calculatedColumnFormula>
    </tableColumn>
    <tableColumn id="6" xr3:uid="{0B65E932-F220-4B4D-9686-4A28503EE673}" uniqueName="6" name="Product Category" queryTableFieldId="6"/>
    <tableColumn id="31" xr3:uid="{FFD86333-6A2B-47F8-AA35-B3F6D2742509}" uniqueName="31" name="Product_Category_Whitespace_Removed" queryTableFieldId="28" dataDxfId="11">
      <calculatedColumnFormula>CLEAN(TRIM(Working_Sales[[#This Row],[Product Category]]))</calculatedColumnFormula>
    </tableColumn>
    <tableColumn id="32" xr3:uid="{2AEEF766-70F8-4E41-BA11-25D7FAFE2595}" uniqueName="32" name="Product_Category_Capitalization_Standardized_FINAL" queryTableFieldId="29" dataDxfId="10">
      <calculatedColumnFormula>PROPER(Working_Sales[[#This Row],[Product_Category_Whitespace_Removed]])</calculatedColumnFormula>
    </tableColumn>
    <tableColumn id="7" xr3:uid="{3C0007A2-B504-4BF4-8000-9F9DA0FBBD02}" uniqueName="7" name="Quantity" queryTableFieldId="7"/>
    <tableColumn id="34" xr3:uid="{12B66E4F-79E4-47C2-9CAA-A7F7004946F7}" uniqueName="34" name="`" queryTableFieldId="31" dataDxfId="9">
      <calculatedColumnFormula>CLEAN(TRIM(Working_Sales[[#This Row],[Quantity]]))</calculatedColumnFormula>
    </tableColumn>
    <tableColumn id="33" xr3:uid="{4E41C7BC-EDC2-4272-9E61-91886D52B3E9}" uniqueName="33" name="Quantity_Converted_To_Integer" queryTableFieldId="30" dataDxfId="8">
      <calculatedColumnFormula>INT(Working_Sales[[#This Row],[`]])</calculatedColumnFormula>
    </tableColumn>
    <tableColumn id="42" xr3:uid="{48CE18DA-E8F6-464A-87D3-08AC70318420}" uniqueName="42" name="Quantity_Repopulate_Missing_Values_With_Calculation_FINAL" queryTableFieldId="39" dataDxfId="7">
      <calculatedColumnFormula>IFERROR(
   Working_Sales[[#This Row],[Quantity_Converted_To_Integer]],
   Working_Sales[[#This Row],[Total_Amount_Whitespace_Removed]]/Working_Sales[[#This Row],[Price_Per_Unit_Decimal_Separator_Fixed]])</calculatedColumnFormula>
    </tableColumn>
    <tableColumn id="8" xr3:uid="{EAB71D7F-98DA-4F60-96D0-7CB36A83C6B0}" uniqueName="8" name="Price per Unit" queryTableFieldId="8"/>
    <tableColumn id="36" xr3:uid="{76AB97F3-050F-4B51-BB83-A243ECAE9B7D}" uniqueName="36" name="Price_Per_Unit_Whitespace_Removed" queryTableFieldId="33" dataDxfId="6">
      <calculatedColumnFormula>CLEAN(TRIM(Working_Sales[[#This Row],[Price per Unit]]))</calculatedColumnFormula>
    </tableColumn>
    <tableColumn id="35" xr3:uid="{6A389CB7-54B4-4D84-AF89-862F6E0ED0CC}" uniqueName="35" name="Price_Per_Unit_Dollar_Sign_Removed" queryTableFieldId="32" dataDxfId="5">
      <calculatedColumnFormula>INT(
   SUBSTITUTE(Working_Sales[[#This Row],[Price_Per_Unit_Whitespace_Removed]],
   "$",
   ""
   )
)</calculatedColumnFormula>
    </tableColumn>
    <tableColumn id="39" xr3:uid="{9CD34926-174D-4B84-9C19-C880DE190F45}" uniqueName="39" name="Price_Per_Unit_Decimal_Separator_Fixed" queryTableFieldId="36" dataDxfId="4">
      <calculatedColumnFormula>INT(
   IFERROR(
      Working_Sales[[#This Row],[Price_Per_Unit_Dollar_Sign_Removed]],
      SUBSTITUTE(
         Working_Sales[[#This Row],[Price_Per_Unit_Whitespace_Removed]],
        ".",
         ","
      )
   )
)</calculatedColumnFormula>
    </tableColumn>
    <tableColumn id="40" xr3:uid="{1677843C-287B-43B8-B1DA-6694F03173A6}" uniqueName="40" name="Price_Per_Unit_Repopulate_Missing_Values_With_Calculation_FINAL" queryTableFieldId="37" dataDxfId="3" dataCellStyle="Currency">
      <calculatedColumnFormula>IFERROR(
   Working_Sales[[#This Row],[Price_Per_Unit_Decimal_Separator_Fixed]],
   Working_Sales[[#This Row],[Total_Amount_Converted_To_Integer]]/Working_Sales[[#This Row],[Quantity_Converted_To_Integer]]
)</calculatedColumnFormula>
    </tableColumn>
    <tableColumn id="9" xr3:uid="{8C6E400F-0B2D-4E3F-A377-B43992C7E62A}" uniqueName="9" name="Total Amount" queryTableFieldId="9"/>
    <tableColumn id="37" xr3:uid="{A9E21A2B-ACDB-4500-BD68-6D00042B64B8}" uniqueName="37" name="Total_Amount_Whitespace_Removed" queryTableFieldId="34" dataDxfId="2">
      <calculatedColumnFormula>CLEAN(TRIM(Working_Sales[[#This Row],[Total Amount]]))</calculatedColumnFormula>
    </tableColumn>
    <tableColumn id="38" xr3:uid="{4679B7ED-F258-4F56-BB57-B12BB1EFE923}" uniqueName="38" name="Total_Amount_Converted_To_Integer" queryTableFieldId="35" dataDxfId="1">
      <calculatedColumnFormula>INT(Working_Sales[[#This Row],[Total_Amount_Whitespace_Removed]])</calculatedColumnFormula>
    </tableColumn>
    <tableColumn id="43" xr3:uid="{E113F6AB-A264-4679-ACAF-9A9D70185288}" uniqueName="43" name="Total_Amount_Repopulate_Missing_Values_With_Calculation_FINAL" queryTableFieldId="40" dataDxfId="0">
      <calculatedColumnFormula>IFERROR(
   Working_Sales[[#This Row],[Total_Amount_Converted_To_Integer]],
   Working_Sales[[#This Row],[Quantity_Repopulate_Missing_Values_With_Calculation_FINAL]]*Working_Sales[[#This Row],[Price_Per_Unit_Repopulate_Missing_Values_With_Calculation_FINAL]]
)</calculatedColumnFormula>
    </tableColumn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9B6E758-DEDF-4889-B148-19F07746CD49}" name="Clean_Sales" displayName="Clean_Sales" ref="A1:I1001" tableType="queryTable" totalsRowShown="0">
  <tableColumns count="9">
    <tableColumn id="1" xr3:uid="{D22840AA-04D9-4C3E-ACF6-E9259A7F3C3F}" uniqueName="1" name="Transaction ID" queryTableFieldId="1" dataDxfId="32"/>
    <tableColumn id="2" xr3:uid="{CC613D7F-9574-4D8E-AB64-1A913E9728F3}" uniqueName="2" name="Date" queryTableFieldId="2" dataDxfId="31"/>
    <tableColumn id="3" xr3:uid="{E8BAABB9-1403-48A7-BE73-34C426A9F184}" uniqueName="3" name="Customer ID" queryTableFieldId="3" dataDxfId="30"/>
    <tableColumn id="4" xr3:uid="{04803828-1AE2-4055-BF9A-D6C6A17DB4BE}" uniqueName="4" name="Gender" queryTableFieldId="4" dataDxfId="29"/>
    <tableColumn id="5" xr3:uid="{1117AA33-E1EF-4E93-9588-C81BC80584DC}" uniqueName="5" name="Age" queryTableFieldId="11"/>
    <tableColumn id="6" xr3:uid="{2BAE97D5-16C3-41E1-8E8B-84F8665A3A7B}" uniqueName="6" name="Product Category" queryTableFieldId="6" dataDxfId="28"/>
    <tableColumn id="7" xr3:uid="{E7FB32BC-B483-4310-AABA-D15C77186ED1}" uniqueName="7" name="Quantity" queryTableFieldId="7" dataDxfId="27"/>
    <tableColumn id="8" xr3:uid="{5BE9DD9F-F5CD-418B-AFA6-E5A969AC90A4}" uniqueName="8" name="Price Per Unit" queryTableFieldId="8" dataDxfId="26" dataCellStyle="Currency"/>
    <tableColumn id="9" xr3:uid="{BEE556C2-11F9-4EAD-AAF1-E4B463538388}" uniqueName="9" name="Total Amount" queryTableFieldId="9" dataDxfId="25" dataCellStyle="Currency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E8676-3D28-4076-BC10-F669F1DA8F21}">
  <dimension ref="A1:I1025"/>
  <sheetViews>
    <sheetView workbookViewId="0">
      <selection activeCell="F6" sqref="F6"/>
    </sheetView>
  </sheetViews>
  <sheetFormatPr defaultRowHeight="14.5" x14ac:dyDescent="0.35"/>
  <cols>
    <col min="1" max="1" width="15.26953125" bestFit="1" customWidth="1"/>
    <col min="2" max="2" width="17.453125" bestFit="1" customWidth="1"/>
    <col min="3" max="3" width="13.54296875" bestFit="1" customWidth="1"/>
    <col min="4" max="4" width="9.26953125" bestFit="1" customWidth="1"/>
    <col min="5" max="5" width="6.1796875" bestFit="1" customWidth="1"/>
    <col min="6" max="6" width="17.7265625" bestFit="1" customWidth="1"/>
    <col min="7" max="7" width="10.453125" bestFit="1" customWidth="1"/>
    <col min="8" max="8" width="14.453125" bestFit="1" customWidth="1"/>
    <col min="9" max="9" width="14.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168</v>
      </c>
      <c r="C2" t="s">
        <v>2325</v>
      </c>
      <c r="D2" t="s">
        <v>11</v>
      </c>
      <c r="E2">
        <v>52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5">
      <c r="A3" t="s">
        <v>17</v>
      </c>
      <c r="B3" t="s">
        <v>18</v>
      </c>
      <c r="C3" t="s">
        <v>2326</v>
      </c>
      <c r="D3" t="s">
        <v>20</v>
      </c>
      <c r="E3">
        <v>23</v>
      </c>
      <c r="F3" t="s">
        <v>13</v>
      </c>
      <c r="G3" t="s">
        <v>22</v>
      </c>
      <c r="H3" t="s">
        <v>23</v>
      </c>
      <c r="I3" t="s">
        <v>23</v>
      </c>
    </row>
    <row r="4" spans="1:9" x14ac:dyDescent="0.35">
      <c r="A4" t="s">
        <v>24</v>
      </c>
      <c r="B4" t="s">
        <v>25</v>
      </c>
      <c r="C4" t="s">
        <v>2327</v>
      </c>
      <c r="D4" t="s">
        <v>26</v>
      </c>
      <c r="E4">
        <v>63</v>
      </c>
      <c r="F4" t="s">
        <v>28</v>
      </c>
      <c r="G4" t="s">
        <v>29</v>
      </c>
      <c r="H4" t="s">
        <v>30</v>
      </c>
      <c r="I4" t="s">
        <v>31</v>
      </c>
    </row>
    <row r="5" spans="1:9" x14ac:dyDescent="0.35">
      <c r="A5" t="s">
        <v>32</v>
      </c>
      <c r="B5" t="s">
        <v>33</v>
      </c>
      <c r="C5" t="s">
        <v>2238</v>
      </c>
      <c r="D5" t="s">
        <v>34</v>
      </c>
      <c r="E5">
        <v>54</v>
      </c>
      <c r="F5" t="s">
        <v>36</v>
      </c>
      <c r="G5" t="s">
        <v>37</v>
      </c>
      <c r="H5" t="s">
        <v>15</v>
      </c>
      <c r="I5" t="s">
        <v>38</v>
      </c>
    </row>
    <row r="6" spans="1:9" x14ac:dyDescent="0.35">
      <c r="A6" t="s">
        <v>39</v>
      </c>
      <c r="B6" t="s">
        <v>988</v>
      </c>
      <c r="C6" t="s">
        <v>2328</v>
      </c>
      <c r="D6" t="s">
        <v>26</v>
      </c>
      <c r="E6">
        <v>62</v>
      </c>
      <c r="F6" t="s">
        <v>42</v>
      </c>
      <c r="G6" t="s">
        <v>14</v>
      </c>
      <c r="H6" t="s">
        <v>43</v>
      </c>
      <c r="I6" t="s">
        <v>44</v>
      </c>
    </row>
    <row r="7" spans="1:9" x14ac:dyDescent="0.35">
      <c r="A7" t="s">
        <v>45</v>
      </c>
      <c r="B7" t="s">
        <v>1998</v>
      </c>
      <c r="C7" t="s">
        <v>2329</v>
      </c>
      <c r="D7" t="s">
        <v>46</v>
      </c>
      <c r="E7">
        <v>46</v>
      </c>
      <c r="F7" t="s">
        <v>48</v>
      </c>
      <c r="G7" t="s">
        <v>14</v>
      </c>
      <c r="H7" t="s">
        <v>49</v>
      </c>
      <c r="I7" t="s">
        <v>38</v>
      </c>
    </row>
    <row r="8" spans="1:9" x14ac:dyDescent="0.35">
      <c r="A8" t="s">
        <v>50</v>
      </c>
      <c r="B8" t="s">
        <v>51</v>
      </c>
      <c r="C8" t="s">
        <v>2330</v>
      </c>
      <c r="D8" t="s">
        <v>34</v>
      </c>
      <c r="E8">
        <v>42</v>
      </c>
      <c r="F8" t="s">
        <v>36</v>
      </c>
      <c r="G8" t="s">
        <v>14</v>
      </c>
      <c r="H8" t="s">
        <v>15</v>
      </c>
      <c r="I8" t="s">
        <v>16</v>
      </c>
    </row>
    <row r="9" spans="1:9" x14ac:dyDescent="0.35">
      <c r="A9" t="s">
        <v>53</v>
      </c>
      <c r="B9" t="s">
        <v>54</v>
      </c>
      <c r="C9" t="s">
        <v>2331</v>
      </c>
      <c r="D9" t="s">
        <v>34</v>
      </c>
      <c r="E9">
        <v>53</v>
      </c>
      <c r="F9" t="s">
        <v>56</v>
      </c>
      <c r="G9" t="s">
        <v>22</v>
      </c>
      <c r="H9" t="s">
        <v>57</v>
      </c>
      <c r="I9" t="s">
        <v>57</v>
      </c>
    </row>
    <row r="10" spans="1:9" x14ac:dyDescent="0.35">
      <c r="A10" t="s">
        <v>58</v>
      </c>
      <c r="B10" t="s">
        <v>59</v>
      </c>
      <c r="C10" t="s">
        <v>1163</v>
      </c>
      <c r="D10" t="s">
        <v>34</v>
      </c>
      <c r="E10">
        <v>32</v>
      </c>
      <c r="F10" t="s">
        <v>62</v>
      </c>
      <c r="G10" t="s">
        <v>37</v>
      </c>
      <c r="H10" t="s">
        <v>30</v>
      </c>
      <c r="I10" t="s">
        <v>15</v>
      </c>
    </row>
    <row r="11" spans="1:9" x14ac:dyDescent="0.35">
      <c r="A11" t="s">
        <v>63</v>
      </c>
      <c r="B11" t="s">
        <v>64</v>
      </c>
      <c r="C11" t="s">
        <v>2332</v>
      </c>
      <c r="D11" t="s">
        <v>34</v>
      </c>
      <c r="E11">
        <v>29</v>
      </c>
      <c r="F11" t="s">
        <v>36</v>
      </c>
      <c r="H11" t="s">
        <v>15</v>
      </c>
      <c r="I11" t="s">
        <v>16</v>
      </c>
    </row>
    <row r="12" spans="1:9" x14ac:dyDescent="0.35">
      <c r="A12" t="s">
        <v>66</v>
      </c>
      <c r="B12" t="s">
        <v>67</v>
      </c>
      <c r="C12" t="s">
        <v>2333</v>
      </c>
      <c r="D12" t="s">
        <v>34</v>
      </c>
      <c r="E12">
        <v>23</v>
      </c>
      <c r="F12" t="s">
        <v>69</v>
      </c>
      <c r="G12" t="s">
        <v>37</v>
      </c>
      <c r="H12" t="s">
        <v>70</v>
      </c>
      <c r="I12" t="s">
        <v>71</v>
      </c>
    </row>
    <row r="13" spans="1:9" x14ac:dyDescent="0.35">
      <c r="A13" t="s">
        <v>72</v>
      </c>
      <c r="B13" t="s">
        <v>73</v>
      </c>
      <c r="C13" t="s">
        <v>1136</v>
      </c>
      <c r="D13" t="s">
        <v>26</v>
      </c>
      <c r="E13">
        <v>42</v>
      </c>
      <c r="F13" t="s">
        <v>36</v>
      </c>
      <c r="G13" t="s">
        <v>14</v>
      </c>
      <c r="H13" t="s">
        <v>75</v>
      </c>
      <c r="I13" t="s">
        <v>16</v>
      </c>
    </row>
    <row r="14" spans="1:9" x14ac:dyDescent="0.35">
      <c r="A14" t="s">
        <v>76</v>
      </c>
      <c r="B14" t="s">
        <v>77</v>
      </c>
      <c r="C14" t="s">
        <v>2334</v>
      </c>
      <c r="D14" t="s">
        <v>34</v>
      </c>
      <c r="E14">
        <v>28</v>
      </c>
      <c r="F14" t="s">
        <v>48</v>
      </c>
      <c r="G14" t="s">
        <v>14</v>
      </c>
      <c r="H14" t="s">
        <v>23</v>
      </c>
      <c r="I14" t="s">
        <v>79</v>
      </c>
    </row>
    <row r="15" spans="1:9" x14ac:dyDescent="0.35">
      <c r="A15" t="s">
        <v>80</v>
      </c>
      <c r="B15" t="s">
        <v>81</v>
      </c>
      <c r="C15" t="s">
        <v>2335</v>
      </c>
      <c r="D15" t="s">
        <v>34</v>
      </c>
      <c r="E15" t="s">
        <v>83</v>
      </c>
      <c r="F15" t="s">
        <v>13</v>
      </c>
      <c r="G15" t="s">
        <v>29</v>
      </c>
      <c r="H15" t="s">
        <v>84</v>
      </c>
      <c r="I15" t="s">
        <v>85</v>
      </c>
    </row>
    <row r="16" spans="1:9" x14ac:dyDescent="0.35">
      <c r="A16" t="s">
        <v>86</v>
      </c>
      <c r="B16" t="s">
        <v>87</v>
      </c>
      <c r="C16" t="s">
        <v>2336</v>
      </c>
      <c r="D16" t="s">
        <v>11</v>
      </c>
      <c r="E16" t="s">
        <v>88</v>
      </c>
      <c r="F16" t="s">
        <v>89</v>
      </c>
      <c r="G16" t="s">
        <v>14</v>
      </c>
      <c r="H16" t="s">
        <v>23</v>
      </c>
      <c r="I16" t="s">
        <v>79</v>
      </c>
    </row>
    <row r="17" spans="1:9" x14ac:dyDescent="0.35">
      <c r="A17" t="s">
        <v>90</v>
      </c>
      <c r="B17" t="s">
        <v>91</v>
      </c>
      <c r="C17" t="s">
        <v>1306</v>
      </c>
      <c r="D17" t="s">
        <v>34</v>
      </c>
      <c r="E17">
        <v>58</v>
      </c>
      <c r="F17" t="s">
        <v>56</v>
      </c>
      <c r="G17" t="s">
        <v>22</v>
      </c>
      <c r="H17" t="s">
        <v>30</v>
      </c>
      <c r="I17" t="s">
        <v>30</v>
      </c>
    </row>
    <row r="18" spans="1:9" x14ac:dyDescent="0.35">
      <c r="A18" t="s">
        <v>93</v>
      </c>
      <c r="B18" t="s">
        <v>94</v>
      </c>
      <c r="C18" t="s">
        <v>2337</v>
      </c>
      <c r="D18" t="s">
        <v>26</v>
      </c>
      <c r="E18">
        <v>64</v>
      </c>
      <c r="F18" t="s">
        <v>13</v>
      </c>
      <c r="G18" t="s">
        <v>37</v>
      </c>
      <c r="H18" t="s">
        <v>96</v>
      </c>
      <c r="I18" t="s">
        <v>38</v>
      </c>
    </row>
    <row r="19" spans="1:9" x14ac:dyDescent="0.35">
      <c r="A19" t="s">
        <v>97</v>
      </c>
      <c r="B19" t="s">
        <v>1999</v>
      </c>
      <c r="C19" t="s">
        <v>2338</v>
      </c>
      <c r="D19" t="s">
        <v>26</v>
      </c>
      <c r="E19">
        <v>35</v>
      </c>
      <c r="F19" t="s">
        <v>99</v>
      </c>
      <c r="G19" t="s">
        <v>14</v>
      </c>
      <c r="H19" t="s">
        <v>100</v>
      </c>
      <c r="I19" t="s">
        <v>44</v>
      </c>
    </row>
    <row r="20" spans="1:9" x14ac:dyDescent="0.35">
      <c r="A20" t="s">
        <v>101</v>
      </c>
      <c r="B20" t="s">
        <v>102</v>
      </c>
      <c r="C20" t="s">
        <v>2339</v>
      </c>
      <c r="D20" t="s">
        <v>26</v>
      </c>
      <c r="E20">
        <v>27</v>
      </c>
      <c r="F20" t="s">
        <v>28</v>
      </c>
      <c r="G20" t="s">
        <v>22</v>
      </c>
      <c r="H20" t="s">
        <v>49</v>
      </c>
      <c r="I20" t="s">
        <v>30</v>
      </c>
    </row>
    <row r="21" spans="1:9" x14ac:dyDescent="0.35">
      <c r="A21" t="s">
        <v>105</v>
      </c>
      <c r="B21" t="s">
        <v>106</v>
      </c>
      <c r="C21" t="s">
        <v>2340</v>
      </c>
      <c r="D21" t="s">
        <v>46</v>
      </c>
      <c r="E21">
        <v>35</v>
      </c>
      <c r="F21" t="s">
        <v>13</v>
      </c>
      <c r="G21" t="s">
        <v>37</v>
      </c>
      <c r="H21" t="s">
        <v>23</v>
      </c>
      <c r="I21" t="s">
        <v>107</v>
      </c>
    </row>
    <row r="22" spans="1:9" x14ac:dyDescent="0.35">
      <c r="A22" t="s">
        <v>108</v>
      </c>
      <c r="B22" t="s">
        <v>2000</v>
      </c>
      <c r="C22" t="s">
        <v>2312</v>
      </c>
      <c r="D22" t="s">
        <v>20</v>
      </c>
      <c r="E22">
        <v>62</v>
      </c>
      <c r="F22" t="s">
        <v>109</v>
      </c>
      <c r="G22" t="s">
        <v>37</v>
      </c>
      <c r="H22" t="s">
        <v>30</v>
      </c>
      <c r="I22" t="s">
        <v>15</v>
      </c>
    </row>
    <row r="23" spans="1:9" x14ac:dyDescent="0.35">
      <c r="A23" t="s">
        <v>110</v>
      </c>
      <c r="B23" t="s">
        <v>111</v>
      </c>
      <c r="C23" t="s">
        <v>2341</v>
      </c>
      <c r="D23" t="s">
        <v>112</v>
      </c>
      <c r="E23">
        <v>51</v>
      </c>
      <c r="F23" t="s">
        <v>36</v>
      </c>
      <c r="G23" t="s">
        <v>22</v>
      </c>
      <c r="H23" t="s">
        <v>30</v>
      </c>
      <c r="I23" t="s">
        <v>30</v>
      </c>
    </row>
    <row r="24" spans="1:9" x14ac:dyDescent="0.35">
      <c r="A24" t="s">
        <v>114</v>
      </c>
      <c r="B24" t="s">
        <v>115</v>
      </c>
      <c r="C24" t="s">
        <v>2342</v>
      </c>
      <c r="D24" t="s">
        <v>34</v>
      </c>
      <c r="E24" t="s">
        <v>116</v>
      </c>
      <c r="F24" t="s">
        <v>117</v>
      </c>
      <c r="G24" t="s">
        <v>22</v>
      </c>
      <c r="H24" t="s">
        <v>57</v>
      </c>
      <c r="I24" t="s">
        <v>57</v>
      </c>
    </row>
    <row r="25" spans="1:9" x14ac:dyDescent="0.35">
      <c r="A25" t="s">
        <v>118</v>
      </c>
      <c r="B25" t="s">
        <v>119</v>
      </c>
      <c r="C25" t="s">
        <v>2219</v>
      </c>
      <c r="D25" t="s">
        <v>34</v>
      </c>
      <c r="E25" t="s">
        <v>120</v>
      </c>
      <c r="F25" t="s">
        <v>56</v>
      </c>
      <c r="G25" t="s">
        <v>22</v>
      </c>
      <c r="H25" t="s">
        <v>49</v>
      </c>
      <c r="I25" t="s">
        <v>30</v>
      </c>
    </row>
    <row r="26" spans="1:9" x14ac:dyDescent="0.35">
      <c r="A26" t="s">
        <v>121</v>
      </c>
      <c r="B26" t="s">
        <v>122</v>
      </c>
      <c r="C26" t="s">
        <v>2343</v>
      </c>
      <c r="D26" t="s">
        <v>34</v>
      </c>
      <c r="E26">
        <v>39</v>
      </c>
      <c r="F26" t="s">
        <v>124</v>
      </c>
      <c r="G26" t="s">
        <v>14</v>
      </c>
      <c r="H26" t="s">
        <v>30</v>
      </c>
      <c r="I26" t="s">
        <v>38</v>
      </c>
    </row>
    <row r="27" spans="1:9" x14ac:dyDescent="0.35">
      <c r="A27" t="s">
        <v>30</v>
      </c>
      <c r="B27" t="s">
        <v>125</v>
      </c>
      <c r="C27" t="s">
        <v>126</v>
      </c>
      <c r="D27" t="s">
        <v>26</v>
      </c>
      <c r="E27">
        <v>64</v>
      </c>
      <c r="F27" t="s">
        <v>69</v>
      </c>
      <c r="G27" t="s">
        <v>22</v>
      </c>
      <c r="H27" t="s">
        <v>15</v>
      </c>
      <c r="I27" t="s">
        <v>15</v>
      </c>
    </row>
    <row r="28" spans="1:9" x14ac:dyDescent="0.35">
      <c r="A28" t="s">
        <v>127</v>
      </c>
      <c r="B28" t="s">
        <v>1070</v>
      </c>
      <c r="C28" t="s">
        <v>161</v>
      </c>
      <c r="D28" t="s">
        <v>34</v>
      </c>
      <c r="E28">
        <v>32</v>
      </c>
      <c r="F28" t="s">
        <v>42</v>
      </c>
      <c r="H28" t="s">
        <v>23</v>
      </c>
      <c r="I28" t="s">
        <v>128</v>
      </c>
    </row>
    <row r="29" spans="1:9" x14ac:dyDescent="0.35">
      <c r="A29" t="s">
        <v>129</v>
      </c>
      <c r="B29" t="s">
        <v>2001</v>
      </c>
      <c r="C29" t="s">
        <v>346</v>
      </c>
      <c r="D29" t="s">
        <v>26</v>
      </c>
      <c r="E29">
        <v>46</v>
      </c>
      <c r="F29" t="s">
        <v>62</v>
      </c>
      <c r="G29" t="s">
        <v>29</v>
      </c>
      <c r="H29" t="s">
        <v>15</v>
      </c>
      <c r="I29" t="s">
        <v>130</v>
      </c>
    </row>
    <row r="30" spans="1:9" x14ac:dyDescent="0.35">
      <c r="A30" t="s">
        <v>131</v>
      </c>
      <c r="B30" t="s">
        <v>245</v>
      </c>
      <c r="C30" t="s">
        <v>2344</v>
      </c>
      <c r="D30" t="s">
        <v>26</v>
      </c>
      <c r="E30">
        <v>26</v>
      </c>
      <c r="F30" t="s">
        <v>36</v>
      </c>
      <c r="G30" t="s">
        <v>22</v>
      </c>
      <c r="H30" t="s">
        <v>30</v>
      </c>
      <c r="I30" t="s">
        <v>30</v>
      </c>
    </row>
    <row r="31" spans="1:9" x14ac:dyDescent="0.35">
      <c r="A31" t="s">
        <v>135</v>
      </c>
      <c r="B31" t="s">
        <v>136</v>
      </c>
      <c r="C31" t="s">
        <v>2345</v>
      </c>
      <c r="D31" t="s">
        <v>26</v>
      </c>
      <c r="E31">
        <v>52</v>
      </c>
      <c r="F31" t="s">
        <v>89</v>
      </c>
      <c r="G31" t="s">
        <v>14</v>
      </c>
      <c r="H31" t="s">
        <v>96</v>
      </c>
      <c r="I31" t="s">
        <v>16</v>
      </c>
    </row>
    <row r="32" spans="1:9" x14ac:dyDescent="0.35">
      <c r="A32" t="s">
        <v>138</v>
      </c>
      <c r="B32" t="s">
        <v>139</v>
      </c>
      <c r="C32" t="s">
        <v>2346</v>
      </c>
      <c r="D32" t="s">
        <v>140</v>
      </c>
      <c r="E32">
        <v>38</v>
      </c>
      <c r="F32" t="s">
        <v>36</v>
      </c>
      <c r="G32" t="s">
        <v>29</v>
      </c>
      <c r="H32" t="s">
        <v>15</v>
      </c>
      <c r="I32" t="s">
        <v>130</v>
      </c>
    </row>
    <row r="33" spans="1:9" x14ac:dyDescent="0.35">
      <c r="A33" t="s">
        <v>142</v>
      </c>
      <c r="B33" t="s">
        <v>143</v>
      </c>
      <c r="C33" t="s">
        <v>2347</v>
      </c>
      <c r="D33" t="s">
        <v>140</v>
      </c>
      <c r="E33">
        <v>51</v>
      </c>
      <c r="F33" t="s">
        <v>13</v>
      </c>
      <c r="G33" t="s">
        <v>22</v>
      </c>
      <c r="H33" t="s">
        <v>23</v>
      </c>
      <c r="I33" t="s">
        <v>23</v>
      </c>
    </row>
    <row r="34" spans="1:9" x14ac:dyDescent="0.35">
      <c r="A34" t="s">
        <v>144</v>
      </c>
      <c r="B34" t="s">
        <v>2002</v>
      </c>
      <c r="C34" t="s">
        <v>2348</v>
      </c>
      <c r="D34" t="s">
        <v>26</v>
      </c>
      <c r="E34">
        <v>45</v>
      </c>
      <c r="F34" t="s">
        <v>36</v>
      </c>
      <c r="G34" t="s">
        <v>37</v>
      </c>
      <c r="H34" t="s">
        <v>147</v>
      </c>
      <c r="I34" t="s">
        <v>71</v>
      </c>
    </row>
    <row r="35" spans="1:9" x14ac:dyDescent="0.35">
      <c r="A35" t="s">
        <v>148</v>
      </c>
      <c r="B35" t="s">
        <v>2003</v>
      </c>
      <c r="C35" t="s">
        <v>2349</v>
      </c>
      <c r="D35" t="s">
        <v>46</v>
      </c>
      <c r="E35">
        <v>60</v>
      </c>
      <c r="F35" t="s">
        <v>124</v>
      </c>
      <c r="G35" t="s">
        <v>14</v>
      </c>
      <c r="H35" t="s">
        <v>23</v>
      </c>
      <c r="I35" t="s">
        <v>79</v>
      </c>
    </row>
    <row r="36" spans="1:9" x14ac:dyDescent="0.35">
      <c r="A36" t="s">
        <v>150</v>
      </c>
      <c r="B36" t="s">
        <v>151</v>
      </c>
      <c r="C36" t="s">
        <v>2350</v>
      </c>
      <c r="D36" t="s">
        <v>20</v>
      </c>
      <c r="E36">
        <v>21</v>
      </c>
      <c r="F36" t="s">
        <v>36</v>
      </c>
      <c r="G36" t="s">
        <v>14</v>
      </c>
      <c r="H36" t="s">
        <v>153</v>
      </c>
      <c r="I36" t="s">
        <v>16</v>
      </c>
    </row>
    <row r="37" spans="1:9" x14ac:dyDescent="0.35">
      <c r="A37" t="s">
        <v>154</v>
      </c>
      <c r="B37" t="s">
        <v>155</v>
      </c>
      <c r="C37" t="s">
        <v>2351</v>
      </c>
      <c r="D37" t="s">
        <v>34</v>
      </c>
      <c r="E37">
        <v>18</v>
      </c>
      <c r="F37" t="s">
        <v>36</v>
      </c>
      <c r="G37" t="s">
        <v>29</v>
      </c>
      <c r="H37" t="s">
        <v>57</v>
      </c>
      <c r="I37" t="s">
        <v>85</v>
      </c>
    </row>
    <row r="38" spans="1:9" x14ac:dyDescent="0.35">
      <c r="A38" t="s">
        <v>158</v>
      </c>
      <c r="B38" t="s">
        <v>617</v>
      </c>
      <c r="C38" t="s">
        <v>2352</v>
      </c>
      <c r="D38" t="s">
        <v>26</v>
      </c>
      <c r="E38">
        <v>47</v>
      </c>
      <c r="F38" t="s">
        <v>36</v>
      </c>
      <c r="G38" t="s">
        <v>29</v>
      </c>
      <c r="I38" t="s">
        <v>85</v>
      </c>
    </row>
    <row r="39" spans="1:9" x14ac:dyDescent="0.35">
      <c r="A39" t="s">
        <v>134</v>
      </c>
      <c r="B39" t="s">
        <v>136</v>
      </c>
      <c r="C39" t="s">
        <v>2353</v>
      </c>
      <c r="D39" t="s">
        <v>26</v>
      </c>
      <c r="E39">
        <v>28</v>
      </c>
      <c r="F39" t="s">
        <v>13</v>
      </c>
      <c r="G39" t="s">
        <v>37</v>
      </c>
      <c r="H39" t="s">
        <v>162</v>
      </c>
      <c r="I39" t="s">
        <v>163</v>
      </c>
    </row>
    <row r="40" spans="1:9" x14ac:dyDescent="0.35">
      <c r="A40" t="s">
        <v>164</v>
      </c>
      <c r="B40" t="s">
        <v>165</v>
      </c>
      <c r="C40" t="s">
        <v>2354</v>
      </c>
      <c r="D40" t="s">
        <v>112</v>
      </c>
      <c r="E40">
        <v>35</v>
      </c>
      <c r="F40" t="s">
        <v>117</v>
      </c>
      <c r="G40" t="s">
        <v>14</v>
      </c>
      <c r="H40" t="s">
        <v>15</v>
      </c>
      <c r="I40" t="s">
        <v>16</v>
      </c>
    </row>
    <row r="41" spans="1:9" x14ac:dyDescent="0.35">
      <c r="A41" t="s">
        <v>167</v>
      </c>
      <c r="B41" t="s">
        <v>168</v>
      </c>
      <c r="C41" t="s">
        <v>2355</v>
      </c>
      <c r="D41" t="s">
        <v>26</v>
      </c>
      <c r="E41">
        <v>31</v>
      </c>
      <c r="F41" t="s">
        <v>13</v>
      </c>
      <c r="H41" t="s">
        <v>171</v>
      </c>
      <c r="I41" t="s">
        <v>30</v>
      </c>
    </row>
    <row r="42" spans="1:9" x14ac:dyDescent="0.35">
      <c r="A42" t="s">
        <v>172</v>
      </c>
      <c r="B42" t="s">
        <v>394</v>
      </c>
      <c r="C42" t="s">
        <v>2356</v>
      </c>
      <c r="D42" t="s">
        <v>26</v>
      </c>
      <c r="E42">
        <v>64</v>
      </c>
      <c r="F42" t="s">
        <v>109</v>
      </c>
      <c r="G42" t="s">
        <v>22</v>
      </c>
      <c r="H42" t="s">
        <v>23</v>
      </c>
      <c r="I42" t="s">
        <v>23</v>
      </c>
    </row>
    <row r="43" spans="1:9" x14ac:dyDescent="0.35">
      <c r="A43" t="s">
        <v>174</v>
      </c>
      <c r="B43" t="s">
        <v>175</v>
      </c>
      <c r="C43" t="s">
        <v>876</v>
      </c>
      <c r="D43" t="s">
        <v>26</v>
      </c>
      <c r="E43">
        <v>59</v>
      </c>
      <c r="F43" t="s">
        <v>56</v>
      </c>
      <c r="G43" t="s">
        <v>22</v>
      </c>
      <c r="H43" t="s">
        <v>30</v>
      </c>
      <c r="I43" t="s">
        <v>30</v>
      </c>
    </row>
    <row r="44" spans="1:9" x14ac:dyDescent="0.35">
      <c r="A44" t="s">
        <v>178</v>
      </c>
      <c r="B44" t="s">
        <v>179</v>
      </c>
      <c r="C44" t="s">
        <v>2357</v>
      </c>
      <c r="D44" t="s">
        <v>26</v>
      </c>
      <c r="E44">
        <v>26</v>
      </c>
      <c r="F44" t="s">
        <v>36</v>
      </c>
      <c r="G44" t="s">
        <v>37</v>
      </c>
      <c r="H44" t="s">
        <v>180</v>
      </c>
      <c r="I44" t="s">
        <v>107</v>
      </c>
    </row>
    <row r="45" spans="1:9" x14ac:dyDescent="0.35">
      <c r="A45" t="s">
        <v>181</v>
      </c>
      <c r="B45" t="s">
        <v>2004</v>
      </c>
      <c r="C45" t="s">
        <v>1639</v>
      </c>
      <c r="D45" t="s">
        <v>26</v>
      </c>
      <c r="E45">
        <v>29</v>
      </c>
      <c r="F45" t="s">
        <v>13</v>
      </c>
      <c r="G45" t="s">
        <v>14</v>
      </c>
      <c r="H45" t="s">
        <v>15</v>
      </c>
      <c r="I45" t="s">
        <v>16</v>
      </c>
    </row>
    <row r="46" spans="1:9" x14ac:dyDescent="0.35">
      <c r="A46" t="s">
        <v>182</v>
      </c>
      <c r="B46" t="s">
        <v>2005</v>
      </c>
      <c r="C46" t="s">
        <v>374</v>
      </c>
      <c r="D46" t="s">
        <v>26</v>
      </c>
      <c r="E46">
        <v>47</v>
      </c>
      <c r="F46" t="s">
        <v>62</v>
      </c>
      <c r="G46" t="s">
        <v>14</v>
      </c>
      <c r="H46" t="s">
        <v>30</v>
      </c>
      <c r="I46" t="s">
        <v>38</v>
      </c>
    </row>
    <row r="47" spans="1:9" x14ac:dyDescent="0.35">
      <c r="A47" t="s">
        <v>183</v>
      </c>
      <c r="B47" t="s">
        <v>2006</v>
      </c>
      <c r="C47" t="s">
        <v>2358</v>
      </c>
      <c r="D47" t="s">
        <v>112</v>
      </c>
      <c r="E47">
        <v>24</v>
      </c>
      <c r="F47" t="s">
        <v>48</v>
      </c>
      <c r="G47" t="s">
        <v>14</v>
      </c>
      <c r="H47" t="s">
        <v>171</v>
      </c>
      <c r="I47" t="s">
        <v>38</v>
      </c>
    </row>
    <row r="48" spans="1:9" x14ac:dyDescent="0.35">
      <c r="A48" t="s">
        <v>185</v>
      </c>
      <c r="B48" t="s">
        <v>132</v>
      </c>
      <c r="C48" t="s">
        <v>2359</v>
      </c>
      <c r="D48" t="s">
        <v>26</v>
      </c>
      <c r="E48">
        <v>60</v>
      </c>
      <c r="F48" t="s">
        <v>48</v>
      </c>
      <c r="G48" t="s">
        <v>29</v>
      </c>
      <c r="H48" t="s">
        <v>186</v>
      </c>
      <c r="I48" t="s">
        <v>128</v>
      </c>
    </row>
    <row r="49" spans="1:9" x14ac:dyDescent="0.35">
      <c r="A49" t="s">
        <v>187</v>
      </c>
      <c r="B49" t="s">
        <v>188</v>
      </c>
      <c r="C49" t="s">
        <v>2360</v>
      </c>
      <c r="D49" t="s">
        <v>112</v>
      </c>
      <c r="E49" t="s">
        <v>190</v>
      </c>
      <c r="F49" t="s">
        <v>56</v>
      </c>
      <c r="G49" t="s">
        <v>29</v>
      </c>
      <c r="I49" t="s">
        <v>191</v>
      </c>
    </row>
    <row r="50" spans="1:9" x14ac:dyDescent="0.35">
      <c r="A50" t="s">
        <v>192</v>
      </c>
      <c r="B50" t="s">
        <v>631</v>
      </c>
      <c r="C50" t="s">
        <v>2361</v>
      </c>
      <c r="D50" t="s">
        <v>26</v>
      </c>
      <c r="E50" t="s">
        <v>195</v>
      </c>
      <c r="F50" t="s">
        <v>13</v>
      </c>
      <c r="G50" t="s">
        <v>29</v>
      </c>
      <c r="H50" t="s">
        <v>23</v>
      </c>
      <c r="I50" t="s">
        <v>128</v>
      </c>
    </row>
    <row r="51" spans="1:9" x14ac:dyDescent="0.35">
      <c r="A51" t="s">
        <v>196</v>
      </c>
      <c r="B51" t="s">
        <v>1600</v>
      </c>
      <c r="C51" t="s">
        <v>2362</v>
      </c>
      <c r="D51" t="s">
        <v>34</v>
      </c>
      <c r="E51">
        <v>24</v>
      </c>
      <c r="F51" t="s">
        <v>13</v>
      </c>
      <c r="G51" t="s">
        <v>37</v>
      </c>
      <c r="H51" t="s">
        <v>30</v>
      </c>
      <c r="I51" t="s">
        <v>15</v>
      </c>
    </row>
    <row r="52" spans="1:9" x14ac:dyDescent="0.35">
      <c r="A52" t="s">
        <v>197</v>
      </c>
      <c r="B52" t="s">
        <v>198</v>
      </c>
      <c r="C52" t="s">
        <v>2363</v>
      </c>
      <c r="D52" t="s">
        <v>34</v>
      </c>
      <c r="E52">
        <v>64</v>
      </c>
      <c r="F52" t="s">
        <v>124</v>
      </c>
      <c r="G52" t="s">
        <v>14</v>
      </c>
      <c r="H52" t="s">
        <v>70</v>
      </c>
      <c r="I52" t="s">
        <v>44</v>
      </c>
    </row>
    <row r="53" spans="1:9" x14ac:dyDescent="0.35">
      <c r="A53" t="s">
        <v>200</v>
      </c>
      <c r="B53" t="s">
        <v>1362</v>
      </c>
      <c r="C53" t="s">
        <v>2364</v>
      </c>
      <c r="D53" t="s">
        <v>26</v>
      </c>
      <c r="E53">
        <v>59</v>
      </c>
      <c r="F53" t="s">
        <v>56</v>
      </c>
      <c r="G53" t="s">
        <v>22</v>
      </c>
      <c r="H53" t="s">
        <v>84</v>
      </c>
      <c r="I53" t="s">
        <v>57</v>
      </c>
    </row>
    <row r="54" spans="1:9" x14ac:dyDescent="0.35">
      <c r="A54" t="s">
        <v>201</v>
      </c>
      <c r="B54" t="s">
        <v>1600</v>
      </c>
      <c r="C54" t="s">
        <v>2365</v>
      </c>
      <c r="D54" t="s">
        <v>26</v>
      </c>
      <c r="E54">
        <v>49</v>
      </c>
      <c r="F54" t="s">
        <v>13</v>
      </c>
      <c r="G54" t="s">
        <v>29</v>
      </c>
      <c r="H54" t="s">
        <v>171</v>
      </c>
      <c r="I54" t="s">
        <v>31</v>
      </c>
    </row>
    <row r="55" spans="1:9" x14ac:dyDescent="0.35">
      <c r="A55" t="s">
        <v>38</v>
      </c>
      <c r="B55" t="s">
        <v>2007</v>
      </c>
      <c r="C55" t="s">
        <v>2366</v>
      </c>
      <c r="D55" t="s">
        <v>34</v>
      </c>
      <c r="E55">
        <v>41</v>
      </c>
      <c r="F55" t="s">
        <v>13</v>
      </c>
      <c r="G55" t="s">
        <v>22</v>
      </c>
      <c r="H55" t="s">
        <v>147</v>
      </c>
      <c r="I55" t="s">
        <v>70</v>
      </c>
    </row>
    <row r="56" spans="1:9" x14ac:dyDescent="0.35">
      <c r="A56" t="s">
        <v>205</v>
      </c>
      <c r="B56" t="s">
        <v>997</v>
      </c>
      <c r="C56" t="s">
        <v>2367</v>
      </c>
      <c r="D56" t="s">
        <v>34</v>
      </c>
      <c r="E56">
        <v>38</v>
      </c>
      <c r="F56" t="s">
        <v>13</v>
      </c>
      <c r="G56" t="s">
        <v>37</v>
      </c>
      <c r="H56" t="s">
        <v>70</v>
      </c>
      <c r="I56" t="s">
        <v>71</v>
      </c>
    </row>
    <row r="57" spans="1:9" x14ac:dyDescent="0.35">
      <c r="A57" t="s">
        <v>206</v>
      </c>
      <c r="B57" t="s">
        <v>207</v>
      </c>
      <c r="C57" t="s">
        <v>2348</v>
      </c>
      <c r="D57" t="s">
        <v>34</v>
      </c>
      <c r="E57">
        <v>31</v>
      </c>
      <c r="F57" t="s">
        <v>117</v>
      </c>
      <c r="G57" t="s">
        <v>14</v>
      </c>
      <c r="H57" t="s">
        <v>30</v>
      </c>
      <c r="I57" t="s">
        <v>38</v>
      </c>
    </row>
    <row r="58" spans="1:9" x14ac:dyDescent="0.35">
      <c r="A58" t="s">
        <v>209</v>
      </c>
      <c r="B58" t="s">
        <v>210</v>
      </c>
      <c r="C58" t="s">
        <v>2368</v>
      </c>
      <c r="D58" t="s">
        <v>34</v>
      </c>
      <c r="E58">
        <v>62</v>
      </c>
      <c r="F58" t="s">
        <v>56</v>
      </c>
      <c r="G58" t="s">
        <v>22</v>
      </c>
      <c r="H58" t="s">
        <v>96</v>
      </c>
      <c r="I58" t="s">
        <v>15</v>
      </c>
    </row>
    <row r="59" spans="1:9" x14ac:dyDescent="0.35">
      <c r="A59" t="s">
        <v>211</v>
      </c>
      <c r="B59" t="s">
        <v>212</v>
      </c>
      <c r="C59" t="s">
        <v>2369</v>
      </c>
      <c r="D59" t="s">
        <v>34</v>
      </c>
      <c r="E59">
        <v>50</v>
      </c>
      <c r="F59" t="s">
        <v>56</v>
      </c>
      <c r="G59" t="s">
        <v>22</v>
      </c>
      <c r="H59" t="s">
        <v>171</v>
      </c>
      <c r="I59" t="s">
        <v>30</v>
      </c>
    </row>
    <row r="60" spans="1:9" x14ac:dyDescent="0.35">
      <c r="A60" t="s">
        <v>213</v>
      </c>
      <c r="B60" t="s">
        <v>214</v>
      </c>
      <c r="C60" t="s">
        <v>2370</v>
      </c>
      <c r="D60" t="s">
        <v>26</v>
      </c>
      <c r="E60">
        <v>22</v>
      </c>
      <c r="F60" t="s">
        <v>36</v>
      </c>
      <c r="G60" t="s">
        <v>14</v>
      </c>
      <c r="H60" t="s">
        <v>30</v>
      </c>
      <c r="I60" t="s">
        <v>38</v>
      </c>
    </row>
    <row r="61" spans="1:9" x14ac:dyDescent="0.35">
      <c r="A61" t="s">
        <v>217</v>
      </c>
      <c r="B61" t="s">
        <v>218</v>
      </c>
      <c r="C61" t="s">
        <v>2371</v>
      </c>
      <c r="D61" t="s">
        <v>140</v>
      </c>
      <c r="E61">
        <v>42</v>
      </c>
      <c r="F61" t="s">
        <v>56</v>
      </c>
      <c r="G61" t="s">
        <v>22</v>
      </c>
      <c r="H61" t="s">
        <v>23</v>
      </c>
      <c r="I61" t="s">
        <v>23</v>
      </c>
    </row>
    <row r="62" spans="1:9" x14ac:dyDescent="0.35">
      <c r="A62" t="s">
        <v>219</v>
      </c>
      <c r="B62" t="s">
        <v>220</v>
      </c>
      <c r="C62" t="s">
        <v>2372</v>
      </c>
      <c r="D62" t="s">
        <v>26</v>
      </c>
      <c r="E62">
        <v>32</v>
      </c>
      <c r="F62" t="s">
        <v>56</v>
      </c>
      <c r="G62" t="s">
        <v>37</v>
      </c>
      <c r="H62" t="s">
        <v>70</v>
      </c>
      <c r="I62" t="s">
        <v>71</v>
      </c>
    </row>
    <row r="63" spans="1:9" x14ac:dyDescent="0.35">
      <c r="A63" t="s">
        <v>222</v>
      </c>
      <c r="B63" t="s">
        <v>223</v>
      </c>
      <c r="C63" t="s">
        <v>2373</v>
      </c>
      <c r="D63" t="s">
        <v>26</v>
      </c>
      <c r="E63">
        <v>23</v>
      </c>
      <c r="F63" t="s">
        <v>36</v>
      </c>
      <c r="G63" t="s">
        <v>29</v>
      </c>
      <c r="H63" t="s">
        <v>30</v>
      </c>
      <c r="I63" t="s">
        <v>31</v>
      </c>
    </row>
    <row r="64" spans="1:9" x14ac:dyDescent="0.35">
      <c r="A64" t="s">
        <v>224</v>
      </c>
      <c r="B64" t="s">
        <v>2008</v>
      </c>
      <c r="C64" t="s">
        <v>2374</v>
      </c>
      <c r="D64" t="s">
        <v>140</v>
      </c>
      <c r="E64">
        <v>48</v>
      </c>
      <c r="F64" t="s">
        <v>56</v>
      </c>
      <c r="G64" t="s">
        <v>29</v>
      </c>
      <c r="H64" t="s">
        <v>57</v>
      </c>
      <c r="I64" t="s">
        <v>85</v>
      </c>
    </row>
    <row r="65" spans="1:9" x14ac:dyDescent="0.35">
      <c r="A65" t="s">
        <v>227</v>
      </c>
      <c r="B65" t="s">
        <v>2009</v>
      </c>
      <c r="C65" t="s">
        <v>2375</v>
      </c>
      <c r="D65" t="s">
        <v>34</v>
      </c>
      <c r="E65">
        <v>40</v>
      </c>
      <c r="F65" t="s">
        <v>13</v>
      </c>
      <c r="G65" t="s">
        <v>22</v>
      </c>
      <c r="H65" t="s">
        <v>171</v>
      </c>
      <c r="I65" t="s">
        <v>30</v>
      </c>
    </row>
    <row r="66" spans="1:9" x14ac:dyDescent="0.35">
      <c r="A66" t="s">
        <v>229</v>
      </c>
      <c r="B66" t="s">
        <v>230</v>
      </c>
      <c r="C66" t="s">
        <v>2376</v>
      </c>
      <c r="D66" t="s">
        <v>140</v>
      </c>
      <c r="E66">
        <v>22</v>
      </c>
      <c r="F66" t="s">
        <v>56</v>
      </c>
      <c r="G66" t="s">
        <v>14</v>
      </c>
      <c r="H66" t="s">
        <v>57</v>
      </c>
      <c r="I66" t="s">
        <v>232</v>
      </c>
    </row>
    <row r="67" spans="1:9" x14ac:dyDescent="0.35">
      <c r="A67" t="s">
        <v>233</v>
      </c>
      <c r="B67" t="s">
        <v>234</v>
      </c>
      <c r="C67" t="s">
        <v>2377</v>
      </c>
      <c r="D67" t="s">
        <v>34</v>
      </c>
      <c r="E67">
        <v>57</v>
      </c>
      <c r="F67" t="s">
        <v>109</v>
      </c>
      <c r="G67" t="s">
        <v>22</v>
      </c>
      <c r="H67" t="s">
        <v>23</v>
      </c>
      <c r="I67" t="s">
        <v>23</v>
      </c>
    </row>
    <row r="68" spans="1:9" x14ac:dyDescent="0.35">
      <c r="A68" t="s">
        <v>236</v>
      </c>
      <c r="B68" t="s">
        <v>237</v>
      </c>
      <c r="C68" t="s">
        <v>2378</v>
      </c>
      <c r="D68" t="s">
        <v>26</v>
      </c>
      <c r="E68" t="s">
        <v>239</v>
      </c>
      <c r="F68" t="s">
        <v>36</v>
      </c>
      <c r="G68" t="s">
        <v>22</v>
      </c>
      <c r="H68" t="s">
        <v>30</v>
      </c>
      <c r="I68" t="s">
        <v>30</v>
      </c>
    </row>
    <row r="69" spans="1:9" x14ac:dyDescent="0.35">
      <c r="A69" t="s">
        <v>240</v>
      </c>
      <c r="B69" t="s">
        <v>241</v>
      </c>
      <c r="C69" t="s">
        <v>2379</v>
      </c>
      <c r="D69" t="s">
        <v>140</v>
      </c>
      <c r="E69">
        <v>64</v>
      </c>
      <c r="F69" t="s">
        <v>13</v>
      </c>
      <c r="G69" t="s">
        <v>37</v>
      </c>
      <c r="H69" t="s">
        <v>30</v>
      </c>
      <c r="I69" t="s">
        <v>15</v>
      </c>
    </row>
    <row r="70" spans="1:9" x14ac:dyDescent="0.35">
      <c r="A70" t="s">
        <v>242</v>
      </c>
      <c r="B70" t="s">
        <v>243</v>
      </c>
      <c r="C70" t="s">
        <v>2380</v>
      </c>
      <c r="D70" t="s">
        <v>26</v>
      </c>
      <c r="E70">
        <v>35</v>
      </c>
      <c r="F70" t="s">
        <v>56</v>
      </c>
      <c r="G70" t="s">
        <v>29</v>
      </c>
      <c r="H70" t="s">
        <v>171</v>
      </c>
      <c r="I70" t="s">
        <v>31</v>
      </c>
    </row>
    <row r="71" spans="1:9" x14ac:dyDescent="0.35">
      <c r="A71" t="s">
        <v>244</v>
      </c>
      <c r="B71" t="s">
        <v>245</v>
      </c>
      <c r="C71" t="s">
        <v>2381</v>
      </c>
      <c r="D71" t="s">
        <v>26</v>
      </c>
      <c r="E71">
        <v>20</v>
      </c>
      <c r="F71" t="s">
        <v>13</v>
      </c>
      <c r="G71" t="s">
        <v>22</v>
      </c>
      <c r="H71" t="s">
        <v>23</v>
      </c>
      <c r="I71" t="s">
        <v>23</v>
      </c>
    </row>
    <row r="72" spans="1:9" x14ac:dyDescent="0.35">
      <c r="A72" t="s">
        <v>247</v>
      </c>
      <c r="B72" t="s">
        <v>248</v>
      </c>
      <c r="C72" t="s">
        <v>2382</v>
      </c>
      <c r="D72" t="s">
        <v>20</v>
      </c>
      <c r="E72">
        <v>30</v>
      </c>
      <c r="F72" t="s">
        <v>36</v>
      </c>
      <c r="G72" t="s">
        <v>14</v>
      </c>
      <c r="H72" t="s">
        <v>70</v>
      </c>
      <c r="I72" t="s">
        <v>44</v>
      </c>
    </row>
    <row r="73" spans="1:9" x14ac:dyDescent="0.35">
      <c r="A73" t="s">
        <v>249</v>
      </c>
      <c r="B73" t="s">
        <v>250</v>
      </c>
      <c r="C73" t="s">
        <v>2383</v>
      </c>
      <c r="D73" t="s">
        <v>26</v>
      </c>
      <c r="E73" t="s">
        <v>251</v>
      </c>
      <c r="F73" t="s">
        <v>56</v>
      </c>
      <c r="G73" t="s">
        <v>29</v>
      </c>
      <c r="H73" t="s">
        <v>57</v>
      </c>
      <c r="I73" t="s">
        <v>85</v>
      </c>
    </row>
    <row r="74" spans="1:9" x14ac:dyDescent="0.35">
      <c r="A74" t="s">
        <v>98</v>
      </c>
      <c r="B74" t="s">
        <v>252</v>
      </c>
      <c r="C74" t="s">
        <v>2384</v>
      </c>
      <c r="D74" t="s">
        <v>26</v>
      </c>
      <c r="E74">
        <v>58</v>
      </c>
      <c r="F74" t="s">
        <v>42</v>
      </c>
      <c r="G74" t="s">
        <v>29</v>
      </c>
      <c r="H74" t="s">
        <v>180</v>
      </c>
      <c r="I74" t="s">
        <v>128</v>
      </c>
    </row>
    <row r="75" spans="1:9" x14ac:dyDescent="0.35">
      <c r="A75" t="s">
        <v>35</v>
      </c>
      <c r="B75" t="s">
        <v>254</v>
      </c>
      <c r="C75" t="s">
        <v>1962</v>
      </c>
      <c r="D75" t="s">
        <v>112</v>
      </c>
      <c r="E75">
        <v>38</v>
      </c>
      <c r="F75" t="s">
        <v>13</v>
      </c>
      <c r="G75" t="s">
        <v>29</v>
      </c>
      <c r="H75" t="s">
        <v>57</v>
      </c>
      <c r="I75" t="s">
        <v>85</v>
      </c>
    </row>
    <row r="76" spans="1:9" x14ac:dyDescent="0.35">
      <c r="A76" t="s">
        <v>256</v>
      </c>
      <c r="B76" t="s">
        <v>257</v>
      </c>
      <c r="C76" t="s">
        <v>2377</v>
      </c>
      <c r="D76" t="s">
        <v>34</v>
      </c>
      <c r="E76">
        <v>57</v>
      </c>
      <c r="F76" t="s">
        <v>99</v>
      </c>
      <c r="G76" t="s">
        <v>29</v>
      </c>
      <c r="H76" t="s">
        <v>15</v>
      </c>
      <c r="I76" t="s">
        <v>130</v>
      </c>
    </row>
    <row r="77" spans="1:9" x14ac:dyDescent="0.35">
      <c r="A77" t="s">
        <v>259</v>
      </c>
      <c r="B77" t="s">
        <v>911</v>
      </c>
      <c r="C77" t="s">
        <v>2385</v>
      </c>
      <c r="D77" t="s">
        <v>34</v>
      </c>
      <c r="E77">
        <v>42</v>
      </c>
      <c r="F77" t="s">
        <v>62</v>
      </c>
      <c r="G77" t="s">
        <v>22</v>
      </c>
      <c r="H77" t="s">
        <v>75</v>
      </c>
      <c r="I77" t="s">
        <v>15</v>
      </c>
    </row>
    <row r="78" spans="1:9" x14ac:dyDescent="0.35">
      <c r="A78" t="s">
        <v>260</v>
      </c>
      <c r="B78" t="s">
        <v>2010</v>
      </c>
      <c r="C78" t="s">
        <v>2386</v>
      </c>
      <c r="D78" t="s">
        <v>26</v>
      </c>
      <c r="E78">
        <v>40</v>
      </c>
      <c r="F78" t="s">
        <v>56</v>
      </c>
      <c r="G78" t="s">
        <v>14</v>
      </c>
      <c r="H78" t="s">
        <v>23</v>
      </c>
      <c r="I78" t="s">
        <v>79</v>
      </c>
    </row>
    <row r="79" spans="1:9" x14ac:dyDescent="0.35">
      <c r="A79" t="s">
        <v>262</v>
      </c>
      <c r="B79" t="s">
        <v>263</v>
      </c>
      <c r="C79" t="s">
        <v>2387</v>
      </c>
      <c r="D79" t="s">
        <v>26</v>
      </c>
      <c r="E79">
        <v>51</v>
      </c>
      <c r="F79" t="s">
        <v>56</v>
      </c>
      <c r="G79" t="s">
        <v>37</v>
      </c>
      <c r="H79" t="s">
        <v>70</v>
      </c>
      <c r="I79" t="s">
        <v>71</v>
      </c>
    </row>
    <row r="80" spans="1:9" x14ac:dyDescent="0.35">
      <c r="A80" t="s">
        <v>264</v>
      </c>
      <c r="B80" t="s">
        <v>265</v>
      </c>
      <c r="C80" t="s">
        <v>2388</v>
      </c>
      <c r="D80" t="s">
        <v>26</v>
      </c>
      <c r="E80">
        <v>28</v>
      </c>
      <c r="F80" t="s">
        <v>36</v>
      </c>
      <c r="G80" t="s">
        <v>37</v>
      </c>
      <c r="H80" t="s">
        <v>15</v>
      </c>
      <c r="I80" t="s">
        <v>38</v>
      </c>
    </row>
    <row r="81" spans="1:9" x14ac:dyDescent="0.35">
      <c r="A81" t="s">
        <v>266</v>
      </c>
      <c r="B81" t="s">
        <v>267</v>
      </c>
      <c r="C81" t="s">
        <v>2389</v>
      </c>
      <c r="D81" t="s">
        <v>268</v>
      </c>
      <c r="E81">
        <v>49</v>
      </c>
      <c r="F81" t="s">
        <v>62</v>
      </c>
      <c r="G81" t="s">
        <v>37</v>
      </c>
      <c r="H81" t="s">
        <v>23</v>
      </c>
      <c r="I81" t="s">
        <v>107</v>
      </c>
    </row>
    <row r="82" spans="1:9" x14ac:dyDescent="0.35">
      <c r="A82" t="s">
        <v>269</v>
      </c>
      <c r="B82" t="s">
        <v>2011</v>
      </c>
      <c r="C82" t="s">
        <v>2390</v>
      </c>
      <c r="D82" t="s">
        <v>34</v>
      </c>
      <c r="E82">
        <v>28</v>
      </c>
      <c r="F82" t="s">
        <v>13</v>
      </c>
      <c r="G82" t="s">
        <v>29</v>
      </c>
      <c r="H82" t="s">
        <v>70</v>
      </c>
      <c r="I82" t="s">
        <v>191</v>
      </c>
    </row>
    <row r="83" spans="1:9" x14ac:dyDescent="0.35">
      <c r="A83" t="s">
        <v>271</v>
      </c>
      <c r="B83" t="s">
        <v>1971</v>
      </c>
      <c r="C83" t="s">
        <v>2391</v>
      </c>
      <c r="D83" t="s">
        <v>140</v>
      </c>
      <c r="E83">
        <v>60</v>
      </c>
      <c r="F83" t="s">
        <v>99</v>
      </c>
      <c r="G83" t="s">
        <v>37</v>
      </c>
      <c r="H83" t="s">
        <v>57</v>
      </c>
      <c r="I83" t="s">
        <v>163</v>
      </c>
    </row>
    <row r="84" spans="1:9" x14ac:dyDescent="0.35">
      <c r="A84" t="s">
        <v>273</v>
      </c>
      <c r="B84" t="s">
        <v>2012</v>
      </c>
      <c r="C84" t="s">
        <v>2392</v>
      </c>
      <c r="D84" t="s">
        <v>26</v>
      </c>
      <c r="E84">
        <v>20</v>
      </c>
      <c r="F84" t="s">
        <v>36</v>
      </c>
      <c r="G84" t="s">
        <v>29</v>
      </c>
      <c r="H84" t="s">
        <v>15</v>
      </c>
      <c r="I84" t="s">
        <v>130</v>
      </c>
    </row>
    <row r="85" spans="1:9" x14ac:dyDescent="0.35">
      <c r="A85" t="s">
        <v>274</v>
      </c>
      <c r="B85" t="s">
        <v>248</v>
      </c>
      <c r="C85" t="s">
        <v>2393</v>
      </c>
      <c r="D85" t="s">
        <v>26</v>
      </c>
      <c r="E85">
        <v>52</v>
      </c>
      <c r="F85" t="s">
        <v>48</v>
      </c>
      <c r="G85" t="s">
        <v>37</v>
      </c>
      <c r="H85" t="s">
        <v>30</v>
      </c>
      <c r="I85" t="s">
        <v>15</v>
      </c>
    </row>
    <row r="86" spans="1:9" x14ac:dyDescent="0.35">
      <c r="A86" t="s">
        <v>275</v>
      </c>
      <c r="B86" t="s">
        <v>1366</v>
      </c>
      <c r="C86" t="s">
        <v>2394</v>
      </c>
      <c r="D86" t="s">
        <v>268</v>
      </c>
      <c r="E86" t="s">
        <v>276</v>
      </c>
      <c r="F86" t="s">
        <v>56</v>
      </c>
      <c r="G86" t="s">
        <v>22</v>
      </c>
      <c r="H86" t="s">
        <v>30</v>
      </c>
      <c r="I86" t="s">
        <v>30</v>
      </c>
    </row>
    <row r="87" spans="1:9" x14ac:dyDescent="0.35">
      <c r="A87" t="s">
        <v>277</v>
      </c>
      <c r="B87" t="s">
        <v>151</v>
      </c>
      <c r="C87" t="s">
        <v>2395</v>
      </c>
      <c r="D87" t="s">
        <v>26</v>
      </c>
      <c r="E87">
        <v>35</v>
      </c>
      <c r="F87" t="s">
        <v>117</v>
      </c>
      <c r="G87" t="s">
        <v>22</v>
      </c>
      <c r="H87" t="s">
        <v>30</v>
      </c>
      <c r="I87" t="s">
        <v>30</v>
      </c>
    </row>
    <row r="88" spans="1:9" x14ac:dyDescent="0.35">
      <c r="A88" t="s">
        <v>279</v>
      </c>
      <c r="B88" t="s">
        <v>1246</v>
      </c>
      <c r="C88" t="s">
        <v>575</v>
      </c>
      <c r="D88" t="s">
        <v>26</v>
      </c>
      <c r="E88">
        <v>37</v>
      </c>
      <c r="F88" t="s">
        <v>56</v>
      </c>
      <c r="G88" t="s">
        <v>29</v>
      </c>
      <c r="H88" t="s">
        <v>282</v>
      </c>
      <c r="I88" t="s">
        <v>85</v>
      </c>
    </row>
    <row r="89" spans="1:9" x14ac:dyDescent="0.35">
      <c r="A89" t="s">
        <v>283</v>
      </c>
      <c r="B89" t="s">
        <v>284</v>
      </c>
      <c r="C89" t="s">
        <v>2396</v>
      </c>
      <c r="D89" t="s">
        <v>26</v>
      </c>
      <c r="E89">
        <v>34</v>
      </c>
      <c r="F89" t="s">
        <v>36</v>
      </c>
      <c r="G89" t="s">
        <v>37</v>
      </c>
      <c r="H89" t="s">
        <v>15</v>
      </c>
      <c r="I89" t="s">
        <v>38</v>
      </c>
    </row>
    <row r="90" spans="1:9" x14ac:dyDescent="0.35">
      <c r="A90" t="s">
        <v>286</v>
      </c>
      <c r="B90" t="s">
        <v>287</v>
      </c>
      <c r="C90" t="s">
        <v>2397</v>
      </c>
      <c r="D90" t="s">
        <v>34</v>
      </c>
      <c r="E90">
        <v>63</v>
      </c>
      <c r="F90" t="s">
        <v>13</v>
      </c>
      <c r="G90" t="s">
        <v>14</v>
      </c>
      <c r="H90" t="s">
        <v>288</v>
      </c>
      <c r="I90" t="s">
        <v>79</v>
      </c>
    </row>
    <row r="91" spans="1:9" x14ac:dyDescent="0.35">
      <c r="A91" t="s">
        <v>289</v>
      </c>
      <c r="B91" t="s">
        <v>290</v>
      </c>
      <c r="C91" t="s">
        <v>2398</v>
      </c>
      <c r="D91" t="s">
        <v>26</v>
      </c>
      <c r="E91">
        <v>37</v>
      </c>
      <c r="F91" t="s">
        <v>56</v>
      </c>
      <c r="G91" t="s">
        <v>14</v>
      </c>
      <c r="H91" t="s">
        <v>30</v>
      </c>
      <c r="I91" t="s">
        <v>38</v>
      </c>
    </row>
    <row r="92" spans="1:9" x14ac:dyDescent="0.35">
      <c r="A92" t="s">
        <v>292</v>
      </c>
      <c r="B92" t="s">
        <v>293</v>
      </c>
      <c r="C92" t="s">
        <v>2399</v>
      </c>
      <c r="D92" t="s">
        <v>26</v>
      </c>
      <c r="E92">
        <v>33</v>
      </c>
      <c r="F92" t="s">
        <v>56</v>
      </c>
      <c r="G92" t="s">
        <v>22</v>
      </c>
      <c r="H92" t="s">
        <v>15</v>
      </c>
      <c r="I92" t="s">
        <v>15</v>
      </c>
    </row>
    <row r="93" spans="1:9" x14ac:dyDescent="0.35">
      <c r="A93" t="s">
        <v>148</v>
      </c>
      <c r="B93" t="s">
        <v>2003</v>
      </c>
      <c r="C93" t="s">
        <v>2325</v>
      </c>
      <c r="D93" t="s">
        <v>46</v>
      </c>
      <c r="E93">
        <v>60</v>
      </c>
      <c r="F93" t="s">
        <v>124</v>
      </c>
      <c r="G93" t="s">
        <v>14</v>
      </c>
      <c r="H93" t="s">
        <v>23</v>
      </c>
      <c r="I93" t="s">
        <v>79</v>
      </c>
    </row>
    <row r="94" spans="1:9" x14ac:dyDescent="0.35">
      <c r="A94" t="s">
        <v>295</v>
      </c>
      <c r="B94" t="s">
        <v>296</v>
      </c>
      <c r="C94" t="s">
        <v>1349</v>
      </c>
      <c r="D94" t="s">
        <v>26</v>
      </c>
      <c r="E94">
        <v>35</v>
      </c>
      <c r="F94" t="s">
        <v>48</v>
      </c>
      <c r="G94" t="s">
        <v>29</v>
      </c>
      <c r="H94" t="s">
        <v>171</v>
      </c>
      <c r="I94" t="s">
        <v>31</v>
      </c>
    </row>
    <row r="95" spans="1:9" x14ac:dyDescent="0.35">
      <c r="A95" t="s">
        <v>297</v>
      </c>
      <c r="B95" t="s">
        <v>2013</v>
      </c>
      <c r="C95" t="s">
        <v>2400</v>
      </c>
      <c r="D95" t="s">
        <v>26</v>
      </c>
      <c r="E95">
        <v>64</v>
      </c>
      <c r="F95" t="s">
        <v>124</v>
      </c>
      <c r="G95" t="s">
        <v>14</v>
      </c>
      <c r="H95" t="s">
        <v>57</v>
      </c>
      <c r="I95" t="s">
        <v>232</v>
      </c>
    </row>
    <row r="96" spans="1:9" x14ac:dyDescent="0.35">
      <c r="A96" t="s">
        <v>298</v>
      </c>
      <c r="B96" t="s">
        <v>1777</v>
      </c>
      <c r="C96" t="s">
        <v>2401</v>
      </c>
      <c r="D96" t="s">
        <v>26</v>
      </c>
      <c r="E96">
        <v>36</v>
      </c>
      <c r="F96" t="s">
        <v>56</v>
      </c>
      <c r="G96" t="s">
        <v>37</v>
      </c>
      <c r="H96" t="s">
        <v>49</v>
      </c>
      <c r="I96" t="s">
        <v>15</v>
      </c>
    </row>
    <row r="97" spans="1:9" x14ac:dyDescent="0.35">
      <c r="A97" t="s">
        <v>301</v>
      </c>
      <c r="B97" t="s">
        <v>10</v>
      </c>
      <c r="C97" t="s">
        <v>2402</v>
      </c>
      <c r="D97" t="s">
        <v>34</v>
      </c>
      <c r="E97">
        <v>49</v>
      </c>
      <c r="F97" t="s">
        <v>56</v>
      </c>
      <c r="G97" t="s">
        <v>22</v>
      </c>
      <c r="H97" t="s">
        <v>57</v>
      </c>
      <c r="I97" t="s">
        <v>57</v>
      </c>
    </row>
    <row r="98" spans="1:9" x14ac:dyDescent="0.35">
      <c r="A98" t="s">
        <v>302</v>
      </c>
      <c r="B98" t="s">
        <v>303</v>
      </c>
      <c r="C98" t="s">
        <v>2403</v>
      </c>
      <c r="D98" t="s">
        <v>140</v>
      </c>
      <c r="E98">
        <v>29</v>
      </c>
      <c r="F98" t="s">
        <v>56</v>
      </c>
      <c r="G98" t="s">
        <v>37</v>
      </c>
      <c r="H98" t="s">
        <v>96</v>
      </c>
      <c r="I98" t="s">
        <v>38</v>
      </c>
    </row>
    <row r="99" spans="1:9" x14ac:dyDescent="0.35">
      <c r="A99" t="s">
        <v>305</v>
      </c>
      <c r="B99" t="s">
        <v>306</v>
      </c>
      <c r="C99" t="s">
        <v>2404</v>
      </c>
      <c r="D99" t="s">
        <v>140</v>
      </c>
      <c r="E99">
        <v>49</v>
      </c>
      <c r="F99" t="s">
        <v>36</v>
      </c>
      <c r="G99" t="s">
        <v>29</v>
      </c>
      <c r="H99" t="s">
        <v>30</v>
      </c>
      <c r="I99" t="s">
        <v>31</v>
      </c>
    </row>
    <row r="100" spans="1:9" x14ac:dyDescent="0.35">
      <c r="A100" t="s">
        <v>307</v>
      </c>
      <c r="B100" t="s">
        <v>2014</v>
      </c>
      <c r="C100" t="s">
        <v>2254</v>
      </c>
      <c r="D100" t="s">
        <v>26</v>
      </c>
      <c r="E100" t="s">
        <v>308</v>
      </c>
      <c r="F100" t="s">
        <v>69</v>
      </c>
      <c r="G100" t="s">
        <v>14</v>
      </c>
      <c r="H100" t="s">
        <v>15</v>
      </c>
      <c r="I100" t="s">
        <v>16</v>
      </c>
    </row>
    <row r="101" spans="1:9" x14ac:dyDescent="0.35">
      <c r="A101" t="s">
        <v>309</v>
      </c>
      <c r="B101" t="s">
        <v>310</v>
      </c>
      <c r="C101" t="s">
        <v>2405</v>
      </c>
      <c r="D101" t="s">
        <v>140</v>
      </c>
      <c r="E101">
        <v>34</v>
      </c>
      <c r="F101" t="s">
        <v>13</v>
      </c>
      <c r="G101" t="s">
        <v>14</v>
      </c>
      <c r="H101" t="s">
        <v>57</v>
      </c>
      <c r="I101" t="s">
        <v>232</v>
      </c>
    </row>
    <row r="102" spans="1:9" x14ac:dyDescent="0.35">
      <c r="A102" t="s">
        <v>312</v>
      </c>
      <c r="B102" t="s">
        <v>313</v>
      </c>
      <c r="C102" t="s">
        <v>2406</v>
      </c>
      <c r="D102" t="s">
        <v>268</v>
      </c>
      <c r="E102">
        <v>57</v>
      </c>
      <c r="F102" t="s">
        <v>56</v>
      </c>
      <c r="G102" t="s">
        <v>22</v>
      </c>
      <c r="H102" t="s">
        <v>57</v>
      </c>
      <c r="I102" t="s">
        <v>57</v>
      </c>
    </row>
    <row r="103" spans="1:9" x14ac:dyDescent="0.35">
      <c r="A103" t="s">
        <v>314</v>
      </c>
      <c r="B103" t="s">
        <v>315</v>
      </c>
      <c r="C103" t="s">
        <v>2407</v>
      </c>
      <c r="D103" t="s">
        <v>34</v>
      </c>
      <c r="E103" t="s">
        <v>316</v>
      </c>
      <c r="F103" t="s">
        <v>13</v>
      </c>
      <c r="G103" t="s">
        <v>29</v>
      </c>
      <c r="H103" t="s">
        <v>288</v>
      </c>
      <c r="I103" t="s">
        <v>128</v>
      </c>
    </row>
    <row r="104" spans="1:9" x14ac:dyDescent="0.35">
      <c r="A104" t="s">
        <v>317</v>
      </c>
      <c r="B104" t="s">
        <v>2015</v>
      </c>
      <c r="C104" t="s">
        <v>2408</v>
      </c>
      <c r="D104" t="s">
        <v>112</v>
      </c>
      <c r="E104">
        <v>20</v>
      </c>
      <c r="F104" t="s">
        <v>28</v>
      </c>
      <c r="H104" t="s">
        <v>15</v>
      </c>
      <c r="I104" t="s">
        <v>15</v>
      </c>
    </row>
    <row r="105" spans="1:9" x14ac:dyDescent="0.35">
      <c r="A105" t="s">
        <v>318</v>
      </c>
      <c r="B105" t="s">
        <v>319</v>
      </c>
      <c r="C105" t="s">
        <v>2409</v>
      </c>
      <c r="D105" t="s">
        <v>26</v>
      </c>
      <c r="E105" t="s">
        <v>320</v>
      </c>
      <c r="F105" t="s">
        <v>56</v>
      </c>
      <c r="G105" t="s">
        <v>14</v>
      </c>
      <c r="H105" t="s">
        <v>15</v>
      </c>
      <c r="I105" t="s">
        <v>16</v>
      </c>
    </row>
    <row r="106" spans="1:9" x14ac:dyDescent="0.35">
      <c r="A106" t="s">
        <v>321</v>
      </c>
      <c r="B106" t="s">
        <v>322</v>
      </c>
      <c r="C106" t="s">
        <v>2410</v>
      </c>
      <c r="D106" t="s">
        <v>140</v>
      </c>
      <c r="E106">
        <v>26</v>
      </c>
      <c r="F106" t="s">
        <v>99</v>
      </c>
      <c r="G106" t="s">
        <v>29</v>
      </c>
      <c r="H106" t="s">
        <v>57</v>
      </c>
      <c r="I106" t="s">
        <v>85</v>
      </c>
    </row>
    <row r="107" spans="1:9" x14ac:dyDescent="0.35">
      <c r="A107" t="s">
        <v>323</v>
      </c>
      <c r="B107" t="s">
        <v>324</v>
      </c>
      <c r="C107" t="s">
        <v>2411</v>
      </c>
      <c r="D107" t="s">
        <v>26</v>
      </c>
      <c r="E107">
        <v>51</v>
      </c>
      <c r="F107" t="s">
        <v>36</v>
      </c>
      <c r="G107" t="s">
        <v>37</v>
      </c>
      <c r="H107" t="s">
        <v>23</v>
      </c>
      <c r="I107" t="s">
        <v>107</v>
      </c>
    </row>
    <row r="108" spans="1:9" x14ac:dyDescent="0.35">
      <c r="A108" t="s">
        <v>326</v>
      </c>
      <c r="B108" t="s">
        <v>327</v>
      </c>
      <c r="C108" t="s">
        <v>2412</v>
      </c>
      <c r="D108" t="s">
        <v>34</v>
      </c>
      <c r="E108">
        <v>51</v>
      </c>
      <c r="F108" t="s">
        <v>62</v>
      </c>
      <c r="G108" t="s">
        <v>29</v>
      </c>
      <c r="H108" t="s">
        <v>57</v>
      </c>
      <c r="I108" t="s">
        <v>85</v>
      </c>
    </row>
    <row r="109" spans="1:9" x14ac:dyDescent="0.35">
      <c r="A109" t="s">
        <v>328</v>
      </c>
      <c r="B109" t="s">
        <v>2016</v>
      </c>
      <c r="C109" t="s">
        <v>2413</v>
      </c>
      <c r="D109" t="s">
        <v>34</v>
      </c>
      <c r="E109">
        <v>51</v>
      </c>
      <c r="F109" t="s">
        <v>13</v>
      </c>
      <c r="G109" t="s">
        <v>29</v>
      </c>
      <c r="I109" t="s">
        <v>128</v>
      </c>
    </row>
    <row r="110" spans="1:9" x14ac:dyDescent="0.35">
      <c r="A110" t="s">
        <v>330</v>
      </c>
      <c r="B110" t="s">
        <v>2017</v>
      </c>
      <c r="C110" t="s">
        <v>2414</v>
      </c>
      <c r="D110" t="s">
        <v>26</v>
      </c>
      <c r="E110">
        <v>22</v>
      </c>
      <c r="F110" t="s">
        <v>13</v>
      </c>
      <c r="G110" t="s">
        <v>22</v>
      </c>
      <c r="H110" t="s">
        <v>153</v>
      </c>
      <c r="I110" t="s">
        <v>15</v>
      </c>
    </row>
    <row r="111" spans="1:9" x14ac:dyDescent="0.35">
      <c r="A111" t="s">
        <v>332</v>
      </c>
      <c r="B111" t="s">
        <v>198</v>
      </c>
      <c r="C111" t="s">
        <v>2415</v>
      </c>
      <c r="D111" t="s">
        <v>26</v>
      </c>
      <c r="E111" t="s">
        <v>334</v>
      </c>
      <c r="F111" t="s">
        <v>36</v>
      </c>
      <c r="G111" t="s">
        <v>22</v>
      </c>
      <c r="H111" t="s">
        <v>57</v>
      </c>
      <c r="I111" t="s">
        <v>57</v>
      </c>
    </row>
    <row r="112" spans="1:9" x14ac:dyDescent="0.35">
      <c r="A112" t="s">
        <v>335</v>
      </c>
      <c r="B112" t="s">
        <v>336</v>
      </c>
      <c r="C112" t="s">
        <v>2416</v>
      </c>
      <c r="D112" t="s">
        <v>20</v>
      </c>
      <c r="E112">
        <v>37</v>
      </c>
      <c r="F112" t="s">
        <v>36</v>
      </c>
      <c r="G112" t="s">
        <v>14</v>
      </c>
      <c r="H112" t="s">
        <v>147</v>
      </c>
      <c r="I112" t="s">
        <v>44</v>
      </c>
    </row>
    <row r="113" spans="1:9" x14ac:dyDescent="0.35">
      <c r="A113" t="s">
        <v>337</v>
      </c>
      <c r="B113" t="s">
        <v>2018</v>
      </c>
      <c r="C113" t="s">
        <v>2351</v>
      </c>
      <c r="D113" t="s">
        <v>26</v>
      </c>
      <c r="E113">
        <v>34</v>
      </c>
      <c r="F113" t="s">
        <v>69</v>
      </c>
      <c r="G113" t="s">
        <v>22</v>
      </c>
      <c r="H113" t="s">
        <v>15</v>
      </c>
      <c r="I113" t="s">
        <v>15</v>
      </c>
    </row>
    <row r="114" spans="1:9" x14ac:dyDescent="0.35">
      <c r="A114" t="s">
        <v>338</v>
      </c>
      <c r="B114" t="s">
        <v>339</v>
      </c>
      <c r="C114" t="s">
        <v>2417</v>
      </c>
      <c r="D114" t="s">
        <v>20</v>
      </c>
      <c r="E114">
        <v>54</v>
      </c>
      <c r="F114" t="s">
        <v>109</v>
      </c>
      <c r="H114" t="s">
        <v>15</v>
      </c>
      <c r="I114" t="s">
        <v>15</v>
      </c>
    </row>
    <row r="115" spans="1:9" x14ac:dyDescent="0.35">
      <c r="A115" t="s">
        <v>341</v>
      </c>
      <c r="B115" t="s">
        <v>2019</v>
      </c>
      <c r="C115" t="s">
        <v>2418</v>
      </c>
      <c r="D115" t="s">
        <v>26</v>
      </c>
      <c r="E115" t="s">
        <v>342</v>
      </c>
      <c r="F115" t="s">
        <v>13</v>
      </c>
      <c r="G115" t="s">
        <v>22</v>
      </c>
      <c r="I115" t="s">
        <v>30</v>
      </c>
    </row>
    <row r="116" spans="1:9" x14ac:dyDescent="0.35">
      <c r="A116" t="s">
        <v>343</v>
      </c>
      <c r="B116" t="s">
        <v>2020</v>
      </c>
      <c r="C116" t="s">
        <v>2419</v>
      </c>
      <c r="D116" t="s">
        <v>26</v>
      </c>
      <c r="E116">
        <v>34</v>
      </c>
      <c r="F116" t="s">
        <v>48</v>
      </c>
      <c r="G116" t="s">
        <v>29</v>
      </c>
      <c r="H116" t="s">
        <v>84</v>
      </c>
      <c r="I116" t="s">
        <v>85</v>
      </c>
    </row>
    <row r="117" spans="1:9" x14ac:dyDescent="0.35">
      <c r="A117" t="s">
        <v>104</v>
      </c>
      <c r="B117" t="s">
        <v>345</v>
      </c>
      <c r="C117" t="s">
        <v>2420</v>
      </c>
      <c r="D117" t="s">
        <v>26</v>
      </c>
      <c r="E117">
        <v>38</v>
      </c>
      <c r="F117" t="s">
        <v>36</v>
      </c>
      <c r="G117" t="s">
        <v>37</v>
      </c>
      <c r="H117" t="s">
        <v>30</v>
      </c>
      <c r="I117" t="s">
        <v>15</v>
      </c>
    </row>
    <row r="118" spans="1:9" x14ac:dyDescent="0.35">
      <c r="A118" t="s">
        <v>92</v>
      </c>
      <c r="B118" t="s">
        <v>347</v>
      </c>
      <c r="C118" t="s">
        <v>2421</v>
      </c>
      <c r="D118" t="s">
        <v>34</v>
      </c>
      <c r="E118">
        <v>18</v>
      </c>
      <c r="F118" t="s">
        <v>56</v>
      </c>
      <c r="G118" t="s">
        <v>14</v>
      </c>
      <c r="H118" t="s">
        <v>23</v>
      </c>
      <c r="I118" t="s">
        <v>79</v>
      </c>
    </row>
    <row r="119" spans="1:9" x14ac:dyDescent="0.35">
      <c r="A119" t="s">
        <v>160</v>
      </c>
      <c r="B119" t="s">
        <v>349</v>
      </c>
      <c r="C119" t="s">
        <v>2422</v>
      </c>
      <c r="D119" t="s">
        <v>26</v>
      </c>
      <c r="E119">
        <v>40</v>
      </c>
      <c r="F119" t="s">
        <v>36</v>
      </c>
      <c r="G119" t="s">
        <v>29</v>
      </c>
      <c r="H119" t="s">
        <v>162</v>
      </c>
      <c r="I119" t="s">
        <v>85</v>
      </c>
    </row>
    <row r="120" spans="1:9" x14ac:dyDescent="0.35">
      <c r="A120" t="s">
        <v>351</v>
      </c>
      <c r="B120" t="s">
        <v>352</v>
      </c>
      <c r="C120" t="s">
        <v>2327</v>
      </c>
      <c r="D120" t="s">
        <v>34</v>
      </c>
      <c r="E120">
        <v>28</v>
      </c>
      <c r="F120" t="s">
        <v>36</v>
      </c>
      <c r="G120" t="s">
        <v>37</v>
      </c>
      <c r="H120" t="s">
        <v>70</v>
      </c>
      <c r="I120" t="s">
        <v>71</v>
      </c>
    </row>
    <row r="121" spans="1:9" x14ac:dyDescent="0.35">
      <c r="A121" t="s">
        <v>354</v>
      </c>
      <c r="B121" t="s">
        <v>2021</v>
      </c>
      <c r="C121" t="s">
        <v>2423</v>
      </c>
      <c r="D121" t="s">
        <v>26</v>
      </c>
      <c r="E121">
        <v>48</v>
      </c>
      <c r="F121" t="s">
        <v>13</v>
      </c>
      <c r="G121" t="s">
        <v>29</v>
      </c>
      <c r="H121" t="s">
        <v>15</v>
      </c>
      <c r="I121" t="s">
        <v>130</v>
      </c>
    </row>
    <row r="122" spans="1:9" x14ac:dyDescent="0.35">
      <c r="A122" t="s">
        <v>355</v>
      </c>
      <c r="B122" t="s">
        <v>356</v>
      </c>
      <c r="C122" t="s">
        <v>1529</v>
      </c>
      <c r="D122" t="s">
        <v>140</v>
      </c>
      <c r="E122">
        <v>42</v>
      </c>
      <c r="F122" t="s">
        <v>124</v>
      </c>
      <c r="G122" t="s">
        <v>37</v>
      </c>
      <c r="H122" t="s">
        <v>30</v>
      </c>
      <c r="I122" t="s">
        <v>15</v>
      </c>
    </row>
    <row r="123" spans="1:9" x14ac:dyDescent="0.35">
      <c r="A123" t="s">
        <v>357</v>
      </c>
      <c r="B123" t="s">
        <v>358</v>
      </c>
      <c r="C123" t="s">
        <v>1731</v>
      </c>
      <c r="D123" t="s">
        <v>26</v>
      </c>
      <c r="E123">
        <v>50</v>
      </c>
      <c r="F123" t="s">
        <v>13</v>
      </c>
      <c r="G123" t="s">
        <v>14</v>
      </c>
      <c r="H123" t="s">
        <v>23</v>
      </c>
      <c r="I123" t="s">
        <v>79</v>
      </c>
    </row>
    <row r="124" spans="1:9" x14ac:dyDescent="0.35">
      <c r="A124" t="s">
        <v>360</v>
      </c>
      <c r="B124" t="s">
        <v>361</v>
      </c>
      <c r="C124" t="s">
        <v>2424</v>
      </c>
      <c r="D124" t="s">
        <v>34</v>
      </c>
      <c r="E124">
        <v>47</v>
      </c>
      <c r="F124" t="s">
        <v>36</v>
      </c>
      <c r="G124" t="s">
        <v>22</v>
      </c>
      <c r="H124" t="s">
        <v>100</v>
      </c>
      <c r="I124" t="s">
        <v>70</v>
      </c>
    </row>
    <row r="125" spans="1:9" x14ac:dyDescent="0.35">
      <c r="A125" t="s">
        <v>362</v>
      </c>
      <c r="B125" t="s">
        <v>2022</v>
      </c>
      <c r="C125" t="s">
        <v>2425</v>
      </c>
      <c r="D125" t="s">
        <v>34</v>
      </c>
      <c r="E125">
        <v>36</v>
      </c>
      <c r="F125" t="s">
        <v>62</v>
      </c>
      <c r="G125" t="s">
        <v>14</v>
      </c>
      <c r="H125" t="s">
        <v>57</v>
      </c>
      <c r="I125" t="s">
        <v>232</v>
      </c>
    </row>
    <row r="126" spans="1:9" x14ac:dyDescent="0.35">
      <c r="A126" t="s">
        <v>364</v>
      </c>
      <c r="B126" t="s">
        <v>2023</v>
      </c>
      <c r="C126" t="s">
        <v>2426</v>
      </c>
      <c r="D126" t="s">
        <v>26</v>
      </c>
      <c r="E126">
        <v>19</v>
      </c>
      <c r="F126" t="s">
        <v>99</v>
      </c>
      <c r="G126" t="s">
        <v>14</v>
      </c>
      <c r="H126" t="s">
        <v>57</v>
      </c>
      <c r="I126" t="s">
        <v>232</v>
      </c>
    </row>
    <row r="127" spans="1:9" x14ac:dyDescent="0.35">
      <c r="A127" t="s">
        <v>367</v>
      </c>
      <c r="B127" t="s">
        <v>2024</v>
      </c>
      <c r="C127" t="s">
        <v>2427</v>
      </c>
      <c r="D127" t="s">
        <v>26</v>
      </c>
      <c r="E127">
        <v>18</v>
      </c>
      <c r="F127" t="s">
        <v>56</v>
      </c>
      <c r="G127" t="s">
        <v>22</v>
      </c>
      <c r="H127" t="s">
        <v>162</v>
      </c>
      <c r="I127" t="s">
        <v>57</v>
      </c>
    </row>
    <row r="128" spans="1:9" x14ac:dyDescent="0.35">
      <c r="A128" t="s">
        <v>368</v>
      </c>
      <c r="B128" t="s">
        <v>369</v>
      </c>
      <c r="C128" t="s">
        <v>1356</v>
      </c>
      <c r="D128" t="s">
        <v>34</v>
      </c>
      <c r="E128">
        <v>34</v>
      </c>
      <c r="F128" t="s">
        <v>48</v>
      </c>
      <c r="G128" t="s">
        <v>22</v>
      </c>
      <c r="H128" t="s">
        <v>70</v>
      </c>
    </row>
    <row r="129" spans="1:9" x14ac:dyDescent="0.35">
      <c r="A129" t="s">
        <v>370</v>
      </c>
      <c r="B129" t="s">
        <v>2025</v>
      </c>
      <c r="C129" t="s">
        <v>2428</v>
      </c>
      <c r="D129" t="s">
        <v>34</v>
      </c>
      <c r="E129">
        <v>40</v>
      </c>
      <c r="F129" t="s">
        <v>56</v>
      </c>
      <c r="G129" t="s">
        <v>29</v>
      </c>
      <c r="H129" t="s">
        <v>371</v>
      </c>
      <c r="I129" t="s">
        <v>31</v>
      </c>
    </row>
    <row r="130" spans="1:9" x14ac:dyDescent="0.35">
      <c r="A130" t="s">
        <v>372</v>
      </c>
      <c r="B130" t="s">
        <v>373</v>
      </c>
      <c r="C130" t="s">
        <v>2429</v>
      </c>
      <c r="D130" t="s">
        <v>26</v>
      </c>
      <c r="E130">
        <v>22</v>
      </c>
      <c r="F130" t="s">
        <v>56</v>
      </c>
      <c r="H130" t="s">
        <v>30</v>
      </c>
      <c r="I130" t="s">
        <v>30</v>
      </c>
    </row>
    <row r="131" spans="1:9" x14ac:dyDescent="0.35">
      <c r="A131" t="s">
        <v>375</v>
      </c>
      <c r="B131" t="s">
        <v>376</v>
      </c>
      <c r="C131" t="s">
        <v>2430</v>
      </c>
      <c r="D131" t="s">
        <v>26</v>
      </c>
      <c r="E131" t="s">
        <v>377</v>
      </c>
      <c r="F131" t="s">
        <v>56</v>
      </c>
      <c r="G131" t="s">
        <v>14</v>
      </c>
      <c r="H131" t="s">
        <v>70</v>
      </c>
      <c r="I131" t="s">
        <v>44</v>
      </c>
    </row>
    <row r="132" spans="1:9" x14ac:dyDescent="0.35">
      <c r="A132" t="s">
        <v>95</v>
      </c>
      <c r="B132" t="s">
        <v>378</v>
      </c>
      <c r="C132" t="s">
        <v>2431</v>
      </c>
      <c r="D132" t="s">
        <v>34</v>
      </c>
      <c r="E132">
        <v>49</v>
      </c>
      <c r="F132" t="s">
        <v>89</v>
      </c>
      <c r="G132" t="s">
        <v>14</v>
      </c>
      <c r="H132" t="s">
        <v>171</v>
      </c>
      <c r="I132" t="s">
        <v>38</v>
      </c>
    </row>
    <row r="133" spans="1:9" x14ac:dyDescent="0.35">
      <c r="A133" t="s">
        <v>380</v>
      </c>
      <c r="B133" t="s">
        <v>381</v>
      </c>
      <c r="C133" t="s">
        <v>1050</v>
      </c>
      <c r="D133" t="s">
        <v>34</v>
      </c>
      <c r="E133" t="s">
        <v>382</v>
      </c>
      <c r="F133" t="s">
        <v>56</v>
      </c>
      <c r="G133" t="s">
        <v>22</v>
      </c>
      <c r="H133" t="s">
        <v>186</v>
      </c>
      <c r="I133" t="s">
        <v>23</v>
      </c>
    </row>
    <row r="134" spans="1:9" x14ac:dyDescent="0.35">
      <c r="A134" t="s">
        <v>383</v>
      </c>
      <c r="B134" t="s">
        <v>384</v>
      </c>
      <c r="C134" t="s">
        <v>2432</v>
      </c>
      <c r="D134" t="s">
        <v>26</v>
      </c>
      <c r="E134">
        <v>34</v>
      </c>
      <c r="F134" t="s">
        <v>36</v>
      </c>
      <c r="G134" t="s">
        <v>14</v>
      </c>
      <c r="H134" t="s">
        <v>57</v>
      </c>
      <c r="I134" t="s">
        <v>232</v>
      </c>
    </row>
    <row r="135" spans="1:9" x14ac:dyDescent="0.35">
      <c r="A135" t="s">
        <v>123</v>
      </c>
      <c r="B135" t="s">
        <v>2026</v>
      </c>
      <c r="C135" t="s">
        <v>2433</v>
      </c>
      <c r="D135" t="s">
        <v>34</v>
      </c>
      <c r="E135">
        <v>23</v>
      </c>
      <c r="F135" t="s">
        <v>89</v>
      </c>
      <c r="G135" t="s">
        <v>14</v>
      </c>
      <c r="H135" t="s">
        <v>147</v>
      </c>
      <c r="I135" t="s">
        <v>44</v>
      </c>
    </row>
    <row r="136" spans="1:9" x14ac:dyDescent="0.35">
      <c r="A136" t="s">
        <v>386</v>
      </c>
      <c r="B136" t="s">
        <v>2027</v>
      </c>
      <c r="C136" t="s">
        <v>2434</v>
      </c>
      <c r="D136" t="s">
        <v>26</v>
      </c>
      <c r="E136">
        <v>34</v>
      </c>
      <c r="F136" t="s">
        <v>13</v>
      </c>
      <c r="G136" t="s">
        <v>22</v>
      </c>
      <c r="H136" t="s">
        <v>162</v>
      </c>
      <c r="I136" t="s">
        <v>57</v>
      </c>
    </row>
    <row r="137" spans="1:9" x14ac:dyDescent="0.35">
      <c r="A137" t="s">
        <v>387</v>
      </c>
      <c r="B137" t="s">
        <v>388</v>
      </c>
      <c r="C137" t="s">
        <v>2388</v>
      </c>
      <c r="D137" t="s">
        <v>34</v>
      </c>
      <c r="E137">
        <v>31</v>
      </c>
      <c r="F137" t="s">
        <v>56</v>
      </c>
      <c r="G137" t="s">
        <v>22</v>
      </c>
      <c r="H137" t="s">
        <v>162</v>
      </c>
      <c r="I137" t="s">
        <v>57</v>
      </c>
    </row>
    <row r="138" spans="1:9" x14ac:dyDescent="0.35">
      <c r="A138" t="s">
        <v>390</v>
      </c>
      <c r="B138" t="s">
        <v>391</v>
      </c>
      <c r="C138" t="s">
        <v>2435</v>
      </c>
      <c r="D138" t="s">
        <v>34</v>
      </c>
      <c r="E138">
        <v>58</v>
      </c>
      <c r="F138" t="s">
        <v>69</v>
      </c>
      <c r="G138" t="s">
        <v>29</v>
      </c>
      <c r="H138" t="s">
        <v>70</v>
      </c>
      <c r="I138" t="s">
        <v>191</v>
      </c>
    </row>
    <row r="139" spans="1:9" x14ac:dyDescent="0.35">
      <c r="A139" t="s">
        <v>393</v>
      </c>
      <c r="B139" t="s">
        <v>394</v>
      </c>
      <c r="C139" t="s">
        <v>971</v>
      </c>
      <c r="D139" t="s">
        <v>34</v>
      </c>
      <c r="E139">
        <v>57</v>
      </c>
      <c r="F139" t="s">
        <v>36</v>
      </c>
      <c r="G139" t="s">
        <v>14</v>
      </c>
      <c r="H139" t="s">
        <v>15</v>
      </c>
      <c r="I139" t="s">
        <v>16</v>
      </c>
    </row>
    <row r="140" spans="1:9" x14ac:dyDescent="0.35">
      <c r="A140" t="s">
        <v>395</v>
      </c>
      <c r="B140" t="s">
        <v>2028</v>
      </c>
      <c r="C140" t="s">
        <v>2436</v>
      </c>
      <c r="D140" t="s">
        <v>26</v>
      </c>
      <c r="E140">
        <v>39</v>
      </c>
      <c r="F140" t="s">
        <v>36</v>
      </c>
      <c r="G140" t="s">
        <v>14</v>
      </c>
      <c r="H140" t="s">
        <v>23</v>
      </c>
      <c r="I140" t="s">
        <v>79</v>
      </c>
    </row>
    <row r="141" spans="1:9" x14ac:dyDescent="0.35">
      <c r="A141" t="s">
        <v>396</v>
      </c>
      <c r="B141" t="s">
        <v>397</v>
      </c>
      <c r="C141" t="s">
        <v>2215</v>
      </c>
      <c r="D141" t="s">
        <v>140</v>
      </c>
      <c r="E141">
        <v>47</v>
      </c>
      <c r="F141" t="s">
        <v>13</v>
      </c>
      <c r="G141" t="s">
        <v>29</v>
      </c>
      <c r="H141" t="s">
        <v>23</v>
      </c>
      <c r="I141" t="s">
        <v>128</v>
      </c>
    </row>
    <row r="142" spans="1:9" x14ac:dyDescent="0.35">
      <c r="A142" t="s">
        <v>399</v>
      </c>
      <c r="B142" t="s">
        <v>2029</v>
      </c>
      <c r="C142" t="s">
        <v>2437</v>
      </c>
      <c r="D142" t="s">
        <v>268</v>
      </c>
      <c r="E142">
        <v>37</v>
      </c>
      <c r="F142" t="s">
        <v>400</v>
      </c>
      <c r="G142" t="s">
        <v>14</v>
      </c>
      <c r="H142" t="s">
        <v>15</v>
      </c>
      <c r="I142" t="s">
        <v>16</v>
      </c>
    </row>
    <row r="143" spans="1:9" x14ac:dyDescent="0.35">
      <c r="A143" t="s">
        <v>401</v>
      </c>
      <c r="B143" t="s">
        <v>402</v>
      </c>
      <c r="C143" t="s">
        <v>2438</v>
      </c>
      <c r="D143" t="s">
        <v>26</v>
      </c>
      <c r="E143">
        <v>55</v>
      </c>
      <c r="F143" t="s">
        <v>36</v>
      </c>
      <c r="G143" t="s">
        <v>22</v>
      </c>
      <c r="H143" t="s">
        <v>70</v>
      </c>
      <c r="I143" t="s">
        <v>70</v>
      </c>
    </row>
    <row r="144" spans="1:9" x14ac:dyDescent="0.35">
      <c r="A144" t="s">
        <v>405</v>
      </c>
      <c r="B144" t="s">
        <v>252</v>
      </c>
      <c r="C144" t="s">
        <v>2439</v>
      </c>
      <c r="D144" t="s">
        <v>11</v>
      </c>
      <c r="E144" t="s">
        <v>407</v>
      </c>
      <c r="F144" t="s">
        <v>56</v>
      </c>
      <c r="G144" t="s">
        <v>22</v>
      </c>
      <c r="H144" t="s">
        <v>30</v>
      </c>
      <c r="I144" t="s">
        <v>30</v>
      </c>
    </row>
    <row r="145" spans="1:9" x14ac:dyDescent="0.35">
      <c r="A145" t="s">
        <v>408</v>
      </c>
      <c r="B145" t="s">
        <v>119</v>
      </c>
      <c r="C145" t="s">
        <v>2440</v>
      </c>
      <c r="D145" t="s">
        <v>34</v>
      </c>
      <c r="E145">
        <v>49</v>
      </c>
      <c r="F145" t="s">
        <v>36</v>
      </c>
      <c r="G145" t="s">
        <v>14</v>
      </c>
      <c r="H145" t="s">
        <v>30</v>
      </c>
      <c r="I145" t="s">
        <v>38</v>
      </c>
    </row>
    <row r="146" spans="1:9" x14ac:dyDescent="0.35">
      <c r="A146" t="s">
        <v>409</v>
      </c>
      <c r="B146" t="s">
        <v>410</v>
      </c>
      <c r="C146" t="s">
        <v>2441</v>
      </c>
      <c r="D146" t="s">
        <v>34</v>
      </c>
      <c r="E146">
        <v>41</v>
      </c>
      <c r="F146" t="s">
        <v>56</v>
      </c>
      <c r="G146" t="s">
        <v>37</v>
      </c>
      <c r="H146" t="s">
        <v>15</v>
      </c>
      <c r="I146" t="s">
        <v>38</v>
      </c>
    </row>
    <row r="147" spans="1:9" x14ac:dyDescent="0.35">
      <c r="A147" t="s">
        <v>411</v>
      </c>
      <c r="B147" t="s">
        <v>412</v>
      </c>
      <c r="C147" t="s">
        <v>2442</v>
      </c>
      <c r="D147" t="s">
        <v>34</v>
      </c>
      <c r="E147">
        <v>22</v>
      </c>
      <c r="F147" t="s">
        <v>117</v>
      </c>
      <c r="G147" t="s">
        <v>29</v>
      </c>
      <c r="H147" t="s">
        <v>43</v>
      </c>
      <c r="I147" t="s">
        <v>191</v>
      </c>
    </row>
    <row r="148" spans="1:9" x14ac:dyDescent="0.35">
      <c r="A148" t="s">
        <v>414</v>
      </c>
      <c r="B148" t="s">
        <v>2030</v>
      </c>
      <c r="C148" t="s">
        <v>2443</v>
      </c>
      <c r="D148" t="s">
        <v>26</v>
      </c>
      <c r="E148">
        <v>64</v>
      </c>
      <c r="F148" t="s">
        <v>56</v>
      </c>
      <c r="G148" t="s">
        <v>37</v>
      </c>
      <c r="H148" t="s">
        <v>15</v>
      </c>
      <c r="I148" t="s">
        <v>38</v>
      </c>
    </row>
    <row r="149" spans="1:9" x14ac:dyDescent="0.35">
      <c r="A149" t="s">
        <v>416</v>
      </c>
      <c r="B149" t="s">
        <v>417</v>
      </c>
      <c r="C149" t="s">
        <v>2444</v>
      </c>
      <c r="D149" t="s">
        <v>26</v>
      </c>
      <c r="E149">
        <v>41</v>
      </c>
      <c r="F149" t="s">
        <v>56</v>
      </c>
      <c r="G149" t="s">
        <v>22</v>
      </c>
      <c r="H149" t="s">
        <v>30</v>
      </c>
      <c r="I149" t="s">
        <v>30</v>
      </c>
    </row>
    <row r="150" spans="1:9" x14ac:dyDescent="0.35">
      <c r="A150" t="s">
        <v>418</v>
      </c>
      <c r="B150" t="s">
        <v>419</v>
      </c>
      <c r="C150" t="s">
        <v>2445</v>
      </c>
      <c r="D150" t="s">
        <v>20</v>
      </c>
      <c r="E150">
        <v>51</v>
      </c>
      <c r="F150" t="s">
        <v>56</v>
      </c>
      <c r="G150" t="s">
        <v>29</v>
      </c>
      <c r="H150" t="s">
        <v>15</v>
      </c>
      <c r="I150" t="s">
        <v>130</v>
      </c>
    </row>
    <row r="151" spans="1:9" x14ac:dyDescent="0.35">
      <c r="A151" t="s">
        <v>420</v>
      </c>
      <c r="B151" t="s">
        <v>421</v>
      </c>
      <c r="C151" t="s">
        <v>2310</v>
      </c>
      <c r="D151" t="s">
        <v>34</v>
      </c>
      <c r="E151">
        <v>47</v>
      </c>
      <c r="F151" t="s">
        <v>36</v>
      </c>
      <c r="G151" t="s">
        <v>37</v>
      </c>
      <c r="H151" t="s">
        <v>57</v>
      </c>
      <c r="I151" t="s">
        <v>163</v>
      </c>
    </row>
    <row r="152" spans="1:9" x14ac:dyDescent="0.35">
      <c r="A152" t="s">
        <v>422</v>
      </c>
      <c r="B152" t="s">
        <v>250</v>
      </c>
      <c r="C152" t="s">
        <v>2446</v>
      </c>
      <c r="D152" t="s">
        <v>26</v>
      </c>
      <c r="E152">
        <v>28</v>
      </c>
      <c r="F152" t="s">
        <v>13</v>
      </c>
      <c r="G152" t="s">
        <v>14</v>
      </c>
      <c r="H152" t="s">
        <v>23</v>
      </c>
      <c r="I152" t="s">
        <v>79</v>
      </c>
    </row>
    <row r="153" spans="1:9" x14ac:dyDescent="0.35">
      <c r="A153" t="s">
        <v>41</v>
      </c>
      <c r="B153" t="s">
        <v>2031</v>
      </c>
      <c r="C153" t="s">
        <v>2447</v>
      </c>
      <c r="D153" t="s">
        <v>34</v>
      </c>
      <c r="E153">
        <v>18</v>
      </c>
      <c r="F153" t="s">
        <v>36</v>
      </c>
      <c r="G153" t="s">
        <v>37</v>
      </c>
      <c r="H153" t="s">
        <v>15</v>
      </c>
      <c r="I153" t="s">
        <v>38</v>
      </c>
    </row>
    <row r="154" spans="1:9" x14ac:dyDescent="0.35">
      <c r="A154" t="s">
        <v>424</v>
      </c>
      <c r="B154" t="s">
        <v>2032</v>
      </c>
      <c r="C154" t="s">
        <v>2448</v>
      </c>
      <c r="D154" t="s">
        <v>11</v>
      </c>
      <c r="E154">
        <v>51</v>
      </c>
      <c r="F154" t="s">
        <v>36</v>
      </c>
      <c r="G154" t="s">
        <v>29</v>
      </c>
      <c r="H154" t="s">
        <v>15</v>
      </c>
      <c r="I154" t="s">
        <v>130</v>
      </c>
    </row>
    <row r="155" spans="1:9" x14ac:dyDescent="0.35">
      <c r="A155" t="s">
        <v>425</v>
      </c>
      <c r="B155" t="s">
        <v>426</v>
      </c>
      <c r="C155" t="s">
        <v>2449</v>
      </c>
      <c r="D155" t="s">
        <v>34</v>
      </c>
      <c r="E155">
        <v>24</v>
      </c>
      <c r="F155" t="s">
        <v>36</v>
      </c>
      <c r="G155" t="s">
        <v>22</v>
      </c>
      <c r="H155" t="s">
        <v>15</v>
      </c>
      <c r="I155" t="s">
        <v>15</v>
      </c>
    </row>
    <row r="156" spans="1:9" x14ac:dyDescent="0.35">
      <c r="A156" t="s">
        <v>427</v>
      </c>
      <c r="B156" t="s">
        <v>428</v>
      </c>
      <c r="C156" t="s">
        <v>2450</v>
      </c>
      <c r="D156" t="s">
        <v>34</v>
      </c>
      <c r="E156">
        <v>19</v>
      </c>
      <c r="F156" t="s">
        <v>56</v>
      </c>
      <c r="G156" t="s">
        <v>22</v>
      </c>
      <c r="H156" t="s">
        <v>100</v>
      </c>
      <c r="I156" t="s">
        <v>70</v>
      </c>
    </row>
    <row r="157" spans="1:9" x14ac:dyDescent="0.35">
      <c r="A157" t="s">
        <v>429</v>
      </c>
      <c r="B157" t="s">
        <v>2033</v>
      </c>
      <c r="C157" t="s">
        <v>2451</v>
      </c>
      <c r="D157" t="s">
        <v>34</v>
      </c>
      <c r="E157">
        <v>30</v>
      </c>
      <c r="F157" t="s">
        <v>69</v>
      </c>
      <c r="G157" t="s">
        <v>14</v>
      </c>
      <c r="H157" t="s">
        <v>371</v>
      </c>
      <c r="I157" t="s">
        <v>38</v>
      </c>
    </row>
    <row r="158" spans="1:9" x14ac:dyDescent="0.35">
      <c r="A158" t="s">
        <v>430</v>
      </c>
      <c r="B158" t="s">
        <v>431</v>
      </c>
      <c r="C158" t="s">
        <v>2452</v>
      </c>
      <c r="D158" t="s">
        <v>34</v>
      </c>
      <c r="E158">
        <v>50</v>
      </c>
      <c r="F158" t="s">
        <v>99</v>
      </c>
      <c r="G158" t="s">
        <v>37</v>
      </c>
      <c r="H158" t="s">
        <v>15</v>
      </c>
    </row>
    <row r="159" spans="1:9" x14ac:dyDescent="0.35">
      <c r="A159" t="s">
        <v>432</v>
      </c>
      <c r="B159" t="s">
        <v>1814</v>
      </c>
      <c r="C159" t="s">
        <v>1277</v>
      </c>
      <c r="D159" t="s">
        <v>112</v>
      </c>
      <c r="E159">
        <v>30</v>
      </c>
      <c r="F159" t="s">
        <v>434</v>
      </c>
      <c r="G159" t="s">
        <v>22</v>
      </c>
      <c r="H159" t="s">
        <v>30</v>
      </c>
      <c r="I159" t="s">
        <v>30</v>
      </c>
    </row>
    <row r="160" spans="1:9" x14ac:dyDescent="0.35">
      <c r="A160" t="s">
        <v>435</v>
      </c>
      <c r="B160" t="s">
        <v>436</v>
      </c>
      <c r="C160" t="s">
        <v>2453</v>
      </c>
      <c r="D160" t="s">
        <v>34</v>
      </c>
      <c r="E160">
        <v>60</v>
      </c>
      <c r="F160" t="s">
        <v>99</v>
      </c>
      <c r="G160" t="s">
        <v>37</v>
      </c>
      <c r="H160" t="s">
        <v>57</v>
      </c>
    </row>
    <row r="161" spans="1:9" x14ac:dyDescent="0.35">
      <c r="A161" t="s">
        <v>437</v>
      </c>
      <c r="B161" t="s">
        <v>438</v>
      </c>
      <c r="C161" t="s">
        <v>1913</v>
      </c>
      <c r="D161" t="s">
        <v>26</v>
      </c>
      <c r="E161">
        <v>26</v>
      </c>
      <c r="F161" t="s">
        <v>56</v>
      </c>
      <c r="G161" t="s">
        <v>29</v>
      </c>
      <c r="H161" t="s">
        <v>57</v>
      </c>
      <c r="I161" t="s">
        <v>85</v>
      </c>
    </row>
    <row r="162" spans="1:9" x14ac:dyDescent="0.35">
      <c r="A162" t="s">
        <v>439</v>
      </c>
      <c r="B162" t="s">
        <v>2034</v>
      </c>
      <c r="C162" t="s">
        <v>2454</v>
      </c>
      <c r="D162" t="s">
        <v>26</v>
      </c>
      <c r="E162">
        <v>52</v>
      </c>
      <c r="F162" t="s">
        <v>56</v>
      </c>
      <c r="G162" t="s">
        <v>29</v>
      </c>
      <c r="H162" t="s">
        <v>23</v>
      </c>
      <c r="I162" t="s">
        <v>128</v>
      </c>
    </row>
    <row r="163" spans="1:9" x14ac:dyDescent="0.35">
      <c r="A163" t="s">
        <v>441</v>
      </c>
      <c r="B163" t="s">
        <v>2035</v>
      </c>
      <c r="C163" t="s">
        <v>2455</v>
      </c>
      <c r="D163" t="s">
        <v>46</v>
      </c>
      <c r="E163">
        <v>64</v>
      </c>
      <c r="F163" t="s">
        <v>56</v>
      </c>
      <c r="G163" t="s">
        <v>22</v>
      </c>
      <c r="H163" t="s">
        <v>371</v>
      </c>
      <c r="I163" t="s">
        <v>30</v>
      </c>
    </row>
    <row r="164" spans="1:9" x14ac:dyDescent="0.35">
      <c r="A164" t="s">
        <v>443</v>
      </c>
      <c r="B164" t="s">
        <v>284</v>
      </c>
      <c r="C164" t="s">
        <v>331</v>
      </c>
      <c r="D164" t="s">
        <v>268</v>
      </c>
      <c r="E164">
        <v>38</v>
      </c>
      <c r="F164" t="s">
        <v>56</v>
      </c>
      <c r="G164" t="s">
        <v>22</v>
      </c>
      <c r="H164" t="s">
        <v>57</v>
      </c>
      <c r="I164" t="s">
        <v>57</v>
      </c>
    </row>
    <row r="165" spans="1:9" x14ac:dyDescent="0.35">
      <c r="A165" t="s">
        <v>445</v>
      </c>
      <c r="B165" t="s">
        <v>446</v>
      </c>
      <c r="C165" t="s">
        <v>2456</v>
      </c>
      <c r="D165" t="s">
        <v>26</v>
      </c>
      <c r="E165">
        <v>56</v>
      </c>
      <c r="F165" t="s">
        <v>56</v>
      </c>
      <c r="G165" t="s">
        <v>22</v>
      </c>
      <c r="H165" t="s">
        <v>23</v>
      </c>
      <c r="I165" t="s">
        <v>23</v>
      </c>
    </row>
    <row r="166" spans="1:9" x14ac:dyDescent="0.35">
      <c r="A166" t="s">
        <v>448</v>
      </c>
      <c r="B166" t="s">
        <v>449</v>
      </c>
      <c r="C166" t="s">
        <v>961</v>
      </c>
      <c r="D166" t="s">
        <v>34</v>
      </c>
      <c r="E166">
        <v>27</v>
      </c>
      <c r="F166" t="s">
        <v>400</v>
      </c>
      <c r="G166" t="s">
        <v>29</v>
      </c>
      <c r="H166" t="s">
        <v>180</v>
      </c>
      <c r="I166" t="s">
        <v>128</v>
      </c>
    </row>
    <row r="167" spans="1:9" x14ac:dyDescent="0.35">
      <c r="A167" t="s">
        <v>451</v>
      </c>
      <c r="B167" t="s">
        <v>452</v>
      </c>
      <c r="C167" t="s">
        <v>2457</v>
      </c>
      <c r="D167" t="s">
        <v>34</v>
      </c>
      <c r="E167">
        <v>39</v>
      </c>
      <c r="F167" t="s">
        <v>69</v>
      </c>
      <c r="G167" t="s">
        <v>37</v>
      </c>
      <c r="H167" t="s">
        <v>23</v>
      </c>
      <c r="I167" t="s">
        <v>107</v>
      </c>
    </row>
    <row r="168" spans="1:9" x14ac:dyDescent="0.35">
      <c r="A168" t="s">
        <v>454</v>
      </c>
      <c r="B168" t="s">
        <v>2036</v>
      </c>
      <c r="C168" t="s">
        <v>2458</v>
      </c>
      <c r="D168" t="s">
        <v>11</v>
      </c>
      <c r="E168">
        <v>57</v>
      </c>
      <c r="F168" t="s">
        <v>117</v>
      </c>
      <c r="G168" t="s">
        <v>37</v>
      </c>
      <c r="H168" t="s">
        <v>84</v>
      </c>
      <c r="I168" t="s">
        <v>163</v>
      </c>
    </row>
    <row r="169" spans="1:9" x14ac:dyDescent="0.35">
      <c r="A169" t="s">
        <v>456</v>
      </c>
      <c r="B169" t="s">
        <v>457</v>
      </c>
      <c r="C169" t="s">
        <v>2459</v>
      </c>
      <c r="D169" t="s">
        <v>26</v>
      </c>
      <c r="E169">
        <v>38</v>
      </c>
      <c r="F169" t="s">
        <v>13</v>
      </c>
      <c r="G169" t="s">
        <v>22</v>
      </c>
      <c r="H169" t="s">
        <v>70</v>
      </c>
      <c r="I169" t="s">
        <v>70</v>
      </c>
    </row>
    <row r="170" spans="1:9" x14ac:dyDescent="0.35">
      <c r="A170" t="s">
        <v>458</v>
      </c>
      <c r="B170" t="s">
        <v>459</v>
      </c>
      <c r="C170" t="s">
        <v>2460</v>
      </c>
      <c r="D170" t="s">
        <v>34</v>
      </c>
      <c r="E170">
        <v>51</v>
      </c>
      <c r="F170" t="s">
        <v>13</v>
      </c>
      <c r="G170" t="s">
        <v>22</v>
      </c>
      <c r="H170" t="s">
        <v>84</v>
      </c>
    </row>
    <row r="171" spans="1:9" x14ac:dyDescent="0.35">
      <c r="A171" t="s">
        <v>460</v>
      </c>
      <c r="B171" t="s">
        <v>145</v>
      </c>
      <c r="C171" t="s">
        <v>2461</v>
      </c>
      <c r="D171" t="s">
        <v>26</v>
      </c>
      <c r="E171">
        <v>43</v>
      </c>
      <c r="F171" t="s">
        <v>124</v>
      </c>
      <c r="G171" t="s">
        <v>22</v>
      </c>
      <c r="H171" t="s">
        <v>171</v>
      </c>
      <c r="I171" t="s">
        <v>30</v>
      </c>
    </row>
    <row r="172" spans="1:9" x14ac:dyDescent="0.35">
      <c r="A172" t="s">
        <v>463</v>
      </c>
      <c r="B172" t="s">
        <v>464</v>
      </c>
      <c r="C172" t="s">
        <v>2462</v>
      </c>
      <c r="D172" t="s">
        <v>34</v>
      </c>
      <c r="E172">
        <v>22</v>
      </c>
      <c r="F172" t="s">
        <v>56</v>
      </c>
      <c r="G172" t="s">
        <v>29</v>
      </c>
      <c r="H172" t="s">
        <v>30</v>
      </c>
      <c r="I172" t="s">
        <v>31</v>
      </c>
    </row>
    <row r="173" spans="1:9" x14ac:dyDescent="0.35">
      <c r="A173" t="s">
        <v>466</v>
      </c>
      <c r="B173" t="s">
        <v>2037</v>
      </c>
      <c r="C173" t="s">
        <v>2463</v>
      </c>
      <c r="D173" t="s">
        <v>34</v>
      </c>
      <c r="E173">
        <v>24</v>
      </c>
      <c r="F173" t="s">
        <v>13</v>
      </c>
      <c r="G173" t="s">
        <v>22</v>
      </c>
      <c r="H173" t="s">
        <v>153</v>
      </c>
      <c r="I173" t="s">
        <v>15</v>
      </c>
    </row>
    <row r="174" spans="1:9" x14ac:dyDescent="0.35">
      <c r="A174" t="s">
        <v>468</v>
      </c>
      <c r="B174" t="s">
        <v>469</v>
      </c>
      <c r="C174" t="s">
        <v>2464</v>
      </c>
      <c r="D174" t="s">
        <v>112</v>
      </c>
      <c r="E174">
        <v>40</v>
      </c>
      <c r="F174" t="s">
        <v>36</v>
      </c>
      <c r="G174" t="s">
        <v>37</v>
      </c>
      <c r="H174" t="s">
        <v>57</v>
      </c>
      <c r="I174" t="s">
        <v>163</v>
      </c>
    </row>
    <row r="175" spans="1:9" x14ac:dyDescent="0.35">
      <c r="A175" t="s">
        <v>470</v>
      </c>
      <c r="B175" t="s">
        <v>471</v>
      </c>
      <c r="C175" t="s">
        <v>19</v>
      </c>
      <c r="D175" t="s">
        <v>26</v>
      </c>
      <c r="E175">
        <v>28</v>
      </c>
      <c r="F175" t="s">
        <v>13</v>
      </c>
      <c r="G175" t="s">
        <v>22</v>
      </c>
      <c r="H175" t="s">
        <v>70</v>
      </c>
      <c r="I175" t="s">
        <v>70</v>
      </c>
    </row>
    <row r="176" spans="1:9" x14ac:dyDescent="0.35">
      <c r="A176" t="s">
        <v>473</v>
      </c>
      <c r="B176" t="s">
        <v>2038</v>
      </c>
      <c r="C176" t="s">
        <v>2465</v>
      </c>
      <c r="D176" t="s">
        <v>20</v>
      </c>
      <c r="E176">
        <v>35</v>
      </c>
      <c r="F176" t="s">
        <v>89</v>
      </c>
      <c r="G176" t="s">
        <v>29</v>
      </c>
      <c r="H176" t="s">
        <v>15</v>
      </c>
      <c r="I176" t="s">
        <v>130</v>
      </c>
    </row>
    <row r="177" spans="1:9" x14ac:dyDescent="0.35">
      <c r="A177" t="s">
        <v>474</v>
      </c>
      <c r="B177" t="s">
        <v>415</v>
      </c>
      <c r="C177" t="s">
        <v>2466</v>
      </c>
      <c r="D177" t="s">
        <v>34</v>
      </c>
      <c r="E177" t="s">
        <v>475</v>
      </c>
      <c r="F177" t="s">
        <v>13</v>
      </c>
      <c r="G177" t="s">
        <v>22</v>
      </c>
      <c r="H177" t="s">
        <v>15</v>
      </c>
      <c r="I177" t="s">
        <v>15</v>
      </c>
    </row>
    <row r="178" spans="1:9" x14ac:dyDescent="0.35">
      <c r="A178" t="s">
        <v>476</v>
      </c>
      <c r="B178" t="s">
        <v>882</v>
      </c>
      <c r="C178" t="s">
        <v>2467</v>
      </c>
      <c r="D178" t="s">
        <v>34</v>
      </c>
      <c r="E178">
        <v>34</v>
      </c>
      <c r="F178" t="s">
        <v>36</v>
      </c>
      <c r="G178" t="s">
        <v>29</v>
      </c>
      <c r="H178" t="s">
        <v>162</v>
      </c>
      <c r="I178" t="s">
        <v>85</v>
      </c>
    </row>
    <row r="179" spans="1:9" x14ac:dyDescent="0.35">
      <c r="A179" t="s">
        <v>477</v>
      </c>
      <c r="B179" t="s">
        <v>478</v>
      </c>
      <c r="C179" t="s">
        <v>2468</v>
      </c>
      <c r="D179" t="s">
        <v>34</v>
      </c>
      <c r="E179" t="s">
        <v>320</v>
      </c>
      <c r="F179" t="s">
        <v>56</v>
      </c>
      <c r="G179" t="s">
        <v>22</v>
      </c>
      <c r="H179" t="s">
        <v>57</v>
      </c>
      <c r="I179" t="s">
        <v>57</v>
      </c>
    </row>
    <row r="180" spans="1:9" x14ac:dyDescent="0.35">
      <c r="A180" t="s">
        <v>479</v>
      </c>
      <c r="B180" t="s">
        <v>1495</v>
      </c>
      <c r="C180" t="s">
        <v>2469</v>
      </c>
      <c r="D180" t="s">
        <v>26</v>
      </c>
      <c r="E180">
        <v>21</v>
      </c>
      <c r="F180" t="s">
        <v>42</v>
      </c>
      <c r="G180" t="s">
        <v>37</v>
      </c>
      <c r="H180" t="s">
        <v>180</v>
      </c>
      <c r="I180" t="s">
        <v>107</v>
      </c>
    </row>
    <row r="181" spans="1:9" x14ac:dyDescent="0.35">
      <c r="A181" t="s">
        <v>481</v>
      </c>
      <c r="B181" t="s">
        <v>2039</v>
      </c>
      <c r="C181" t="s">
        <v>2470</v>
      </c>
      <c r="D181" t="s">
        <v>34</v>
      </c>
      <c r="E181" t="s">
        <v>482</v>
      </c>
      <c r="F181" t="s">
        <v>36</v>
      </c>
      <c r="G181" t="s">
        <v>22</v>
      </c>
      <c r="H181" t="s">
        <v>70</v>
      </c>
      <c r="I181" t="s">
        <v>70</v>
      </c>
    </row>
    <row r="182" spans="1:9" x14ac:dyDescent="0.35">
      <c r="A182" t="s">
        <v>483</v>
      </c>
      <c r="B182" t="s">
        <v>2040</v>
      </c>
      <c r="C182" t="s">
        <v>2471</v>
      </c>
      <c r="D182" t="s">
        <v>268</v>
      </c>
      <c r="E182">
        <v>18</v>
      </c>
      <c r="F182" t="s">
        <v>36</v>
      </c>
      <c r="G182" t="s">
        <v>29</v>
      </c>
      <c r="H182" t="s">
        <v>70</v>
      </c>
      <c r="I182" t="s">
        <v>191</v>
      </c>
    </row>
    <row r="183" spans="1:9" x14ac:dyDescent="0.35">
      <c r="A183" t="s">
        <v>484</v>
      </c>
      <c r="B183" t="s">
        <v>2041</v>
      </c>
      <c r="C183" t="s">
        <v>2472</v>
      </c>
      <c r="D183" t="s">
        <v>34</v>
      </c>
      <c r="E183">
        <v>53</v>
      </c>
      <c r="F183" t="s">
        <v>13</v>
      </c>
      <c r="G183" t="s">
        <v>14</v>
      </c>
      <c r="H183" t="s">
        <v>30</v>
      </c>
      <c r="I183" t="s">
        <v>38</v>
      </c>
    </row>
    <row r="184" spans="1:9" x14ac:dyDescent="0.35">
      <c r="A184" t="s">
        <v>485</v>
      </c>
      <c r="B184" t="s">
        <v>2042</v>
      </c>
      <c r="C184" t="s">
        <v>2473</v>
      </c>
      <c r="D184" t="s">
        <v>26</v>
      </c>
      <c r="E184">
        <v>64</v>
      </c>
      <c r="F184" t="s">
        <v>56</v>
      </c>
      <c r="G184" t="s">
        <v>22</v>
      </c>
      <c r="H184" t="s">
        <v>70</v>
      </c>
      <c r="I184" t="s">
        <v>70</v>
      </c>
    </row>
    <row r="185" spans="1:9" x14ac:dyDescent="0.35">
      <c r="A185" t="s">
        <v>486</v>
      </c>
      <c r="B185" t="s">
        <v>2043</v>
      </c>
      <c r="C185" t="s">
        <v>2474</v>
      </c>
      <c r="D185" t="s">
        <v>112</v>
      </c>
      <c r="E185">
        <v>51</v>
      </c>
      <c r="F185" t="s">
        <v>13</v>
      </c>
      <c r="G185" t="s">
        <v>14</v>
      </c>
      <c r="H185" t="s">
        <v>57</v>
      </c>
      <c r="I185" t="s">
        <v>232</v>
      </c>
    </row>
    <row r="186" spans="1:9" x14ac:dyDescent="0.35">
      <c r="A186" t="s">
        <v>487</v>
      </c>
      <c r="B186" t="s">
        <v>2044</v>
      </c>
      <c r="C186" t="s">
        <v>2475</v>
      </c>
      <c r="D186" t="s">
        <v>34</v>
      </c>
      <c r="E186">
        <v>56</v>
      </c>
      <c r="F186" t="s">
        <v>42</v>
      </c>
      <c r="G186" t="s">
        <v>22</v>
      </c>
      <c r="H186" t="s">
        <v>57</v>
      </c>
      <c r="I186" t="s">
        <v>57</v>
      </c>
    </row>
    <row r="187" spans="1:9" x14ac:dyDescent="0.35">
      <c r="A187" t="s">
        <v>488</v>
      </c>
      <c r="B187" t="s">
        <v>489</v>
      </c>
      <c r="C187" t="s">
        <v>2476</v>
      </c>
      <c r="D187" t="s">
        <v>46</v>
      </c>
      <c r="E187">
        <v>64</v>
      </c>
      <c r="F187" t="s">
        <v>434</v>
      </c>
      <c r="G187" t="s">
        <v>22</v>
      </c>
      <c r="H187" t="s">
        <v>84</v>
      </c>
      <c r="I187" t="s">
        <v>57</v>
      </c>
    </row>
    <row r="188" spans="1:9" x14ac:dyDescent="0.35">
      <c r="A188" t="s">
        <v>491</v>
      </c>
      <c r="B188" t="s">
        <v>492</v>
      </c>
      <c r="C188" t="s">
        <v>2477</v>
      </c>
      <c r="D188" t="s">
        <v>34</v>
      </c>
      <c r="E188">
        <v>30</v>
      </c>
      <c r="F188" t="s">
        <v>48</v>
      </c>
      <c r="G188" t="s">
        <v>22</v>
      </c>
      <c r="H188" t="s">
        <v>57</v>
      </c>
      <c r="I188" t="s">
        <v>57</v>
      </c>
    </row>
    <row r="189" spans="1:9" x14ac:dyDescent="0.35">
      <c r="A189" t="s">
        <v>493</v>
      </c>
      <c r="B189" t="s">
        <v>494</v>
      </c>
      <c r="C189" t="s">
        <v>2478</v>
      </c>
      <c r="D189" t="s">
        <v>34</v>
      </c>
      <c r="E189">
        <v>61</v>
      </c>
      <c r="F189" t="s">
        <v>69</v>
      </c>
      <c r="G189" t="s">
        <v>14</v>
      </c>
      <c r="H189" t="s">
        <v>371</v>
      </c>
      <c r="I189" t="s">
        <v>38</v>
      </c>
    </row>
    <row r="190" spans="1:9" x14ac:dyDescent="0.35">
      <c r="A190" t="s">
        <v>496</v>
      </c>
      <c r="B190" t="s">
        <v>2045</v>
      </c>
      <c r="C190" t="s">
        <v>1461</v>
      </c>
      <c r="D190" t="s">
        <v>34</v>
      </c>
      <c r="E190">
        <v>54</v>
      </c>
      <c r="F190" t="s">
        <v>62</v>
      </c>
      <c r="G190" t="s">
        <v>22</v>
      </c>
      <c r="H190" t="s">
        <v>100</v>
      </c>
      <c r="I190" t="s">
        <v>70</v>
      </c>
    </row>
    <row r="191" spans="1:9" x14ac:dyDescent="0.35">
      <c r="A191" t="s">
        <v>498</v>
      </c>
      <c r="B191" t="s">
        <v>499</v>
      </c>
      <c r="C191" t="s">
        <v>2479</v>
      </c>
      <c r="D191" t="s">
        <v>34</v>
      </c>
      <c r="E191">
        <v>24</v>
      </c>
      <c r="F191" t="s">
        <v>89</v>
      </c>
      <c r="G191" t="s">
        <v>14</v>
      </c>
      <c r="H191" t="s">
        <v>23</v>
      </c>
      <c r="I191" t="s">
        <v>79</v>
      </c>
    </row>
    <row r="192" spans="1:9" x14ac:dyDescent="0.35">
      <c r="A192" t="s">
        <v>500</v>
      </c>
      <c r="B192" t="s">
        <v>173</v>
      </c>
      <c r="C192" t="s">
        <v>2480</v>
      </c>
      <c r="D192" t="s">
        <v>34</v>
      </c>
      <c r="E192">
        <v>57</v>
      </c>
      <c r="F192" t="s">
        <v>56</v>
      </c>
      <c r="G192" t="s">
        <v>37</v>
      </c>
      <c r="H192" t="s">
        <v>15</v>
      </c>
      <c r="I192" t="s">
        <v>38</v>
      </c>
    </row>
    <row r="193" spans="1:9" x14ac:dyDescent="0.35">
      <c r="A193" t="s">
        <v>502</v>
      </c>
      <c r="B193" t="s">
        <v>2046</v>
      </c>
      <c r="C193" t="s">
        <v>2481</v>
      </c>
      <c r="D193" t="s">
        <v>26</v>
      </c>
      <c r="E193">
        <v>40</v>
      </c>
      <c r="F193" t="s">
        <v>69</v>
      </c>
      <c r="G193" t="s">
        <v>14</v>
      </c>
      <c r="H193" t="s">
        <v>288</v>
      </c>
      <c r="I193" t="s">
        <v>79</v>
      </c>
    </row>
    <row r="194" spans="1:9" x14ac:dyDescent="0.35">
      <c r="A194" t="s">
        <v>503</v>
      </c>
      <c r="B194" t="s">
        <v>504</v>
      </c>
      <c r="C194" t="s">
        <v>2482</v>
      </c>
      <c r="D194" t="s">
        <v>140</v>
      </c>
      <c r="E194">
        <v>27</v>
      </c>
      <c r="F194" t="s">
        <v>13</v>
      </c>
      <c r="G194" t="s">
        <v>14</v>
      </c>
      <c r="H194" t="s">
        <v>153</v>
      </c>
      <c r="I194" t="s">
        <v>16</v>
      </c>
    </row>
    <row r="195" spans="1:9" x14ac:dyDescent="0.35">
      <c r="A195" t="s">
        <v>505</v>
      </c>
      <c r="B195" t="s">
        <v>506</v>
      </c>
      <c r="C195" t="s">
        <v>2483</v>
      </c>
      <c r="D195" t="s">
        <v>268</v>
      </c>
      <c r="E195" t="s">
        <v>507</v>
      </c>
      <c r="F195" t="s">
        <v>56</v>
      </c>
      <c r="G195" t="s">
        <v>37</v>
      </c>
      <c r="H195" t="s">
        <v>30</v>
      </c>
      <c r="I195" t="s">
        <v>15</v>
      </c>
    </row>
    <row r="196" spans="1:9" x14ac:dyDescent="0.35">
      <c r="A196" t="s">
        <v>508</v>
      </c>
      <c r="B196" t="s">
        <v>2047</v>
      </c>
      <c r="C196" t="s">
        <v>2207</v>
      </c>
      <c r="D196" t="s">
        <v>26</v>
      </c>
      <c r="E196">
        <v>29</v>
      </c>
      <c r="F196" t="s">
        <v>13</v>
      </c>
      <c r="G196" t="s">
        <v>22</v>
      </c>
      <c r="H196" t="s">
        <v>57</v>
      </c>
      <c r="I196" t="s">
        <v>57</v>
      </c>
    </row>
    <row r="197" spans="1:9" x14ac:dyDescent="0.35">
      <c r="A197" t="s">
        <v>509</v>
      </c>
      <c r="B197" t="s">
        <v>510</v>
      </c>
      <c r="C197" t="s">
        <v>2484</v>
      </c>
      <c r="D197" t="s">
        <v>268</v>
      </c>
      <c r="E197">
        <v>19</v>
      </c>
      <c r="F197" t="s">
        <v>400</v>
      </c>
      <c r="G197" t="s">
        <v>29</v>
      </c>
      <c r="H197" t="s">
        <v>57</v>
      </c>
      <c r="I197" t="s">
        <v>85</v>
      </c>
    </row>
    <row r="198" spans="1:9" x14ac:dyDescent="0.35">
      <c r="A198" t="s">
        <v>512</v>
      </c>
      <c r="B198" t="s">
        <v>513</v>
      </c>
      <c r="C198" t="s">
        <v>2485</v>
      </c>
      <c r="D198" t="s">
        <v>34</v>
      </c>
      <c r="E198">
        <v>23</v>
      </c>
      <c r="F198" t="s">
        <v>36</v>
      </c>
      <c r="G198" t="s">
        <v>29</v>
      </c>
      <c r="H198" t="s">
        <v>30</v>
      </c>
      <c r="I198" t="s">
        <v>31</v>
      </c>
    </row>
    <row r="199" spans="1:9" x14ac:dyDescent="0.35">
      <c r="A199" t="s">
        <v>514</v>
      </c>
      <c r="B199" t="s">
        <v>515</v>
      </c>
      <c r="C199" t="s">
        <v>2453</v>
      </c>
      <c r="D199" t="s">
        <v>26</v>
      </c>
      <c r="E199">
        <v>43</v>
      </c>
      <c r="F199" t="s">
        <v>400</v>
      </c>
      <c r="G199" t="s">
        <v>37</v>
      </c>
      <c r="H199" t="s">
        <v>15</v>
      </c>
      <c r="I199" t="s">
        <v>38</v>
      </c>
    </row>
    <row r="200" spans="1:9" x14ac:dyDescent="0.35">
      <c r="A200" t="s">
        <v>517</v>
      </c>
      <c r="B200" t="s">
        <v>518</v>
      </c>
      <c r="C200" t="s">
        <v>2486</v>
      </c>
      <c r="D200" t="s">
        <v>140</v>
      </c>
      <c r="E200" t="s">
        <v>519</v>
      </c>
      <c r="F200" t="s">
        <v>36</v>
      </c>
      <c r="G200" t="s">
        <v>37</v>
      </c>
      <c r="H200" t="s">
        <v>15</v>
      </c>
      <c r="I200" t="s">
        <v>38</v>
      </c>
    </row>
    <row r="201" spans="1:9" x14ac:dyDescent="0.35">
      <c r="A201" t="s">
        <v>520</v>
      </c>
      <c r="B201" t="s">
        <v>1203</v>
      </c>
      <c r="C201" t="s">
        <v>2487</v>
      </c>
      <c r="D201" t="s">
        <v>20</v>
      </c>
      <c r="E201">
        <v>30</v>
      </c>
      <c r="F201" t="s">
        <v>56</v>
      </c>
      <c r="G201" t="s">
        <v>29</v>
      </c>
      <c r="I201" t="s">
        <v>85</v>
      </c>
    </row>
    <row r="202" spans="1:9" x14ac:dyDescent="0.35">
      <c r="A202" t="s">
        <v>521</v>
      </c>
      <c r="B202" t="s">
        <v>2048</v>
      </c>
      <c r="C202" t="s">
        <v>2488</v>
      </c>
      <c r="D202" t="s">
        <v>34</v>
      </c>
      <c r="E202">
        <v>25</v>
      </c>
      <c r="F202" t="s">
        <v>13</v>
      </c>
      <c r="G202" t="s">
        <v>22</v>
      </c>
      <c r="H202" t="s">
        <v>23</v>
      </c>
      <c r="I202" t="s">
        <v>23</v>
      </c>
    </row>
    <row r="203" spans="1:9" x14ac:dyDescent="0.35">
      <c r="A203" t="s">
        <v>202</v>
      </c>
      <c r="B203" t="s">
        <v>2049</v>
      </c>
      <c r="C203" t="s">
        <v>2489</v>
      </c>
      <c r="D203" t="s">
        <v>26</v>
      </c>
      <c r="E203">
        <v>54</v>
      </c>
      <c r="F203" t="s">
        <v>99</v>
      </c>
      <c r="G203" t="s">
        <v>37</v>
      </c>
      <c r="H203" t="s">
        <v>57</v>
      </c>
      <c r="I203" t="s">
        <v>163</v>
      </c>
    </row>
    <row r="204" spans="1:9" x14ac:dyDescent="0.35">
      <c r="A204" t="s">
        <v>522</v>
      </c>
      <c r="B204" t="s">
        <v>139</v>
      </c>
      <c r="C204" t="s">
        <v>2490</v>
      </c>
      <c r="D204" t="s">
        <v>26</v>
      </c>
      <c r="E204" t="s">
        <v>524</v>
      </c>
      <c r="F204" t="s">
        <v>56</v>
      </c>
      <c r="G204" t="s">
        <v>37</v>
      </c>
      <c r="H204" t="s">
        <v>23</v>
      </c>
      <c r="I204" t="s">
        <v>107</v>
      </c>
    </row>
    <row r="205" spans="1:9" x14ac:dyDescent="0.35">
      <c r="A205" t="s">
        <v>31</v>
      </c>
      <c r="B205" t="s">
        <v>2050</v>
      </c>
      <c r="C205" t="s">
        <v>2491</v>
      </c>
      <c r="D205" t="s">
        <v>34</v>
      </c>
      <c r="E205" t="s">
        <v>407</v>
      </c>
      <c r="F205" t="s">
        <v>69</v>
      </c>
      <c r="G205" t="s">
        <v>14</v>
      </c>
      <c r="H205" t="s">
        <v>15</v>
      </c>
      <c r="I205" t="s">
        <v>16</v>
      </c>
    </row>
    <row r="206" spans="1:9" x14ac:dyDescent="0.35">
      <c r="A206" t="s">
        <v>525</v>
      </c>
      <c r="B206" t="s">
        <v>2051</v>
      </c>
      <c r="C206" t="s">
        <v>2438</v>
      </c>
      <c r="D206" t="s">
        <v>34</v>
      </c>
      <c r="E206">
        <v>64</v>
      </c>
      <c r="F206" t="s">
        <v>13</v>
      </c>
      <c r="G206" t="s">
        <v>14</v>
      </c>
      <c r="H206" t="s">
        <v>70</v>
      </c>
      <c r="I206" t="s">
        <v>44</v>
      </c>
    </row>
    <row r="207" spans="1:9" x14ac:dyDescent="0.35">
      <c r="A207" t="s">
        <v>527</v>
      </c>
      <c r="B207" t="s">
        <v>513</v>
      </c>
      <c r="C207" t="s">
        <v>2492</v>
      </c>
      <c r="D207" t="s">
        <v>34</v>
      </c>
      <c r="E207">
        <v>47</v>
      </c>
      <c r="F207" t="s">
        <v>56</v>
      </c>
      <c r="G207" t="s">
        <v>29</v>
      </c>
      <c r="H207" t="s">
        <v>100</v>
      </c>
      <c r="I207" t="s">
        <v>191</v>
      </c>
    </row>
    <row r="208" spans="1:9" x14ac:dyDescent="0.35">
      <c r="A208" t="s">
        <v>529</v>
      </c>
      <c r="B208" t="s">
        <v>210</v>
      </c>
      <c r="C208" t="s">
        <v>2493</v>
      </c>
      <c r="D208" t="s">
        <v>26</v>
      </c>
      <c r="E208">
        <v>32</v>
      </c>
      <c r="F208" t="s">
        <v>62</v>
      </c>
      <c r="G208" t="s">
        <v>22</v>
      </c>
      <c r="H208" t="s">
        <v>186</v>
      </c>
      <c r="I208" t="s">
        <v>23</v>
      </c>
    </row>
    <row r="209" spans="1:9" x14ac:dyDescent="0.35">
      <c r="A209" t="s">
        <v>531</v>
      </c>
      <c r="B209" t="s">
        <v>532</v>
      </c>
      <c r="C209" t="s">
        <v>2494</v>
      </c>
      <c r="D209" t="s">
        <v>34</v>
      </c>
      <c r="E209">
        <v>49</v>
      </c>
      <c r="F209" t="s">
        <v>13</v>
      </c>
      <c r="G209" t="s">
        <v>37</v>
      </c>
      <c r="H209" t="s">
        <v>15</v>
      </c>
      <c r="I209" t="s">
        <v>38</v>
      </c>
    </row>
    <row r="210" spans="1:9" x14ac:dyDescent="0.35">
      <c r="A210" t="s">
        <v>533</v>
      </c>
      <c r="B210" t="s">
        <v>1547</v>
      </c>
      <c r="C210" t="s">
        <v>2495</v>
      </c>
      <c r="D210" t="s">
        <v>34</v>
      </c>
      <c r="E210">
        <v>56</v>
      </c>
      <c r="F210" t="s">
        <v>117</v>
      </c>
      <c r="G210" t="s">
        <v>37</v>
      </c>
      <c r="H210" t="s">
        <v>15</v>
      </c>
      <c r="I210" t="s">
        <v>38</v>
      </c>
    </row>
    <row r="211" spans="1:9" x14ac:dyDescent="0.35">
      <c r="A211" t="s">
        <v>534</v>
      </c>
      <c r="B211" t="s">
        <v>535</v>
      </c>
      <c r="C211" t="s">
        <v>2496</v>
      </c>
      <c r="D211" t="s">
        <v>34</v>
      </c>
      <c r="E211">
        <v>55</v>
      </c>
      <c r="F211" t="s">
        <v>48</v>
      </c>
      <c r="G211" t="s">
        <v>37</v>
      </c>
      <c r="H211" t="s">
        <v>30</v>
      </c>
      <c r="I211" t="s">
        <v>15</v>
      </c>
    </row>
    <row r="212" spans="1:9" x14ac:dyDescent="0.35">
      <c r="A212" t="s">
        <v>537</v>
      </c>
      <c r="B212" t="s">
        <v>1052</v>
      </c>
      <c r="C212" t="s">
        <v>2497</v>
      </c>
      <c r="D212" t="s">
        <v>26</v>
      </c>
      <c r="E212">
        <v>34</v>
      </c>
      <c r="F212" t="s">
        <v>13</v>
      </c>
      <c r="G212" t="s">
        <v>14</v>
      </c>
      <c r="H212" t="s">
        <v>23</v>
      </c>
      <c r="I212" t="s">
        <v>79</v>
      </c>
    </row>
    <row r="213" spans="1:9" x14ac:dyDescent="0.35">
      <c r="A213" t="s">
        <v>539</v>
      </c>
      <c r="B213" t="s">
        <v>2052</v>
      </c>
      <c r="C213" t="s">
        <v>2498</v>
      </c>
      <c r="D213" t="s">
        <v>140</v>
      </c>
      <c r="E213">
        <v>26</v>
      </c>
      <c r="F213" t="s">
        <v>56</v>
      </c>
      <c r="G213" t="s">
        <v>14</v>
      </c>
      <c r="H213" t="s">
        <v>162</v>
      </c>
      <c r="I213" t="s">
        <v>232</v>
      </c>
    </row>
    <row r="214" spans="1:9" x14ac:dyDescent="0.35">
      <c r="A214" t="s">
        <v>540</v>
      </c>
      <c r="B214" t="s">
        <v>81</v>
      </c>
      <c r="C214" t="s">
        <v>2499</v>
      </c>
      <c r="D214" t="s">
        <v>26</v>
      </c>
      <c r="E214" t="s">
        <v>541</v>
      </c>
      <c r="F214" t="s">
        <v>36</v>
      </c>
      <c r="G214" t="s">
        <v>14</v>
      </c>
      <c r="H214" t="s">
        <v>75</v>
      </c>
      <c r="I214" t="s">
        <v>16</v>
      </c>
    </row>
    <row r="215" spans="1:9" x14ac:dyDescent="0.35">
      <c r="A215" t="s">
        <v>542</v>
      </c>
      <c r="B215" t="s">
        <v>373</v>
      </c>
      <c r="C215" t="s">
        <v>2500</v>
      </c>
      <c r="D215" t="s">
        <v>34</v>
      </c>
      <c r="E215">
        <v>19</v>
      </c>
      <c r="F215" t="s">
        <v>36</v>
      </c>
      <c r="G215" t="s">
        <v>14</v>
      </c>
      <c r="H215" t="s">
        <v>57</v>
      </c>
      <c r="I215" t="s">
        <v>232</v>
      </c>
    </row>
    <row r="216" spans="1:9" x14ac:dyDescent="0.35">
      <c r="A216" t="s">
        <v>404</v>
      </c>
      <c r="B216" t="s">
        <v>2053</v>
      </c>
      <c r="C216" t="s">
        <v>2487</v>
      </c>
      <c r="D216" t="s">
        <v>34</v>
      </c>
      <c r="E216">
        <v>31</v>
      </c>
      <c r="F216" t="s">
        <v>69</v>
      </c>
      <c r="G216" t="s">
        <v>14</v>
      </c>
      <c r="H216" t="s">
        <v>70</v>
      </c>
      <c r="I216" t="s">
        <v>44</v>
      </c>
    </row>
    <row r="217" spans="1:9" x14ac:dyDescent="0.35">
      <c r="A217" t="s">
        <v>544</v>
      </c>
      <c r="B217" t="s">
        <v>545</v>
      </c>
      <c r="C217" t="s">
        <v>2501</v>
      </c>
      <c r="D217" t="s">
        <v>11</v>
      </c>
      <c r="E217">
        <v>56</v>
      </c>
      <c r="F217" t="s">
        <v>13</v>
      </c>
      <c r="G217" t="s">
        <v>29</v>
      </c>
      <c r="H217" t="s">
        <v>70</v>
      </c>
      <c r="I217" t="s">
        <v>191</v>
      </c>
    </row>
    <row r="218" spans="1:9" x14ac:dyDescent="0.35">
      <c r="A218" t="s">
        <v>546</v>
      </c>
      <c r="B218" t="s">
        <v>547</v>
      </c>
      <c r="C218" t="s">
        <v>2502</v>
      </c>
      <c r="D218" t="s">
        <v>140</v>
      </c>
      <c r="E218">
        <v>55</v>
      </c>
      <c r="F218" t="s">
        <v>36</v>
      </c>
      <c r="G218" t="s">
        <v>37</v>
      </c>
      <c r="H218" t="s">
        <v>75</v>
      </c>
      <c r="I218" t="s">
        <v>38</v>
      </c>
    </row>
    <row r="219" spans="1:9" x14ac:dyDescent="0.35">
      <c r="A219" t="s">
        <v>549</v>
      </c>
      <c r="B219" t="s">
        <v>550</v>
      </c>
      <c r="C219" t="s">
        <v>1001</v>
      </c>
      <c r="D219" t="s">
        <v>34</v>
      </c>
      <c r="E219">
        <v>27</v>
      </c>
      <c r="F219" t="s">
        <v>69</v>
      </c>
      <c r="G219" t="s">
        <v>14</v>
      </c>
      <c r="H219" t="s">
        <v>186</v>
      </c>
      <c r="I219" t="s">
        <v>79</v>
      </c>
    </row>
    <row r="220" spans="1:9" x14ac:dyDescent="0.35">
      <c r="A220" t="s">
        <v>552</v>
      </c>
      <c r="B220" t="s">
        <v>553</v>
      </c>
      <c r="C220" t="s">
        <v>608</v>
      </c>
      <c r="D220" t="s">
        <v>34</v>
      </c>
      <c r="E220">
        <v>38</v>
      </c>
      <c r="F220" t="s">
        <v>13</v>
      </c>
      <c r="G220" t="s">
        <v>37</v>
      </c>
      <c r="H220" t="s">
        <v>23</v>
      </c>
      <c r="I220" t="s">
        <v>107</v>
      </c>
    </row>
    <row r="221" spans="1:9" x14ac:dyDescent="0.35">
      <c r="A221" t="s">
        <v>555</v>
      </c>
      <c r="B221" t="s">
        <v>2054</v>
      </c>
      <c r="C221" t="s">
        <v>2503</v>
      </c>
      <c r="D221" t="s">
        <v>34</v>
      </c>
      <c r="E221">
        <v>29</v>
      </c>
      <c r="F221" t="s">
        <v>56</v>
      </c>
      <c r="G221" t="s">
        <v>37</v>
      </c>
      <c r="H221" t="s">
        <v>23</v>
      </c>
      <c r="I221" t="s">
        <v>107</v>
      </c>
    </row>
    <row r="222" spans="1:9" x14ac:dyDescent="0.35">
      <c r="A222" t="s">
        <v>23</v>
      </c>
      <c r="B222" t="s">
        <v>2055</v>
      </c>
      <c r="C222" t="s">
        <v>2504</v>
      </c>
      <c r="D222" t="s">
        <v>26</v>
      </c>
      <c r="E222">
        <v>19</v>
      </c>
      <c r="F222" t="s">
        <v>48</v>
      </c>
      <c r="G222" t="s">
        <v>14</v>
      </c>
      <c r="H222" t="s">
        <v>15</v>
      </c>
      <c r="I222" t="s">
        <v>16</v>
      </c>
    </row>
    <row r="223" spans="1:9" x14ac:dyDescent="0.35">
      <c r="A223" t="s">
        <v>559</v>
      </c>
      <c r="B223" t="s">
        <v>560</v>
      </c>
      <c r="C223" t="s">
        <v>2505</v>
      </c>
      <c r="D223" t="s">
        <v>34</v>
      </c>
      <c r="E223">
        <v>25</v>
      </c>
      <c r="F223" t="s">
        <v>62</v>
      </c>
      <c r="G223" t="s">
        <v>22</v>
      </c>
      <c r="H223" t="s">
        <v>57</v>
      </c>
      <c r="I223" t="s">
        <v>57</v>
      </c>
    </row>
    <row r="224" spans="1:9" x14ac:dyDescent="0.35">
      <c r="A224" t="s">
        <v>561</v>
      </c>
      <c r="B224" t="s">
        <v>562</v>
      </c>
      <c r="C224" t="s">
        <v>2506</v>
      </c>
      <c r="D224" t="s">
        <v>34</v>
      </c>
      <c r="E224">
        <v>39</v>
      </c>
      <c r="F224" t="s">
        <v>13</v>
      </c>
      <c r="G224" t="s">
        <v>37</v>
      </c>
      <c r="H224" t="s">
        <v>15</v>
      </c>
      <c r="I224" t="s">
        <v>38</v>
      </c>
    </row>
    <row r="225" spans="1:9" x14ac:dyDescent="0.35">
      <c r="A225" t="s">
        <v>563</v>
      </c>
      <c r="B225" t="s">
        <v>564</v>
      </c>
      <c r="C225" t="s">
        <v>2507</v>
      </c>
      <c r="D225" t="s">
        <v>26</v>
      </c>
      <c r="E225">
        <v>53</v>
      </c>
      <c r="F225" t="s">
        <v>13</v>
      </c>
      <c r="G225" t="s">
        <v>29</v>
      </c>
      <c r="H225" t="s">
        <v>96</v>
      </c>
      <c r="I225" t="s">
        <v>130</v>
      </c>
    </row>
    <row r="226" spans="1:9" x14ac:dyDescent="0.35">
      <c r="A226" t="s">
        <v>566</v>
      </c>
      <c r="B226" t="s">
        <v>567</v>
      </c>
      <c r="C226" t="s">
        <v>2508</v>
      </c>
      <c r="D226" t="s">
        <v>26</v>
      </c>
      <c r="E226">
        <v>36</v>
      </c>
      <c r="F226" t="s">
        <v>56</v>
      </c>
      <c r="G226" t="s">
        <v>14</v>
      </c>
      <c r="H226" t="s">
        <v>288</v>
      </c>
      <c r="I226" t="s">
        <v>79</v>
      </c>
    </row>
    <row r="227" spans="1:9" x14ac:dyDescent="0.35">
      <c r="A227" t="s">
        <v>368</v>
      </c>
      <c r="B227" t="s">
        <v>369</v>
      </c>
      <c r="C227" t="s">
        <v>2509</v>
      </c>
      <c r="D227" t="s">
        <v>34</v>
      </c>
      <c r="E227">
        <v>34</v>
      </c>
      <c r="F227" t="s">
        <v>48</v>
      </c>
      <c r="G227" t="s">
        <v>22</v>
      </c>
      <c r="H227" t="s">
        <v>70</v>
      </c>
    </row>
    <row r="228" spans="1:9" x14ac:dyDescent="0.35">
      <c r="A228" t="s">
        <v>76</v>
      </c>
      <c r="B228" t="s">
        <v>77</v>
      </c>
      <c r="C228" t="s">
        <v>2510</v>
      </c>
      <c r="D228" t="s">
        <v>34</v>
      </c>
      <c r="E228">
        <v>28</v>
      </c>
      <c r="F228" t="s">
        <v>48</v>
      </c>
      <c r="G228" t="s">
        <v>14</v>
      </c>
      <c r="H228" t="s">
        <v>23</v>
      </c>
      <c r="I228" t="s">
        <v>79</v>
      </c>
    </row>
    <row r="229" spans="1:9" x14ac:dyDescent="0.35">
      <c r="A229" t="s">
        <v>569</v>
      </c>
      <c r="B229" t="s">
        <v>570</v>
      </c>
      <c r="C229" t="s">
        <v>2511</v>
      </c>
      <c r="D229" t="s">
        <v>26</v>
      </c>
      <c r="E229">
        <v>19</v>
      </c>
      <c r="F229" t="s">
        <v>42</v>
      </c>
      <c r="G229" t="s">
        <v>14</v>
      </c>
      <c r="H229" t="s">
        <v>15</v>
      </c>
      <c r="I229" t="s">
        <v>16</v>
      </c>
    </row>
    <row r="230" spans="1:9" x14ac:dyDescent="0.35">
      <c r="A230" t="s">
        <v>571</v>
      </c>
      <c r="B230" t="s">
        <v>1062</v>
      </c>
      <c r="C230" t="s">
        <v>2512</v>
      </c>
      <c r="D230" t="s">
        <v>26</v>
      </c>
      <c r="E230">
        <v>60</v>
      </c>
      <c r="F230" t="s">
        <v>13</v>
      </c>
      <c r="G230" t="s">
        <v>37</v>
      </c>
      <c r="H230" t="s">
        <v>57</v>
      </c>
      <c r="I230" t="s">
        <v>163</v>
      </c>
    </row>
    <row r="231" spans="1:9" x14ac:dyDescent="0.35">
      <c r="A231" t="s">
        <v>573</v>
      </c>
      <c r="B231" t="s">
        <v>574</v>
      </c>
      <c r="C231" t="s">
        <v>2513</v>
      </c>
      <c r="D231" t="s">
        <v>34</v>
      </c>
      <c r="E231">
        <v>40</v>
      </c>
      <c r="F231" t="s">
        <v>13</v>
      </c>
      <c r="G231" t="s">
        <v>22</v>
      </c>
      <c r="H231" t="s">
        <v>15</v>
      </c>
      <c r="I231" t="s">
        <v>15</v>
      </c>
    </row>
    <row r="232" spans="1:9" x14ac:dyDescent="0.35">
      <c r="A232" t="s">
        <v>576</v>
      </c>
      <c r="B232" t="s">
        <v>577</v>
      </c>
      <c r="C232" t="s">
        <v>2514</v>
      </c>
      <c r="D232" t="s">
        <v>34</v>
      </c>
      <c r="E232">
        <v>26</v>
      </c>
      <c r="F232" t="s">
        <v>28</v>
      </c>
      <c r="G232" t="s">
        <v>14</v>
      </c>
      <c r="H232" t="s">
        <v>15</v>
      </c>
      <c r="I232" t="s">
        <v>16</v>
      </c>
    </row>
    <row r="233" spans="1:9" x14ac:dyDescent="0.35">
      <c r="A233" t="s">
        <v>578</v>
      </c>
      <c r="B233" t="s">
        <v>579</v>
      </c>
      <c r="C233" t="s">
        <v>2515</v>
      </c>
      <c r="D233" t="s">
        <v>26</v>
      </c>
      <c r="E233">
        <v>44</v>
      </c>
      <c r="F233" t="s">
        <v>13</v>
      </c>
      <c r="G233" t="s">
        <v>22</v>
      </c>
      <c r="H233" t="s">
        <v>30</v>
      </c>
      <c r="I233" t="s">
        <v>30</v>
      </c>
    </row>
    <row r="234" spans="1:9" x14ac:dyDescent="0.35">
      <c r="A234" t="s">
        <v>580</v>
      </c>
      <c r="B234" t="s">
        <v>581</v>
      </c>
      <c r="C234" t="s">
        <v>984</v>
      </c>
      <c r="D234" t="s">
        <v>26</v>
      </c>
      <c r="E234">
        <v>58</v>
      </c>
      <c r="F234" t="s">
        <v>56</v>
      </c>
      <c r="G234" t="s">
        <v>29</v>
      </c>
      <c r="H234" t="s">
        <v>30</v>
      </c>
      <c r="I234" t="s">
        <v>31</v>
      </c>
    </row>
    <row r="235" spans="1:9" x14ac:dyDescent="0.35">
      <c r="A235" t="s">
        <v>582</v>
      </c>
      <c r="B235" t="s">
        <v>583</v>
      </c>
      <c r="C235" t="s">
        <v>2423</v>
      </c>
      <c r="D235" t="s">
        <v>34</v>
      </c>
      <c r="E235" t="s">
        <v>316</v>
      </c>
      <c r="F235" t="s">
        <v>56</v>
      </c>
      <c r="G235" t="s">
        <v>29</v>
      </c>
      <c r="H235" t="s">
        <v>30</v>
      </c>
      <c r="I235" t="s">
        <v>31</v>
      </c>
    </row>
    <row r="236" spans="1:9" x14ac:dyDescent="0.35">
      <c r="A236" t="s">
        <v>584</v>
      </c>
      <c r="B236" t="s">
        <v>2056</v>
      </c>
      <c r="C236" t="s">
        <v>2466</v>
      </c>
      <c r="D236" t="s">
        <v>112</v>
      </c>
      <c r="E236">
        <v>52</v>
      </c>
      <c r="F236" t="s">
        <v>56</v>
      </c>
      <c r="G236" t="s">
        <v>29</v>
      </c>
      <c r="H236" t="s">
        <v>23</v>
      </c>
      <c r="I236" t="s">
        <v>128</v>
      </c>
    </row>
    <row r="237" spans="1:9" x14ac:dyDescent="0.35">
      <c r="A237" t="s">
        <v>585</v>
      </c>
      <c r="B237" t="s">
        <v>586</v>
      </c>
      <c r="C237" t="s">
        <v>947</v>
      </c>
      <c r="D237" t="s">
        <v>34</v>
      </c>
      <c r="E237">
        <v>49</v>
      </c>
      <c r="F237" t="s">
        <v>13</v>
      </c>
      <c r="G237" t="s">
        <v>22</v>
      </c>
      <c r="H237" t="s">
        <v>75</v>
      </c>
      <c r="I237" t="s">
        <v>15</v>
      </c>
    </row>
    <row r="238" spans="1:9" x14ac:dyDescent="0.35">
      <c r="A238" t="s">
        <v>587</v>
      </c>
      <c r="B238" t="s">
        <v>588</v>
      </c>
      <c r="C238" t="s">
        <v>2516</v>
      </c>
      <c r="D238" t="s">
        <v>140</v>
      </c>
      <c r="E238">
        <v>19</v>
      </c>
      <c r="F238" t="s">
        <v>36</v>
      </c>
      <c r="G238" t="s">
        <v>29</v>
      </c>
      <c r="H238" t="s">
        <v>84</v>
      </c>
      <c r="I238" t="s">
        <v>85</v>
      </c>
    </row>
    <row r="239" spans="1:9" x14ac:dyDescent="0.35">
      <c r="A239" t="s">
        <v>589</v>
      </c>
      <c r="B239" t="s">
        <v>2057</v>
      </c>
      <c r="C239" t="s">
        <v>2517</v>
      </c>
      <c r="D239" t="s">
        <v>34</v>
      </c>
      <c r="E239">
        <v>46</v>
      </c>
      <c r="F239" t="s">
        <v>62</v>
      </c>
      <c r="G239" t="s">
        <v>14</v>
      </c>
      <c r="H239" t="s">
        <v>23</v>
      </c>
      <c r="I239" t="s">
        <v>79</v>
      </c>
    </row>
    <row r="240" spans="1:9" x14ac:dyDescent="0.35">
      <c r="A240" t="s">
        <v>591</v>
      </c>
      <c r="B240" t="s">
        <v>592</v>
      </c>
      <c r="C240" t="s">
        <v>2518</v>
      </c>
      <c r="D240" t="s">
        <v>26</v>
      </c>
      <c r="E240">
        <v>18</v>
      </c>
      <c r="F240" t="s">
        <v>48</v>
      </c>
      <c r="G240" t="s">
        <v>22</v>
      </c>
      <c r="H240" t="s">
        <v>23</v>
      </c>
      <c r="I240" t="s">
        <v>23</v>
      </c>
    </row>
    <row r="241" spans="1:9" x14ac:dyDescent="0.35">
      <c r="A241" t="s">
        <v>593</v>
      </c>
      <c r="B241" t="s">
        <v>594</v>
      </c>
      <c r="C241" t="s">
        <v>2519</v>
      </c>
      <c r="D241" t="s">
        <v>26</v>
      </c>
      <c r="E241" t="s">
        <v>596</v>
      </c>
      <c r="F241" t="s">
        <v>99</v>
      </c>
      <c r="G241" t="s">
        <v>37</v>
      </c>
      <c r="H241" t="s">
        <v>15</v>
      </c>
      <c r="I241" t="s">
        <v>38</v>
      </c>
    </row>
    <row r="242" spans="1:9" x14ac:dyDescent="0.35">
      <c r="A242" t="s">
        <v>597</v>
      </c>
      <c r="B242" t="s">
        <v>598</v>
      </c>
      <c r="C242" t="s">
        <v>2520</v>
      </c>
      <c r="D242" t="s">
        <v>34</v>
      </c>
      <c r="E242">
        <v>61</v>
      </c>
      <c r="F242" t="s">
        <v>13</v>
      </c>
      <c r="G242" t="s">
        <v>22</v>
      </c>
      <c r="H242" t="s">
        <v>23</v>
      </c>
      <c r="I242" t="s">
        <v>23</v>
      </c>
    </row>
    <row r="243" spans="1:9" x14ac:dyDescent="0.35">
      <c r="A243" t="s">
        <v>599</v>
      </c>
      <c r="B243" t="s">
        <v>2058</v>
      </c>
      <c r="C243" t="s">
        <v>2521</v>
      </c>
      <c r="D243" t="s">
        <v>26</v>
      </c>
      <c r="E243" t="s">
        <v>600</v>
      </c>
      <c r="F243" t="s">
        <v>56</v>
      </c>
      <c r="G243" t="s">
        <v>37</v>
      </c>
      <c r="H243" t="s">
        <v>186</v>
      </c>
      <c r="I243" t="s">
        <v>107</v>
      </c>
    </row>
    <row r="244" spans="1:9" x14ac:dyDescent="0.35">
      <c r="A244" t="s">
        <v>601</v>
      </c>
      <c r="B244" t="s">
        <v>557</v>
      </c>
      <c r="C244" t="s">
        <v>2522</v>
      </c>
      <c r="D244" t="s">
        <v>34</v>
      </c>
      <c r="E244">
        <v>24</v>
      </c>
      <c r="F244" t="s">
        <v>56</v>
      </c>
      <c r="G244" t="s">
        <v>29</v>
      </c>
      <c r="H244" t="s">
        <v>23</v>
      </c>
      <c r="I244" t="s">
        <v>128</v>
      </c>
    </row>
    <row r="245" spans="1:9" x14ac:dyDescent="0.35">
      <c r="A245" t="s">
        <v>602</v>
      </c>
      <c r="B245" t="s">
        <v>2059</v>
      </c>
      <c r="C245" t="s">
        <v>1068</v>
      </c>
      <c r="D245" t="s">
        <v>112</v>
      </c>
      <c r="E245">
        <v>49</v>
      </c>
      <c r="F245" t="s">
        <v>56</v>
      </c>
      <c r="G245" t="s">
        <v>29</v>
      </c>
      <c r="H245" t="s">
        <v>23</v>
      </c>
      <c r="I245" t="s">
        <v>128</v>
      </c>
    </row>
    <row r="246" spans="1:9" x14ac:dyDescent="0.35">
      <c r="A246" t="s">
        <v>603</v>
      </c>
      <c r="B246" t="s">
        <v>604</v>
      </c>
      <c r="C246" t="s">
        <v>2523</v>
      </c>
      <c r="D246" t="s">
        <v>26</v>
      </c>
      <c r="E246">
        <v>19</v>
      </c>
      <c r="F246" t="s">
        <v>13</v>
      </c>
      <c r="G246" t="s">
        <v>37</v>
      </c>
      <c r="H246" t="s">
        <v>57</v>
      </c>
      <c r="I246" t="s">
        <v>163</v>
      </c>
    </row>
    <row r="247" spans="1:9" x14ac:dyDescent="0.35">
      <c r="A247" t="s">
        <v>605</v>
      </c>
      <c r="B247" t="s">
        <v>606</v>
      </c>
      <c r="C247" t="s">
        <v>2524</v>
      </c>
      <c r="D247" t="s">
        <v>20</v>
      </c>
      <c r="E247">
        <v>24</v>
      </c>
      <c r="F247" t="s">
        <v>62</v>
      </c>
      <c r="G247" t="s">
        <v>14</v>
      </c>
      <c r="H247" t="s">
        <v>23</v>
      </c>
      <c r="I247" t="s">
        <v>79</v>
      </c>
    </row>
    <row r="248" spans="1:9" x14ac:dyDescent="0.35">
      <c r="A248" t="s">
        <v>607</v>
      </c>
      <c r="B248" t="s">
        <v>261</v>
      </c>
      <c r="C248" t="s">
        <v>2525</v>
      </c>
      <c r="D248" t="s">
        <v>34</v>
      </c>
      <c r="E248">
        <v>41</v>
      </c>
      <c r="F248" t="s">
        <v>56</v>
      </c>
      <c r="G248" t="s">
        <v>29</v>
      </c>
      <c r="H248" t="s">
        <v>23</v>
      </c>
      <c r="I248" t="s">
        <v>128</v>
      </c>
    </row>
    <row r="249" spans="1:9" x14ac:dyDescent="0.35">
      <c r="A249" t="s">
        <v>609</v>
      </c>
      <c r="B249" t="s">
        <v>241</v>
      </c>
      <c r="C249" t="s">
        <v>2526</v>
      </c>
      <c r="D249" t="s">
        <v>26</v>
      </c>
      <c r="E249">
        <v>43</v>
      </c>
      <c r="F249" t="s">
        <v>13</v>
      </c>
      <c r="G249" t="s">
        <v>14</v>
      </c>
      <c r="H249" t="s">
        <v>23</v>
      </c>
      <c r="I249" t="s">
        <v>79</v>
      </c>
    </row>
    <row r="250" spans="1:9" x14ac:dyDescent="0.35">
      <c r="A250" t="s">
        <v>611</v>
      </c>
      <c r="B250" t="s">
        <v>590</v>
      </c>
      <c r="C250" t="s">
        <v>2527</v>
      </c>
      <c r="D250" t="s">
        <v>26</v>
      </c>
      <c r="E250">
        <v>25</v>
      </c>
      <c r="F250" t="s">
        <v>36</v>
      </c>
      <c r="H250" t="s">
        <v>23</v>
      </c>
      <c r="I250" t="s">
        <v>107</v>
      </c>
    </row>
    <row r="251" spans="1:9" x14ac:dyDescent="0.35">
      <c r="A251" t="s">
        <v>613</v>
      </c>
      <c r="B251" t="s">
        <v>2050</v>
      </c>
      <c r="C251" t="s">
        <v>2520</v>
      </c>
      <c r="D251" t="s">
        <v>34</v>
      </c>
      <c r="E251" t="s">
        <v>615</v>
      </c>
      <c r="F251" t="s">
        <v>36</v>
      </c>
      <c r="H251" t="s">
        <v>282</v>
      </c>
      <c r="I251" t="s">
        <v>232</v>
      </c>
    </row>
    <row r="252" spans="1:9" x14ac:dyDescent="0.35">
      <c r="A252" t="s">
        <v>616</v>
      </c>
      <c r="B252" t="s">
        <v>2060</v>
      </c>
      <c r="C252" t="s">
        <v>2528</v>
      </c>
      <c r="D252" t="s">
        <v>26</v>
      </c>
      <c r="E252">
        <v>40</v>
      </c>
      <c r="F252" t="s">
        <v>13</v>
      </c>
      <c r="G252" t="s">
        <v>37</v>
      </c>
      <c r="H252" t="s">
        <v>70</v>
      </c>
      <c r="I252" t="s">
        <v>71</v>
      </c>
    </row>
    <row r="253" spans="1:9" x14ac:dyDescent="0.35">
      <c r="A253" t="s">
        <v>618</v>
      </c>
      <c r="B253" t="s">
        <v>619</v>
      </c>
      <c r="C253" t="s">
        <v>2529</v>
      </c>
      <c r="D253" t="s">
        <v>140</v>
      </c>
      <c r="E253">
        <v>35</v>
      </c>
      <c r="F253" t="s">
        <v>400</v>
      </c>
      <c r="G253" t="s">
        <v>29</v>
      </c>
      <c r="H253" t="s">
        <v>15</v>
      </c>
      <c r="I253" t="s">
        <v>130</v>
      </c>
    </row>
    <row r="254" spans="1:9" x14ac:dyDescent="0.35">
      <c r="A254" t="s">
        <v>620</v>
      </c>
      <c r="B254" t="s">
        <v>2061</v>
      </c>
      <c r="C254" t="s">
        <v>2530</v>
      </c>
      <c r="D254" t="s">
        <v>34</v>
      </c>
      <c r="E254">
        <v>52</v>
      </c>
      <c r="F254" t="s">
        <v>48</v>
      </c>
      <c r="G254" t="s">
        <v>14</v>
      </c>
      <c r="H254" t="s">
        <v>23</v>
      </c>
      <c r="I254" t="s">
        <v>79</v>
      </c>
    </row>
    <row r="255" spans="1:9" x14ac:dyDescent="0.35">
      <c r="A255" t="s">
        <v>622</v>
      </c>
      <c r="B255" t="s">
        <v>145</v>
      </c>
      <c r="C255" t="s">
        <v>2531</v>
      </c>
      <c r="D255" t="s">
        <v>26</v>
      </c>
      <c r="E255">
        <v>24</v>
      </c>
      <c r="F255" t="s">
        <v>13</v>
      </c>
      <c r="G255" t="s">
        <v>37</v>
      </c>
      <c r="H255" t="s">
        <v>30</v>
      </c>
      <c r="I255" t="s">
        <v>15</v>
      </c>
    </row>
    <row r="256" spans="1:9" x14ac:dyDescent="0.35">
      <c r="A256" t="s">
        <v>623</v>
      </c>
      <c r="B256" t="s">
        <v>2062</v>
      </c>
      <c r="C256" t="s">
        <v>406</v>
      </c>
      <c r="D256" t="s">
        <v>34</v>
      </c>
      <c r="E256" t="s">
        <v>624</v>
      </c>
      <c r="F256" t="s">
        <v>13</v>
      </c>
      <c r="G256" t="s">
        <v>29</v>
      </c>
      <c r="H256" t="s">
        <v>23</v>
      </c>
      <c r="I256" t="s">
        <v>128</v>
      </c>
    </row>
    <row r="257" spans="1:9" x14ac:dyDescent="0.35">
      <c r="A257" t="s">
        <v>625</v>
      </c>
      <c r="B257" t="s">
        <v>2063</v>
      </c>
      <c r="C257" t="s">
        <v>2532</v>
      </c>
      <c r="D257" t="s">
        <v>34</v>
      </c>
      <c r="E257">
        <v>50</v>
      </c>
      <c r="F257" t="s">
        <v>13</v>
      </c>
      <c r="G257" t="s">
        <v>29</v>
      </c>
      <c r="H257" t="s">
        <v>57</v>
      </c>
      <c r="I257" t="s">
        <v>85</v>
      </c>
    </row>
    <row r="258" spans="1:9" x14ac:dyDescent="0.35">
      <c r="A258" t="s">
        <v>627</v>
      </c>
      <c r="B258" t="s">
        <v>1824</v>
      </c>
      <c r="C258" t="s">
        <v>2533</v>
      </c>
      <c r="D258" t="s">
        <v>26</v>
      </c>
      <c r="E258">
        <v>52</v>
      </c>
      <c r="F258" t="s">
        <v>109</v>
      </c>
      <c r="G258" t="s">
        <v>14</v>
      </c>
      <c r="H258" t="s">
        <v>30</v>
      </c>
    </row>
    <row r="259" spans="1:9" x14ac:dyDescent="0.35">
      <c r="A259" t="s">
        <v>628</v>
      </c>
      <c r="B259" t="s">
        <v>2064</v>
      </c>
      <c r="C259" t="s">
        <v>2534</v>
      </c>
      <c r="D259" t="s">
        <v>140</v>
      </c>
      <c r="E259">
        <v>53</v>
      </c>
      <c r="F259" t="s">
        <v>13</v>
      </c>
      <c r="G259" t="s">
        <v>22</v>
      </c>
      <c r="H259" t="s">
        <v>23</v>
      </c>
      <c r="I259" t="s">
        <v>23</v>
      </c>
    </row>
    <row r="260" spans="1:9" x14ac:dyDescent="0.35">
      <c r="A260" t="s">
        <v>629</v>
      </c>
      <c r="B260" t="s">
        <v>2065</v>
      </c>
      <c r="C260" t="s">
        <v>2535</v>
      </c>
      <c r="D260" t="s">
        <v>34</v>
      </c>
      <c r="E260">
        <v>46</v>
      </c>
      <c r="F260" t="s">
        <v>13</v>
      </c>
      <c r="G260" t="s">
        <v>37</v>
      </c>
      <c r="H260" t="s">
        <v>57</v>
      </c>
      <c r="I260" t="s">
        <v>163</v>
      </c>
    </row>
    <row r="261" spans="1:9" x14ac:dyDescent="0.35">
      <c r="A261" t="s">
        <v>630</v>
      </c>
      <c r="B261" t="s">
        <v>631</v>
      </c>
      <c r="C261" t="s">
        <v>2536</v>
      </c>
      <c r="D261" t="s">
        <v>26</v>
      </c>
      <c r="E261">
        <v>51</v>
      </c>
      <c r="F261" t="s">
        <v>42</v>
      </c>
      <c r="G261" t="s">
        <v>37</v>
      </c>
      <c r="H261" t="s">
        <v>57</v>
      </c>
      <c r="I261" t="s">
        <v>163</v>
      </c>
    </row>
    <row r="262" spans="1:9" x14ac:dyDescent="0.35">
      <c r="A262" t="s">
        <v>632</v>
      </c>
      <c r="B262" t="s">
        <v>2029</v>
      </c>
      <c r="C262" t="s">
        <v>2537</v>
      </c>
      <c r="D262" t="s">
        <v>112</v>
      </c>
      <c r="E262">
        <v>64</v>
      </c>
      <c r="F262" t="s">
        <v>56</v>
      </c>
      <c r="G262" t="s">
        <v>37</v>
      </c>
      <c r="H262" t="s">
        <v>15</v>
      </c>
      <c r="I262" t="s">
        <v>38</v>
      </c>
    </row>
    <row r="263" spans="1:9" x14ac:dyDescent="0.35">
      <c r="A263" t="s">
        <v>633</v>
      </c>
      <c r="B263" t="s">
        <v>634</v>
      </c>
      <c r="C263" t="s">
        <v>2538</v>
      </c>
      <c r="D263" t="s">
        <v>26</v>
      </c>
      <c r="E263">
        <v>35</v>
      </c>
      <c r="F263" t="s">
        <v>36</v>
      </c>
      <c r="G263" t="s">
        <v>29</v>
      </c>
      <c r="H263" t="s">
        <v>23</v>
      </c>
      <c r="I263" t="s">
        <v>128</v>
      </c>
    </row>
    <row r="264" spans="1:9" x14ac:dyDescent="0.35">
      <c r="A264" t="s">
        <v>635</v>
      </c>
      <c r="B264" t="s">
        <v>2058</v>
      </c>
      <c r="C264" t="s">
        <v>2539</v>
      </c>
      <c r="D264" t="s">
        <v>26</v>
      </c>
      <c r="E264">
        <v>51</v>
      </c>
      <c r="F264" t="s">
        <v>13</v>
      </c>
      <c r="G264" t="s">
        <v>22</v>
      </c>
      <c r="H264" t="s">
        <v>57</v>
      </c>
      <c r="I264" t="s">
        <v>57</v>
      </c>
    </row>
    <row r="265" spans="1:9" x14ac:dyDescent="0.35">
      <c r="A265" t="s">
        <v>636</v>
      </c>
      <c r="B265" t="s">
        <v>637</v>
      </c>
      <c r="C265" t="s">
        <v>2540</v>
      </c>
      <c r="D265" t="s">
        <v>34</v>
      </c>
      <c r="E265">
        <v>50</v>
      </c>
      <c r="F265" t="s">
        <v>69</v>
      </c>
      <c r="G265" t="s">
        <v>22</v>
      </c>
      <c r="H265" t="s">
        <v>23</v>
      </c>
      <c r="I265" t="s">
        <v>23</v>
      </c>
    </row>
    <row r="266" spans="1:9" x14ac:dyDescent="0.35">
      <c r="A266" t="s">
        <v>638</v>
      </c>
      <c r="B266" t="s">
        <v>2066</v>
      </c>
      <c r="C266" t="s">
        <v>2271</v>
      </c>
      <c r="D266" t="s">
        <v>26</v>
      </c>
      <c r="E266">
        <v>50</v>
      </c>
      <c r="F266" t="s">
        <v>13</v>
      </c>
      <c r="G266" t="s">
        <v>14</v>
      </c>
      <c r="H266" t="s">
        <v>15</v>
      </c>
      <c r="I266" t="s">
        <v>16</v>
      </c>
    </row>
    <row r="267" spans="1:9" x14ac:dyDescent="0.35">
      <c r="A267" t="s">
        <v>639</v>
      </c>
      <c r="B267" t="s">
        <v>2067</v>
      </c>
      <c r="C267" t="s">
        <v>1156</v>
      </c>
      <c r="D267" t="s">
        <v>34</v>
      </c>
      <c r="E267">
        <v>18</v>
      </c>
      <c r="F267" t="s">
        <v>89</v>
      </c>
      <c r="G267" t="s">
        <v>37</v>
      </c>
      <c r="H267" t="s">
        <v>43</v>
      </c>
      <c r="I267" t="s">
        <v>71</v>
      </c>
    </row>
    <row r="268" spans="1:9" x14ac:dyDescent="0.35">
      <c r="A268" t="s">
        <v>641</v>
      </c>
      <c r="B268" t="s">
        <v>642</v>
      </c>
      <c r="C268" t="s">
        <v>1217</v>
      </c>
      <c r="D268" t="s">
        <v>26</v>
      </c>
      <c r="E268">
        <v>42</v>
      </c>
      <c r="F268" t="s">
        <v>36</v>
      </c>
      <c r="G268" t="s">
        <v>14</v>
      </c>
      <c r="H268" t="s">
        <v>30</v>
      </c>
      <c r="I268" t="s">
        <v>38</v>
      </c>
    </row>
    <row r="269" spans="1:9" x14ac:dyDescent="0.35">
      <c r="A269" t="s">
        <v>643</v>
      </c>
      <c r="B269" t="s">
        <v>644</v>
      </c>
      <c r="C269" t="s">
        <v>2541</v>
      </c>
      <c r="D269" t="s">
        <v>34</v>
      </c>
      <c r="E269">
        <v>57</v>
      </c>
      <c r="F269" t="s">
        <v>36</v>
      </c>
      <c r="G269" t="s">
        <v>14</v>
      </c>
      <c r="H269" t="s">
        <v>186</v>
      </c>
      <c r="I269" t="s">
        <v>79</v>
      </c>
    </row>
    <row r="270" spans="1:9" x14ac:dyDescent="0.35">
      <c r="A270" t="s">
        <v>646</v>
      </c>
      <c r="B270" t="s">
        <v>647</v>
      </c>
      <c r="C270" t="s">
        <v>2542</v>
      </c>
      <c r="D270" t="s">
        <v>20</v>
      </c>
      <c r="E270" t="s">
        <v>649</v>
      </c>
      <c r="F270" t="s">
        <v>124</v>
      </c>
      <c r="G270" t="s">
        <v>14</v>
      </c>
      <c r="H270" t="s">
        <v>15</v>
      </c>
      <c r="I270" t="s">
        <v>16</v>
      </c>
    </row>
    <row r="271" spans="1:9" x14ac:dyDescent="0.35">
      <c r="A271" t="s">
        <v>12</v>
      </c>
      <c r="B271" t="s">
        <v>650</v>
      </c>
      <c r="C271" t="s">
        <v>2543</v>
      </c>
      <c r="D271" t="s">
        <v>46</v>
      </c>
      <c r="E271">
        <v>36</v>
      </c>
      <c r="F271" t="s">
        <v>36</v>
      </c>
      <c r="G271" t="s">
        <v>22</v>
      </c>
      <c r="H271" t="s">
        <v>23</v>
      </c>
      <c r="I271" t="s">
        <v>23</v>
      </c>
    </row>
    <row r="272" spans="1:9" x14ac:dyDescent="0.35">
      <c r="A272" t="s">
        <v>652</v>
      </c>
      <c r="B272" t="s">
        <v>653</v>
      </c>
      <c r="C272" t="s">
        <v>2544</v>
      </c>
      <c r="D272" t="s">
        <v>34</v>
      </c>
      <c r="E272">
        <v>26</v>
      </c>
      <c r="F272" t="s">
        <v>48</v>
      </c>
      <c r="G272" t="s">
        <v>22</v>
      </c>
      <c r="H272" t="s">
        <v>23</v>
      </c>
      <c r="I272" t="s">
        <v>23</v>
      </c>
    </row>
    <row r="273" spans="1:9" x14ac:dyDescent="0.35">
      <c r="A273" t="s">
        <v>654</v>
      </c>
      <c r="B273" t="s">
        <v>2068</v>
      </c>
      <c r="C273" t="s">
        <v>2545</v>
      </c>
      <c r="D273" t="s">
        <v>26</v>
      </c>
      <c r="E273">
        <v>47</v>
      </c>
      <c r="F273" t="s">
        <v>36</v>
      </c>
      <c r="G273" t="s">
        <v>14</v>
      </c>
      <c r="H273" t="s">
        <v>70</v>
      </c>
      <c r="I273" t="s">
        <v>44</v>
      </c>
    </row>
    <row r="274" spans="1:9" x14ac:dyDescent="0.35">
      <c r="A274" t="s">
        <v>21</v>
      </c>
      <c r="B274" t="s">
        <v>656</v>
      </c>
      <c r="C274" t="s">
        <v>912</v>
      </c>
      <c r="D274" t="s">
        <v>26</v>
      </c>
      <c r="E274">
        <v>35</v>
      </c>
      <c r="F274" t="s">
        <v>89</v>
      </c>
      <c r="G274" t="s">
        <v>14</v>
      </c>
      <c r="H274" t="s">
        <v>70</v>
      </c>
      <c r="I274" t="s">
        <v>44</v>
      </c>
    </row>
    <row r="275" spans="1:9" x14ac:dyDescent="0.35">
      <c r="A275" t="s">
        <v>657</v>
      </c>
      <c r="B275" t="s">
        <v>2066</v>
      </c>
      <c r="C275" t="s">
        <v>2546</v>
      </c>
      <c r="D275" t="s">
        <v>34</v>
      </c>
      <c r="E275">
        <v>58</v>
      </c>
      <c r="F275" t="s">
        <v>36</v>
      </c>
      <c r="G275" t="s">
        <v>37</v>
      </c>
      <c r="H275" t="s">
        <v>23</v>
      </c>
      <c r="I275" t="s">
        <v>107</v>
      </c>
    </row>
    <row r="276" spans="1:9" x14ac:dyDescent="0.35">
      <c r="A276" t="s">
        <v>658</v>
      </c>
      <c r="B276" t="s">
        <v>659</v>
      </c>
      <c r="C276" t="s">
        <v>2547</v>
      </c>
      <c r="D276" t="s">
        <v>11</v>
      </c>
      <c r="E276">
        <v>32</v>
      </c>
      <c r="F276" t="s">
        <v>56</v>
      </c>
      <c r="G276" t="s">
        <v>22</v>
      </c>
      <c r="H276" t="s">
        <v>15</v>
      </c>
      <c r="I276" t="s">
        <v>15</v>
      </c>
    </row>
    <row r="277" spans="1:9" x14ac:dyDescent="0.35">
      <c r="A277" t="s">
        <v>660</v>
      </c>
      <c r="B277" t="s">
        <v>2069</v>
      </c>
      <c r="C277" t="s">
        <v>2548</v>
      </c>
      <c r="D277" t="s">
        <v>11</v>
      </c>
      <c r="E277">
        <v>28</v>
      </c>
      <c r="F277" t="s">
        <v>56</v>
      </c>
      <c r="G277" t="s">
        <v>22</v>
      </c>
      <c r="H277" t="s">
        <v>57</v>
      </c>
      <c r="I277" t="s">
        <v>57</v>
      </c>
    </row>
    <row r="278" spans="1:9" x14ac:dyDescent="0.35">
      <c r="A278" t="s">
        <v>661</v>
      </c>
      <c r="B278" t="s">
        <v>662</v>
      </c>
      <c r="C278" t="s">
        <v>2549</v>
      </c>
      <c r="D278" t="s">
        <v>34</v>
      </c>
      <c r="E278">
        <v>37</v>
      </c>
      <c r="F278" t="s">
        <v>13</v>
      </c>
      <c r="G278" t="s">
        <v>14</v>
      </c>
      <c r="H278" t="s">
        <v>15</v>
      </c>
      <c r="I278" t="s">
        <v>16</v>
      </c>
    </row>
    <row r="279" spans="1:9" x14ac:dyDescent="0.35">
      <c r="A279" t="s">
        <v>664</v>
      </c>
      <c r="B279" t="s">
        <v>665</v>
      </c>
      <c r="C279" t="s">
        <v>2550</v>
      </c>
      <c r="D279" t="s">
        <v>26</v>
      </c>
      <c r="E279">
        <v>27</v>
      </c>
      <c r="F279" t="s">
        <v>36</v>
      </c>
      <c r="G279" t="s">
        <v>29</v>
      </c>
      <c r="H279" t="s">
        <v>186</v>
      </c>
      <c r="I279" t="s">
        <v>128</v>
      </c>
    </row>
    <row r="280" spans="1:9" x14ac:dyDescent="0.35">
      <c r="A280" t="s">
        <v>667</v>
      </c>
      <c r="B280" t="s">
        <v>668</v>
      </c>
      <c r="C280" t="s">
        <v>2551</v>
      </c>
      <c r="D280" t="s">
        <v>26</v>
      </c>
      <c r="E280">
        <v>45</v>
      </c>
      <c r="F280" t="s">
        <v>89</v>
      </c>
      <c r="G280" t="s">
        <v>22</v>
      </c>
      <c r="H280" t="s">
        <v>15</v>
      </c>
      <c r="I280" t="s">
        <v>15</v>
      </c>
    </row>
    <row r="281" spans="1:9" x14ac:dyDescent="0.35">
      <c r="A281" t="s">
        <v>113</v>
      </c>
      <c r="B281" t="s">
        <v>670</v>
      </c>
      <c r="C281" t="s">
        <v>2552</v>
      </c>
      <c r="D281" t="s">
        <v>34</v>
      </c>
      <c r="E281">
        <v>27</v>
      </c>
      <c r="F281" t="s">
        <v>36</v>
      </c>
      <c r="G281" t="s">
        <v>29</v>
      </c>
      <c r="H281" t="s">
        <v>30</v>
      </c>
      <c r="I281" t="s">
        <v>31</v>
      </c>
    </row>
    <row r="282" spans="1:9" x14ac:dyDescent="0.35">
      <c r="A282" t="s">
        <v>671</v>
      </c>
      <c r="B282" t="s">
        <v>672</v>
      </c>
      <c r="C282" t="s">
        <v>2553</v>
      </c>
      <c r="D282" t="s">
        <v>26</v>
      </c>
      <c r="E282" t="s">
        <v>674</v>
      </c>
      <c r="F282" t="s">
        <v>56</v>
      </c>
      <c r="G282" t="s">
        <v>29</v>
      </c>
      <c r="H282" t="s">
        <v>96</v>
      </c>
      <c r="I282" t="s">
        <v>130</v>
      </c>
    </row>
    <row r="283" spans="1:9" x14ac:dyDescent="0.35">
      <c r="A283" t="s">
        <v>675</v>
      </c>
      <c r="B283" t="s">
        <v>676</v>
      </c>
      <c r="C283" t="s">
        <v>2554</v>
      </c>
      <c r="D283" t="s">
        <v>20</v>
      </c>
      <c r="E283">
        <v>39</v>
      </c>
      <c r="F283" t="s">
        <v>69</v>
      </c>
      <c r="G283" t="s">
        <v>14</v>
      </c>
      <c r="H283" t="s">
        <v>70</v>
      </c>
      <c r="I283" t="s">
        <v>44</v>
      </c>
    </row>
    <row r="284" spans="1:9" x14ac:dyDescent="0.35">
      <c r="A284" t="s">
        <v>297</v>
      </c>
      <c r="B284" t="s">
        <v>2013</v>
      </c>
      <c r="C284" t="s">
        <v>1751</v>
      </c>
      <c r="D284" t="s">
        <v>26</v>
      </c>
      <c r="E284">
        <v>64</v>
      </c>
      <c r="F284" t="s">
        <v>124</v>
      </c>
      <c r="G284" t="s">
        <v>14</v>
      </c>
      <c r="H284" t="s">
        <v>57</v>
      </c>
      <c r="I284" t="s">
        <v>232</v>
      </c>
    </row>
    <row r="285" spans="1:9" x14ac:dyDescent="0.35">
      <c r="A285" t="s">
        <v>677</v>
      </c>
      <c r="B285" t="s">
        <v>678</v>
      </c>
      <c r="C285" t="s">
        <v>2285</v>
      </c>
      <c r="D285" t="s">
        <v>26</v>
      </c>
      <c r="E285">
        <v>32</v>
      </c>
      <c r="F285" t="s">
        <v>36</v>
      </c>
      <c r="G285" t="s">
        <v>14</v>
      </c>
      <c r="H285" t="s">
        <v>15</v>
      </c>
      <c r="I285" t="s">
        <v>16</v>
      </c>
    </row>
    <row r="286" spans="1:9" x14ac:dyDescent="0.35">
      <c r="A286" t="s">
        <v>680</v>
      </c>
      <c r="B286" t="s">
        <v>2070</v>
      </c>
      <c r="C286" t="s">
        <v>2555</v>
      </c>
      <c r="D286" t="s">
        <v>46</v>
      </c>
      <c r="E286">
        <v>57</v>
      </c>
      <c r="F286" t="s">
        <v>56</v>
      </c>
      <c r="G286" t="s">
        <v>37</v>
      </c>
      <c r="H286" t="s">
        <v>49</v>
      </c>
      <c r="I286" t="s">
        <v>15</v>
      </c>
    </row>
    <row r="287" spans="1:9" x14ac:dyDescent="0.35">
      <c r="A287" t="s">
        <v>681</v>
      </c>
      <c r="B287" t="s">
        <v>2009</v>
      </c>
      <c r="C287" t="s">
        <v>2556</v>
      </c>
      <c r="D287" t="s">
        <v>34</v>
      </c>
      <c r="E287">
        <v>36</v>
      </c>
      <c r="F287" t="s">
        <v>99</v>
      </c>
      <c r="G287" t="s">
        <v>14</v>
      </c>
      <c r="H287" t="s">
        <v>57</v>
      </c>
      <c r="I287" t="s">
        <v>232</v>
      </c>
    </row>
    <row r="288" spans="1:9" x14ac:dyDescent="0.35">
      <c r="A288" t="s">
        <v>682</v>
      </c>
      <c r="B288" t="s">
        <v>2071</v>
      </c>
      <c r="C288" t="s">
        <v>2557</v>
      </c>
      <c r="D288" t="s">
        <v>26</v>
      </c>
      <c r="E288">
        <v>42</v>
      </c>
      <c r="F288" t="s">
        <v>13</v>
      </c>
      <c r="G288" t="s">
        <v>29</v>
      </c>
      <c r="H288" t="s">
        <v>43</v>
      </c>
      <c r="I288" t="s">
        <v>191</v>
      </c>
    </row>
    <row r="289" spans="1:9" x14ac:dyDescent="0.35">
      <c r="A289" t="s">
        <v>683</v>
      </c>
      <c r="B289" t="s">
        <v>684</v>
      </c>
      <c r="C289" t="s">
        <v>2558</v>
      </c>
      <c r="D289" t="s">
        <v>112</v>
      </c>
      <c r="E289">
        <v>48</v>
      </c>
      <c r="F289" t="s">
        <v>36</v>
      </c>
      <c r="G289" t="s">
        <v>14</v>
      </c>
      <c r="H289" t="s">
        <v>288</v>
      </c>
      <c r="I289" t="s">
        <v>79</v>
      </c>
    </row>
    <row r="290" spans="1:9" x14ac:dyDescent="0.35">
      <c r="A290" t="s">
        <v>686</v>
      </c>
      <c r="B290" t="s">
        <v>687</v>
      </c>
      <c r="C290" t="s">
        <v>2559</v>
      </c>
      <c r="D290" t="s">
        <v>26</v>
      </c>
      <c r="E290">
        <v>61</v>
      </c>
      <c r="F290" t="s">
        <v>56</v>
      </c>
      <c r="G290" t="s">
        <v>14</v>
      </c>
      <c r="H290" t="s">
        <v>57</v>
      </c>
      <c r="I290" t="s">
        <v>232</v>
      </c>
    </row>
    <row r="291" spans="1:9" x14ac:dyDescent="0.35">
      <c r="A291" t="s">
        <v>688</v>
      </c>
      <c r="B291" t="s">
        <v>689</v>
      </c>
      <c r="C291" t="s">
        <v>2560</v>
      </c>
      <c r="D291" t="s">
        <v>112</v>
      </c>
      <c r="E291">
        <v>62</v>
      </c>
      <c r="F291" t="s">
        <v>13</v>
      </c>
      <c r="G291" t="s">
        <v>29</v>
      </c>
      <c r="H291" t="s">
        <v>15</v>
      </c>
      <c r="I291" t="s">
        <v>130</v>
      </c>
    </row>
    <row r="292" spans="1:9" x14ac:dyDescent="0.35">
      <c r="A292" t="s">
        <v>690</v>
      </c>
      <c r="B292" t="s">
        <v>691</v>
      </c>
      <c r="C292" t="s">
        <v>2561</v>
      </c>
      <c r="D292" t="s">
        <v>26</v>
      </c>
      <c r="E292">
        <v>30</v>
      </c>
      <c r="F292" t="s">
        <v>36</v>
      </c>
      <c r="G292" t="s">
        <v>37</v>
      </c>
      <c r="H292" t="s">
        <v>23</v>
      </c>
      <c r="I292" t="s">
        <v>107</v>
      </c>
    </row>
    <row r="293" spans="1:9" x14ac:dyDescent="0.35">
      <c r="A293" t="s">
        <v>693</v>
      </c>
      <c r="B293" t="s">
        <v>694</v>
      </c>
      <c r="C293" t="s">
        <v>2562</v>
      </c>
      <c r="D293" t="s">
        <v>34</v>
      </c>
      <c r="E293">
        <v>41</v>
      </c>
      <c r="F293" t="s">
        <v>36</v>
      </c>
      <c r="G293" t="s">
        <v>37</v>
      </c>
      <c r="H293" t="s">
        <v>30</v>
      </c>
      <c r="I293" t="s">
        <v>15</v>
      </c>
    </row>
    <row r="294" spans="1:9" x14ac:dyDescent="0.35">
      <c r="A294" t="s">
        <v>695</v>
      </c>
      <c r="B294" t="s">
        <v>696</v>
      </c>
      <c r="C294" t="s">
        <v>2563</v>
      </c>
      <c r="D294" t="s">
        <v>34</v>
      </c>
      <c r="E294">
        <v>27</v>
      </c>
      <c r="F294" t="s">
        <v>56</v>
      </c>
      <c r="G294" t="s">
        <v>37</v>
      </c>
      <c r="H294" t="s">
        <v>30</v>
      </c>
      <c r="I294" t="s">
        <v>15</v>
      </c>
    </row>
    <row r="295" spans="1:9" x14ac:dyDescent="0.35">
      <c r="A295" t="s">
        <v>697</v>
      </c>
      <c r="B295" t="s">
        <v>296</v>
      </c>
      <c r="C295" t="s">
        <v>2564</v>
      </c>
      <c r="D295" t="s">
        <v>34</v>
      </c>
      <c r="E295">
        <v>43</v>
      </c>
      <c r="F295" t="s">
        <v>28</v>
      </c>
      <c r="G295" t="s">
        <v>14</v>
      </c>
      <c r="H295" t="s">
        <v>15</v>
      </c>
      <c r="I295" t="s">
        <v>16</v>
      </c>
    </row>
    <row r="296" spans="1:9" x14ac:dyDescent="0.35">
      <c r="A296" t="s">
        <v>699</v>
      </c>
      <c r="B296" t="s">
        <v>700</v>
      </c>
      <c r="C296" t="s">
        <v>325</v>
      </c>
      <c r="D296" t="s">
        <v>34</v>
      </c>
      <c r="E296">
        <v>25</v>
      </c>
      <c r="F296" t="s">
        <v>56</v>
      </c>
      <c r="G296" t="s">
        <v>29</v>
      </c>
      <c r="H296" t="s">
        <v>96</v>
      </c>
      <c r="I296" t="s">
        <v>130</v>
      </c>
    </row>
    <row r="297" spans="1:9" x14ac:dyDescent="0.35">
      <c r="A297" t="s">
        <v>701</v>
      </c>
      <c r="B297" t="s">
        <v>2072</v>
      </c>
      <c r="C297" t="s">
        <v>2565</v>
      </c>
      <c r="D297" t="s">
        <v>140</v>
      </c>
      <c r="E297">
        <v>50</v>
      </c>
      <c r="F297" t="s">
        <v>13</v>
      </c>
      <c r="G297" t="s">
        <v>29</v>
      </c>
      <c r="H297" t="s">
        <v>186</v>
      </c>
    </row>
    <row r="298" spans="1:9" x14ac:dyDescent="0.35">
      <c r="A298" t="s">
        <v>702</v>
      </c>
      <c r="B298" t="s">
        <v>111</v>
      </c>
      <c r="C298" t="s">
        <v>2566</v>
      </c>
      <c r="D298" t="s">
        <v>268</v>
      </c>
      <c r="E298">
        <v>51</v>
      </c>
      <c r="F298" t="s">
        <v>13</v>
      </c>
      <c r="G298" t="s">
        <v>14</v>
      </c>
      <c r="H298" t="s">
        <v>57</v>
      </c>
      <c r="I298" t="s">
        <v>232</v>
      </c>
    </row>
    <row r="299" spans="1:9" x14ac:dyDescent="0.35">
      <c r="A299" t="s">
        <v>704</v>
      </c>
      <c r="B299" t="s">
        <v>705</v>
      </c>
      <c r="C299" t="s">
        <v>526</v>
      </c>
      <c r="D299" t="s">
        <v>26</v>
      </c>
      <c r="E299">
        <v>39</v>
      </c>
      <c r="F299" t="s">
        <v>13</v>
      </c>
      <c r="G299" t="s">
        <v>22</v>
      </c>
      <c r="H299" t="s">
        <v>70</v>
      </c>
      <c r="I299" t="s">
        <v>70</v>
      </c>
    </row>
    <row r="300" spans="1:9" x14ac:dyDescent="0.35">
      <c r="A300" t="s">
        <v>706</v>
      </c>
      <c r="B300" t="s">
        <v>2073</v>
      </c>
      <c r="C300" t="s">
        <v>1696</v>
      </c>
      <c r="D300" t="s">
        <v>34</v>
      </c>
      <c r="E300" t="s">
        <v>708</v>
      </c>
      <c r="F300" t="s">
        <v>56</v>
      </c>
      <c r="G300" t="s">
        <v>29</v>
      </c>
      <c r="H300" t="s">
        <v>23</v>
      </c>
    </row>
    <row r="301" spans="1:9" x14ac:dyDescent="0.35">
      <c r="A301" t="s">
        <v>709</v>
      </c>
      <c r="B301" t="s">
        <v>710</v>
      </c>
      <c r="C301" t="s">
        <v>2567</v>
      </c>
      <c r="D301" t="s">
        <v>140</v>
      </c>
      <c r="E301">
        <v>41</v>
      </c>
      <c r="F301" t="s">
        <v>13</v>
      </c>
      <c r="G301" t="s">
        <v>37</v>
      </c>
      <c r="H301" t="s">
        <v>30</v>
      </c>
      <c r="I301" t="s">
        <v>15</v>
      </c>
    </row>
    <row r="302" spans="1:9" x14ac:dyDescent="0.35">
      <c r="A302" t="s">
        <v>711</v>
      </c>
      <c r="B302" t="s">
        <v>904</v>
      </c>
      <c r="C302" t="s">
        <v>2568</v>
      </c>
      <c r="D302" t="s">
        <v>34</v>
      </c>
      <c r="E302">
        <v>59</v>
      </c>
      <c r="F302" t="s">
        <v>13</v>
      </c>
      <c r="G302" t="s">
        <v>14</v>
      </c>
      <c r="H302" t="s">
        <v>57</v>
      </c>
      <c r="I302" t="s">
        <v>232</v>
      </c>
    </row>
    <row r="303" spans="1:9" x14ac:dyDescent="0.35">
      <c r="A303" t="s">
        <v>712</v>
      </c>
      <c r="B303" t="s">
        <v>713</v>
      </c>
      <c r="C303" t="s">
        <v>2569</v>
      </c>
      <c r="D303" t="s">
        <v>26</v>
      </c>
      <c r="E303">
        <v>51</v>
      </c>
      <c r="F303" t="s">
        <v>124</v>
      </c>
      <c r="G303" t="s">
        <v>29</v>
      </c>
      <c r="H303" t="s">
        <v>171</v>
      </c>
      <c r="I303" t="s">
        <v>31</v>
      </c>
    </row>
    <row r="304" spans="1:9" x14ac:dyDescent="0.35">
      <c r="A304" t="s">
        <v>152</v>
      </c>
      <c r="B304" t="s">
        <v>977</v>
      </c>
      <c r="C304" t="s">
        <v>2570</v>
      </c>
      <c r="D304" t="s">
        <v>26</v>
      </c>
      <c r="E304" t="s">
        <v>716</v>
      </c>
      <c r="F304" t="s">
        <v>36</v>
      </c>
      <c r="G304" t="s">
        <v>22</v>
      </c>
      <c r="I304" t="s">
        <v>57</v>
      </c>
    </row>
    <row r="305" spans="1:9" x14ac:dyDescent="0.35">
      <c r="A305" t="s">
        <v>717</v>
      </c>
      <c r="B305" t="s">
        <v>718</v>
      </c>
      <c r="C305" t="s">
        <v>2571</v>
      </c>
      <c r="D305" t="s">
        <v>26</v>
      </c>
      <c r="E305">
        <v>51</v>
      </c>
      <c r="F305" t="s">
        <v>13</v>
      </c>
      <c r="G305" t="s">
        <v>29</v>
      </c>
      <c r="H305" t="s">
        <v>23</v>
      </c>
      <c r="I305" t="s">
        <v>128</v>
      </c>
    </row>
    <row r="306" spans="1:9" x14ac:dyDescent="0.35">
      <c r="A306" t="s">
        <v>720</v>
      </c>
      <c r="B306" t="s">
        <v>245</v>
      </c>
      <c r="C306" t="s">
        <v>909</v>
      </c>
      <c r="D306" t="s">
        <v>11</v>
      </c>
      <c r="E306">
        <v>35</v>
      </c>
      <c r="F306" t="s">
        <v>42</v>
      </c>
      <c r="G306" t="s">
        <v>22</v>
      </c>
      <c r="H306" t="s">
        <v>57</v>
      </c>
      <c r="I306" t="s">
        <v>57</v>
      </c>
    </row>
    <row r="307" spans="1:9" x14ac:dyDescent="0.35">
      <c r="A307" t="s">
        <v>721</v>
      </c>
      <c r="B307" t="s">
        <v>722</v>
      </c>
      <c r="C307" t="s">
        <v>2572</v>
      </c>
      <c r="D307" t="s">
        <v>26</v>
      </c>
      <c r="E307">
        <v>43</v>
      </c>
      <c r="F307" t="s">
        <v>36</v>
      </c>
      <c r="G307" t="s">
        <v>29</v>
      </c>
      <c r="H307" t="s">
        <v>23</v>
      </c>
      <c r="I307" t="s">
        <v>128</v>
      </c>
    </row>
    <row r="308" spans="1:9" x14ac:dyDescent="0.35">
      <c r="A308" t="s">
        <v>723</v>
      </c>
      <c r="B308" t="s">
        <v>2074</v>
      </c>
      <c r="C308" t="s">
        <v>2573</v>
      </c>
      <c r="D308" t="s">
        <v>26</v>
      </c>
      <c r="E308">
        <v>40</v>
      </c>
      <c r="F308" t="s">
        <v>48</v>
      </c>
      <c r="G308" t="s">
        <v>37</v>
      </c>
      <c r="H308" t="s">
        <v>57</v>
      </c>
      <c r="I308" t="s">
        <v>163</v>
      </c>
    </row>
    <row r="309" spans="1:9" x14ac:dyDescent="0.35">
      <c r="A309" t="s">
        <v>724</v>
      </c>
      <c r="B309" t="s">
        <v>725</v>
      </c>
      <c r="C309" t="s">
        <v>2574</v>
      </c>
      <c r="D309" t="s">
        <v>26</v>
      </c>
      <c r="E309" t="s">
        <v>726</v>
      </c>
      <c r="F309" t="s">
        <v>28</v>
      </c>
      <c r="G309" t="s">
        <v>14</v>
      </c>
      <c r="H309" t="s">
        <v>70</v>
      </c>
      <c r="I309" t="s">
        <v>44</v>
      </c>
    </row>
    <row r="310" spans="1:9" x14ac:dyDescent="0.35">
      <c r="A310" t="s">
        <v>727</v>
      </c>
      <c r="B310" t="s">
        <v>87</v>
      </c>
      <c r="C310" t="s">
        <v>2575</v>
      </c>
      <c r="D310" t="s">
        <v>26</v>
      </c>
      <c r="E310">
        <v>20</v>
      </c>
      <c r="F310" t="s">
        <v>36</v>
      </c>
      <c r="G310" t="s">
        <v>22</v>
      </c>
      <c r="H310" t="s">
        <v>15</v>
      </c>
      <c r="I310" t="s">
        <v>15</v>
      </c>
    </row>
    <row r="311" spans="1:9" x14ac:dyDescent="0.35">
      <c r="A311" t="s">
        <v>728</v>
      </c>
      <c r="B311" t="s">
        <v>2075</v>
      </c>
      <c r="C311" t="s">
        <v>2576</v>
      </c>
      <c r="D311" t="s">
        <v>26</v>
      </c>
      <c r="E311">
        <v>32</v>
      </c>
      <c r="F311" t="s">
        <v>434</v>
      </c>
      <c r="G311" t="s">
        <v>14</v>
      </c>
      <c r="H311" t="s">
        <v>147</v>
      </c>
      <c r="I311" t="s">
        <v>44</v>
      </c>
    </row>
    <row r="312" spans="1:9" x14ac:dyDescent="0.35">
      <c r="A312" t="s">
        <v>730</v>
      </c>
      <c r="B312" t="s">
        <v>731</v>
      </c>
      <c r="C312" t="s">
        <v>2577</v>
      </c>
      <c r="D312" t="s">
        <v>26</v>
      </c>
      <c r="E312">
        <v>39</v>
      </c>
      <c r="F312" t="s">
        <v>109</v>
      </c>
      <c r="G312" t="s">
        <v>14</v>
      </c>
      <c r="H312" t="s">
        <v>30</v>
      </c>
      <c r="I312" t="s">
        <v>38</v>
      </c>
    </row>
    <row r="313" spans="1:9" x14ac:dyDescent="0.35">
      <c r="A313" t="s">
        <v>733</v>
      </c>
      <c r="B313" t="s">
        <v>734</v>
      </c>
      <c r="C313" t="s">
        <v>2578</v>
      </c>
      <c r="D313" t="s">
        <v>26</v>
      </c>
      <c r="E313">
        <v>44</v>
      </c>
      <c r="F313" t="s">
        <v>56</v>
      </c>
      <c r="G313" t="s">
        <v>14</v>
      </c>
      <c r="H313" t="s">
        <v>57</v>
      </c>
      <c r="I313" t="s">
        <v>232</v>
      </c>
    </row>
    <row r="314" spans="1:9" x14ac:dyDescent="0.35">
      <c r="A314" t="s">
        <v>735</v>
      </c>
      <c r="B314" t="s">
        <v>421</v>
      </c>
      <c r="C314" t="s">
        <v>1178</v>
      </c>
      <c r="D314" t="s">
        <v>11</v>
      </c>
      <c r="E314" t="s">
        <v>342</v>
      </c>
      <c r="F314" t="s">
        <v>36</v>
      </c>
      <c r="G314" t="s">
        <v>37</v>
      </c>
      <c r="H314" t="s">
        <v>96</v>
      </c>
      <c r="I314" t="s">
        <v>38</v>
      </c>
    </row>
    <row r="315" spans="1:9" x14ac:dyDescent="0.35">
      <c r="A315" t="s">
        <v>736</v>
      </c>
      <c r="B315" t="s">
        <v>2076</v>
      </c>
      <c r="C315" t="s">
        <v>2579</v>
      </c>
      <c r="D315" t="s">
        <v>140</v>
      </c>
      <c r="E315">
        <v>42</v>
      </c>
      <c r="F315" t="s">
        <v>89</v>
      </c>
      <c r="G315" t="s">
        <v>22</v>
      </c>
      <c r="H315" t="s">
        <v>70</v>
      </c>
      <c r="I315" t="s">
        <v>70</v>
      </c>
    </row>
    <row r="316" spans="1:9" x14ac:dyDescent="0.35">
      <c r="A316" t="s">
        <v>738</v>
      </c>
      <c r="B316" t="s">
        <v>2018</v>
      </c>
      <c r="C316" t="s">
        <v>2580</v>
      </c>
      <c r="D316" t="s">
        <v>26</v>
      </c>
      <c r="E316">
        <v>22</v>
      </c>
      <c r="F316" t="s">
        <v>36</v>
      </c>
      <c r="G316" t="s">
        <v>37</v>
      </c>
      <c r="I316" t="s">
        <v>15</v>
      </c>
    </row>
    <row r="317" spans="1:9" x14ac:dyDescent="0.35">
      <c r="A317" t="s">
        <v>739</v>
      </c>
      <c r="B317" t="s">
        <v>2077</v>
      </c>
      <c r="C317" t="s">
        <v>2581</v>
      </c>
      <c r="D317" t="s">
        <v>26</v>
      </c>
      <c r="E317">
        <v>39</v>
      </c>
      <c r="F317" t="s">
        <v>99</v>
      </c>
      <c r="G317" t="s">
        <v>37</v>
      </c>
      <c r="H317" t="s">
        <v>30</v>
      </c>
      <c r="I317" t="s">
        <v>15</v>
      </c>
    </row>
    <row r="318" spans="1:9" x14ac:dyDescent="0.35">
      <c r="A318" t="s">
        <v>740</v>
      </c>
      <c r="B318" t="s">
        <v>741</v>
      </c>
      <c r="C318" t="s">
        <v>528</v>
      </c>
      <c r="D318" t="s">
        <v>26</v>
      </c>
      <c r="E318" t="s">
        <v>742</v>
      </c>
      <c r="F318" t="s">
        <v>13</v>
      </c>
      <c r="G318" t="s">
        <v>14</v>
      </c>
      <c r="H318" t="s">
        <v>23</v>
      </c>
      <c r="I318" t="s">
        <v>79</v>
      </c>
    </row>
    <row r="319" spans="1:9" x14ac:dyDescent="0.35">
      <c r="A319" t="s">
        <v>743</v>
      </c>
      <c r="B319" t="s">
        <v>744</v>
      </c>
      <c r="C319" t="s">
        <v>2582</v>
      </c>
      <c r="D319" t="s">
        <v>34</v>
      </c>
      <c r="E319">
        <v>63</v>
      </c>
      <c r="F319" t="s">
        <v>69</v>
      </c>
      <c r="G319" t="s">
        <v>22</v>
      </c>
      <c r="H319" t="s">
        <v>15</v>
      </c>
      <c r="I319" t="s">
        <v>15</v>
      </c>
    </row>
    <row r="320" spans="1:9" x14ac:dyDescent="0.35">
      <c r="A320" t="s">
        <v>746</v>
      </c>
      <c r="B320" t="s">
        <v>2037</v>
      </c>
      <c r="C320" t="s">
        <v>2583</v>
      </c>
      <c r="D320" t="s">
        <v>11</v>
      </c>
      <c r="E320" t="s">
        <v>748</v>
      </c>
      <c r="F320" t="s">
        <v>13</v>
      </c>
      <c r="G320" t="s">
        <v>22</v>
      </c>
      <c r="I320" t="s">
        <v>23</v>
      </c>
    </row>
    <row r="321" spans="1:9" x14ac:dyDescent="0.35">
      <c r="A321" t="s">
        <v>749</v>
      </c>
      <c r="B321" t="s">
        <v>1035</v>
      </c>
      <c r="C321" t="s">
        <v>2584</v>
      </c>
      <c r="D321" t="s">
        <v>26</v>
      </c>
      <c r="E321">
        <v>20</v>
      </c>
      <c r="F321" t="s">
        <v>99</v>
      </c>
      <c r="G321" t="s">
        <v>14</v>
      </c>
      <c r="H321" t="s">
        <v>84</v>
      </c>
      <c r="I321" t="s">
        <v>232</v>
      </c>
    </row>
    <row r="322" spans="1:9" x14ac:dyDescent="0.35">
      <c r="A322" t="s">
        <v>751</v>
      </c>
      <c r="B322" t="s">
        <v>752</v>
      </c>
      <c r="C322" t="s">
        <v>2585</v>
      </c>
      <c r="D322" t="s">
        <v>46</v>
      </c>
      <c r="E322">
        <v>54</v>
      </c>
      <c r="F322" t="s">
        <v>69</v>
      </c>
      <c r="G322" t="s">
        <v>37</v>
      </c>
      <c r="H322" t="s">
        <v>70</v>
      </c>
      <c r="I322" t="s">
        <v>71</v>
      </c>
    </row>
    <row r="323" spans="1:9" x14ac:dyDescent="0.35">
      <c r="A323" t="s">
        <v>753</v>
      </c>
      <c r="B323" t="s">
        <v>467</v>
      </c>
      <c r="C323" t="s">
        <v>2310</v>
      </c>
      <c r="D323" t="s">
        <v>26</v>
      </c>
      <c r="E323" t="s">
        <v>754</v>
      </c>
      <c r="F323" t="s">
        <v>109</v>
      </c>
      <c r="G323" t="s">
        <v>37</v>
      </c>
      <c r="H323" t="s">
        <v>57</v>
      </c>
      <c r="I323" t="s">
        <v>163</v>
      </c>
    </row>
    <row r="324" spans="1:9" x14ac:dyDescent="0.35">
      <c r="A324" t="s">
        <v>755</v>
      </c>
      <c r="B324" t="s">
        <v>756</v>
      </c>
      <c r="C324" t="s">
        <v>2586</v>
      </c>
      <c r="D324" t="s">
        <v>26</v>
      </c>
      <c r="E324">
        <v>56</v>
      </c>
      <c r="F324" t="s">
        <v>56</v>
      </c>
      <c r="G324" t="s">
        <v>29</v>
      </c>
      <c r="H324" t="s">
        <v>70</v>
      </c>
      <c r="I324" t="s">
        <v>191</v>
      </c>
    </row>
    <row r="325" spans="1:9" x14ac:dyDescent="0.35">
      <c r="A325" t="s">
        <v>758</v>
      </c>
      <c r="B325" t="s">
        <v>759</v>
      </c>
      <c r="C325" t="s">
        <v>2587</v>
      </c>
      <c r="D325" t="s">
        <v>34</v>
      </c>
      <c r="E325" t="s">
        <v>760</v>
      </c>
      <c r="F325" t="s">
        <v>13</v>
      </c>
      <c r="G325" t="s">
        <v>22</v>
      </c>
      <c r="H325" t="s">
        <v>70</v>
      </c>
      <c r="I325" t="s">
        <v>70</v>
      </c>
    </row>
    <row r="326" spans="1:9" x14ac:dyDescent="0.35">
      <c r="A326" t="s">
        <v>761</v>
      </c>
      <c r="B326" t="s">
        <v>762</v>
      </c>
      <c r="C326" t="s">
        <v>2588</v>
      </c>
      <c r="D326" t="s">
        <v>26</v>
      </c>
      <c r="E326" t="s">
        <v>754</v>
      </c>
      <c r="F326" t="s">
        <v>56</v>
      </c>
      <c r="G326" t="s">
        <v>14</v>
      </c>
      <c r="H326" t="s">
        <v>23</v>
      </c>
      <c r="I326" t="s">
        <v>79</v>
      </c>
    </row>
    <row r="327" spans="1:9" x14ac:dyDescent="0.35">
      <c r="A327" t="s">
        <v>764</v>
      </c>
      <c r="B327" t="s">
        <v>765</v>
      </c>
      <c r="C327" t="s">
        <v>2589</v>
      </c>
      <c r="D327" t="s">
        <v>34</v>
      </c>
      <c r="E327">
        <v>61</v>
      </c>
      <c r="F327" t="s">
        <v>434</v>
      </c>
      <c r="G327" t="s">
        <v>29</v>
      </c>
      <c r="H327" t="s">
        <v>23</v>
      </c>
      <c r="I327" t="s">
        <v>128</v>
      </c>
    </row>
    <row r="328" spans="1:9" x14ac:dyDescent="0.35">
      <c r="A328" t="s">
        <v>766</v>
      </c>
      <c r="B328" t="s">
        <v>767</v>
      </c>
      <c r="C328" t="s">
        <v>2590</v>
      </c>
      <c r="D328" t="s">
        <v>26</v>
      </c>
      <c r="E328">
        <v>23</v>
      </c>
      <c r="F328" t="s">
        <v>48</v>
      </c>
      <c r="G328" t="s">
        <v>29</v>
      </c>
      <c r="H328" t="s">
        <v>30</v>
      </c>
      <c r="I328" t="s">
        <v>31</v>
      </c>
    </row>
    <row r="329" spans="1:9" x14ac:dyDescent="0.35">
      <c r="A329" t="s">
        <v>768</v>
      </c>
      <c r="B329" t="s">
        <v>2078</v>
      </c>
      <c r="C329" t="s">
        <v>1340</v>
      </c>
      <c r="D329" t="s">
        <v>34</v>
      </c>
      <c r="E329">
        <v>64</v>
      </c>
      <c r="F329" t="s">
        <v>36</v>
      </c>
      <c r="G329" t="s">
        <v>22</v>
      </c>
      <c r="H329" t="s">
        <v>371</v>
      </c>
      <c r="I329" t="s">
        <v>30</v>
      </c>
    </row>
    <row r="330" spans="1:9" x14ac:dyDescent="0.35">
      <c r="A330" t="s">
        <v>769</v>
      </c>
      <c r="B330" t="s">
        <v>770</v>
      </c>
      <c r="C330" t="s">
        <v>2591</v>
      </c>
      <c r="D330" t="s">
        <v>34</v>
      </c>
      <c r="E330">
        <v>61</v>
      </c>
      <c r="F330" t="s">
        <v>89</v>
      </c>
      <c r="G330" t="s">
        <v>29</v>
      </c>
      <c r="H330" t="s">
        <v>15</v>
      </c>
      <c r="I330" t="s">
        <v>130</v>
      </c>
    </row>
    <row r="331" spans="1:9" x14ac:dyDescent="0.35">
      <c r="A331" t="s">
        <v>771</v>
      </c>
      <c r="B331" t="s">
        <v>2079</v>
      </c>
      <c r="C331" t="s">
        <v>2592</v>
      </c>
      <c r="D331" t="s">
        <v>26</v>
      </c>
      <c r="E331">
        <v>26</v>
      </c>
      <c r="F331" t="s">
        <v>56</v>
      </c>
      <c r="G331" t="s">
        <v>37</v>
      </c>
      <c r="H331" t="s">
        <v>70</v>
      </c>
      <c r="I331" t="s">
        <v>71</v>
      </c>
    </row>
    <row r="332" spans="1:9" x14ac:dyDescent="0.35">
      <c r="A332" t="s">
        <v>773</v>
      </c>
      <c r="B332" t="s">
        <v>2080</v>
      </c>
      <c r="C332" t="s">
        <v>2593</v>
      </c>
      <c r="D332" t="s">
        <v>46</v>
      </c>
      <c r="E332">
        <v>50</v>
      </c>
      <c r="F332" t="s">
        <v>56</v>
      </c>
      <c r="G332" t="s">
        <v>14</v>
      </c>
      <c r="H332" t="s">
        <v>153</v>
      </c>
      <c r="I332" t="s">
        <v>16</v>
      </c>
    </row>
    <row r="333" spans="1:9" x14ac:dyDescent="0.35">
      <c r="A333" t="s">
        <v>774</v>
      </c>
      <c r="B333" t="s">
        <v>775</v>
      </c>
      <c r="C333" t="s">
        <v>2594</v>
      </c>
      <c r="D333" t="s">
        <v>26</v>
      </c>
      <c r="E333" t="s">
        <v>777</v>
      </c>
      <c r="F333" t="s">
        <v>434</v>
      </c>
      <c r="G333" t="s">
        <v>29</v>
      </c>
      <c r="H333" t="s">
        <v>23</v>
      </c>
      <c r="I333" t="s">
        <v>128</v>
      </c>
    </row>
    <row r="334" spans="1:9" x14ac:dyDescent="0.35">
      <c r="A334" t="s">
        <v>778</v>
      </c>
      <c r="B334" t="s">
        <v>779</v>
      </c>
      <c r="C334" t="s">
        <v>2595</v>
      </c>
      <c r="D334" t="s">
        <v>26</v>
      </c>
      <c r="E334">
        <v>41</v>
      </c>
      <c r="F334" t="s">
        <v>56</v>
      </c>
      <c r="G334" t="s">
        <v>22</v>
      </c>
      <c r="H334" t="s">
        <v>70</v>
      </c>
      <c r="I334" t="s">
        <v>70</v>
      </c>
    </row>
    <row r="335" spans="1:9" x14ac:dyDescent="0.35">
      <c r="A335" t="s">
        <v>780</v>
      </c>
      <c r="B335" t="s">
        <v>781</v>
      </c>
      <c r="C335" t="s">
        <v>2352</v>
      </c>
      <c r="D335" t="s">
        <v>34</v>
      </c>
      <c r="E335">
        <v>57</v>
      </c>
      <c r="F335" t="s">
        <v>56</v>
      </c>
      <c r="G335" t="s">
        <v>22</v>
      </c>
      <c r="H335" t="s">
        <v>96</v>
      </c>
      <c r="I335" t="s">
        <v>15</v>
      </c>
    </row>
    <row r="336" spans="1:9" x14ac:dyDescent="0.35">
      <c r="A336" t="s">
        <v>782</v>
      </c>
      <c r="B336" t="s">
        <v>783</v>
      </c>
      <c r="C336" t="s">
        <v>2596</v>
      </c>
      <c r="D336" t="s">
        <v>26</v>
      </c>
      <c r="E336" t="s">
        <v>784</v>
      </c>
      <c r="F336" t="s">
        <v>13</v>
      </c>
      <c r="G336" t="s">
        <v>29</v>
      </c>
      <c r="H336" t="s">
        <v>49</v>
      </c>
      <c r="I336" t="s">
        <v>31</v>
      </c>
    </row>
    <row r="337" spans="1:9" x14ac:dyDescent="0.35">
      <c r="A337" t="s">
        <v>785</v>
      </c>
      <c r="B337" t="s">
        <v>691</v>
      </c>
      <c r="C337" t="s">
        <v>2597</v>
      </c>
      <c r="D337" t="s">
        <v>34</v>
      </c>
      <c r="E337">
        <v>29</v>
      </c>
      <c r="F337" t="s">
        <v>36</v>
      </c>
      <c r="G337" t="s">
        <v>29</v>
      </c>
      <c r="H337" t="s">
        <v>70</v>
      </c>
      <c r="I337" t="s">
        <v>191</v>
      </c>
    </row>
    <row r="338" spans="1:9" x14ac:dyDescent="0.35">
      <c r="A338" t="s">
        <v>786</v>
      </c>
      <c r="B338" t="s">
        <v>787</v>
      </c>
      <c r="C338" t="s">
        <v>2598</v>
      </c>
      <c r="D338" t="s">
        <v>34</v>
      </c>
      <c r="E338">
        <v>60</v>
      </c>
      <c r="F338" t="s">
        <v>109</v>
      </c>
      <c r="G338" t="s">
        <v>37</v>
      </c>
      <c r="H338" t="s">
        <v>30</v>
      </c>
      <c r="I338" t="s">
        <v>15</v>
      </c>
    </row>
    <row r="339" spans="1:9" x14ac:dyDescent="0.35">
      <c r="A339" t="s">
        <v>788</v>
      </c>
      <c r="B339" t="s">
        <v>2081</v>
      </c>
      <c r="C339" t="s">
        <v>2599</v>
      </c>
      <c r="D339" t="s">
        <v>34</v>
      </c>
      <c r="E339">
        <v>39</v>
      </c>
      <c r="F339" t="s">
        <v>13</v>
      </c>
      <c r="G339" t="s">
        <v>37</v>
      </c>
      <c r="H339" t="s">
        <v>70</v>
      </c>
      <c r="I339" t="s">
        <v>71</v>
      </c>
    </row>
    <row r="340" spans="1:9" x14ac:dyDescent="0.35">
      <c r="A340" t="s">
        <v>789</v>
      </c>
      <c r="B340" t="s">
        <v>790</v>
      </c>
      <c r="C340" t="s">
        <v>2600</v>
      </c>
      <c r="D340" t="s">
        <v>26</v>
      </c>
      <c r="E340">
        <v>59</v>
      </c>
      <c r="F340" t="s">
        <v>36</v>
      </c>
      <c r="G340" t="s">
        <v>37</v>
      </c>
      <c r="H340" t="s">
        <v>30</v>
      </c>
      <c r="I340" t="s">
        <v>15</v>
      </c>
    </row>
    <row r="341" spans="1:9" x14ac:dyDescent="0.35">
      <c r="A341" t="s">
        <v>792</v>
      </c>
      <c r="B341" t="s">
        <v>793</v>
      </c>
      <c r="C341" t="s">
        <v>2601</v>
      </c>
      <c r="D341" t="s">
        <v>26</v>
      </c>
      <c r="E341">
        <v>53</v>
      </c>
      <c r="F341" t="s">
        <v>13</v>
      </c>
      <c r="G341" t="s">
        <v>29</v>
      </c>
      <c r="H341" t="s">
        <v>70</v>
      </c>
      <c r="I341" t="s">
        <v>191</v>
      </c>
    </row>
    <row r="342" spans="1:9" x14ac:dyDescent="0.35">
      <c r="A342" t="s">
        <v>795</v>
      </c>
      <c r="B342" t="s">
        <v>2021</v>
      </c>
      <c r="C342" t="s">
        <v>2602</v>
      </c>
      <c r="D342" t="s">
        <v>26</v>
      </c>
      <c r="E342">
        <v>23</v>
      </c>
      <c r="F342" t="s">
        <v>36</v>
      </c>
      <c r="G342" t="s">
        <v>22</v>
      </c>
      <c r="H342" t="s">
        <v>23</v>
      </c>
      <c r="I342" t="s">
        <v>23</v>
      </c>
    </row>
    <row r="343" spans="1:9" x14ac:dyDescent="0.35">
      <c r="A343" t="s">
        <v>797</v>
      </c>
      <c r="B343" t="s">
        <v>798</v>
      </c>
      <c r="C343" t="s">
        <v>2603</v>
      </c>
      <c r="D343" t="s">
        <v>34</v>
      </c>
      <c r="E343">
        <v>31</v>
      </c>
      <c r="F343" t="s">
        <v>13</v>
      </c>
      <c r="G343" t="s">
        <v>22</v>
      </c>
      <c r="H343" t="s">
        <v>57</v>
      </c>
      <c r="I343" t="s">
        <v>57</v>
      </c>
    </row>
    <row r="344" spans="1:9" x14ac:dyDescent="0.35">
      <c r="A344" t="s">
        <v>799</v>
      </c>
      <c r="B344" t="s">
        <v>2082</v>
      </c>
      <c r="C344" t="s">
        <v>2604</v>
      </c>
      <c r="D344" t="s">
        <v>34</v>
      </c>
      <c r="E344">
        <v>47</v>
      </c>
      <c r="F344" t="s">
        <v>36</v>
      </c>
      <c r="H344" t="s">
        <v>70</v>
      </c>
      <c r="I344" t="s">
        <v>191</v>
      </c>
    </row>
    <row r="345" spans="1:9" x14ac:dyDescent="0.35">
      <c r="A345" t="s">
        <v>800</v>
      </c>
      <c r="B345" t="s">
        <v>801</v>
      </c>
      <c r="C345" t="s">
        <v>2605</v>
      </c>
      <c r="D345" t="s">
        <v>34</v>
      </c>
      <c r="E345">
        <v>35</v>
      </c>
      <c r="F345" t="s">
        <v>36</v>
      </c>
      <c r="G345" t="s">
        <v>29</v>
      </c>
      <c r="H345" t="s">
        <v>57</v>
      </c>
      <c r="I345" t="s">
        <v>85</v>
      </c>
    </row>
    <row r="346" spans="1:9" x14ac:dyDescent="0.35">
      <c r="A346" t="s">
        <v>803</v>
      </c>
      <c r="B346" t="s">
        <v>1104</v>
      </c>
      <c r="C346" t="s">
        <v>2606</v>
      </c>
      <c r="D346" t="s">
        <v>34</v>
      </c>
      <c r="E346">
        <v>40</v>
      </c>
      <c r="F346" t="s">
        <v>13</v>
      </c>
      <c r="G346" t="s">
        <v>22</v>
      </c>
      <c r="H346" t="s">
        <v>371</v>
      </c>
      <c r="I346" t="s">
        <v>30</v>
      </c>
    </row>
    <row r="347" spans="1:9" x14ac:dyDescent="0.35">
      <c r="A347" t="s">
        <v>804</v>
      </c>
      <c r="B347" t="s">
        <v>805</v>
      </c>
      <c r="C347" t="s">
        <v>2607</v>
      </c>
      <c r="D347" t="s">
        <v>34</v>
      </c>
      <c r="E347">
        <v>62</v>
      </c>
      <c r="F347" t="s">
        <v>36</v>
      </c>
      <c r="G347" t="s">
        <v>37</v>
      </c>
      <c r="H347" t="s">
        <v>15</v>
      </c>
      <c r="I347" t="s">
        <v>38</v>
      </c>
    </row>
    <row r="348" spans="1:9" x14ac:dyDescent="0.35">
      <c r="A348" t="s">
        <v>807</v>
      </c>
      <c r="B348" t="s">
        <v>2083</v>
      </c>
      <c r="C348" t="s">
        <v>2608</v>
      </c>
      <c r="D348" t="s">
        <v>11</v>
      </c>
      <c r="E348">
        <v>57</v>
      </c>
      <c r="F348" t="s">
        <v>13</v>
      </c>
      <c r="G348" t="s">
        <v>37</v>
      </c>
      <c r="H348" t="s">
        <v>70</v>
      </c>
      <c r="I348" t="s">
        <v>71</v>
      </c>
    </row>
    <row r="349" spans="1:9" x14ac:dyDescent="0.35">
      <c r="A349" t="s">
        <v>808</v>
      </c>
      <c r="B349" t="s">
        <v>1316</v>
      </c>
      <c r="C349" t="s">
        <v>2609</v>
      </c>
      <c r="D349" t="s">
        <v>34</v>
      </c>
      <c r="E349">
        <v>29</v>
      </c>
      <c r="F349" t="s">
        <v>400</v>
      </c>
      <c r="G349" t="s">
        <v>22</v>
      </c>
      <c r="H349" t="s">
        <v>96</v>
      </c>
      <c r="I349" t="s">
        <v>15</v>
      </c>
    </row>
    <row r="350" spans="1:9" x14ac:dyDescent="0.35">
      <c r="A350" t="s">
        <v>809</v>
      </c>
      <c r="B350" t="s">
        <v>810</v>
      </c>
      <c r="C350" t="s">
        <v>2610</v>
      </c>
      <c r="D350" t="s">
        <v>26</v>
      </c>
      <c r="E350">
        <v>43</v>
      </c>
      <c r="F350" t="s">
        <v>13</v>
      </c>
      <c r="H350" t="s">
        <v>70</v>
      </c>
      <c r="I350" t="s">
        <v>71</v>
      </c>
    </row>
    <row r="351" spans="1:9" x14ac:dyDescent="0.35">
      <c r="A351" t="s">
        <v>811</v>
      </c>
      <c r="B351" t="s">
        <v>2084</v>
      </c>
      <c r="C351" t="s">
        <v>2611</v>
      </c>
      <c r="D351" t="s">
        <v>34</v>
      </c>
      <c r="E351">
        <v>20</v>
      </c>
      <c r="F351" t="s">
        <v>13</v>
      </c>
      <c r="G351" t="s">
        <v>29</v>
      </c>
      <c r="H351" t="s">
        <v>288</v>
      </c>
      <c r="I351" t="s">
        <v>128</v>
      </c>
    </row>
    <row r="352" spans="1:9" x14ac:dyDescent="0.35">
      <c r="A352" t="s">
        <v>813</v>
      </c>
      <c r="B352" t="s">
        <v>210</v>
      </c>
      <c r="C352" t="s">
        <v>2612</v>
      </c>
      <c r="D352" t="s">
        <v>26</v>
      </c>
      <c r="E352">
        <v>64</v>
      </c>
      <c r="F352" t="s">
        <v>42</v>
      </c>
      <c r="G352" t="s">
        <v>22</v>
      </c>
      <c r="H352" t="s">
        <v>43</v>
      </c>
      <c r="I352" t="s">
        <v>70</v>
      </c>
    </row>
    <row r="353" spans="1:9" x14ac:dyDescent="0.35">
      <c r="A353" t="s">
        <v>815</v>
      </c>
      <c r="B353" t="s">
        <v>356</v>
      </c>
      <c r="C353" t="s">
        <v>2613</v>
      </c>
      <c r="D353" t="s">
        <v>26</v>
      </c>
      <c r="E353">
        <v>53</v>
      </c>
      <c r="F353" t="s">
        <v>124</v>
      </c>
      <c r="G353" t="s">
        <v>14</v>
      </c>
      <c r="H353" t="s">
        <v>57</v>
      </c>
      <c r="I353" t="s">
        <v>232</v>
      </c>
    </row>
    <row r="354" spans="1:9" x14ac:dyDescent="0.35">
      <c r="A354" t="s">
        <v>817</v>
      </c>
      <c r="B354" t="s">
        <v>818</v>
      </c>
      <c r="C354" t="s">
        <v>2614</v>
      </c>
      <c r="D354" t="s">
        <v>11</v>
      </c>
      <c r="E354">
        <v>38</v>
      </c>
      <c r="F354" t="s">
        <v>62</v>
      </c>
      <c r="G354" t="s">
        <v>37</v>
      </c>
      <c r="H354" t="s">
        <v>57</v>
      </c>
      <c r="I354" t="s">
        <v>163</v>
      </c>
    </row>
    <row r="355" spans="1:9" x14ac:dyDescent="0.35">
      <c r="A355" t="s">
        <v>819</v>
      </c>
      <c r="B355" t="s">
        <v>2085</v>
      </c>
      <c r="C355" t="s">
        <v>959</v>
      </c>
      <c r="D355" t="s">
        <v>26</v>
      </c>
      <c r="E355">
        <v>46</v>
      </c>
      <c r="F355" t="s">
        <v>434</v>
      </c>
      <c r="G355" t="s">
        <v>29</v>
      </c>
      <c r="H355" t="s">
        <v>70</v>
      </c>
      <c r="I355" t="s">
        <v>191</v>
      </c>
    </row>
    <row r="356" spans="1:9" x14ac:dyDescent="0.35">
      <c r="A356" t="s">
        <v>820</v>
      </c>
      <c r="B356" t="s">
        <v>821</v>
      </c>
      <c r="C356" t="s">
        <v>2615</v>
      </c>
      <c r="D356" t="s">
        <v>268</v>
      </c>
      <c r="E356">
        <v>47</v>
      </c>
      <c r="F356" t="s">
        <v>124</v>
      </c>
      <c r="G356" t="s">
        <v>29</v>
      </c>
      <c r="H356" t="s">
        <v>186</v>
      </c>
      <c r="I356" t="s">
        <v>128</v>
      </c>
    </row>
    <row r="357" spans="1:9" x14ac:dyDescent="0.35">
      <c r="A357" t="s">
        <v>822</v>
      </c>
      <c r="B357" t="s">
        <v>91</v>
      </c>
      <c r="C357" t="s">
        <v>2616</v>
      </c>
      <c r="D357" t="s">
        <v>112</v>
      </c>
      <c r="E357">
        <v>51</v>
      </c>
      <c r="F357" t="s">
        <v>36</v>
      </c>
      <c r="G357" t="s">
        <v>14</v>
      </c>
      <c r="H357" t="s">
        <v>371</v>
      </c>
      <c r="I357" t="s">
        <v>38</v>
      </c>
    </row>
    <row r="358" spans="1:9" x14ac:dyDescent="0.35">
      <c r="A358" t="s">
        <v>824</v>
      </c>
      <c r="B358" t="s">
        <v>2008</v>
      </c>
      <c r="C358" t="s">
        <v>2617</v>
      </c>
      <c r="D358" t="s">
        <v>26</v>
      </c>
      <c r="E358">
        <v>22</v>
      </c>
      <c r="F358" t="s">
        <v>42</v>
      </c>
      <c r="G358" t="s">
        <v>22</v>
      </c>
      <c r="H358" t="s">
        <v>96</v>
      </c>
      <c r="I358" t="s">
        <v>15</v>
      </c>
    </row>
    <row r="359" spans="1:9" x14ac:dyDescent="0.35">
      <c r="A359" t="s">
        <v>826</v>
      </c>
      <c r="B359" t="s">
        <v>570</v>
      </c>
      <c r="C359" t="s">
        <v>2618</v>
      </c>
      <c r="D359" t="s">
        <v>26</v>
      </c>
      <c r="E359">
        <v>29</v>
      </c>
      <c r="F359" t="s">
        <v>56</v>
      </c>
      <c r="G359" t="s">
        <v>22</v>
      </c>
      <c r="H359" t="s">
        <v>23</v>
      </c>
      <c r="I359" t="s">
        <v>23</v>
      </c>
    </row>
    <row r="360" spans="1:9" x14ac:dyDescent="0.35">
      <c r="A360" t="s">
        <v>827</v>
      </c>
      <c r="B360" t="s">
        <v>1441</v>
      </c>
      <c r="C360" t="s">
        <v>2619</v>
      </c>
      <c r="D360" t="s">
        <v>34</v>
      </c>
      <c r="E360">
        <v>39</v>
      </c>
      <c r="F360" t="s">
        <v>36</v>
      </c>
      <c r="G360" t="s">
        <v>37</v>
      </c>
      <c r="H360" t="s">
        <v>15</v>
      </c>
      <c r="I360" t="s">
        <v>38</v>
      </c>
    </row>
    <row r="361" spans="1:9" x14ac:dyDescent="0.35">
      <c r="A361" t="s">
        <v>829</v>
      </c>
      <c r="B361" t="s">
        <v>762</v>
      </c>
      <c r="C361" t="s">
        <v>2620</v>
      </c>
      <c r="D361" t="s">
        <v>26</v>
      </c>
      <c r="E361">
        <v>23</v>
      </c>
      <c r="F361" t="s">
        <v>56</v>
      </c>
      <c r="G361" t="s">
        <v>22</v>
      </c>
      <c r="H361" t="s">
        <v>70</v>
      </c>
      <c r="I361" t="s">
        <v>70</v>
      </c>
    </row>
    <row r="362" spans="1:9" x14ac:dyDescent="0.35">
      <c r="A362" t="s">
        <v>830</v>
      </c>
      <c r="B362" t="s">
        <v>588</v>
      </c>
      <c r="C362" t="s">
        <v>2621</v>
      </c>
      <c r="D362" t="s">
        <v>26</v>
      </c>
      <c r="E362">
        <v>52</v>
      </c>
      <c r="F362" t="s">
        <v>109</v>
      </c>
      <c r="G362" t="s">
        <v>29</v>
      </c>
      <c r="H362" t="s">
        <v>15</v>
      </c>
      <c r="I362" t="s">
        <v>130</v>
      </c>
    </row>
    <row r="363" spans="1:9" x14ac:dyDescent="0.35">
      <c r="A363" t="s">
        <v>832</v>
      </c>
      <c r="B363" t="s">
        <v>1441</v>
      </c>
      <c r="C363" t="s">
        <v>2622</v>
      </c>
      <c r="D363" t="s">
        <v>140</v>
      </c>
      <c r="E363">
        <v>53</v>
      </c>
      <c r="F363" t="s">
        <v>56</v>
      </c>
      <c r="G363" t="s">
        <v>29</v>
      </c>
      <c r="H363" t="s">
        <v>15</v>
      </c>
      <c r="I363" t="s">
        <v>130</v>
      </c>
    </row>
    <row r="364" spans="1:9" x14ac:dyDescent="0.35">
      <c r="A364" t="s">
        <v>833</v>
      </c>
      <c r="B364" t="s">
        <v>299</v>
      </c>
      <c r="C364" t="s">
        <v>2623</v>
      </c>
      <c r="D364" t="s">
        <v>26</v>
      </c>
      <c r="E364">
        <v>45</v>
      </c>
      <c r="F364" t="s">
        <v>56</v>
      </c>
      <c r="G364" t="s">
        <v>37</v>
      </c>
      <c r="I364" t="s">
        <v>71</v>
      </c>
    </row>
    <row r="365" spans="1:9" x14ac:dyDescent="0.35">
      <c r="A365" t="s">
        <v>834</v>
      </c>
      <c r="B365" t="s">
        <v>835</v>
      </c>
      <c r="C365" t="s">
        <v>2624</v>
      </c>
      <c r="D365" t="s">
        <v>26</v>
      </c>
      <c r="E365">
        <v>42</v>
      </c>
      <c r="F365" t="s">
        <v>56</v>
      </c>
      <c r="G365" t="s">
        <v>37</v>
      </c>
      <c r="H365" t="s">
        <v>70</v>
      </c>
      <c r="I365" t="s">
        <v>71</v>
      </c>
    </row>
    <row r="366" spans="1:9" x14ac:dyDescent="0.35">
      <c r="A366" t="s">
        <v>836</v>
      </c>
      <c r="B366" t="s">
        <v>10</v>
      </c>
      <c r="C366" t="s">
        <v>2625</v>
      </c>
      <c r="D366" t="s">
        <v>34</v>
      </c>
      <c r="E366">
        <v>25</v>
      </c>
      <c r="F366" t="s">
        <v>13</v>
      </c>
      <c r="G366" t="s">
        <v>22</v>
      </c>
      <c r="H366" t="s">
        <v>30</v>
      </c>
      <c r="I366" t="s">
        <v>30</v>
      </c>
    </row>
    <row r="367" spans="1:9" x14ac:dyDescent="0.35">
      <c r="A367" t="s">
        <v>838</v>
      </c>
      <c r="B367" t="s">
        <v>230</v>
      </c>
      <c r="C367" t="s">
        <v>2626</v>
      </c>
      <c r="D367" t="s">
        <v>26</v>
      </c>
      <c r="E367">
        <v>36</v>
      </c>
      <c r="F367" t="s">
        <v>13</v>
      </c>
      <c r="G367" t="s">
        <v>14</v>
      </c>
      <c r="H367" t="s">
        <v>100</v>
      </c>
      <c r="I367" t="s">
        <v>44</v>
      </c>
    </row>
    <row r="368" spans="1:9" x14ac:dyDescent="0.35">
      <c r="A368" t="s">
        <v>839</v>
      </c>
      <c r="B368" t="s">
        <v>2086</v>
      </c>
      <c r="C368" t="s">
        <v>2627</v>
      </c>
      <c r="D368" t="s">
        <v>34</v>
      </c>
      <c r="E368">
        <v>48</v>
      </c>
      <c r="F368" t="s">
        <v>56</v>
      </c>
      <c r="G368" t="s">
        <v>14</v>
      </c>
      <c r="H368" t="s">
        <v>30</v>
      </c>
      <c r="I368" t="s">
        <v>38</v>
      </c>
    </row>
    <row r="369" spans="1:9" x14ac:dyDescent="0.35">
      <c r="A369" t="s">
        <v>840</v>
      </c>
      <c r="B369" t="s">
        <v>2087</v>
      </c>
      <c r="C369" t="s">
        <v>2628</v>
      </c>
      <c r="D369" t="s">
        <v>46</v>
      </c>
      <c r="E369">
        <v>26</v>
      </c>
      <c r="F369" t="s">
        <v>28</v>
      </c>
      <c r="G369" t="s">
        <v>37</v>
      </c>
      <c r="H369" t="s">
        <v>57</v>
      </c>
      <c r="I369" t="s">
        <v>163</v>
      </c>
    </row>
    <row r="370" spans="1:9" x14ac:dyDescent="0.35">
      <c r="A370" t="s">
        <v>842</v>
      </c>
      <c r="B370" t="s">
        <v>843</v>
      </c>
      <c r="C370" t="s">
        <v>2629</v>
      </c>
      <c r="D370" t="s">
        <v>34</v>
      </c>
      <c r="E370" t="s">
        <v>845</v>
      </c>
      <c r="F370" t="s">
        <v>13</v>
      </c>
      <c r="G370" t="s">
        <v>14</v>
      </c>
      <c r="H370" t="s">
        <v>171</v>
      </c>
      <c r="I370" t="s">
        <v>38</v>
      </c>
    </row>
    <row r="371" spans="1:9" x14ac:dyDescent="0.35">
      <c r="A371" t="s">
        <v>846</v>
      </c>
      <c r="B371" t="s">
        <v>1318</v>
      </c>
      <c r="C371" t="s">
        <v>2630</v>
      </c>
      <c r="D371" t="s">
        <v>26</v>
      </c>
      <c r="E371">
        <v>41</v>
      </c>
      <c r="F371" t="s">
        <v>13</v>
      </c>
      <c r="G371" t="s">
        <v>22</v>
      </c>
      <c r="H371" t="s">
        <v>15</v>
      </c>
      <c r="I371" t="s">
        <v>15</v>
      </c>
    </row>
    <row r="372" spans="1:9" x14ac:dyDescent="0.35">
      <c r="A372" t="s">
        <v>847</v>
      </c>
      <c r="B372" t="s">
        <v>848</v>
      </c>
      <c r="C372" t="s">
        <v>2631</v>
      </c>
      <c r="D372" t="s">
        <v>34</v>
      </c>
      <c r="E372" t="s">
        <v>120</v>
      </c>
      <c r="F372" t="s">
        <v>69</v>
      </c>
      <c r="G372" t="s">
        <v>22</v>
      </c>
      <c r="H372" t="s">
        <v>15</v>
      </c>
      <c r="I372" t="s">
        <v>15</v>
      </c>
    </row>
    <row r="373" spans="1:9" x14ac:dyDescent="0.35">
      <c r="A373" t="s">
        <v>850</v>
      </c>
      <c r="B373" t="s">
        <v>851</v>
      </c>
      <c r="C373" t="s">
        <v>2632</v>
      </c>
      <c r="D373" t="s">
        <v>34</v>
      </c>
      <c r="E373">
        <v>63</v>
      </c>
      <c r="F373" t="s">
        <v>13</v>
      </c>
      <c r="G373" t="s">
        <v>29</v>
      </c>
      <c r="H373" t="s">
        <v>49</v>
      </c>
      <c r="I373" t="s">
        <v>31</v>
      </c>
    </row>
    <row r="374" spans="1:9" x14ac:dyDescent="0.35">
      <c r="A374" t="s">
        <v>852</v>
      </c>
      <c r="B374" t="s">
        <v>252</v>
      </c>
      <c r="C374" t="s">
        <v>2633</v>
      </c>
      <c r="D374" t="s">
        <v>34</v>
      </c>
      <c r="E374">
        <v>50</v>
      </c>
      <c r="F374" t="s">
        <v>56</v>
      </c>
      <c r="G374" t="s">
        <v>22</v>
      </c>
      <c r="H374" t="s">
        <v>57</v>
      </c>
      <c r="I374" t="s">
        <v>57</v>
      </c>
    </row>
    <row r="375" spans="1:9" x14ac:dyDescent="0.35">
      <c r="A375" t="s">
        <v>853</v>
      </c>
      <c r="B375" t="s">
        <v>2088</v>
      </c>
      <c r="C375" t="s">
        <v>2634</v>
      </c>
      <c r="D375" t="s">
        <v>34</v>
      </c>
      <c r="E375">
        <v>37</v>
      </c>
      <c r="F375" t="s">
        <v>99</v>
      </c>
      <c r="G375" t="s">
        <v>29</v>
      </c>
      <c r="H375" t="s">
        <v>288</v>
      </c>
      <c r="I375" t="s">
        <v>128</v>
      </c>
    </row>
    <row r="376" spans="1:9" x14ac:dyDescent="0.35">
      <c r="A376" t="s">
        <v>854</v>
      </c>
      <c r="B376" t="s">
        <v>855</v>
      </c>
      <c r="C376" t="s">
        <v>2635</v>
      </c>
      <c r="D376" t="s">
        <v>26</v>
      </c>
      <c r="E376">
        <v>38</v>
      </c>
      <c r="F376" t="s">
        <v>36</v>
      </c>
      <c r="G376" t="s">
        <v>37</v>
      </c>
      <c r="I376" t="s">
        <v>163</v>
      </c>
    </row>
    <row r="377" spans="1:9" x14ac:dyDescent="0.35">
      <c r="A377" t="s">
        <v>29</v>
      </c>
      <c r="B377" t="s">
        <v>553</v>
      </c>
      <c r="C377" t="s">
        <v>2636</v>
      </c>
      <c r="D377" t="s">
        <v>34</v>
      </c>
      <c r="E377">
        <v>50</v>
      </c>
      <c r="F377" t="s">
        <v>13</v>
      </c>
      <c r="G377" t="s">
        <v>22</v>
      </c>
      <c r="H377" t="s">
        <v>70</v>
      </c>
      <c r="I377" t="s">
        <v>70</v>
      </c>
    </row>
    <row r="378" spans="1:9" x14ac:dyDescent="0.35">
      <c r="A378" t="s">
        <v>857</v>
      </c>
      <c r="B378" t="s">
        <v>858</v>
      </c>
      <c r="C378" t="s">
        <v>2293</v>
      </c>
      <c r="D378" t="s">
        <v>34</v>
      </c>
      <c r="E378">
        <v>54</v>
      </c>
      <c r="F378" t="s">
        <v>42</v>
      </c>
      <c r="G378" t="s">
        <v>22</v>
      </c>
      <c r="H378" t="s">
        <v>49</v>
      </c>
      <c r="I378" t="s">
        <v>30</v>
      </c>
    </row>
    <row r="379" spans="1:9" x14ac:dyDescent="0.35">
      <c r="A379" t="s">
        <v>859</v>
      </c>
      <c r="B379" t="s">
        <v>665</v>
      </c>
      <c r="C379" t="s">
        <v>2637</v>
      </c>
      <c r="D379" t="s">
        <v>26</v>
      </c>
      <c r="E379">
        <v>26</v>
      </c>
      <c r="F379" t="s">
        <v>36</v>
      </c>
      <c r="G379" t="s">
        <v>37</v>
      </c>
      <c r="H379" t="s">
        <v>57</v>
      </c>
      <c r="I379" t="s">
        <v>163</v>
      </c>
    </row>
    <row r="380" spans="1:9" x14ac:dyDescent="0.35">
      <c r="A380" t="s">
        <v>860</v>
      </c>
      <c r="B380" t="s">
        <v>1768</v>
      </c>
      <c r="C380" t="s">
        <v>2638</v>
      </c>
      <c r="D380" t="s">
        <v>26</v>
      </c>
      <c r="E380">
        <v>57</v>
      </c>
      <c r="F380" t="s">
        <v>56</v>
      </c>
      <c r="G380" t="s">
        <v>14</v>
      </c>
      <c r="H380" t="s">
        <v>23</v>
      </c>
      <c r="I380" t="s">
        <v>79</v>
      </c>
    </row>
    <row r="381" spans="1:9" x14ac:dyDescent="0.35">
      <c r="A381" t="s">
        <v>862</v>
      </c>
      <c r="B381" t="s">
        <v>1184</v>
      </c>
      <c r="C381" t="s">
        <v>2639</v>
      </c>
      <c r="D381" t="s">
        <v>34</v>
      </c>
      <c r="E381">
        <v>57</v>
      </c>
      <c r="F381" t="s">
        <v>56</v>
      </c>
      <c r="G381" t="s">
        <v>22</v>
      </c>
      <c r="H381" t="s">
        <v>15</v>
      </c>
      <c r="I381" t="s">
        <v>15</v>
      </c>
    </row>
    <row r="382" spans="1:9" x14ac:dyDescent="0.35">
      <c r="A382" t="s">
        <v>863</v>
      </c>
      <c r="B382" t="s">
        <v>864</v>
      </c>
      <c r="C382" t="s">
        <v>2640</v>
      </c>
      <c r="D382" t="s">
        <v>34</v>
      </c>
      <c r="E382">
        <v>62</v>
      </c>
      <c r="F382" t="s">
        <v>36</v>
      </c>
      <c r="G382" t="s">
        <v>37</v>
      </c>
      <c r="H382" t="s">
        <v>70</v>
      </c>
      <c r="I382" t="s">
        <v>71</v>
      </c>
    </row>
    <row r="383" spans="1:9" x14ac:dyDescent="0.35">
      <c r="A383" t="s">
        <v>16</v>
      </c>
      <c r="B383" t="s">
        <v>1275</v>
      </c>
      <c r="C383" t="s">
        <v>1925</v>
      </c>
      <c r="D383" t="s">
        <v>34</v>
      </c>
      <c r="E383">
        <v>27</v>
      </c>
      <c r="F383" t="s">
        <v>36</v>
      </c>
      <c r="G383" t="s">
        <v>29</v>
      </c>
      <c r="H383" t="s">
        <v>15</v>
      </c>
      <c r="I383" t="s">
        <v>130</v>
      </c>
    </row>
    <row r="384" spans="1:9" x14ac:dyDescent="0.35">
      <c r="A384" t="s">
        <v>866</v>
      </c>
      <c r="B384" t="s">
        <v>173</v>
      </c>
      <c r="C384" t="s">
        <v>2641</v>
      </c>
      <c r="D384" t="s">
        <v>140</v>
      </c>
      <c r="E384">
        <v>24</v>
      </c>
      <c r="F384" t="s">
        <v>62</v>
      </c>
      <c r="G384" t="s">
        <v>29</v>
      </c>
      <c r="H384" t="s">
        <v>57</v>
      </c>
      <c r="I384" t="s">
        <v>85</v>
      </c>
    </row>
    <row r="385" spans="1:9" x14ac:dyDescent="0.35">
      <c r="A385" t="s">
        <v>868</v>
      </c>
      <c r="B385" t="s">
        <v>257</v>
      </c>
      <c r="C385" t="s">
        <v>1327</v>
      </c>
      <c r="D385" t="s">
        <v>26</v>
      </c>
      <c r="E385">
        <v>27</v>
      </c>
      <c r="F385" t="s">
        <v>13</v>
      </c>
      <c r="G385" t="s">
        <v>14</v>
      </c>
      <c r="H385" t="s">
        <v>371</v>
      </c>
    </row>
    <row r="386" spans="1:9" x14ac:dyDescent="0.35">
      <c r="A386" t="s">
        <v>869</v>
      </c>
      <c r="B386" t="s">
        <v>2089</v>
      </c>
      <c r="C386" t="s">
        <v>2642</v>
      </c>
      <c r="D386" t="s">
        <v>112</v>
      </c>
      <c r="E386">
        <v>26</v>
      </c>
      <c r="F386" t="s">
        <v>36</v>
      </c>
      <c r="G386" t="s">
        <v>29</v>
      </c>
      <c r="H386" t="s">
        <v>70</v>
      </c>
      <c r="I386" t="s">
        <v>191</v>
      </c>
    </row>
    <row r="387" spans="1:9" x14ac:dyDescent="0.35">
      <c r="A387" t="s">
        <v>871</v>
      </c>
      <c r="B387" t="s">
        <v>2090</v>
      </c>
      <c r="C387" t="s">
        <v>2643</v>
      </c>
      <c r="D387" t="s">
        <v>26</v>
      </c>
      <c r="E387">
        <v>45</v>
      </c>
      <c r="F387" t="s">
        <v>13</v>
      </c>
      <c r="G387" t="s">
        <v>22</v>
      </c>
      <c r="H387" t="s">
        <v>70</v>
      </c>
    </row>
    <row r="388" spans="1:9" x14ac:dyDescent="0.35">
      <c r="A388" t="s">
        <v>873</v>
      </c>
      <c r="B388" t="s">
        <v>410</v>
      </c>
      <c r="C388" t="s">
        <v>2644</v>
      </c>
      <c r="D388" t="s">
        <v>34</v>
      </c>
      <c r="E388">
        <v>55</v>
      </c>
      <c r="F388" t="s">
        <v>400</v>
      </c>
      <c r="G388" t="s">
        <v>22</v>
      </c>
      <c r="H388" t="s">
        <v>70</v>
      </c>
      <c r="I388" t="s">
        <v>70</v>
      </c>
    </row>
    <row r="389" spans="1:9" x14ac:dyDescent="0.35">
      <c r="A389" t="s">
        <v>204</v>
      </c>
      <c r="B389" t="s">
        <v>875</v>
      </c>
      <c r="C389" t="s">
        <v>2447</v>
      </c>
      <c r="D389" t="s">
        <v>11</v>
      </c>
      <c r="E389" t="s">
        <v>877</v>
      </c>
      <c r="F389" t="s">
        <v>56</v>
      </c>
      <c r="G389" t="s">
        <v>37</v>
      </c>
      <c r="H389" t="s">
        <v>30</v>
      </c>
      <c r="I389" t="s">
        <v>15</v>
      </c>
    </row>
    <row r="390" spans="1:9" x14ac:dyDescent="0.35">
      <c r="A390" t="s">
        <v>878</v>
      </c>
      <c r="B390" t="s">
        <v>879</v>
      </c>
      <c r="C390" t="s">
        <v>2645</v>
      </c>
      <c r="D390" t="s">
        <v>34</v>
      </c>
      <c r="E390">
        <v>26</v>
      </c>
      <c r="F390" t="s">
        <v>13</v>
      </c>
      <c r="G390" t="s">
        <v>22</v>
      </c>
      <c r="H390" t="s">
        <v>70</v>
      </c>
      <c r="I390" t="s">
        <v>70</v>
      </c>
    </row>
    <row r="391" spans="1:9" x14ac:dyDescent="0.35">
      <c r="A391" t="s">
        <v>880</v>
      </c>
      <c r="B391" t="s">
        <v>270</v>
      </c>
      <c r="C391" t="s">
        <v>2646</v>
      </c>
      <c r="D391" t="s">
        <v>34</v>
      </c>
      <c r="E391" t="s">
        <v>596</v>
      </c>
      <c r="F391" t="s">
        <v>99</v>
      </c>
      <c r="G391" t="s">
        <v>37</v>
      </c>
      <c r="H391" t="s">
        <v>57</v>
      </c>
      <c r="I391" t="s">
        <v>163</v>
      </c>
    </row>
    <row r="392" spans="1:9" x14ac:dyDescent="0.35">
      <c r="A392" t="s">
        <v>881</v>
      </c>
      <c r="B392" t="s">
        <v>882</v>
      </c>
      <c r="C392" t="s">
        <v>2647</v>
      </c>
      <c r="D392" t="s">
        <v>34</v>
      </c>
      <c r="E392">
        <v>64</v>
      </c>
      <c r="F392" t="s">
        <v>36</v>
      </c>
      <c r="G392" t="s">
        <v>22</v>
      </c>
      <c r="H392" t="s">
        <v>153</v>
      </c>
      <c r="I392" t="s">
        <v>15</v>
      </c>
    </row>
    <row r="393" spans="1:9" x14ac:dyDescent="0.35">
      <c r="A393" t="s">
        <v>838</v>
      </c>
      <c r="B393" t="s">
        <v>230</v>
      </c>
      <c r="C393" t="s">
        <v>2648</v>
      </c>
      <c r="D393" t="s">
        <v>26</v>
      </c>
      <c r="E393">
        <v>36</v>
      </c>
      <c r="F393" t="s">
        <v>13</v>
      </c>
      <c r="G393" t="s">
        <v>14</v>
      </c>
      <c r="H393" t="s">
        <v>100</v>
      </c>
      <c r="I393" t="s">
        <v>44</v>
      </c>
    </row>
    <row r="394" spans="1:9" x14ac:dyDescent="0.35">
      <c r="A394" t="s">
        <v>883</v>
      </c>
      <c r="B394" t="s">
        <v>884</v>
      </c>
      <c r="C394" t="s">
        <v>2649</v>
      </c>
      <c r="D394" t="s">
        <v>34</v>
      </c>
      <c r="E394">
        <v>44</v>
      </c>
      <c r="F394" t="s">
        <v>56</v>
      </c>
      <c r="G394" t="s">
        <v>37</v>
      </c>
      <c r="H394" t="s">
        <v>70</v>
      </c>
      <c r="I394" t="s">
        <v>71</v>
      </c>
    </row>
    <row r="395" spans="1:9" x14ac:dyDescent="0.35">
      <c r="A395" t="s">
        <v>885</v>
      </c>
      <c r="B395" t="s">
        <v>886</v>
      </c>
      <c r="C395" t="s">
        <v>2650</v>
      </c>
      <c r="D395" t="s">
        <v>34</v>
      </c>
      <c r="E395">
        <v>31</v>
      </c>
      <c r="F395" t="s">
        <v>56</v>
      </c>
      <c r="G395" t="s">
        <v>14</v>
      </c>
      <c r="H395" t="s">
        <v>282</v>
      </c>
      <c r="I395" t="s">
        <v>232</v>
      </c>
    </row>
    <row r="396" spans="1:9" x14ac:dyDescent="0.35">
      <c r="A396" t="s">
        <v>887</v>
      </c>
      <c r="B396" t="s">
        <v>151</v>
      </c>
      <c r="C396" t="s">
        <v>2210</v>
      </c>
      <c r="D396" t="s">
        <v>140</v>
      </c>
      <c r="E396">
        <v>23</v>
      </c>
      <c r="F396" t="s">
        <v>56</v>
      </c>
      <c r="G396" t="s">
        <v>37</v>
      </c>
      <c r="H396" t="s">
        <v>162</v>
      </c>
      <c r="I396" t="s">
        <v>163</v>
      </c>
    </row>
    <row r="397" spans="1:9" x14ac:dyDescent="0.35">
      <c r="A397" t="s">
        <v>889</v>
      </c>
      <c r="B397" t="s">
        <v>890</v>
      </c>
      <c r="C397" t="s">
        <v>898</v>
      </c>
      <c r="D397" t="s">
        <v>20</v>
      </c>
      <c r="E397">
        <v>51</v>
      </c>
      <c r="F397" t="s">
        <v>109</v>
      </c>
      <c r="G397" t="s">
        <v>14</v>
      </c>
      <c r="H397" t="s">
        <v>49</v>
      </c>
      <c r="I397" t="s">
        <v>38</v>
      </c>
    </row>
    <row r="398" spans="1:9" x14ac:dyDescent="0.35">
      <c r="A398" t="s">
        <v>891</v>
      </c>
      <c r="B398" t="s">
        <v>892</v>
      </c>
      <c r="C398" t="s">
        <v>2651</v>
      </c>
      <c r="D398" t="s">
        <v>26</v>
      </c>
      <c r="E398">
        <v>25</v>
      </c>
      <c r="F398" t="s">
        <v>36</v>
      </c>
      <c r="H398" t="s">
        <v>96</v>
      </c>
      <c r="I398" t="s">
        <v>16</v>
      </c>
    </row>
    <row r="399" spans="1:9" x14ac:dyDescent="0.35">
      <c r="A399" t="s">
        <v>57</v>
      </c>
      <c r="B399" t="s">
        <v>592</v>
      </c>
      <c r="C399" t="s">
        <v>2652</v>
      </c>
      <c r="D399" t="s">
        <v>26</v>
      </c>
      <c r="E399">
        <v>60</v>
      </c>
      <c r="F399" t="s">
        <v>36</v>
      </c>
      <c r="G399" t="s">
        <v>14</v>
      </c>
      <c r="H399" t="s">
        <v>30</v>
      </c>
      <c r="I399" t="s">
        <v>38</v>
      </c>
    </row>
    <row r="400" spans="1:9" x14ac:dyDescent="0.35">
      <c r="A400" t="s">
        <v>893</v>
      </c>
      <c r="B400" t="s">
        <v>894</v>
      </c>
      <c r="C400" t="s">
        <v>2653</v>
      </c>
      <c r="D400" t="s">
        <v>46</v>
      </c>
      <c r="E400">
        <v>31</v>
      </c>
      <c r="F400" t="s">
        <v>48</v>
      </c>
      <c r="G400" t="s">
        <v>14</v>
      </c>
      <c r="H400" t="s">
        <v>70</v>
      </c>
      <c r="I400" t="s">
        <v>44</v>
      </c>
    </row>
    <row r="401" spans="1:9" x14ac:dyDescent="0.35">
      <c r="A401" t="s">
        <v>895</v>
      </c>
      <c r="B401" t="s">
        <v>691</v>
      </c>
      <c r="C401" t="s">
        <v>2654</v>
      </c>
      <c r="D401" t="s">
        <v>34</v>
      </c>
      <c r="E401">
        <v>40</v>
      </c>
      <c r="F401" t="s">
        <v>89</v>
      </c>
      <c r="G401" t="s">
        <v>37</v>
      </c>
      <c r="H401" t="s">
        <v>100</v>
      </c>
      <c r="I401" t="s">
        <v>71</v>
      </c>
    </row>
    <row r="402" spans="1:9" x14ac:dyDescent="0.35">
      <c r="A402" t="s">
        <v>897</v>
      </c>
      <c r="B402" t="s">
        <v>1107</v>
      </c>
      <c r="C402" t="s">
        <v>2655</v>
      </c>
      <c r="D402" t="s">
        <v>34</v>
      </c>
      <c r="E402">
        <v>30</v>
      </c>
      <c r="F402" t="s">
        <v>56</v>
      </c>
      <c r="G402" t="s">
        <v>14</v>
      </c>
      <c r="H402" t="s">
        <v>70</v>
      </c>
      <c r="I402" t="s">
        <v>44</v>
      </c>
    </row>
    <row r="403" spans="1:9" x14ac:dyDescent="0.35">
      <c r="A403" t="s">
        <v>141</v>
      </c>
      <c r="B403" t="s">
        <v>2091</v>
      </c>
      <c r="C403" t="s">
        <v>2656</v>
      </c>
      <c r="D403" t="s">
        <v>11</v>
      </c>
      <c r="E403">
        <v>38</v>
      </c>
      <c r="F403" t="s">
        <v>36</v>
      </c>
      <c r="G403" t="s">
        <v>14</v>
      </c>
      <c r="I403" t="s">
        <v>16</v>
      </c>
    </row>
    <row r="404" spans="1:9" x14ac:dyDescent="0.35">
      <c r="A404" t="s">
        <v>900</v>
      </c>
      <c r="B404" t="s">
        <v>901</v>
      </c>
      <c r="C404" t="s">
        <v>2657</v>
      </c>
      <c r="D404" t="s">
        <v>34</v>
      </c>
      <c r="E404">
        <v>46</v>
      </c>
      <c r="F404" t="s">
        <v>434</v>
      </c>
      <c r="G404" t="s">
        <v>37</v>
      </c>
      <c r="H404" t="s">
        <v>70</v>
      </c>
      <c r="I404" t="s">
        <v>71</v>
      </c>
    </row>
    <row r="405" spans="1:9" x14ac:dyDescent="0.35">
      <c r="A405" t="s">
        <v>903</v>
      </c>
      <c r="B405" t="s">
        <v>1045</v>
      </c>
      <c r="C405" t="s">
        <v>2658</v>
      </c>
      <c r="D405" t="s">
        <v>20</v>
      </c>
      <c r="E405">
        <v>56</v>
      </c>
      <c r="F405" t="s">
        <v>56</v>
      </c>
      <c r="G405" t="s">
        <v>37</v>
      </c>
      <c r="H405" t="s">
        <v>162</v>
      </c>
      <c r="I405" t="s">
        <v>163</v>
      </c>
    </row>
    <row r="406" spans="1:9" x14ac:dyDescent="0.35">
      <c r="A406" t="s">
        <v>906</v>
      </c>
      <c r="B406" t="s">
        <v>2068</v>
      </c>
      <c r="C406" t="s">
        <v>2659</v>
      </c>
      <c r="D406" t="s">
        <v>46</v>
      </c>
      <c r="E406">
        <v>50</v>
      </c>
      <c r="F406" t="s">
        <v>36</v>
      </c>
      <c r="G406" t="s">
        <v>37</v>
      </c>
      <c r="H406" t="s">
        <v>162</v>
      </c>
      <c r="I406" t="s">
        <v>163</v>
      </c>
    </row>
    <row r="407" spans="1:9" x14ac:dyDescent="0.35">
      <c r="A407" t="s">
        <v>130</v>
      </c>
      <c r="B407" t="s">
        <v>908</v>
      </c>
      <c r="C407" t="s">
        <v>2660</v>
      </c>
      <c r="D407" t="s">
        <v>46</v>
      </c>
      <c r="E407">
        <v>58</v>
      </c>
      <c r="F407" t="s">
        <v>13</v>
      </c>
      <c r="G407" t="s">
        <v>14</v>
      </c>
      <c r="H407" t="s">
        <v>70</v>
      </c>
      <c r="I407" t="s">
        <v>44</v>
      </c>
    </row>
    <row r="408" spans="1:9" x14ac:dyDescent="0.35">
      <c r="A408" t="s">
        <v>910</v>
      </c>
      <c r="B408" t="s">
        <v>911</v>
      </c>
      <c r="C408" t="s">
        <v>2661</v>
      </c>
      <c r="D408" t="s">
        <v>34</v>
      </c>
      <c r="E408">
        <v>64</v>
      </c>
      <c r="F408" t="s">
        <v>36</v>
      </c>
      <c r="G408" t="s">
        <v>29</v>
      </c>
      <c r="H408" t="s">
        <v>43</v>
      </c>
      <c r="I408" t="s">
        <v>191</v>
      </c>
    </row>
    <row r="409" spans="1:9" x14ac:dyDescent="0.35">
      <c r="A409" t="s">
        <v>913</v>
      </c>
      <c r="B409" t="s">
        <v>914</v>
      </c>
      <c r="C409" t="s">
        <v>2662</v>
      </c>
      <c r="D409" t="s">
        <v>268</v>
      </c>
      <c r="E409">
        <v>57</v>
      </c>
      <c r="F409" t="s">
        <v>13</v>
      </c>
      <c r="G409" t="s">
        <v>37</v>
      </c>
      <c r="H409" t="s">
        <v>49</v>
      </c>
      <c r="I409" t="s">
        <v>15</v>
      </c>
    </row>
    <row r="410" spans="1:9" x14ac:dyDescent="0.35">
      <c r="A410" t="s">
        <v>915</v>
      </c>
      <c r="B410" t="s">
        <v>916</v>
      </c>
      <c r="C410" t="s">
        <v>2293</v>
      </c>
      <c r="D410" t="s">
        <v>34</v>
      </c>
      <c r="E410">
        <v>57</v>
      </c>
      <c r="F410" t="s">
        <v>56</v>
      </c>
      <c r="G410" t="s">
        <v>37</v>
      </c>
      <c r="H410" t="s">
        <v>30</v>
      </c>
      <c r="I410" t="s">
        <v>15</v>
      </c>
    </row>
    <row r="412" spans="1:9" x14ac:dyDescent="0.35">
      <c r="A412" t="s">
        <v>917</v>
      </c>
      <c r="B412" t="s">
        <v>918</v>
      </c>
      <c r="C412" t="s">
        <v>2663</v>
      </c>
      <c r="D412" t="s">
        <v>26</v>
      </c>
      <c r="E412">
        <v>21</v>
      </c>
      <c r="F412" t="s">
        <v>36</v>
      </c>
      <c r="G412" t="s">
        <v>29</v>
      </c>
      <c r="H412" t="s">
        <v>57</v>
      </c>
      <c r="I412" t="s">
        <v>85</v>
      </c>
    </row>
    <row r="413" spans="1:9" x14ac:dyDescent="0.35">
      <c r="A413" t="s">
        <v>919</v>
      </c>
      <c r="B413" t="s">
        <v>920</v>
      </c>
      <c r="C413" t="s">
        <v>2341</v>
      </c>
      <c r="D413" t="s">
        <v>34</v>
      </c>
      <c r="E413" t="s">
        <v>921</v>
      </c>
      <c r="F413" t="s">
        <v>13</v>
      </c>
      <c r="G413" t="s">
        <v>14</v>
      </c>
      <c r="H413" t="s">
        <v>30</v>
      </c>
      <c r="I413" t="s">
        <v>38</v>
      </c>
    </row>
    <row r="414" spans="1:9" x14ac:dyDescent="0.35">
      <c r="A414" t="s">
        <v>922</v>
      </c>
      <c r="B414" t="s">
        <v>1471</v>
      </c>
      <c r="C414" t="s">
        <v>2664</v>
      </c>
      <c r="D414" t="s">
        <v>26</v>
      </c>
      <c r="E414">
        <v>44</v>
      </c>
      <c r="F414" t="s">
        <v>56</v>
      </c>
      <c r="G414" t="s">
        <v>29</v>
      </c>
      <c r="H414" t="s">
        <v>70</v>
      </c>
      <c r="I414" t="s">
        <v>191</v>
      </c>
    </row>
    <row r="415" spans="1:9" x14ac:dyDescent="0.35">
      <c r="A415" t="s">
        <v>923</v>
      </c>
      <c r="B415" t="s">
        <v>2092</v>
      </c>
      <c r="C415" t="s">
        <v>1093</v>
      </c>
      <c r="D415" t="s">
        <v>11</v>
      </c>
      <c r="E415" t="s">
        <v>924</v>
      </c>
      <c r="F415" t="s">
        <v>13</v>
      </c>
      <c r="G415" t="s">
        <v>29</v>
      </c>
      <c r="H415" t="s">
        <v>70</v>
      </c>
      <c r="I415" t="s">
        <v>191</v>
      </c>
    </row>
    <row r="416" spans="1:9" x14ac:dyDescent="0.35">
      <c r="A416" t="s">
        <v>925</v>
      </c>
      <c r="B416" t="s">
        <v>2093</v>
      </c>
      <c r="C416" t="s">
        <v>2665</v>
      </c>
      <c r="D416" t="s">
        <v>26</v>
      </c>
      <c r="E416">
        <v>46</v>
      </c>
      <c r="F416" t="s">
        <v>99</v>
      </c>
      <c r="G416" t="s">
        <v>14</v>
      </c>
      <c r="H416" t="s">
        <v>70</v>
      </c>
      <c r="I416" t="s">
        <v>44</v>
      </c>
    </row>
    <row r="417" spans="1:9" x14ac:dyDescent="0.35">
      <c r="A417" t="s">
        <v>926</v>
      </c>
      <c r="B417" t="s">
        <v>927</v>
      </c>
      <c r="C417" t="s">
        <v>2666</v>
      </c>
      <c r="D417" t="s">
        <v>20</v>
      </c>
      <c r="E417">
        <v>54</v>
      </c>
      <c r="F417" t="s">
        <v>56</v>
      </c>
      <c r="G417" t="s">
        <v>14</v>
      </c>
      <c r="H417" t="s">
        <v>15</v>
      </c>
      <c r="I417" t="s">
        <v>16</v>
      </c>
    </row>
    <row r="418" spans="1:9" x14ac:dyDescent="0.35">
      <c r="A418" t="s">
        <v>928</v>
      </c>
      <c r="B418" t="s">
        <v>929</v>
      </c>
      <c r="C418" t="s">
        <v>2667</v>
      </c>
      <c r="D418" t="s">
        <v>11</v>
      </c>
      <c r="E418">
        <v>40</v>
      </c>
      <c r="F418" t="s">
        <v>13</v>
      </c>
      <c r="G418" t="s">
        <v>22</v>
      </c>
      <c r="H418" t="s">
        <v>57</v>
      </c>
      <c r="I418" t="s">
        <v>57</v>
      </c>
    </row>
    <row r="419" spans="1:9" x14ac:dyDescent="0.35">
      <c r="A419" t="s">
        <v>930</v>
      </c>
      <c r="B419" t="s">
        <v>2094</v>
      </c>
      <c r="C419" t="s">
        <v>2668</v>
      </c>
      <c r="D419" t="s">
        <v>11</v>
      </c>
      <c r="E419">
        <v>49</v>
      </c>
      <c r="F419" t="s">
        <v>400</v>
      </c>
      <c r="G419" t="s">
        <v>14</v>
      </c>
      <c r="H419" t="s">
        <v>15</v>
      </c>
      <c r="I419" t="s">
        <v>16</v>
      </c>
    </row>
    <row r="420" spans="1:9" x14ac:dyDescent="0.35">
      <c r="A420" t="s">
        <v>931</v>
      </c>
      <c r="B420" t="s">
        <v>932</v>
      </c>
      <c r="C420" t="s">
        <v>2669</v>
      </c>
      <c r="D420" t="s">
        <v>268</v>
      </c>
      <c r="E420">
        <v>21</v>
      </c>
      <c r="F420" t="s">
        <v>56</v>
      </c>
      <c r="G420" t="s">
        <v>37</v>
      </c>
      <c r="H420" t="s">
        <v>49</v>
      </c>
      <c r="I420" t="s">
        <v>15</v>
      </c>
    </row>
    <row r="421" spans="1:9" x14ac:dyDescent="0.35">
      <c r="A421" t="s">
        <v>934</v>
      </c>
      <c r="B421" t="s">
        <v>1019</v>
      </c>
      <c r="C421" t="s">
        <v>2670</v>
      </c>
      <c r="D421" t="s">
        <v>20</v>
      </c>
      <c r="E421">
        <v>63</v>
      </c>
      <c r="F421" t="s">
        <v>13</v>
      </c>
      <c r="G421" t="s">
        <v>29</v>
      </c>
      <c r="H421" t="s">
        <v>57</v>
      </c>
      <c r="I421" t="s">
        <v>85</v>
      </c>
    </row>
    <row r="422" spans="1:9" x14ac:dyDescent="0.35">
      <c r="A422" t="s">
        <v>935</v>
      </c>
      <c r="B422" t="s">
        <v>2095</v>
      </c>
      <c r="C422" t="s">
        <v>2671</v>
      </c>
      <c r="D422" t="s">
        <v>34</v>
      </c>
      <c r="E422">
        <v>50</v>
      </c>
      <c r="F422" t="s">
        <v>13</v>
      </c>
      <c r="G422" t="s">
        <v>22</v>
      </c>
      <c r="H422" t="s">
        <v>49</v>
      </c>
      <c r="I422" t="s">
        <v>30</v>
      </c>
    </row>
    <row r="423" spans="1:9" x14ac:dyDescent="0.35">
      <c r="A423" t="s">
        <v>937</v>
      </c>
      <c r="B423" t="s">
        <v>938</v>
      </c>
      <c r="C423" t="s">
        <v>2672</v>
      </c>
      <c r="D423" t="s">
        <v>20</v>
      </c>
      <c r="E423" t="s">
        <v>716</v>
      </c>
      <c r="F423" t="s">
        <v>13</v>
      </c>
      <c r="G423" t="s">
        <v>22</v>
      </c>
      <c r="H423" t="s">
        <v>15</v>
      </c>
      <c r="I423" t="s">
        <v>15</v>
      </c>
    </row>
    <row r="424" spans="1:9" x14ac:dyDescent="0.35">
      <c r="A424" t="s">
        <v>939</v>
      </c>
      <c r="B424" t="s">
        <v>940</v>
      </c>
      <c r="C424" t="s">
        <v>1481</v>
      </c>
      <c r="D424" t="s">
        <v>34</v>
      </c>
      <c r="E424">
        <v>19</v>
      </c>
      <c r="F424" t="s">
        <v>434</v>
      </c>
      <c r="G424" t="s">
        <v>37</v>
      </c>
      <c r="H424" t="s">
        <v>30</v>
      </c>
      <c r="I424" t="s">
        <v>15</v>
      </c>
    </row>
    <row r="425" spans="1:9" x14ac:dyDescent="0.35">
      <c r="A425" t="s">
        <v>942</v>
      </c>
      <c r="B425" t="s">
        <v>943</v>
      </c>
      <c r="C425" t="s">
        <v>2673</v>
      </c>
      <c r="D425" t="s">
        <v>34</v>
      </c>
      <c r="E425">
        <v>22</v>
      </c>
      <c r="F425" t="s">
        <v>13</v>
      </c>
      <c r="G425" t="s">
        <v>22</v>
      </c>
      <c r="H425" t="s">
        <v>70</v>
      </c>
      <c r="I425" t="s">
        <v>70</v>
      </c>
    </row>
    <row r="426" spans="1:9" x14ac:dyDescent="0.35">
      <c r="A426" t="s">
        <v>944</v>
      </c>
      <c r="B426" t="s">
        <v>2096</v>
      </c>
      <c r="C426" t="s">
        <v>2674</v>
      </c>
      <c r="D426" t="s">
        <v>34</v>
      </c>
      <c r="E426">
        <v>31</v>
      </c>
      <c r="F426" t="s">
        <v>13</v>
      </c>
      <c r="G426" t="s">
        <v>22</v>
      </c>
      <c r="H426" t="s">
        <v>57</v>
      </c>
      <c r="I426" t="s">
        <v>57</v>
      </c>
    </row>
    <row r="427" spans="1:9" x14ac:dyDescent="0.35">
      <c r="A427" t="s">
        <v>945</v>
      </c>
      <c r="B427" t="s">
        <v>946</v>
      </c>
      <c r="C427" t="s">
        <v>2675</v>
      </c>
      <c r="D427" t="s">
        <v>34</v>
      </c>
      <c r="E427">
        <v>55</v>
      </c>
      <c r="F427" t="s">
        <v>56</v>
      </c>
      <c r="G427" t="s">
        <v>14</v>
      </c>
      <c r="H427" t="s">
        <v>15</v>
      </c>
      <c r="I427" t="s">
        <v>16</v>
      </c>
    </row>
    <row r="428" spans="1:9" x14ac:dyDescent="0.35">
      <c r="A428" t="s">
        <v>948</v>
      </c>
      <c r="B428" t="s">
        <v>949</v>
      </c>
      <c r="C428" t="s">
        <v>2676</v>
      </c>
      <c r="D428" t="s">
        <v>26</v>
      </c>
      <c r="E428">
        <v>54</v>
      </c>
      <c r="F428" t="s">
        <v>28</v>
      </c>
      <c r="G428" t="s">
        <v>22</v>
      </c>
      <c r="H428" t="s">
        <v>30</v>
      </c>
      <c r="I428" t="s">
        <v>30</v>
      </c>
    </row>
    <row r="429" spans="1:9" x14ac:dyDescent="0.35">
      <c r="A429" t="s">
        <v>951</v>
      </c>
      <c r="B429" t="s">
        <v>2097</v>
      </c>
      <c r="C429" t="s">
        <v>2677</v>
      </c>
      <c r="D429" t="s">
        <v>46</v>
      </c>
      <c r="E429">
        <v>20</v>
      </c>
      <c r="F429" t="s">
        <v>42</v>
      </c>
      <c r="G429" t="s">
        <v>22</v>
      </c>
      <c r="I429" t="s">
        <v>15</v>
      </c>
    </row>
    <row r="430" spans="1:9" x14ac:dyDescent="0.35">
      <c r="A430" t="s">
        <v>952</v>
      </c>
      <c r="B430" t="s">
        <v>953</v>
      </c>
      <c r="C430" t="s">
        <v>1632</v>
      </c>
      <c r="D430" t="s">
        <v>26</v>
      </c>
      <c r="E430">
        <v>18</v>
      </c>
      <c r="F430" t="s">
        <v>13</v>
      </c>
      <c r="G430" t="s">
        <v>14</v>
      </c>
      <c r="H430" t="s">
        <v>23</v>
      </c>
      <c r="I430" t="s">
        <v>79</v>
      </c>
    </row>
    <row r="431" spans="1:9" x14ac:dyDescent="0.35">
      <c r="A431" t="s">
        <v>447</v>
      </c>
      <c r="B431" t="s">
        <v>77</v>
      </c>
      <c r="C431" t="s">
        <v>2678</v>
      </c>
      <c r="D431" t="s">
        <v>26</v>
      </c>
      <c r="E431">
        <v>26</v>
      </c>
      <c r="F431" t="s">
        <v>56</v>
      </c>
      <c r="G431" t="s">
        <v>29</v>
      </c>
      <c r="H431" t="s">
        <v>23</v>
      </c>
      <c r="I431" t="s">
        <v>128</v>
      </c>
    </row>
    <row r="432" spans="1:9" x14ac:dyDescent="0.35">
      <c r="A432" t="s">
        <v>955</v>
      </c>
      <c r="B432" t="s">
        <v>956</v>
      </c>
      <c r="C432" t="s">
        <v>2679</v>
      </c>
      <c r="D432" t="s">
        <v>26</v>
      </c>
      <c r="E432" t="s">
        <v>726</v>
      </c>
      <c r="F432" t="s">
        <v>69</v>
      </c>
      <c r="G432" t="s">
        <v>22</v>
      </c>
      <c r="H432" t="s">
        <v>30</v>
      </c>
      <c r="I432" t="s">
        <v>30</v>
      </c>
    </row>
    <row r="433" spans="1:9" x14ac:dyDescent="0.35">
      <c r="A433" t="s">
        <v>957</v>
      </c>
      <c r="B433" t="s">
        <v>958</v>
      </c>
      <c r="C433" t="s">
        <v>2680</v>
      </c>
      <c r="D433" t="s">
        <v>46</v>
      </c>
      <c r="E433">
        <v>51</v>
      </c>
      <c r="F433" t="s">
        <v>69</v>
      </c>
      <c r="G433" t="s">
        <v>37</v>
      </c>
      <c r="H433" t="s">
        <v>57</v>
      </c>
      <c r="I433" t="s">
        <v>163</v>
      </c>
    </row>
    <row r="434" spans="1:9" x14ac:dyDescent="0.35">
      <c r="A434" t="s">
        <v>960</v>
      </c>
      <c r="B434" t="s">
        <v>2035</v>
      </c>
      <c r="C434" t="s">
        <v>2681</v>
      </c>
      <c r="D434" t="s">
        <v>34</v>
      </c>
      <c r="E434">
        <v>35</v>
      </c>
      <c r="F434" t="s">
        <v>117</v>
      </c>
      <c r="G434" t="s">
        <v>14</v>
      </c>
      <c r="H434" t="s">
        <v>23</v>
      </c>
      <c r="I434" t="s">
        <v>79</v>
      </c>
    </row>
    <row r="435" spans="1:9" x14ac:dyDescent="0.35">
      <c r="A435" t="s">
        <v>962</v>
      </c>
      <c r="B435" t="s">
        <v>2098</v>
      </c>
      <c r="C435" t="s">
        <v>2682</v>
      </c>
      <c r="D435" t="s">
        <v>112</v>
      </c>
      <c r="E435" t="s">
        <v>963</v>
      </c>
      <c r="F435" t="s">
        <v>56</v>
      </c>
      <c r="G435" t="s">
        <v>22</v>
      </c>
      <c r="H435" t="s">
        <v>84</v>
      </c>
      <c r="I435" t="s">
        <v>57</v>
      </c>
    </row>
    <row r="437" spans="1:9" x14ac:dyDescent="0.35">
      <c r="A437" t="s">
        <v>964</v>
      </c>
      <c r="B437" t="s">
        <v>965</v>
      </c>
      <c r="C437" t="s">
        <v>2683</v>
      </c>
      <c r="D437" t="s">
        <v>268</v>
      </c>
      <c r="E437">
        <v>60</v>
      </c>
      <c r="F437" t="s">
        <v>36</v>
      </c>
      <c r="G437" t="s">
        <v>22</v>
      </c>
      <c r="H437" t="s">
        <v>70</v>
      </c>
      <c r="I437" t="s">
        <v>70</v>
      </c>
    </row>
    <row r="438" spans="1:9" x14ac:dyDescent="0.35">
      <c r="A438" t="s">
        <v>966</v>
      </c>
      <c r="B438" t="s">
        <v>967</v>
      </c>
      <c r="C438" t="s">
        <v>1397</v>
      </c>
      <c r="D438" t="s">
        <v>34</v>
      </c>
      <c r="E438">
        <v>37</v>
      </c>
      <c r="F438" t="s">
        <v>42</v>
      </c>
      <c r="G438" t="s">
        <v>29</v>
      </c>
      <c r="H438" t="s">
        <v>57</v>
      </c>
      <c r="I438" t="s">
        <v>85</v>
      </c>
    </row>
    <row r="439" spans="1:9" x14ac:dyDescent="0.35">
      <c r="A439" t="s">
        <v>968</v>
      </c>
      <c r="B439" t="s">
        <v>969</v>
      </c>
      <c r="C439" t="s">
        <v>2684</v>
      </c>
      <c r="D439" t="s">
        <v>34</v>
      </c>
      <c r="E439">
        <v>22</v>
      </c>
      <c r="F439" t="s">
        <v>62</v>
      </c>
      <c r="G439" t="s">
        <v>22</v>
      </c>
      <c r="H439" t="s">
        <v>147</v>
      </c>
      <c r="I439" t="s">
        <v>70</v>
      </c>
    </row>
    <row r="440" spans="1:9" x14ac:dyDescent="0.35">
      <c r="A440" t="s">
        <v>970</v>
      </c>
      <c r="B440" t="s">
        <v>1832</v>
      </c>
      <c r="C440" t="s">
        <v>2685</v>
      </c>
      <c r="D440" t="s">
        <v>26</v>
      </c>
      <c r="E440">
        <v>28</v>
      </c>
      <c r="F440" t="s">
        <v>48</v>
      </c>
      <c r="G440" t="s">
        <v>14</v>
      </c>
      <c r="H440" t="s">
        <v>96</v>
      </c>
      <c r="I440" t="s">
        <v>16</v>
      </c>
    </row>
    <row r="441" spans="1:9" x14ac:dyDescent="0.35">
      <c r="A441" t="s">
        <v>972</v>
      </c>
      <c r="B441" t="s">
        <v>714</v>
      </c>
      <c r="C441" t="s">
        <v>2686</v>
      </c>
      <c r="D441" t="s">
        <v>268</v>
      </c>
      <c r="E441">
        <v>34</v>
      </c>
      <c r="F441" t="s">
        <v>62</v>
      </c>
      <c r="G441" t="s">
        <v>29</v>
      </c>
      <c r="H441" t="s">
        <v>30</v>
      </c>
      <c r="I441" t="s">
        <v>31</v>
      </c>
    </row>
    <row r="442" spans="1:9" x14ac:dyDescent="0.35">
      <c r="A442" t="s">
        <v>973</v>
      </c>
      <c r="B442" t="s">
        <v>974</v>
      </c>
      <c r="C442" t="s">
        <v>2687</v>
      </c>
      <c r="D442" t="s">
        <v>34</v>
      </c>
      <c r="E442">
        <v>49</v>
      </c>
      <c r="F442" t="s">
        <v>434</v>
      </c>
      <c r="G442" t="s">
        <v>37</v>
      </c>
      <c r="H442" t="s">
        <v>70</v>
      </c>
      <c r="I442" t="s">
        <v>71</v>
      </c>
    </row>
    <row r="443" spans="1:9" x14ac:dyDescent="0.35">
      <c r="A443" t="s">
        <v>27</v>
      </c>
      <c r="B443" t="s">
        <v>497</v>
      </c>
      <c r="C443" t="s">
        <v>2688</v>
      </c>
      <c r="D443" t="s">
        <v>34</v>
      </c>
      <c r="E443">
        <v>57</v>
      </c>
      <c r="F443" t="s">
        <v>13</v>
      </c>
      <c r="G443" t="s">
        <v>37</v>
      </c>
      <c r="H443" t="s">
        <v>30</v>
      </c>
      <c r="I443" t="s">
        <v>15</v>
      </c>
    </row>
    <row r="444" spans="1:9" x14ac:dyDescent="0.35">
      <c r="A444" t="s">
        <v>976</v>
      </c>
      <c r="B444" t="s">
        <v>977</v>
      </c>
      <c r="C444" t="s">
        <v>2522</v>
      </c>
      <c r="D444" t="s">
        <v>46</v>
      </c>
      <c r="E444" t="s">
        <v>978</v>
      </c>
      <c r="F444" t="s">
        <v>42</v>
      </c>
      <c r="G444" t="s">
        <v>29</v>
      </c>
      <c r="H444" t="s">
        <v>30</v>
      </c>
      <c r="I444" t="s">
        <v>31</v>
      </c>
    </row>
    <row r="445" spans="1:9" x14ac:dyDescent="0.35">
      <c r="A445" t="s">
        <v>979</v>
      </c>
      <c r="B445" t="s">
        <v>1565</v>
      </c>
      <c r="C445" t="s">
        <v>2689</v>
      </c>
      <c r="D445" t="s">
        <v>46</v>
      </c>
      <c r="E445" t="s">
        <v>382</v>
      </c>
      <c r="F445" t="s">
        <v>36</v>
      </c>
      <c r="G445" t="s">
        <v>37</v>
      </c>
      <c r="H445" t="s">
        <v>23</v>
      </c>
      <c r="I445" t="s">
        <v>107</v>
      </c>
    </row>
    <row r="446" spans="1:9" x14ac:dyDescent="0.35">
      <c r="A446" t="s">
        <v>980</v>
      </c>
      <c r="B446" t="s">
        <v>981</v>
      </c>
      <c r="C446" t="s">
        <v>2690</v>
      </c>
      <c r="D446" t="s">
        <v>34</v>
      </c>
      <c r="E446">
        <v>53</v>
      </c>
      <c r="F446" t="s">
        <v>56</v>
      </c>
      <c r="G446" t="s">
        <v>37</v>
      </c>
      <c r="H446" t="s">
        <v>70</v>
      </c>
      <c r="I446" t="s">
        <v>71</v>
      </c>
    </row>
    <row r="447" spans="1:9" x14ac:dyDescent="0.35">
      <c r="A447" t="s">
        <v>14</v>
      </c>
      <c r="B447" t="s">
        <v>983</v>
      </c>
      <c r="C447" t="s">
        <v>2691</v>
      </c>
      <c r="D447" t="s">
        <v>34</v>
      </c>
      <c r="E447">
        <v>37</v>
      </c>
      <c r="F447" t="s">
        <v>56</v>
      </c>
      <c r="G447" t="s">
        <v>22</v>
      </c>
      <c r="H447" t="s">
        <v>57</v>
      </c>
      <c r="I447" t="s">
        <v>57</v>
      </c>
    </row>
    <row r="448" spans="1:9" x14ac:dyDescent="0.35">
      <c r="A448" t="s">
        <v>177</v>
      </c>
      <c r="B448" t="s">
        <v>985</v>
      </c>
      <c r="C448" t="s">
        <v>2692</v>
      </c>
      <c r="D448" t="s">
        <v>34</v>
      </c>
      <c r="E448">
        <v>62</v>
      </c>
      <c r="F448" t="s">
        <v>56</v>
      </c>
      <c r="G448" t="s">
        <v>22</v>
      </c>
      <c r="H448" t="s">
        <v>153</v>
      </c>
      <c r="I448" t="s">
        <v>15</v>
      </c>
    </row>
    <row r="449" spans="1:9" x14ac:dyDescent="0.35">
      <c r="A449" t="s">
        <v>987</v>
      </c>
      <c r="B449" t="s">
        <v>988</v>
      </c>
      <c r="C449" t="s">
        <v>1746</v>
      </c>
      <c r="D449" t="s">
        <v>140</v>
      </c>
      <c r="E449">
        <v>25</v>
      </c>
      <c r="F449" t="s">
        <v>400</v>
      </c>
      <c r="G449" t="s">
        <v>22</v>
      </c>
      <c r="H449" t="s">
        <v>15</v>
      </c>
      <c r="I449" t="s">
        <v>15</v>
      </c>
    </row>
    <row r="450" spans="1:9" x14ac:dyDescent="0.35">
      <c r="A450" t="s">
        <v>990</v>
      </c>
      <c r="B450" t="s">
        <v>2087</v>
      </c>
      <c r="C450" t="s">
        <v>2613</v>
      </c>
      <c r="D450" t="s">
        <v>34</v>
      </c>
      <c r="E450">
        <v>31</v>
      </c>
      <c r="F450" t="s">
        <v>56</v>
      </c>
      <c r="G450" t="s">
        <v>22</v>
      </c>
      <c r="H450" t="s">
        <v>23</v>
      </c>
      <c r="I450" t="s">
        <v>23</v>
      </c>
    </row>
    <row r="451" spans="1:9" x14ac:dyDescent="0.35">
      <c r="A451" t="s">
        <v>991</v>
      </c>
      <c r="B451" t="s">
        <v>992</v>
      </c>
      <c r="C451" t="s">
        <v>831</v>
      </c>
      <c r="D451" t="s">
        <v>26</v>
      </c>
      <c r="E451">
        <v>47</v>
      </c>
      <c r="F451" t="s">
        <v>434</v>
      </c>
      <c r="G451" t="s">
        <v>37</v>
      </c>
      <c r="H451" t="s">
        <v>30</v>
      </c>
      <c r="I451" t="s">
        <v>15</v>
      </c>
    </row>
    <row r="452" spans="1:9" x14ac:dyDescent="0.35">
      <c r="A452" t="s">
        <v>994</v>
      </c>
      <c r="B452" t="s">
        <v>995</v>
      </c>
      <c r="C452" t="s">
        <v>2197</v>
      </c>
      <c r="D452" t="s">
        <v>268</v>
      </c>
      <c r="E452">
        <v>29</v>
      </c>
      <c r="F452" t="s">
        <v>56</v>
      </c>
      <c r="G452" t="s">
        <v>14</v>
      </c>
      <c r="H452" t="s">
        <v>186</v>
      </c>
      <c r="I452" t="s">
        <v>79</v>
      </c>
    </row>
    <row r="453" spans="1:9" x14ac:dyDescent="0.35">
      <c r="A453" t="s">
        <v>996</v>
      </c>
      <c r="B453" t="s">
        <v>997</v>
      </c>
      <c r="C453" t="s">
        <v>1063</v>
      </c>
      <c r="D453" t="s">
        <v>34</v>
      </c>
      <c r="E453">
        <v>51</v>
      </c>
      <c r="F453" t="s">
        <v>56</v>
      </c>
      <c r="G453" t="s">
        <v>14</v>
      </c>
      <c r="H453" t="s">
        <v>70</v>
      </c>
      <c r="I453" t="s">
        <v>44</v>
      </c>
    </row>
    <row r="454" spans="1:9" x14ac:dyDescent="0.35">
      <c r="A454" t="s">
        <v>998</v>
      </c>
      <c r="B454" t="s">
        <v>999</v>
      </c>
      <c r="C454" t="s">
        <v>2693</v>
      </c>
      <c r="D454" t="s">
        <v>34</v>
      </c>
      <c r="E454">
        <v>33</v>
      </c>
      <c r="F454" t="s">
        <v>36</v>
      </c>
      <c r="G454" t="s">
        <v>14</v>
      </c>
      <c r="H454" t="s">
        <v>57</v>
      </c>
      <c r="I454" t="s">
        <v>232</v>
      </c>
    </row>
    <row r="455" spans="1:9" x14ac:dyDescent="0.35">
      <c r="A455" t="s">
        <v>1000</v>
      </c>
      <c r="B455" t="s">
        <v>1095</v>
      </c>
      <c r="C455" t="s">
        <v>2694</v>
      </c>
      <c r="D455" t="s">
        <v>34</v>
      </c>
      <c r="E455">
        <v>30</v>
      </c>
      <c r="F455" t="s">
        <v>36</v>
      </c>
      <c r="G455" t="s">
        <v>37</v>
      </c>
      <c r="H455" t="s">
        <v>15</v>
      </c>
      <c r="I455" t="s">
        <v>38</v>
      </c>
    </row>
    <row r="456" spans="1:9" x14ac:dyDescent="0.35">
      <c r="A456" t="s">
        <v>55</v>
      </c>
      <c r="B456" t="s">
        <v>1002</v>
      </c>
      <c r="C456" t="s">
        <v>2695</v>
      </c>
      <c r="D456" t="s">
        <v>20</v>
      </c>
      <c r="E456">
        <v>34</v>
      </c>
      <c r="F456" t="s">
        <v>48</v>
      </c>
      <c r="G456" t="s">
        <v>37</v>
      </c>
      <c r="H456" t="s">
        <v>96</v>
      </c>
      <c r="I456" t="s">
        <v>38</v>
      </c>
    </row>
    <row r="457" spans="1:9" x14ac:dyDescent="0.35">
      <c r="A457" t="s">
        <v>157</v>
      </c>
      <c r="B457" t="s">
        <v>1004</v>
      </c>
      <c r="C457" t="s">
        <v>2696</v>
      </c>
      <c r="D457" t="s">
        <v>26</v>
      </c>
      <c r="E457">
        <v>47</v>
      </c>
      <c r="F457" t="s">
        <v>13</v>
      </c>
      <c r="G457" t="s">
        <v>37</v>
      </c>
      <c r="H457" t="s">
        <v>30</v>
      </c>
      <c r="I457" t="s">
        <v>15</v>
      </c>
    </row>
    <row r="458" spans="1:9" x14ac:dyDescent="0.35">
      <c r="A458" t="s">
        <v>1006</v>
      </c>
      <c r="B458" t="s">
        <v>1007</v>
      </c>
      <c r="C458" t="s">
        <v>2697</v>
      </c>
      <c r="D458" t="s">
        <v>112</v>
      </c>
      <c r="E458" t="s">
        <v>1008</v>
      </c>
      <c r="F458" t="s">
        <v>56</v>
      </c>
      <c r="H458" t="s">
        <v>70</v>
      </c>
      <c r="I458" t="s">
        <v>70</v>
      </c>
    </row>
    <row r="459" spans="1:9" x14ac:dyDescent="0.35">
      <c r="A459" t="s">
        <v>1009</v>
      </c>
      <c r="B459" t="s">
        <v>2099</v>
      </c>
      <c r="C459" t="s">
        <v>2698</v>
      </c>
      <c r="D459" t="s">
        <v>34</v>
      </c>
      <c r="E459" t="s">
        <v>624</v>
      </c>
      <c r="F459" t="s">
        <v>13</v>
      </c>
      <c r="G459" t="s">
        <v>22</v>
      </c>
      <c r="H459" t="s">
        <v>15</v>
      </c>
      <c r="I459" t="s">
        <v>15</v>
      </c>
    </row>
    <row r="460" spans="1:9" x14ac:dyDescent="0.35">
      <c r="A460" t="s">
        <v>1010</v>
      </c>
      <c r="B460" t="s">
        <v>419</v>
      </c>
      <c r="C460" t="s">
        <v>2699</v>
      </c>
      <c r="D460" t="s">
        <v>26</v>
      </c>
      <c r="E460">
        <v>26</v>
      </c>
      <c r="F460" t="s">
        <v>99</v>
      </c>
      <c r="G460" t="s">
        <v>37</v>
      </c>
      <c r="H460" t="s">
        <v>30</v>
      </c>
      <c r="I460" t="s">
        <v>15</v>
      </c>
    </row>
    <row r="461" spans="1:9" x14ac:dyDescent="0.35">
      <c r="A461" t="s">
        <v>1012</v>
      </c>
      <c r="B461" t="s">
        <v>2047</v>
      </c>
      <c r="C461" t="s">
        <v>2700</v>
      </c>
      <c r="D461" t="s">
        <v>26</v>
      </c>
      <c r="E461">
        <v>34</v>
      </c>
      <c r="F461" t="s">
        <v>36</v>
      </c>
      <c r="G461" t="s">
        <v>37</v>
      </c>
      <c r="H461" t="s">
        <v>96</v>
      </c>
      <c r="I461" t="s">
        <v>38</v>
      </c>
    </row>
    <row r="462" spans="1:9" x14ac:dyDescent="0.35">
      <c r="A462" t="s">
        <v>1013</v>
      </c>
      <c r="B462" t="s">
        <v>1014</v>
      </c>
      <c r="C462" t="s">
        <v>2701</v>
      </c>
      <c r="D462" t="s">
        <v>26</v>
      </c>
      <c r="E462">
        <v>43</v>
      </c>
      <c r="F462" t="s">
        <v>56</v>
      </c>
      <c r="G462" t="s">
        <v>14</v>
      </c>
      <c r="H462" t="s">
        <v>30</v>
      </c>
      <c r="I462" t="s">
        <v>38</v>
      </c>
    </row>
    <row r="463" spans="1:9" x14ac:dyDescent="0.35">
      <c r="A463" t="s">
        <v>1016</v>
      </c>
      <c r="B463" t="s">
        <v>497</v>
      </c>
      <c r="C463" t="s">
        <v>2702</v>
      </c>
      <c r="D463" t="s">
        <v>34</v>
      </c>
      <c r="E463">
        <v>34</v>
      </c>
      <c r="F463" t="s">
        <v>56</v>
      </c>
      <c r="G463" t="s">
        <v>29</v>
      </c>
      <c r="H463" t="s">
        <v>15</v>
      </c>
      <c r="I463" t="s">
        <v>130</v>
      </c>
    </row>
    <row r="464" spans="1:9" x14ac:dyDescent="0.35">
      <c r="A464" t="s">
        <v>1018</v>
      </c>
      <c r="B464" t="s">
        <v>1019</v>
      </c>
      <c r="C464" t="s">
        <v>2703</v>
      </c>
      <c r="D464" t="s">
        <v>26</v>
      </c>
      <c r="E464">
        <v>28</v>
      </c>
      <c r="F464" t="s">
        <v>13</v>
      </c>
      <c r="G464" t="s">
        <v>14</v>
      </c>
      <c r="H464" t="s">
        <v>15</v>
      </c>
      <c r="I464" t="s">
        <v>16</v>
      </c>
    </row>
    <row r="465" spans="1:9" x14ac:dyDescent="0.35">
      <c r="A465" t="s">
        <v>1020</v>
      </c>
      <c r="B465" t="s">
        <v>1021</v>
      </c>
      <c r="C465" t="s">
        <v>2704</v>
      </c>
      <c r="D465" t="s">
        <v>26</v>
      </c>
      <c r="E465">
        <v>52</v>
      </c>
      <c r="F465" t="s">
        <v>56</v>
      </c>
      <c r="G465" t="s">
        <v>14</v>
      </c>
      <c r="H465" t="s">
        <v>70</v>
      </c>
      <c r="I465" t="s">
        <v>44</v>
      </c>
    </row>
    <row r="466" spans="1:9" x14ac:dyDescent="0.35">
      <c r="A466" t="s">
        <v>1022</v>
      </c>
      <c r="B466" t="s">
        <v>1023</v>
      </c>
      <c r="C466" t="s">
        <v>2705</v>
      </c>
      <c r="D466" t="s">
        <v>34</v>
      </c>
      <c r="E466">
        <v>20</v>
      </c>
      <c r="F466" t="s">
        <v>124</v>
      </c>
      <c r="G466" t="s">
        <v>22</v>
      </c>
      <c r="H466" t="s">
        <v>96</v>
      </c>
      <c r="I466" t="s">
        <v>15</v>
      </c>
    </row>
    <row r="467" spans="1:9" x14ac:dyDescent="0.35">
      <c r="A467" t="s">
        <v>1024</v>
      </c>
      <c r="B467" t="s">
        <v>1025</v>
      </c>
      <c r="C467" t="s">
        <v>2706</v>
      </c>
      <c r="D467" t="s">
        <v>34</v>
      </c>
      <c r="E467">
        <v>48</v>
      </c>
      <c r="F467" t="s">
        <v>109</v>
      </c>
      <c r="G467" t="s">
        <v>22</v>
      </c>
      <c r="H467" t="s">
        <v>96</v>
      </c>
      <c r="I467" t="s">
        <v>15</v>
      </c>
    </row>
    <row r="468" spans="1:9" x14ac:dyDescent="0.35">
      <c r="A468" t="s">
        <v>1027</v>
      </c>
      <c r="B468" t="s">
        <v>214</v>
      </c>
      <c r="C468" t="s">
        <v>2707</v>
      </c>
      <c r="D468" t="s">
        <v>34</v>
      </c>
      <c r="E468">
        <v>50</v>
      </c>
      <c r="F468" t="s">
        <v>56</v>
      </c>
      <c r="G468" t="s">
        <v>22</v>
      </c>
      <c r="H468" t="s">
        <v>15</v>
      </c>
      <c r="I468" t="s">
        <v>15</v>
      </c>
    </row>
    <row r="469" spans="1:9" x14ac:dyDescent="0.35">
      <c r="A469" t="s">
        <v>1028</v>
      </c>
      <c r="B469" t="s">
        <v>1416</v>
      </c>
      <c r="C469" t="s">
        <v>2708</v>
      </c>
      <c r="D469" t="s">
        <v>34</v>
      </c>
      <c r="E469">
        <v>24</v>
      </c>
      <c r="F469" t="s">
        <v>117</v>
      </c>
      <c r="G469" t="s">
        <v>22</v>
      </c>
      <c r="H469" t="s">
        <v>70</v>
      </c>
      <c r="I469" t="s">
        <v>70</v>
      </c>
    </row>
    <row r="470" spans="1:9" x14ac:dyDescent="0.35">
      <c r="A470" t="s">
        <v>286</v>
      </c>
      <c r="B470" t="s">
        <v>287</v>
      </c>
      <c r="C470" t="s">
        <v>2615</v>
      </c>
      <c r="D470" t="s">
        <v>34</v>
      </c>
      <c r="E470">
        <v>63</v>
      </c>
      <c r="F470" t="s">
        <v>13</v>
      </c>
      <c r="G470" t="s">
        <v>14</v>
      </c>
      <c r="H470" t="s">
        <v>288</v>
      </c>
      <c r="I470" t="s">
        <v>79</v>
      </c>
    </row>
    <row r="471" spans="1:9" x14ac:dyDescent="0.35">
      <c r="A471" t="s">
        <v>1030</v>
      </c>
      <c r="B471" t="s">
        <v>1031</v>
      </c>
      <c r="C471" t="s">
        <v>2709</v>
      </c>
      <c r="D471" t="s">
        <v>26</v>
      </c>
      <c r="E471">
        <v>60</v>
      </c>
      <c r="F471" t="s">
        <v>28</v>
      </c>
      <c r="G471" t="s">
        <v>14</v>
      </c>
      <c r="H471" t="s">
        <v>30</v>
      </c>
      <c r="I471" t="s">
        <v>38</v>
      </c>
    </row>
    <row r="472" spans="1:9" x14ac:dyDescent="0.35">
      <c r="A472" t="s">
        <v>1033</v>
      </c>
      <c r="B472" t="s">
        <v>884</v>
      </c>
      <c r="C472" t="s">
        <v>2710</v>
      </c>
      <c r="D472" t="s">
        <v>46</v>
      </c>
      <c r="E472">
        <v>46</v>
      </c>
      <c r="F472" t="s">
        <v>56</v>
      </c>
      <c r="G472" t="s">
        <v>22</v>
      </c>
      <c r="H472" t="s">
        <v>23</v>
      </c>
      <c r="I472" t="s">
        <v>23</v>
      </c>
    </row>
    <row r="473" spans="1:9" x14ac:dyDescent="0.35">
      <c r="A473" t="s">
        <v>1034</v>
      </c>
      <c r="B473" t="s">
        <v>2100</v>
      </c>
      <c r="C473" t="s">
        <v>2711</v>
      </c>
      <c r="D473" t="s">
        <v>34</v>
      </c>
      <c r="E473" t="s">
        <v>845</v>
      </c>
      <c r="F473" t="s">
        <v>56</v>
      </c>
      <c r="G473" t="s">
        <v>14</v>
      </c>
      <c r="I473" t="s">
        <v>16</v>
      </c>
    </row>
    <row r="474" spans="1:9" x14ac:dyDescent="0.35">
      <c r="A474" t="s">
        <v>170</v>
      </c>
      <c r="B474" t="s">
        <v>1084</v>
      </c>
      <c r="C474" t="s">
        <v>2712</v>
      </c>
      <c r="D474" t="s">
        <v>34</v>
      </c>
      <c r="E474">
        <v>44</v>
      </c>
      <c r="F474" t="s">
        <v>109</v>
      </c>
      <c r="G474" t="s">
        <v>14</v>
      </c>
      <c r="H474" t="s">
        <v>288</v>
      </c>
      <c r="I474" t="s">
        <v>79</v>
      </c>
    </row>
    <row r="475" spans="1:9" x14ac:dyDescent="0.35">
      <c r="A475" t="s">
        <v>1037</v>
      </c>
      <c r="B475" t="s">
        <v>1038</v>
      </c>
      <c r="C475" t="s">
        <v>655</v>
      </c>
      <c r="D475" t="s">
        <v>46</v>
      </c>
      <c r="E475">
        <v>64</v>
      </c>
      <c r="F475" t="s">
        <v>13</v>
      </c>
      <c r="G475" t="s">
        <v>14</v>
      </c>
      <c r="H475" t="s">
        <v>15</v>
      </c>
      <c r="I475" t="s">
        <v>16</v>
      </c>
    </row>
    <row r="476" spans="1:9" x14ac:dyDescent="0.35">
      <c r="A476" t="s">
        <v>1040</v>
      </c>
      <c r="B476" t="s">
        <v>1041</v>
      </c>
      <c r="C476" t="s">
        <v>2713</v>
      </c>
      <c r="D476" t="s">
        <v>26</v>
      </c>
      <c r="E476">
        <v>28</v>
      </c>
      <c r="F476" t="s">
        <v>89</v>
      </c>
      <c r="G476" t="s">
        <v>37</v>
      </c>
      <c r="H476" t="s">
        <v>57</v>
      </c>
      <c r="I476" t="s">
        <v>163</v>
      </c>
    </row>
    <row r="477" spans="1:9" x14ac:dyDescent="0.35">
      <c r="A477" t="s">
        <v>1042</v>
      </c>
      <c r="B477" t="s">
        <v>1043</v>
      </c>
      <c r="C477" t="s">
        <v>444</v>
      </c>
      <c r="D477" t="s">
        <v>112</v>
      </c>
      <c r="E477">
        <v>30</v>
      </c>
      <c r="F477" t="s">
        <v>99</v>
      </c>
      <c r="G477" t="s">
        <v>37</v>
      </c>
      <c r="H477" t="s">
        <v>70</v>
      </c>
      <c r="I477" t="s">
        <v>71</v>
      </c>
    </row>
    <row r="478" spans="1:9" x14ac:dyDescent="0.35">
      <c r="A478" t="s">
        <v>1044</v>
      </c>
      <c r="B478" t="s">
        <v>139</v>
      </c>
      <c r="C478" t="s">
        <v>2714</v>
      </c>
      <c r="D478" t="s">
        <v>26</v>
      </c>
      <c r="E478">
        <v>30</v>
      </c>
      <c r="F478" t="s">
        <v>13</v>
      </c>
      <c r="G478" t="s">
        <v>14</v>
      </c>
      <c r="H478" t="s">
        <v>57</v>
      </c>
      <c r="I478" t="s">
        <v>232</v>
      </c>
    </row>
    <row r="479" spans="1:9" x14ac:dyDescent="0.35">
      <c r="A479" t="s">
        <v>1046</v>
      </c>
      <c r="B479" t="s">
        <v>2101</v>
      </c>
      <c r="C479" t="s">
        <v>2715</v>
      </c>
      <c r="D479" t="s">
        <v>26</v>
      </c>
      <c r="E479">
        <v>52</v>
      </c>
      <c r="F479" t="s">
        <v>36</v>
      </c>
      <c r="G479" t="s">
        <v>37</v>
      </c>
      <c r="H479" t="s">
        <v>70</v>
      </c>
      <c r="I479" t="s">
        <v>71</v>
      </c>
    </row>
    <row r="480" spans="1:9" x14ac:dyDescent="0.35">
      <c r="A480" t="s">
        <v>1048</v>
      </c>
      <c r="B480" t="s">
        <v>1049</v>
      </c>
      <c r="C480" t="s">
        <v>2716</v>
      </c>
      <c r="D480" t="s">
        <v>34</v>
      </c>
      <c r="E480">
        <v>19</v>
      </c>
      <c r="F480" t="s">
        <v>117</v>
      </c>
      <c r="G480" t="s">
        <v>37</v>
      </c>
      <c r="I480" t="s">
        <v>163</v>
      </c>
    </row>
    <row r="481" spans="1:9" x14ac:dyDescent="0.35">
      <c r="A481" t="s">
        <v>1051</v>
      </c>
      <c r="B481" t="s">
        <v>2102</v>
      </c>
      <c r="C481" t="s">
        <v>2717</v>
      </c>
      <c r="D481" t="s">
        <v>34</v>
      </c>
      <c r="E481" t="s">
        <v>1053</v>
      </c>
      <c r="F481" t="s">
        <v>56</v>
      </c>
      <c r="G481" t="s">
        <v>37</v>
      </c>
      <c r="H481" t="s">
        <v>15</v>
      </c>
      <c r="I481" t="s">
        <v>38</v>
      </c>
    </row>
    <row r="482" spans="1:9" x14ac:dyDescent="0.35">
      <c r="A482" t="s">
        <v>1054</v>
      </c>
      <c r="B482" t="s">
        <v>1055</v>
      </c>
      <c r="C482" t="s">
        <v>1718</v>
      </c>
      <c r="D482" t="s">
        <v>112</v>
      </c>
      <c r="E482">
        <v>38</v>
      </c>
      <c r="F482" t="s">
        <v>56</v>
      </c>
      <c r="G482" t="s">
        <v>22</v>
      </c>
      <c r="H482" t="s">
        <v>23</v>
      </c>
    </row>
    <row r="483" spans="1:9" x14ac:dyDescent="0.35">
      <c r="A483" t="s">
        <v>1056</v>
      </c>
      <c r="B483" t="s">
        <v>2103</v>
      </c>
      <c r="C483" t="s">
        <v>2718</v>
      </c>
      <c r="D483" t="s">
        <v>11</v>
      </c>
      <c r="E483">
        <v>20</v>
      </c>
      <c r="F483" t="s">
        <v>36</v>
      </c>
      <c r="G483" t="s">
        <v>14</v>
      </c>
      <c r="H483" t="s">
        <v>23</v>
      </c>
      <c r="I483" t="s">
        <v>79</v>
      </c>
    </row>
    <row r="484" spans="1:9" x14ac:dyDescent="0.35">
      <c r="A484" t="s">
        <v>78</v>
      </c>
      <c r="B484" t="s">
        <v>1058</v>
      </c>
      <c r="C484" t="s">
        <v>2719</v>
      </c>
      <c r="D484" t="s">
        <v>26</v>
      </c>
      <c r="E484">
        <v>43</v>
      </c>
      <c r="F484" t="s">
        <v>36</v>
      </c>
      <c r="G484" t="s">
        <v>22</v>
      </c>
      <c r="H484" t="s">
        <v>57</v>
      </c>
      <c r="I484" t="s">
        <v>57</v>
      </c>
    </row>
    <row r="485" spans="1:9" x14ac:dyDescent="0.35">
      <c r="A485" t="s">
        <v>1059</v>
      </c>
      <c r="B485" t="s">
        <v>1060</v>
      </c>
      <c r="C485" t="s">
        <v>2720</v>
      </c>
      <c r="D485" t="s">
        <v>26</v>
      </c>
      <c r="E485">
        <v>53</v>
      </c>
      <c r="F485" t="s">
        <v>56</v>
      </c>
      <c r="G485" t="s">
        <v>37</v>
      </c>
      <c r="H485" t="s">
        <v>57</v>
      </c>
      <c r="I485" t="s">
        <v>163</v>
      </c>
    </row>
    <row r="486" spans="1:9" x14ac:dyDescent="0.35">
      <c r="A486" t="s">
        <v>1061</v>
      </c>
      <c r="B486" t="s">
        <v>2104</v>
      </c>
      <c r="C486" t="s">
        <v>2721</v>
      </c>
      <c r="D486" t="s">
        <v>26</v>
      </c>
      <c r="E486">
        <v>34</v>
      </c>
      <c r="F486" t="s">
        <v>36</v>
      </c>
      <c r="G486" t="s">
        <v>14</v>
      </c>
      <c r="H486" t="s">
        <v>23</v>
      </c>
      <c r="I486" t="s">
        <v>79</v>
      </c>
    </row>
    <row r="487" spans="1:9" x14ac:dyDescent="0.35">
      <c r="A487" t="s">
        <v>580</v>
      </c>
      <c r="B487" t="s">
        <v>581</v>
      </c>
      <c r="C487" t="s">
        <v>2426</v>
      </c>
      <c r="D487" t="s">
        <v>26</v>
      </c>
      <c r="E487">
        <v>58</v>
      </c>
      <c r="F487" t="s">
        <v>56</v>
      </c>
      <c r="G487" t="s">
        <v>29</v>
      </c>
      <c r="H487" t="s">
        <v>30</v>
      </c>
      <c r="I487" t="s">
        <v>31</v>
      </c>
    </row>
    <row r="488" spans="1:9" x14ac:dyDescent="0.35">
      <c r="A488" t="s">
        <v>1064</v>
      </c>
      <c r="B488" t="s">
        <v>1065</v>
      </c>
      <c r="C488" t="s">
        <v>2722</v>
      </c>
      <c r="D488" t="s">
        <v>26</v>
      </c>
      <c r="E488" t="s">
        <v>1066</v>
      </c>
      <c r="F488" t="s">
        <v>56</v>
      </c>
      <c r="G488" t="s">
        <v>29</v>
      </c>
      <c r="H488" t="s">
        <v>43</v>
      </c>
      <c r="I488" t="s">
        <v>191</v>
      </c>
    </row>
    <row r="489" spans="1:9" x14ac:dyDescent="0.35">
      <c r="A489" t="s">
        <v>1067</v>
      </c>
      <c r="B489" t="s">
        <v>535</v>
      </c>
      <c r="C489" t="s">
        <v>888</v>
      </c>
      <c r="D489" t="s">
        <v>20</v>
      </c>
      <c r="E489" t="s">
        <v>754</v>
      </c>
      <c r="F489" t="s">
        <v>48</v>
      </c>
      <c r="G489" t="s">
        <v>22</v>
      </c>
      <c r="H489" t="s">
        <v>30</v>
      </c>
      <c r="I489" t="s">
        <v>30</v>
      </c>
    </row>
    <row r="490" spans="1:9" x14ac:dyDescent="0.35">
      <c r="A490" t="s">
        <v>1069</v>
      </c>
      <c r="B490" t="s">
        <v>1070</v>
      </c>
      <c r="C490" t="s">
        <v>2723</v>
      </c>
      <c r="D490" t="s">
        <v>26</v>
      </c>
      <c r="E490" t="s">
        <v>308</v>
      </c>
      <c r="F490" t="s">
        <v>124</v>
      </c>
      <c r="G490" t="s">
        <v>14</v>
      </c>
      <c r="H490" t="s">
        <v>70</v>
      </c>
      <c r="I490" t="s">
        <v>44</v>
      </c>
    </row>
    <row r="491" spans="1:9" x14ac:dyDescent="0.35">
      <c r="A491" t="s">
        <v>1071</v>
      </c>
      <c r="B491" t="s">
        <v>1072</v>
      </c>
      <c r="C491" t="s">
        <v>2724</v>
      </c>
      <c r="D491" t="s">
        <v>26</v>
      </c>
      <c r="E491">
        <v>54</v>
      </c>
      <c r="F491" t="s">
        <v>109</v>
      </c>
      <c r="G491" t="s">
        <v>37</v>
      </c>
      <c r="H491" t="s">
        <v>23</v>
      </c>
      <c r="I491" t="s">
        <v>107</v>
      </c>
    </row>
    <row r="492" spans="1:9" x14ac:dyDescent="0.35">
      <c r="A492" t="s">
        <v>1074</v>
      </c>
      <c r="B492" t="s">
        <v>1075</v>
      </c>
      <c r="C492" t="s">
        <v>971</v>
      </c>
      <c r="D492" t="s">
        <v>26</v>
      </c>
      <c r="E492">
        <v>58</v>
      </c>
      <c r="F492" t="s">
        <v>56</v>
      </c>
      <c r="G492" t="s">
        <v>22</v>
      </c>
      <c r="H492" t="s">
        <v>30</v>
      </c>
      <c r="I492" t="s">
        <v>30</v>
      </c>
    </row>
    <row r="493" spans="1:9" x14ac:dyDescent="0.35">
      <c r="A493" t="s">
        <v>1076</v>
      </c>
      <c r="B493" t="s">
        <v>2105</v>
      </c>
      <c r="C493" t="s">
        <v>2725</v>
      </c>
      <c r="D493" t="s">
        <v>34</v>
      </c>
      <c r="E493">
        <v>27</v>
      </c>
      <c r="F493" t="s">
        <v>434</v>
      </c>
      <c r="G493" t="s">
        <v>22</v>
      </c>
      <c r="H493" t="s">
        <v>100</v>
      </c>
      <c r="I493" t="s">
        <v>70</v>
      </c>
    </row>
    <row r="494" spans="1:9" x14ac:dyDescent="0.35">
      <c r="A494" t="s">
        <v>1077</v>
      </c>
      <c r="B494" t="s">
        <v>2012</v>
      </c>
      <c r="C494" t="s">
        <v>2726</v>
      </c>
      <c r="D494" t="s">
        <v>26</v>
      </c>
      <c r="E494">
        <v>57</v>
      </c>
      <c r="F494" t="s">
        <v>13</v>
      </c>
      <c r="G494" t="s">
        <v>14</v>
      </c>
      <c r="H494" t="s">
        <v>15</v>
      </c>
      <c r="I494" t="s">
        <v>16</v>
      </c>
    </row>
    <row r="495" spans="1:9" x14ac:dyDescent="0.35">
      <c r="A495" t="s">
        <v>1078</v>
      </c>
      <c r="B495" t="s">
        <v>324</v>
      </c>
      <c r="C495" t="s">
        <v>1294</v>
      </c>
      <c r="D495" t="s">
        <v>26</v>
      </c>
      <c r="E495">
        <v>30</v>
      </c>
      <c r="F495" t="s">
        <v>36</v>
      </c>
      <c r="G495" t="s">
        <v>29</v>
      </c>
      <c r="H495" t="s">
        <v>57</v>
      </c>
      <c r="I495" t="s">
        <v>85</v>
      </c>
    </row>
    <row r="496" spans="1:9" x14ac:dyDescent="0.35">
      <c r="A496" t="s">
        <v>1079</v>
      </c>
      <c r="B496" t="s">
        <v>1579</v>
      </c>
      <c r="C496" t="s">
        <v>2727</v>
      </c>
      <c r="D496" t="s">
        <v>34</v>
      </c>
      <c r="E496">
        <v>55</v>
      </c>
      <c r="F496" t="s">
        <v>13</v>
      </c>
      <c r="G496" t="s">
        <v>22</v>
      </c>
      <c r="H496" t="s">
        <v>43</v>
      </c>
      <c r="I496" t="s">
        <v>70</v>
      </c>
    </row>
    <row r="497" spans="1:9" x14ac:dyDescent="0.35">
      <c r="A497" t="s">
        <v>1080</v>
      </c>
      <c r="B497" t="s">
        <v>2106</v>
      </c>
      <c r="C497" t="s">
        <v>2728</v>
      </c>
      <c r="D497" t="s">
        <v>34</v>
      </c>
      <c r="E497">
        <v>47</v>
      </c>
      <c r="F497" t="s">
        <v>56</v>
      </c>
      <c r="G497" t="s">
        <v>37</v>
      </c>
      <c r="H497" t="s">
        <v>70</v>
      </c>
      <c r="I497" t="s">
        <v>71</v>
      </c>
    </row>
    <row r="498" spans="1:9" x14ac:dyDescent="0.35">
      <c r="A498" t="s">
        <v>1082</v>
      </c>
      <c r="B498" t="s">
        <v>965</v>
      </c>
      <c r="C498" t="s">
        <v>2729</v>
      </c>
      <c r="D498" t="s">
        <v>26</v>
      </c>
      <c r="E498">
        <v>37</v>
      </c>
      <c r="F498" t="s">
        <v>13</v>
      </c>
      <c r="G498" t="s">
        <v>29</v>
      </c>
      <c r="I498" t="s">
        <v>128</v>
      </c>
    </row>
    <row r="499" spans="1:9" x14ac:dyDescent="0.35">
      <c r="A499" t="s">
        <v>1083</v>
      </c>
      <c r="B499" t="s">
        <v>1084</v>
      </c>
      <c r="C499" t="s">
        <v>2730</v>
      </c>
      <c r="D499" t="s">
        <v>26</v>
      </c>
      <c r="E499">
        <v>29</v>
      </c>
      <c r="F499" t="s">
        <v>69</v>
      </c>
      <c r="G499" t="s">
        <v>14</v>
      </c>
      <c r="H499" t="s">
        <v>57</v>
      </c>
      <c r="I499" t="s">
        <v>232</v>
      </c>
    </row>
    <row r="500" spans="1:9" x14ac:dyDescent="0.35">
      <c r="A500" t="s">
        <v>1086</v>
      </c>
      <c r="B500" t="s">
        <v>765</v>
      </c>
      <c r="C500" t="s">
        <v>2731</v>
      </c>
      <c r="D500" t="s">
        <v>34</v>
      </c>
      <c r="E500">
        <v>22</v>
      </c>
      <c r="F500" t="s">
        <v>89</v>
      </c>
      <c r="G500" t="s">
        <v>14</v>
      </c>
      <c r="H500" t="s">
        <v>15</v>
      </c>
      <c r="I500" t="s">
        <v>16</v>
      </c>
    </row>
    <row r="501" spans="1:9" x14ac:dyDescent="0.35">
      <c r="A501" t="s">
        <v>1087</v>
      </c>
      <c r="B501" t="s">
        <v>2107</v>
      </c>
      <c r="C501" t="s">
        <v>2732</v>
      </c>
      <c r="D501" t="s">
        <v>34</v>
      </c>
      <c r="E501">
        <v>38</v>
      </c>
      <c r="F501" t="s">
        <v>13</v>
      </c>
      <c r="G501" t="s">
        <v>29</v>
      </c>
      <c r="H501" t="s">
        <v>23</v>
      </c>
      <c r="I501" t="s">
        <v>128</v>
      </c>
    </row>
    <row r="502" spans="1:9" x14ac:dyDescent="0.35">
      <c r="A502" t="s">
        <v>1088</v>
      </c>
      <c r="B502" t="s">
        <v>1089</v>
      </c>
      <c r="C502" t="s">
        <v>2187</v>
      </c>
      <c r="D502" t="s">
        <v>112</v>
      </c>
      <c r="E502" t="s">
        <v>1090</v>
      </c>
      <c r="F502" t="s">
        <v>69</v>
      </c>
      <c r="G502" t="s">
        <v>14</v>
      </c>
      <c r="H502" t="s">
        <v>15</v>
      </c>
      <c r="I502" t="s">
        <v>16</v>
      </c>
    </row>
    <row r="503" spans="1:9" x14ac:dyDescent="0.35">
      <c r="A503" t="s">
        <v>1091</v>
      </c>
      <c r="B503" t="s">
        <v>2077</v>
      </c>
      <c r="C503" t="s">
        <v>2733</v>
      </c>
      <c r="D503" t="s">
        <v>34</v>
      </c>
      <c r="E503">
        <v>54</v>
      </c>
      <c r="F503" t="s">
        <v>56</v>
      </c>
      <c r="G503" t="s">
        <v>29</v>
      </c>
      <c r="H503" t="s">
        <v>30</v>
      </c>
      <c r="I503" t="s">
        <v>31</v>
      </c>
    </row>
    <row r="504" spans="1:9" x14ac:dyDescent="0.35">
      <c r="A504" t="s">
        <v>1092</v>
      </c>
      <c r="B504" t="s">
        <v>691</v>
      </c>
      <c r="C504" t="s">
        <v>2734</v>
      </c>
      <c r="D504" t="s">
        <v>26</v>
      </c>
      <c r="E504">
        <v>34</v>
      </c>
      <c r="F504" t="s">
        <v>99</v>
      </c>
      <c r="G504" t="s">
        <v>14</v>
      </c>
      <c r="H504" t="s">
        <v>96</v>
      </c>
      <c r="I504" t="s">
        <v>16</v>
      </c>
    </row>
    <row r="505" spans="1:9" x14ac:dyDescent="0.35">
      <c r="A505" t="s">
        <v>1094</v>
      </c>
      <c r="B505" t="s">
        <v>2108</v>
      </c>
      <c r="C505" t="s">
        <v>2735</v>
      </c>
      <c r="D505" t="s">
        <v>34</v>
      </c>
      <c r="E505">
        <v>56</v>
      </c>
      <c r="F505" t="s">
        <v>109</v>
      </c>
      <c r="G505" t="s">
        <v>37</v>
      </c>
      <c r="H505" t="s">
        <v>23</v>
      </c>
      <c r="I505" t="s">
        <v>107</v>
      </c>
    </row>
    <row r="506" spans="1:9" x14ac:dyDescent="0.35">
      <c r="A506" t="s">
        <v>1097</v>
      </c>
      <c r="B506" t="s">
        <v>1221</v>
      </c>
      <c r="C506" t="s">
        <v>2736</v>
      </c>
      <c r="D506" t="s">
        <v>26</v>
      </c>
      <c r="E506">
        <v>40</v>
      </c>
      <c r="F506" t="s">
        <v>89</v>
      </c>
      <c r="G506" t="s">
        <v>37</v>
      </c>
      <c r="H506" t="s">
        <v>30</v>
      </c>
      <c r="I506" t="s">
        <v>15</v>
      </c>
    </row>
    <row r="507" spans="1:9" x14ac:dyDescent="0.35">
      <c r="A507" t="s">
        <v>1098</v>
      </c>
      <c r="B507" t="s">
        <v>1547</v>
      </c>
      <c r="C507" t="s">
        <v>1921</v>
      </c>
      <c r="D507" t="s">
        <v>112</v>
      </c>
      <c r="E507">
        <v>44</v>
      </c>
      <c r="F507" t="s">
        <v>42</v>
      </c>
      <c r="G507" t="s">
        <v>29</v>
      </c>
      <c r="H507" t="s">
        <v>30</v>
      </c>
      <c r="I507" t="s">
        <v>31</v>
      </c>
    </row>
    <row r="508" spans="1:9" x14ac:dyDescent="0.35">
      <c r="A508" t="s">
        <v>1100</v>
      </c>
      <c r="B508" t="s">
        <v>985</v>
      </c>
      <c r="C508" t="s">
        <v>2737</v>
      </c>
      <c r="D508" t="s">
        <v>26</v>
      </c>
      <c r="E508">
        <v>46</v>
      </c>
      <c r="F508" t="s">
        <v>62</v>
      </c>
      <c r="G508" t="s">
        <v>22</v>
      </c>
      <c r="I508" t="s">
        <v>70</v>
      </c>
    </row>
    <row r="509" spans="1:9" x14ac:dyDescent="0.35">
      <c r="A509" t="s">
        <v>184</v>
      </c>
      <c r="B509" t="s">
        <v>1101</v>
      </c>
      <c r="C509" t="s">
        <v>2738</v>
      </c>
      <c r="D509" t="s">
        <v>26</v>
      </c>
      <c r="E509">
        <v>49</v>
      </c>
      <c r="F509" t="s">
        <v>56</v>
      </c>
      <c r="G509" t="s">
        <v>22</v>
      </c>
      <c r="H509" t="s">
        <v>23</v>
      </c>
      <c r="I509" t="s">
        <v>23</v>
      </c>
    </row>
    <row r="510" spans="1:9" x14ac:dyDescent="0.35">
      <c r="A510" t="s">
        <v>1103</v>
      </c>
      <c r="B510" t="s">
        <v>452</v>
      </c>
      <c r="C510" t="s">
        <v>2739</v>
      </c>
      <c r="D510" t="s">
        <v>20</v>
      </c>
      <c r="E510">
        <v>31</v>
      </c>
      <c r="F510" t="s">
        <v>56</v>
      </c>
      <c r="G510" t="s">
        <v>14</v>
      </c>
      <c r="H510" t="s">
        <v>15</v>
      </c>
      <c r="I510" t="s">
        <v>16</v>
      </c>
    </row>
    <row r="511" spans="1:9" x14ac:dyDescent="0.35">
      <c r="A511" t="s">
        <v>1106</v>
      </c>
      <c r="B511" t="s">
        <v>2109</v>
      </c>
      <c r="C511" t="s">
        <v>2740</v>
      </c>
      <c r="D511" t="s">
        <v>34</v>
      </c>
      <c r="E511">
        <v>34</v>
      </c>
      <c r="F511" t="s">
        <v>13</v>
      </c>
      <c r="G511" t="s">
        <v>37</v>
      </c>
      <c r="H511" t="s">
        <v>15</v>
      </c>
      <c r="I511" t="s">
        <v>38</v>
      </c>
    </row>
    <row r="512" spans="1:9" x14ac:dyDescent="0.35">
      <c r="A512" t="s">
        <v>1108</v>
      </c>
      <c r="B512" t="s">
        <v>1109</v>
      </c>
      <c r="C512" t="s">
        <v>2741</v>
      </c>
      <c r="D512" t="s">
        <v>26</v>
      </c>
      <c r="E512">
        <v>30</v>
      </c>
      <c r="F512" t="s">
        <v>13</v>
      </c>
      <c r="H512" t="s">
        <v>171</v>
      </c>
      <c r="I512" t="s">
        <v>15</v>
      </c>
    </row>
    <row r="513" spans="1:9" x14ac:dyDescent="0.35">
      <c r="A513" t="s">
        <v>1110</v>
      </c>
      <c r="B513" t="s">
        <v>1111</v>
      </c>
      <c r="C513" t="s">
        <v>2742</v>
      </c>
      <c r="D513" t="s">
        <v>34</v>
      </c>
      <c r="E513" t="s">
        <v>784</v>
      </c>
      <c r="F513" t="s">
        <v>117</v>
      </c>
      <c r="G513" t="s">
        <v>14</v>
      </c>
      <c r="H513" t="s">
        <v>84</v>
      </c>
      <c r="I513" t="s">
        <v>232</v>
      </c>
    </row>
    <row r="514" spans="1:9" x14ac:dyDescent="0.35">
      <c r="A514" t="s">
        <v>1113</v>
      </c>
      <c r="B514" t="s">
        <v>2110</v>
      </c>
      <c r="C514" t="s">
        <v>2743</v>
      </c>
      <c r="D514" t="s">
        <v>26</v>
      </c>
      <c r="E514" t="s">
        <v>845</v>
      </c>
      <c r="F514" t="s">
        <v>69</v>
      </c>
      <c r="G514" t="s">
        <v>29</v>
      </c>
      <c r="H514" t="s">
        <v>30</v>
      </c>
      <c r="I514" t="s">
        <v>31</v>
      </c>
    </row>
    <row r="515" spans="1:9" x14ac:dyDescent="0.35">
      <c r="A515" t="s">
        <v>1115</v>
      </c>
      <c r="B515" t="s">
        <v>2054</v>
      </c>
      <c r="C515" t="s">
        <v>2744</v>
      </c>
      <c r="D515" t="s">
        <v>34</v>
      </c>
      <c r="E515">
        <v>20</v>
      </c>
      <c r="F515" t="s">
        <v>124</v>
      </c>
      <c r="G515" t="s">
        <v>37</v>
      </c>
      <c r="H515" t="s">
        <v>70</v>
      </c>
      <c r="I515" t="s">
        <v>71</v>
      </c>
    </row>
    <row r="516" spans="1:9" x14ac:dyDescent="0.35">
      <c r="A516" t="s">
        <v>481</v>
      </c>
      <c r="B516" t="s">
        <v>2039</v>
      </c>
      <c r="C516" t="s">
        <v>2745</v>
      </c>
      <c r="D516" t="s">
        <v>34</v>
      </c>
      <c r="E516" t="s">
        <v>482</v>
      </c>
      <c r="F516" t="s">
        <v>36</v>
      </c>
      <c r="G516" t="s">
        <v>22</v>
      </c>
      <c r="H516" t="s">
        <v>70</v>
      </c>
      <c r="I516" t="s">
        <v>70</v>
      </c>
    </row>
    <row r="517" spans="1:9" x14ac:dyDescent="0.35">
      <c r="A517" t="s">
        <v>1116</v>
      </c>
      <c r="B517" t="s">
        <v>2111</v>
      </c>
      <c r="C517" t="s">
        <v>896</v>
      </c>
      <c r="D517" t="s">
        <v>34</v>
      </c>
      <c r="E517">
        <v>43</v>
      </c>
      <c r="F517" t="s">
        <v>62</v>
      </c>
      <c r="G517" t="s">
        <v>14</v>
      </c>
      <c r="H517" t="s">
        <v>70</v>
      </c>
      <c r="I517" t="s">
        <v>44</v>
      </c>
    </row>
    <row r="518" spans="1:9" x14ac:dyDescent="0.35">
      <c r="A518" t="s">
        <v>1117</v>
      </c>
      <c r="B518" t="s">
        <v>2112</v>
      </c>
      <c r="C518" t="s">
        <v>2746</v>
      </c>
      <c r="D518" t="s">
        <v>26</v>
      </c>
      <c r="E518">
        <v>29</v>
      </c>
      <c r="F518" t="s">
        <v>62</v>
      </c>
      <c r="G518" t="s">
        <v>29</v>
      </c>
      <c r="H518" t="s">
        <v>23</v>
      </c>
      <c r="I518" t="s">
        <v>128</v>
      </c>
    </row>
    <row r="519" spans="1:9" x14ac:dyDescent="0.35">
      <c r="A519" t="s">
        <v>1119</v>
      </c>
      <c r="B519" t="s">
        <v>2002</v>
      </c>
      <c r="C519" t="s">
        <v>2747</v>
      </c>
      <c r="D519" t="s">
        <v>26</v>
      </c>
      <c r="E519">
        <v>33</v>
      </c>
      <c r="F519" t="s">
        <v>56</v>
      </c>
      <c r="G519" t="s">
        <v>22</v>
      </c>
      <c r="H519" t="s">
        <v>57</v>
      </c>
      <c r="I519" t="s">
        <v>57</v>
      </c>
    </row>
    <row r="520" spans="1:9" x14ac:dyDescent="0.35">
      <c r="A520" t="s">
        <v>1120</v>
      </c>
      <c r="B520" t="s">
        <v>1121</v>
      </c>
      <c r="C520" t="s">
        <v>2748</v>
      </c>
      <c r="D520" t="s">
        <v>26</v>
      </c>
      <c r="E520">
        <v>46</v>
      </c>
      <c r="F520" t="s">
        <v>36</v>
      </c>
      <c r="G520" t="s">
        <v>14</v>
      </c>
      <c r="H520" t="s">
        <v>282</v>
      </c>
      <c r="I520" t="s">
        <v>232</v>
      </c>
    </row>
    <row r="521" spans="1:9" x14ac:dyDescent="0.35">
      <c r="A521" t="s">
        <v>1122</v>
      </c>
      <c r="B521" t="s">
        <v>1123</v>
      </c>
      <c r="C521" t="s">
        <v>2749</v>
      </c>
      <c r="D521" t="s">
        <v>34</v>
      </c>
      <c r="E521">
        <v>54</v>
      </c>
      <c r="F521" t="s">
        <v>117</v>
      </c>
      <c r="G521" t="s">
        <v>37</v>
      </c>
      <c r="H521" t="s">
        <v>15</v>
      </c>
      <c r="I521" t="s">
        <v>38</v>
      </c>
    </row>
    <row r="522" spans="1:9" x14ac:dyDescent="0.35">
      <c r="A522" t="s">
        <v>1125</v>
      </c>
      <c r="B522" t="s">
        <v>1126</v>
      </c>
      <c r="C522" t="s">
        <v>2750</v>
      </c>
      <c r="D522" t="s">
        <v>112</v>
      </c>
      <c r="E522" t="s">
        <v>1127</v>
      </c>
      <c r="F522" t="s">
        <v>89</v>
      </c>
      <c r="G522" t="s">
        <v>22</v>
      </c>
      <c r="H522" t="s">
        <v>57</v>
      </c>
      <c r="I522" t="s">
        <v>57</v>
      </c>
    </row>
    <row r="523" spans="1:9" x14ac:dyDescent="0.35">
      <c r="A523" t="s">
        <v>1128</v>
      </c>
      <c r="B523" t="s">
        <v>2113</v>
      </c>
      <c r="C523" t="s">
        <v>530</v>
      </c>
      <c r="D523" t="s">
        <v>26</v>
      </c>
      <c r="E523">
        <v>43</v>
      </c>
      <c r="F523" t="s">
        <v>13</v>
      </c>
      <c r="G523" t="s">
        <v>29</v>
      </c>
      <c r="H523" t="s">
        <v>96</v>
      </c>
      <c r="I523" t="s">
        <v>130</v>
      </c>
    </row>
    <row r="524" spans="1:9" x14ac:dyDescent="0.35">
      <c r="A524" t="s">
        <v>1130</v>
      </c>
      <c r="B524" t="s">
        <v>1131</v>
      </c>
      <c r="C524" t="s">
        <v>2751</v>
      </c>
      <c r="D524" t="s">
        <v>112</v>
      </c>
      <c r="E524">
        <v>20</v>
      </c>
      <c r="F524" t="s">
        <v>36</v>
      </c>
      <c r="G524" t="s">
        <v>29</v>
      </c>
      <c r="H524" t="s">
        <v>70</v>
      </c>
      <c r="I524" t="s">
        <v>191</v>
      </c>
    </row>
    <row r="525" spans="1:9" x14ac:dyDescent="0.35">
      <c r="A525" t="s">
        <v>1132</v>
      </c>
      <c r="B525" t="s">
        <v>570</v>
      </c>
      <c r="C525" t="s">
        <v>1198</v>
      </c>
      <c r="D525" t="s">
        <v>34</v>
      </c>
      <c r="E525">
        <v>31</v>
      </c>
      <c r="F525" t="s">
        <v>13</v>
      </c>
      <c r="G525" t="s">
        <v>29</v>
      </c>
      <c r="H525" t="s">
        <v>23</v>
      </c>
      <c r="I525" t="s">
        <v>128</v>
      </c>
    </row>
    <row r="526" spans="1:9" x14ac:dyDescent="0.35">
      <c r="A526" t="s">
        <v>1134</v>
      </c>
      <c r="B526" t="s">
        <v>1135</v>
      </c>
      <c r="C526" t="s">
        <v>2752</v>
      </c>
      <c r="D526" t="s">
        <v>268</v>
      </c>
      <c r="E526">
        <v>23</v>
      </c>
      <c r="F526" t="s">
        <v>56</v>
      </c>
      <c r="G526" t="s">
        <v>37</v>
      </c>
      <c r="H526" t="s">
        <v>15</v>
      </c>
      <c r="I526" t="s">
        <v>38</v>
      </c>
    </row>
    <row r="527" spans="1:9" x14ac:dyDescent="0.35">
      <c r="A527" t="s">
        <v>1137</v>
      </c>
      <c r="B527" t="s">
        <v>1138</v>
      </c>
      <c r="C527" t="s">
        <v>2753</v>
      </c>
      <c r="D527" t="s">
        <v>34</v>
      </c>
      <c r="E527">
        <v>32</v>
      </c>
      <c r="F527" t="s">
        <v>89</v>
      </c>
      <c r="G527" t="s">
        <v>29</v>
      </c>
      <c r="H527" t="s">
        <v>15</v>
      </c>
      <c r="I527" t="s">
        <v>130</v>
      </c>
    </row>
    <row r="528" spans="1:9" x14ac:dyDescent="0.35">
      <c r="A528" t="s">
        <v>294</v>
      </c>
      <c r="B528" t="s">
        <v>1138</v>
      </c>
      <c r="C528" t="s">
        <v>2754</v>
      </c>
      <c r="D528" t="s">
        <v>140</v>
      </c>
      <c r="E528">
        <v>50</v>
      </c>
      <c r="F528" t="s">
        <v>13</v>
      </c>
      <c r="G528" t="s">
        <v>37</v>
      </c>
      <c r="H528" t="s">
        <v>15</v>
      </c>
      <c r="I528" t="s">
        <v>38</v>
      </c>
    </row>
    <row r="529" spans="1:9" x14ac:dyDescent="0.35">
      <c r="A529" t="s">
        <v>1140</v>
      </c>
      <c r="B529" t="s">
        <v>303</v>
      </c>
      <c r="C529" t="s">
        <v>2755</v>
      </c>
      <c r="D529" t="s">
        <v>26</v>
      </c>
      <c r="E529">
        <v>48</v>
      </c>
      <c r="F529" t="s">
        <v>36</v>
      </c>
      <c r="G529" t="s">
        <v>37</v>
      </c>
      <c r="H529" t="s">
        <v>70</v>
      </c>
      <c r="I529" t="s">
        <v>71</v>
      </c>
    </row>
    <row r="530" spans="1:9" x14ac:dyDescent="0.35">
      <c r="A530" t="s">
        <v>1141</v>
      </c>
      <c r="B530" t="s">
        <v>670</v>
      </c>
      <c r="C530" t="s">
        <v>2756</v>
      </c>
      <c r="D530" t="s">
        <v>26</v>
      </c>
      <c r="E530">
        <v>35</v>
      </c>
      <c r="F530" t="s">
        <v>13</v>
      </c>
      <c r="G530" t="s">
        <v>22</v>
      </c>
      <c r="H530" t="s">
        <v>15</v>
      </c>
      <c r="I530" t="s">
        <v>15</v>
      </c>
    </row>
    <row r="531" spans="1:9" x14ac:dyDescent="0.35">
      <c r="A531" t="s">
        <v>1142</v>
      </c>
      <c r="B531" t="s">
        <v>1143</v>
      </c>
      <c r="C531" t="s">
        <v>2567</v>
      </c>
      <c r="D531" t="s">
        <v>26</v>
      </c>
      <c r="E531">
        <v>46</v>
      </c>
      <c r="F531" t="s">
        <v>42</v>
      </c>
      <c r="G531" t="s">
        <v>29</v>
      </c>
      <c r="H531" t="s">
        <v>70</v>
      </c>
      <c r="I531" t="s">
        <v>191</v>
      </c>
    </row>
    <row r="532" spans="1:9" x14ac:dyDescent="0.35">
      <c r="A532" t="s">
        <v>1145</v>
      </c>
      <c r="B532" t="s">
        <v>1146</v>
      </c>
      <c r="C532" t="s">
        <v>2757</v>
      </c>
      <c r="D532" t="s">
        <v>26</v>
      </c>
      <c r="E532">
        <v>61</v>
      </c>
      <c r="F532" t="s">
        <v>99</v>
      </c>
      <c r="G532" t="s">
        <v>22</v>
      </c>
      <c r="H532" t="s">
        <v>282</v>
      </c>
      <c r="I532" t="s">
        <v>57</v>
      </c>
    </row>
    <row r="533" spans="1:9" x14ac:dyDescent="0.35">
      <c r="A533" t="s">
        <v>1147</v>
      </c>
      <c r="B533" t="s">
        <v>1993</v>
      </c>
      <c r="C533" t="s">
        <v>2758</v>
      </c>
      <c r="D533" t="s">
        <v>26</v>
      </c>
      <c r="E533">
        <v>60</v>
      </c>
      <c r="F533" t="s">
        <v>42</v>
      </c>
      <c r="G533" t="s">
        <v>22</v>
      </c>
      <c r="I533" t="s">
        <v>23</v>
      </c>
    </row>
    <row r="534" spans="1:9" x14ac:dyDescent="0.35">
      <c r="A534" t="s">
        <v>1148</v>
      </c>
      <c r="B534" t="s">
        <v>821</v>
      </c>
      <c r="C534" t="s">
        <v>2759</v>
      </c>
      <c r="D534" t="s">
        <v>34</v>
      </c>
      <c r="E534">
        <v>29</v>
      </c>
      <c r="F534" t="s">
        <v>13</v>
      </c>
      <c r="G534" t="s">
        <v>29</v>
      </c>
      <c r="H534" t="s">
        <v>70</v>
      </c>
      <c r="I534" t="s">
        <v>191</v>
      </c>
    </row>
    <row r="535" spans="1:9" x14ac:dyDescent="0.35">
      <c r="A535" t="s">
        <v>1149</v>
      </c>
      <c r="B535" t="s">
        <v>2114</v>
      </c>
      <c r="C535" t="s">
        <v>1758</v>
      </c>
      <c r="D535" t="s">
        <v>268</v>
      </c>
      <c r="E535" t="s">
        <v>1150</v>
      </c>
      <c r="F535" t="s">
        <v>13</v>
      </c>
      <c r="G535" t="s">
        <v>29</v>
      </c>
      <c r="H535" t="s">
        <v>30</v>
      </c>
      <c r="I535" t="s">
        <v>31</v>
      </c>
    </row>
    <row r="536" spans="1:9" x14ac:dyDescent="0.35">
      <c r="A536" t="s">
        <v>1151</v>
      </c>
      <c r="B536" t="s">
        <v>892</v>
      </c>
      <c r="C536" t="s">
        <v>2760</v>
      </c>
      <c r="D536" t="s">
        <v>26</v>
      </c>
      <c r="E536">
        <v>47</v>
      </c>
      <c r="F536" t="s">
        <v>56</v>
      </c>
      <c r="G536" t="s">
        <v>22</v>
      </c>
      <c r="H536" t="s">
        <v>30</v>
      </c>
      <c r="I536" t="s">
        <v>30</v>
      </c>
    </row>
    <row r="537" spans="1:9" x14ac:dyDescent="0.35">
      <c r="A537" t="s">
        <v>191</v>
      </c>
      <c r="B537" t="s">
        <v>1153</v>
      </c>
      <c r="C537" t="s">
        <v>2761</v>
      </c>
      <c r="D537" t="s">
        <v>26</v>
      </c>
      <c r="E537">
        <v>51</v>
      </c>
      <c r="F537" t="s">
        <v>48</v>
      </c>
      <c r="G537" t="s">
        <v>22</v>
      </c>
      <c r="H537" t="s">
        <v>70</v>
      </c>
      <c r="I537" t="s">
        <v>70</v>
      </c>
    </row>
    <row r="538" spans="1:9" x14ac:dyDescent="0.35">
      <c r="A538" t="s">
        <v>1155</v>
      </c>
      <c r="B538" t="s">
        <v>1335</v>
      </c>
      <c r="C538" t="s">
        <v>346</v>
      </c>
      <c r="D538" t="s">
        <v>11</v>
      </c>
      <c r="E538">
        <v>20</v>
      </c>
      <c r="F538" t="s">
        <v>36</v>
      </c>
      <c r="G538" t="s">
        <v>37</v>
      </c>
      <c r="H538" t="s">
        <v>70</v>
      </c>
      <c r="I538" t="s">
        <v>71</v>
      </c>
    </row>
    <row r="539" spans="1:9" x14ac:dyDescent="0.35">
      <c r="A539" t="s">
        <v>1157</v>
      </c>
      <c r="B539" t="s">
        <v>2115</v>
      </c>
      <c r="C539" t="s">
        <v>2762</v>
      </c>
      <c r="D539" t="s">
        <v>34</v>
      </c>
      <c r="E539">
        <v>32</v>
      </c>
      <c r="F539" t="s">
        <v>56</v>
      </c>
      <c r="G539" t="s">
        <v>37</v>
      </c>
      <c r="I539" t="s">
        <v>15</v>
      </c>
    </row>
    <row r="540" spans="1:9" x14ac:dyDescent="0.35">
      <c r="A540" t="s">
        <v>1158</v>
      </c>
      <c r="B540" t="s">
        <v>2116</v>
      </c>
      <c r="C540" t="s">
        <v>2763</v>
      </c>
      <c r="D540" t="s">
        <v>34</v>
      </c>
      <c r="E540">
        <v>49</v>
      </c>
      <c r="F540" t="s">
        <v>13</v>
      </c>
      <c r="G540" t="s">
        <v>22</v>
      </c>
      <c r="H540" t="s">
        <v>15</v>
      </c>
      <c r="I540" t="s">
        <v>15</v>
      </c>
    </row>
    <row r="541" spans="1:9" x14ac:dyDescent="0.35">
      <c r="A541" t="s">
        <v>1160</v>
      </c>
      <c r="B541" t="s">
        <v>1161</v>
      </c>
      <c r="C541" t="s">
        <v>2764</v>
      </c>
      <c r="D541" t="s">
        <v>34</v>
      </c>
      <c r="E541">
        <v>42</v>
      </c>
      <c r="F541" t="s">
        <v>99</v>
      </c>
      <c r="G541" t="s">
        <v>22</v>
      </c>
      <c r="H541" t="s">
        <v>30</v>
      </c>
      <c r="I541" t="s">
        <v>30</v>
      </c>
    </row>
    <row r="542" spans="1:9" x14ac:dyDescent="0.35">
      <c r="A542" t="s">
        <v>1162</v>
      </c>
      <c r="B542" t="s">
        <v>237</v>
      </c>
      <c r="C542" t="s">
        <v>2765</v>
      </c>
      <c r="D542" t="s">
        <v>34</v>
      </c>
      <c r="E542">
        <v>30</v>
      </c>
      <c r="F542" t="s">
        <v>13</v>
      </c>
      <c r="G542" t="s">
        <v>14</v>
      </c>
      <c r="H542" t="s">
        <v>30</v>
      </c>
      <c r="I542" t="s">
        <v>38</v>
      </c>
    </row>
    <row r="543" spans="1:9" x14ac:dyDescent="0.35">
      <c r="A543" t="s">
        <v>1164</v>
      </c>
      <c r="B543" t="s">
        <v>1165</v>
      </c>
      <c r="C543" t="s">
        <v>2766</v>
      </c>
      <c r="D543" t="s">
        <v>26</v>
      </c>
      <c r="E543">
        <v>34</v>
      </c>
      <c r="F543" t="s">
        <v>36</v>
      </c>
      <c r="G543" t="s">
        <v>29</v>
      </c>
      <c r="H543" t="s">
        <v>23</v>
      </c>
      <c r="I543" t="s">
        <v>128</v>
      </c>
    </row>
    <row r="544" spans="1:9" x14ac:dyDescent="0.35">
      <c r="A544" t="s">
        <v>1166</v>
      </c>
      <c r="B544" t="s">
        <v>2117</v>
      </c>
      <c r="C544" t="s">
        <v>2767</v>
      </c>
      <c r="D544" t="s">
        <v>26</v>
      </c>
      <c r="E544">
        <v>26</v>
      </c>
      <c r="F544" t="s">
        <v>13</v>
      </c>
      <c r="G544" t="s">
        <v>37</v>
      </c>
      <c r="H544" t="s">
        <v>30</v>
      </c>
      <c r="I544" t="s">
        <v>15</v>
      </c>
    </row>
    <row r="545" spans="1:9" x14ac:dyDescent="0.35">
      <c r="A545" t="s">
        <v>1167</v>
      </c>
      <c r="B545" t="s">
        <v>1168</v>
      </c>
      <c r="C545" t="s">
        <v>796</v>
      </c>
      <c r="D545" t="s">
        <v>34</v>
      </c>
      <c r="E545">
        <v>62</v>
      </c>
      <c r="F545" t="s">
        <v>56</v>
      </c>
      <c r="G545" t="s">
        <v>22</v>
      </c>
      <c r="H545" t="s">
        <v>30</v>
      </c>
      <c r="I545" t="s">
        <v>30</v>
      </c>
    </row>
    <row r="546" spans="1:9" x14ac:dyDescent="0.35">
      <c r="A546" t="s">
        <v>1169</v>
      </c>
      <c r="B546" t="s">
        <v>1170</v>
      </c>
      <c r="C546" t="s">
        <v>2768</v>
      </c>
      <c r="D546" t="s">
        <v>34</v>
      </c>
      <c r="E546">
        <v>40</v>
      </c>
      <c r="F546" t="s">
        <v>56</v>
      </c>
      <c r="G546" t="s">
        <v>29</v>
      </c>
      <c r="H546" t="s">
        <v>371</v>
      </c>
      <c r="I546" t="s">
        <v>31</v>
      </c>
    </row>
    <row r="547" spans="1:9" x14ac:dyDescent="0.35">
      <c r="A547" t="s">
        <v>1171</v>
      </c>
      <c r="B547" t="s">
        <v>210</v>
      </c>
      <c r="C547" t="s">
        <v>2769</v>
      </c>
      <c r="D547" t="s">
        <v>26</v>
      </c>
      <c r="E547">
        <v>18</v>
      </c>
      <c r="F547" t="s">
        <v>69</v>
      </c>
      <c r="G547" t="s">
        <v>22</v>
      </c>
      <c r="H547" t="s">
        <v>70</v>
      </c>
      <c r="I547" t="s">
        <v>70</v>
      </c>
    </row>
    <row r="548" spans="1:9" x14ac:dyDescent="0.35">
      <c r="A548" t="s">
        <v>61</v>
      </c>
      <c r="B548" t="s">
        <v>2118</v>
      </c>
      <c r="C548" t="s">
        <v>1260</v>
      </c>
      <c r="D548" t="s">
        <v>34</v>
      </c>
      <c r="E548">
        <v>30</v>
      </c>
      <c r="F548" t="s">
        <v>36</v>
      </c>
      <c r="G548" t="s">
        <v>29</v>
      </c>
      <c r="H548" t="s">
        <v>70</v>
      </c>
      <c r="I548" t="s">
        <v>191</v>
      </c>
    </row>
    <row r="549" spans="1:9" x14ac:dyDescent="0.35">
      <c r="A549" t="s">
        <v>1174</v>
      </c>
      <c r="B549" t="s">
        <v>1175</v>
      </c>
      <c r="C549" t="s">
        <v>954</v>
      </c>
      <c r="D549" t="s">
        <v>34</v>
      </c>
      <c r="E549" t="s">
        <v>1176</v>
      </c>
      <c r="F549" t="s">
        <v>42</v>
      </c>
      <c r="G549" t="s">
        <v>22</v>
      </c>
      <c r="H549" t="s">
        <v>49</v>
      </c>
      <c r="I549" t="s">
        <v>30</v>
      </c>
    </row>
    <row r="550" spans="1:9" x14ac:dyDescent="0.35">
      <c r="A550" t="s">
        <v>1177</v>
      </c>
      <c r="B550" t="s">
        <v>457</v>
      </c>
      <c r="C550" t="s">
        <v>2770</v>
      </c>
      <c r="D550" t="s">
        <v>26</v>
      </c>
      <c r="E550">
        <v>23</v>
      </c>
      <c r="F550" t="s">
        <v>13</v>
      </c>
      <c r="G550" t="s">
        <v>29</v>
      </c>
      <c r="H550" t="s">
        <v>49</v>
      </c>
      <c r="I550" t="s">
        <v>31</v>
      </c>
    </row>
    <row r="551" spans="1:9" x14ac:dyDescent="0.35">
      <c r="A551" t="s">
        <v>1179</v>
      </c>
      <c r="B551" t="s">
        <v>1180</v>
      </c>
      <c r="C551" t="s">
        <v>2771</v>
      </c>
      <c r="D551" t="s">
        <v>26</v>
      </c>
      <c r="E551">
        <v>27</v>
      </c>
      <c r="F551" t="s">
        <v>56</v>
      </c>
      <c r="G551" t="s">
        <v>22</v>
      </c>
      <c r="H551" t="s">
        <v>70</v>
      </c>
      <c r="I551" t="s">
        <v>70</v>
      </c>
    </row>
    <row r="552" spans="1:9" x14ac:dyDescent="0.35">
      <c r="A552" t="s">
        <v>1181</v>
      </c>
      <c r="B552" t="s">
        <v>2119</v>
      </c>
      <c r="C552" t="s">
        <v>2667</v>
      </c>
      <c r="D552" t="s">
        <v>26</v>
      </c>
      <c r="E552">
        <v>31</v>
      </c>
      <c r="F552" t="s">
        <v>13</v>
      </c>
      <c r="G552" t="s">
        <v>14</v>
      </c>
      <c r="H552" t="s">
        <v>171</v>
      </c>
      <c r="I552" t="s">
        <v>38</v>
      </c>
    </row>
    <row r="553" spans="1:9" x14ac:dyDescent="0.35">
      <c r="A553" t="s">
        <v>1183</v>
      </c>
      <c r="B553" t="s">
        <v>1184</v>
      </c>
      <c r="C553" t="s">
        <v>2772</v>
      </c>
      <c r="D553" t="s">
        <v>46</v>
      </c>
      <c r="E553">
        <v>48</v>
      </c>
      <c r="F553" t="s">
        <v>109</v>
      </c>
      <c r="G553" t="s">
        <v>37</v>
      </c>
      <c r="H553" t="s">
        <v>30</v>
      </c>
      <c r="I553" t="s">
        <v>15</v>
      </c>
    </row>
    <row r="554" spans="1:9" x14ac:dyDescent="0.35">
      <c r="A554" t="s">
        <v>235</v>
      </c>
      <c r="B554" t="s">
        <v>1186</v>
      </c>
      <c r="C554" t="s">
        <v>2773</v>
      </c>
      <c r="D554" t="s">
        <v>140</v>
      </c>
      <c r="E554">
        <v>63</v>
      </c>
      <c r="F554" t="s">
        <v>36</v>
      </c>
      <c r="G554" t="s">
        <v>22</v>
      </c>
      <c r="H554" t="s">
        <v>70</v>
      </c>
    </row>
    <row r="555" spans="1:9" x14ac:dyDescent="0.35">
      <c r="A555" t="s">
        <v>1188</v>
      </c>
      <c r="B555" t="s">
        <v>2120</v>
      </c>
      <c r="C555" t="s">
        <v>2774</v>
      </c>
      <c r="D555" t="s">
        <v>34</v>
      </c>
      <c r="E555" t="s">
        <v>1189</v>
      </c>
      <c r="F555" t="s">
        <v>56</v>
      </c>
      <c r="G555" t="s">
        <v>14</v>
      </c>
      <c r="H555" t="s">
        <v>30</v>
      </c>
      <c r="I555" t="s">
        <v>38</v>
      </c>
    </row>
    <row r="556" spans="1:9" x14ac:dyDescent="0.35">
      <c r="A556" t="s">
        <v>1190</v>
      </c>
      <c r="B556" t="s">
        <v>67</v>
      </c>
      <c r="C556" t="s">
        <v>2183</v>
      </c>
      <c r="D556" t="s">
        <v>34</v>
      </c>
      <c r="E556">
        <v>38</v>
      </c>
      <c r="F556" t="s">
        <v>89</v>
      </c>
      <c r="G556" t="s">
        <v>14</v>
      </c>
      <c r="H556" t="s">
        <v>15</v>
      </c>
      <c r="I556" t="s">
        <v>16</v>
      </c>
    </row>
    <row r="557" spans="1:9" x14ac:dyDescent="0.35">
      <c r="A557" t="s">
        <v>1191</v>
      </c>
      <c r="B557" t="s">
        <v>1192</v>
      </c>
      <c r="C557" t="s">
        <v>1382</v>
      </c>
      <c r="D557" t="s">
        <v>26</v>
      </c>
      <c r="E557">
        <v>55</v>
      </c>
      <c r="F557" t="s">
        <v>13</v>
      </c>
      <c r="G557" t="s">
        <v>22</v>
      </c>
      <c r="H557" t="s">
        <v>57</v>
      </c>
      <c r="I557" t="s">
        <v>57</v>
      </c>
    </row>
    <row r="558" spans="1:9" x14ac:dyDescent="0.35">
      <c r="A558" t="s">
        <v>1193</v>
      </c>
      <c r="B558" t="s">
        <v>464</v>
      </c>
      <c r="C558" t="s">
        <v>2775</v>
      </c>
      <c r="D558" t="s">
        <v>26</v>
      </c>
      <c r="E558">
        <v>22</v>
      </c>
      <c r="F558" t="s">
        <v>36</v>
      </c>
      <c r="G558" t="s">
        <v>37</v>
      </c>
      <c r="H558" t="s">
        <v>57</v>
      </c>
      <c r="I558" t="s">
        <v>163</v>
      </c>
    </row>
    <row r="559" spans="1:9" x14ac:dyDescent="0.35">
      <c r="A559" t="s">
        <v>1195</v>
      </c>
      <c r="B559" t="s">
        <v>111</v>
      </c>
      <c r="C559" t="s">
        <v>2776</v>
      </c>
      <c r="D559" t="s">
        <v>26</v>
      </c>
      <c r="E559">
        <v>32</v>
      </c>
      <c r="F559" t="s">
        <v>62</v>
      </c>
      <c r="G559" t="s">
        <v>14</v>
      </c>
      <c r="H559" t="s">
        <v>30</v>
      </c>
      <c r="I559" t="s">
        <v>38</v>
      </c>
    </row>
    <row r="560" spans="1:9" x14ac:dyDescent="0.35">
      <c r="A560" t="s">
        <v>1197</v>
      </c>
      <c r="B560" t="s">
        <v>1676</v>
      </c>
      <c r="C560" t="s">
        <v>2777</v>
      </c>
      <c r="D560" t="s">
        <v>34</v>
      </c>
      <c r="E560">
        <v>42</v>
      </c>
      <c r="F560" t="s">
        <v>56</v>
      </c>
      <c r="G560" t="s">
        <v>14</v>
      </c>
      <c r="H560" t="s">
        <v>30</v>
      </c>
      <c r="I560" t="s">
        <v>38</v>
      </c>
    </row>
    <row r="561" spans="1:9" x14ac:dyDescent="0.35">
      <c r="A561" t="s">
        <v>1199</v>
      </c>
      <c r="B561" t="s">
        <v>1200</v>
      </c>
      <c r="C561" t="s">
        <v>2778</v>
      </c>
      <c r="D561" t="s">
        <v>26</v>
      </c>
      <c r="E561" t="s">
        <v>88</v>
      </c>
      <c r="F561" t="s">
        <v>62</v>
      </c>
      <c r="G561" t="s">
        <v>37</v>
      </c>
      <c r="H561" t="s">
        <v>57</v>
      </c>
      <c r="I561" t="s">
        <v>163</v>
      </c>
    </row>
    <row r="562" spans="1:9" x14ac:dyDescent="0.35">
      <c r="A562" t="s">
        <v>1202</v>
      </c>
      <c r="B562" t="s">
        <v>1203</v>
      </c>
      <c r="C562" t="s">
        <v>1196</v>
      </c>
      <c r="D562" t="s">
        <v>140</v>
      </c>
      <c r="E562">
        <v>56</v>
      </c>
      <c r="F562" t="s">
        <v>13</v>
      </c>
      <c r="G562" t="s">
        <v>37</v>
      </c>
      <c r="H562" t="s">
        <v>15</v>
      </c>
    </row>
    <row r="563" spans="1:9" x14ac:dyDescent="0.35">
      <c r="A563" t="s">
        <v>1204</v>
      </c>
      <c r="B563" t="s">
        <v>1205</v>
      </c>
      <c r="C563" t="s">
        <v>2779</v>
      </c>
      <c r="D563" t="s">
        <v>140</v>
      </c>
      <c r="E563">
        <v>43</v>
      </c>
      <c r="F563" t="s">
        <v>48</v>
      </c>
      <c r="G563" t="s">
        <v>14</v>
      </c>
      <c r="H563" t="s">
        <v>23</v>
      </c>
      <c r="I563" t="s">
        <v>79</v>
      </c>
    </row>
    <row r="564" spans="1:9" x14ac:dyDescent="0.35">
      <c r="A564" t="s">
        <v>1206</v>
      </c>
      <c r="B564" t="s">
        <v>2121</v>
      </c>
      <c r="C564" t="s">
        <v>2780</v>
      </c>
      <c r="D564" t="s">
        <v>26</v>
      </c>
      <c r="E564">
        <v>46</v>
      </c>
      <c r="F564" t="s">
        <v>56</v>
      </c>
      <c r="G564" t="s">
        <v>14</v>
      </c>
      <c r="H564" t="s">
        <v>15</v>
      </c>
      <c r="I564" t="s">
        <v>16</v>
      </c>
    </row>
    <row r="565" spans="1:9" x14ac:dyDescent="0.35">
      <c r="A565" t="s">
        <v>1208</v>
      </c>
      <c r="B565" t="s">
        <v>1209</v>
      </c>
      <c r="C565" t="s">
        <v>2781</v>
      </c>
      <c r="D565" t="s">
        <v>34</v>
      </c>
      <c r="E565">
        <v>28</v>
      </c>
      <c r="F565" t="s">
        <v>36</v>
      </c>
      <c r="G565" t="s">
        <v>37</v>
      </c>
      <c r="I565" t="s">
        <v>38</v>
      </c>
    </row>
    <row r="566" spans="1:9" x14ac:dyDescent="0.35">
      <c r="A566" t="s">
        <v>1211</v>
      </c>
      <c r="B566" t="s">
        <v>2122</v>
      </c>
      <c r="C566" t="s">
        <v>2782</v>
      </c>
      <c r="D566" t="s">
        <v>34</v>
      </c>
      <c r="E566" t="s">
        <v>921</v>
      </c>
      <c r="F566" t="s">
        <v>36</v>
      </c>
      <c r="G566" t="s">
        <v>14</v>
      </c>
      <c r="H566" t="s">
        <v>57</v>
      </c>
      <c r="I566" t="s">
        <v>232</v>
      </c>
    </row>
    <row r="567" spans="1:9" x14ac:dyDescent="0.35">
      <c r="A567" t="s">
        <v>1212</v>
      </c>
      <c r="B567" t="s">
        <v>1213</v>
      </c>
      <c r="C567" t="s">
        <v>2783</v>
      </c>
      <c r="D567" t="s">
        <v>268</v>
      </c>
      <c r="E567">
        <v>56</v>
      </c>
      <c r="F567" t="s">
        <v>56</v>
      </c>
      <c r="G567" t="s">
        <v>22</v>
      </c>
      <c r="H567" t="s">
        <v>162</v>
      </c>
      <c r="I567" t="s">
        <v>57</v>
      </c>
    </row>
    <row r="568" spans="1:9" x14ac:dyDescent="0.35">
      <c r="A568" t="s">
        <v>1215</v>
      </c>
      <c r="B568" t="s">
        <v>1216</v>
      </c>
      <c r="C568" t="s">
        <v>2642</v>
      </c>
      <c r="D568" t="s">
        <v>34</v>
      </c>
      <c r="E568" t="s">
        <v>1218</v>
      </c>
      <c r="F568" t="s">
        <v>56</v>
      </c>
      <c r="G568" t="s">
        <v>29</v>
      </c>
      <c r="H568" t="s">
        <v>84</v>
      </c>
      <c r="I568" t="s">
        <v>85</v>
      </c>
    </row>
    <row r="569" spans="1:9" x14ac:dyDescent="0.35">
      <c r="A569" t="s">
        <v>1219</v>
      </c>
      <c r="B569" t="s">
        <v>775</v>
      </c>
      <c r="C569" t="s">
        <v>2784</v>
      </c>
      <c r="D569" t="s">
        <v>26</v>
      </c>
      <c r="E569">
        <v>34</v>
      </c>
      <c r="F569" t="s">
        <v>400</v>
      </c>
      <c r="G569" t="s">
        <v>37</v>
      </c>
      <c r="H569" t="s">
        <v>15</v>
      </c>
      <c r="I569" t="s">
        <v>38</v>
      </c>
    </row>
    <row r="570" spans="1:9" x14ac:dyDescent="0.35">
      <c r="A570" t="s">
        <v>1220</v>
      </c>
      <c r="B570" t="s">
        <v>2123</v>
      </c>
      <c r="C570" t="s">
        <v>2565</v>
      </c>
      <c r="D570" t="s">
        <v>26</v>
      </c>
      <c r="E570">
        <v>39</v>
      </c>
      <c r="F570" t="s">
        <v>434</v>
      </c>
      <c r="G570" t="s">
        <v>22</v>
      </c>
      <c r="H570" t="s">
        <v>23</v>
      </c>
      <c r="I570" t="s">
        <v>23</v>
      </c>
    </row>
    <row r="571" spans="1:9" x14ac:dyDescent="0.35">
      <c r="A571" t="s">
        <v>1223</v>
      </c>
      <c r="B571" t="s">
        <v>1224</v>
      </c>
      <c r="C571" t="s">
        <v>2722</v>
      </c>
      <c r="D571" t="s">
        <v>34</v>
      </c>
      <c r="E571">
        <v>23</v>
      </c>
      <c r="F571" t="s">
        <v>13</v>
      </c>
      <c r="G571" t="s">
        <v>29</v>
      </c>
      <c r="H571" t="s">
        <v>153</v>
      </c>
      <c r="I571" t="s">
        <v>130</v>
      </c>
    </row>
    <row r="572" spans="1:9" x14ac:dyDescent="0.35">
      <c r="A572" t="s">
        <v>1226</v>
      </c>
      <c r="B572" t="s">
        <v>2015</v>
      </c>
      <c r="C572" t="s">
        <v>2785</v>
      </c>
      <c r="D572" t="s">
        <v>34</v>
      </c>
      <c r="E572">
        <v>59</v>
      </c>
      <c r="F572" t="s">
        <v>56</v>
      </c>
      <c r="G572" t="s">
        <v>29</v>
      </c>
      <c r="H572" t="s">
        <v>23</v>
      </c>
      <c r="I572" t="s">
        <v>128</v>
      </c>
    </row>
    <row r="573" spans="1:9" x14ac:dyDescent="0.35">
      <c r="A573" t="s">
        <v>1227</v>
      </c>
      <c r="B573" t="s">
        <v>290</v>
      </c>
      <c r="C573" t="s">
        <v>2398</v>
      </c>
      <c r="D573" t="s">
        <v>26</v>
      </c>
      <c r="E573">
        <v>60</v>
      </c>
      <c r="F573" t="s">
        <v>56</v>
      </c>
      <c r="G573" t="s">
        <v>29</v>
      </c>
      <c r="H573" t="s">
        <v>15</v>
      </c>
      <c r="I573" t="s">
        <v>130</v>
      </c>
    </row>
    <row r="574" spans="1:9" x14ac:dyDescent="0.35">
      <c r="A574" t="s">
        <v>44</v>
      </c>
      <c r="B574" t="s">
        <v>1230</v>
      </c>
      <c r="C574" t="s">
        <v>2786</v>
      </c>
      <c r="D574" t="s">
        <v>34</v>
      </c>
      <c r="E574">
        <v>60</v>
      </c>
      <c r="F574" t="s">
        <v>36</v>
      </c>
      <c r="G574" t="s">
        <v>22</v>
      </c>
      <c r="H574" t="s">
        <v>153</v>
      </c>
      <c r="I574" t="s">
        <v>15</v>
      </c>
    </row>
    <row r="575" spans="1:9" x14ac:dyDescent="0.35">
      <c r="A575" t="s">
        <v>1231</v>
      </c>
      <c r="B575" t="s">
        <v>1232</v>
      </c>
      <c r="C575" t="s">
        <v>2787</v>
      </c>
      <c r="D575" t="s">
        <v>26</v>
      </c>
      <c r="E575">
        <v>28</v>
      </c>
      <c r="F575" t="s">
        <v>48</v>
      </c>
      <c r="G575" t="s">
        <v>29</v>
      </c>
      <c r="H575" t="s">
        <v>70</v>
      </c>
      <c r="I575" t="s">
        <v>191</v>
      </c>
    </row>
    <row r="576" spans="1:9" x14ac:dyDescent="0.35">
      <c r="A576" t="s">
        <v>22</v>
      </c>
      <c r="B576" t="s">
        <v>2124</v>
      </c>
      <c r="C576" t="s">
        <v>2788</v>
      </c>
      <c r="D576" t="s">
        <v>34</v>
      </c>
      <c r="E576">
        <v>34</v>
      </c>
      <c r="F576" t="s">
        <v>69</v>
      </c>
      <c r="G576" t="s">
        <v>29</v>
      </c>
      <c r="H576" t="s">
        <v>153</v>
      </c>
      <c r="I576" t="s">
        <v>130</v>
      </c>
    </row>
    <row r="577" spans="1:9" x14ac:dyDescent="0.35">
      <c r="A577" t="s">
        <v>1234</v>
      </c>
      <c r="B577" t="s">
        <v>1235</v>
      </c>
      <c r="C577" t="s">
        <v>2789</v>
      </c>
      <c r="D577" t="s">
        <v>34</v>
      </c>
      <c r="E577">
        <v>50</v>
      </c>
      <c r="F577" t="s">
        <v>13</v>
      </c>
      <c r="G577" t="s">
        <v>37</v>
      </c>
      <c r="H577" t="s">
        <v>282</v>
      </c>
      <c r="I577" t="s">
        <v>163</v>
      </c>
    </row>
    <row r="578" spans="1:9" x14ac:dyDescent="0.35">
      <c r="A578" t="s">
        <v>1236</v>
      </c>
      <c r="B578" t="s">
        <v>1237</v>
      </c>
      <c r="C578" t="s">
        <v>2790</v>
      </c>
      <c r="D578" t="s">
        <v>26</v>
      </c>
      <c r="E578" t="s">
        <v>624</v>
      </c>
      <c r="F578" t="s">
        <v>124</v>
      </c>
      <c r="G578" t="s">
        <v>37</v>
      </c>
      <c r="H578" t="s">
        <v>23</v>
      </c>
      <c r="I578" t="s">
        <v>107</v>
      </c>
    </row>
    <row r="579" spans="1:9" x14ac:dyDescent="0.35">
      <c r="A579" t="s">
        <v>1239</v>
      </c>
      <c r="B579" t="s">
        <v>2125</v>
      </c>
      <c r="C579" t="s">
        <v>2791</v>
      </c>
      <c r="D579" t="s">
        <v>26</v>
      </c>
      <c r="E579">
        <v>25</v>
      </c>
      <c r="F579" t="s">
        <v>56</v>
      </c>
      <c r="G579" t="s">
        <v>14</v>
      </c>
      <c r="H579" t="s">
        <v>23</v>
      </c>
      <c r="I579" t="s">
        <v>79</v>
      </c>
    </row>
    <row r="580" spans="1:9" x14ac:dyDescent="0.35">
      <c r="A580" t="s">
        <v>1241</v>
      </c>
      <c r="B580" t="s">
        <v>1242</v>
      </c>
      <c r="C580" t="s">
        <v>2792</v>
      </c>
      <c r="D580" t="s">
        <v>26</v>
      </c>
      <c r="E580">
        <v>56</v>
      </c>
      <c r="F580" t="s">
        <v>13</v>
      </c>
      <c r="G580" t="s">
        <v>29</v>
      </c>
      <c r="H580" t="s">
        <v>57</v>
      </c>
      <c r="I580" t="s">
        <v>85</v>
      </c>
    </row>
    <row r="581" spans="1:9" x14ac:dyDescent="0.35">
      <c r="A581" t="s">
        <v>1243</v>
      </c>
      <c r="B581" t="s">
        <v>1244</v>
      </c>
      <c r="C581" t="s">
        <v>2793</v>
      </c>
      <c r="D581" t="s">
        <v>34</v>
      </c>
      <c r="E581">
        <v>52</v>
      </c>
      <c r="F581" t="s">
        <v>13</v>
      </c>
      <c r="G581" t="s">
        <v>29</v>
      </c>
      <c r="H581" t="s">
        <v>15</v>
      </c>
      <c r="I581" t="s">
        <v>130</v>
      </c>
    </row>
    <row r="582" spans="1:9" x14ac:dyDescent="0.35">
      <c r="A582" t="s">
        <v>1245</v>
      </c>
      <c r="B582" t="s">
        <v>1246</v>
      </c>
      <c r="C582" t="s">
        <v>2794</v>
      </c>
      <c r="D582" t="s">
        <v>26</v>
      </c>
      <c r="E582">
        <v>64</v>
      </c>
      <c r="F582" t="s">
        <v>56</v>
      </c>
      <c r="G582" t="s">
        <v>29</v>
      </c>
      <c r="H582" t="s">
        <v>96</v>
      </c>
      <c r="I582" t="s">
        <v>130</v>
      </c>
    </row>
    <row r="583" spans="1:9" x14ac:dyDescent="0.35">
      <c r="A583" t="s">
        <v>1248</v>
      </c>
      <c r="B583" t="s">
        <v>2126</v>
      </c>
      <c r="C583" t="s">
        <v>872</v>
      </c>
      <c r="D583" t="s">
        <v>34</v>
      </c>
      <c r="E583">
        <v>51</v>
      </c>
      <c r="F583" t="s">
        <v>89</v>
      </c>
      <c r="G583" t="s">
        <v>29</v>
      </c>
      <c r="I583" t="s">
        <v>85</v>
      </c>
    </row>
    <row r="584" spans="1:9" x14ac:dyDescent="0.35">
      <c r="A584" t="s">
        <v>1250</v>
      </c>
      <c r="B584" t="s">
        <v>1251</v>
      </c>
      <c r="C584" t="s">
        <v>2795</v>
      </c>
      <c r="D584" t="s">
        <v>34</v>
      </c>
      <c r="E584">
        <v>29</v>
      </c>
      <c r="F584" t="s">
        <v>89</v>
      </c>
      <c r="G584" t="s">
        <v>22</v>
      </c>
      <c r="H584" t="s">
        <v>75</v>
      </c>
      <c r="I584" t="s">
        <v>15</v>
      </c>
    </row>
    <row r="585" spans="1:9" x14ac:dyDescent="0.35">
      <c r="A585" t="s">
        <v>1253</v>
      </c>
      <c r="B585" t="s">
        <v>1254</v>
      </c>
      <c r="C585" t="s">
        <v>1639</v>
      </c>
      <c r="D585" t="s">
        <v>34</v>
      </c>
      <c r="E585">
        <v>22</v>
      </c>
      <c r="F585" t="s">
        <v>36</v>
      </c>
      <c r="G585" t="s">
        <v>14</v>
      </c>
      <c r="H585" t="s">
        <v>180</v>
      </c>
      <c r="I585" t="s">
        <v>79</v>
      </c>
    </row>
    <row r="586" spans="1:9" x14ac:dyDescent="0.35">
      <c r="A586" t="s">
        <v>1255</v>
      </c>
      <c r="B586" t="s">
        <v>1256</v>
      </c>
      <c r="C586" t="s">
        <v>2796</v>
      </c>
      <c r="D586" t="s">
        <v>26</v>
      </c>
      <c r="E586" t="s">
        <v>1257</v>
      </c>
      <c r="F586" t="s">
        <v>56</v>
      </c>
      <c r="G586" t="s">
        <v>29</v>
      </c>
      <c r="H586" t="s">
        <v>23</v>
      </c>
      <c r="I586" t="s">
        <v>128</v>
      </c>
    </row>
    <row r="587" spans="1:9" x14ac:dyDescent="0.35">
      <c r="A587" t="s">
        <v>1258</v>
      </c>
      <c r="B587" t="s">
        <v>2127</v>
      </c>
      <c r="C587" t="s">
        <v>2797</v>
      </c>
      <c r="D587" t="s">
        <v>11</v>
      </c>
      <c r="E587">
        <v>34</v>
      </c>
      <c r="F587" t="s">
        <v>69</v>
      </c>
      <c r="G587" t="s">
        <v>22</v>
      </c>
      <c r="H587" t="s">
        <v>147</v>
      </c>
      <c r="I587" t="s">
        <v>70</v>
      </c>
    </row>
    <row r="588" spans="1:9" x14ac:dyDescent="0.35">
      <c r="A588" t="s">
        <v>1259</v>
      </c>
      <c r="B588" t="s">
        <v>890</v>
      </c>
      <c r="C588" t="s">
        <v>2798</v>
      </c>
      <c r="D588" t="s">
        <v>268</v>
      </c>
      <c r="E588" t="s">
        <v>482</v>
      </c>
      <c r="F588" t="s">
        <v>13</v>
      </c>
      <c r="G588" t="s">
        <v>29</v>
      </c>
      <c r="H588" t="s">
        <v>162</v>
      </c>
      <c r="I588" t="s">
        <v>85</v>
      </c>
    </row>
    <row r="589" spans="1:9" x14ac:dyDescent="0.35">
      <c r="A589" t="s">
        <v>1261</v>
      </c>
      <c r="B589" t="s">
        <v>1262</v>
      </c>
      <c r="C589" t="s">
        <v>2799</v>
      </c>
      <c r="D589" t="s">
        <v>26</v>
      </c>
      <c r="E589">
        <v>27</v>
      </c>
      <c r="F589" t="s">
        <v>13</v>
      </c>
      <c r="G589" t="s">
        <v>22</v>
      </c>
      <c r="H589" t="s">
        <v>30</v>
      </c>
      <c r="I589" t="s">
        <v>30</v>
      </c>
    </row>
    <row r="590" spans="1:9" x14ac:dyDescent="0.35">
      <c r="A590" t="s">
        <v>1263</v>
      </c>
      <c r="B590" t="s">
        <v>1264</v>
      </c>
      <c r="C590" t="s">
        <v>2800</v>
      </c>
      <c r="D590" t="s">
        <v>46</v>
      </c>
      <c r="E590" t="s">
        <v>1218</v>
      </c>
      <c r="F590" t="s">
        <v>56</v>
      </c>
      <c r="G590" t="s">
        <v>37</v>
      </c>
      <c r="H590" t="s">
        <v>70</v>
      </c>
      <c r="I590" t="s">
        <v>71</v>
      </c>
    </row>
    <row r="591" spans="1:9" x14ac:dyDescent="0.35">
      <c r="A591" t="s">
        <v>1266</v>
      </c>
      <c r="B591" t="s">
        <v>1267</v>
      </c>
      <c r="C591" t="s">
        <v>1559</v>
      </c>
      <c r="D591" t="s">
        <v>34</v>
      </c>
      <c r="E591">
        <v>19</v>
      </c>
      <c r="F591" t="s">
        <v>13</v>
      </c>
      <c r="G591" t="s">
        <v>29</v>
      </c>
      <c r="H591" t="s">
        <v>57</v>
      </c>
      <c r="I591" t="s">
        <v>85</v>
      </c>
    </row>
    <row r="592" spans="1:9" x14ac:dyDescent="0.35">
      <c r="A592" t="s">
        <v>1268</v>
      </c>
      <c r="B592" t="s">
        <v>155</v>
      </c>
      <c r="C592" t="s">
        <v>2801</v>
      </c>
      <c r="D592" t="s">
        <v>11</v>
      </c>
      <c r="E592" t="s">
        <v>1269</v>
      </c>
      <c r="F592" t="s">
        <v>36</v>
      </c>
      <c r="G592" t="s">
        <v>29</v>
      </c>
      <c r="H592" t="s">
        <v>70</v>
      </c>
      <c r="I592" t="s">
        <v>191</v>
      </c>
    </row>
    <row r="593" spans="1:9" x14ac:dyDescent="0.35">
      <c r="A593" t="s">
        <v>1270</v>
      </c>
      <c r="B593" t="s">
        <v>765</v>
      </c>
      <c r="C593" t="s">
        <v>707</v>
      </c>
      <c r="D593" t="s">
        <v>26</v>
      </c>
      <c r="E593">
        <v>18</v>
      </c>
      <c r="F593" t="s">
        <v>56</v>
      </c>
      <c r="H593" t="s">
        <v>57</v>
      </c>
      <c r="I593" t="s">
        <v>232</v>
      </c>
    </row>
    <row r="594" spans="1:9" x14ac:dyDescent="0.35">
      <c r="A594" t="s">
        <v>1271</v>
      </c>
      <c r="B594" t="s">
        <v>1999</v>
      </c>
      <c r="C594" t="s">
        <v>2802</v>
      </c>
      <c r="D594" t="s">
        <v>26</v>
      </c>
      <c r="E594">
        <v>48</v>
      </c>
      <c r="F594" t="s">
        <v>89</v>
      </c>
      <c r="G594" t="s">
        <v>29</v>
      </c>
      <c r="H594" t="s">
        <v>23</v>
      </c>
      <c r="I594" t="s">
        <v>128</v>
      </c>
    </row>
    <row r="595" spans="1:9" x14ac:dyDescent="0.35">
      <c r="A595" t="s">
        <v>1272</v>
      </c>
      <c r="B595" t="s">
        <v>619</v>
      </c>
      <c r="C595" t="s">
        <v>2803</v>
      </c>
      <c r="D595" t="s">
        <v>26</v>
      </c>
      <c r="E595">
        <v>45</v>
      </c>
      <c r="F595" t="s">
        <v>89</v>
      </c>
      <c r="G595" t="s">
        <v>14</v>
      </c>
      <c r="H595" t="s">
        <v>153</v>
      </c>
      <c r="I595" t="s">
        <v>16</v>
      </c>
    </row>
    <row r="596" spans="1:9" x14ac:dyDescent="0.35">
      <c r="A596" t="s">
        <v>1274</v>
      </c>
      <c r="B596" t="s">
        <v>1275</v>
      </c>
      <c r="C596" t="s">
        <v>2804</v>
      </c>
      <c r="D596" t="s">
        <v>11</v>
      </c>
      <c r="E596">
        <v>54</v>
      </c>
      <c r="F596" t="s">
        <v>36</v>
      </c>
      <c r="G596" t="s">
        <v>22</v>
      </c>
      <c r="H596" t="s">
        <v>49</v>
      </c>
      <c r="I596" t="s">
        <v>30</v>
      </c>
    </row>
    <row r="597" spans="1:9" x14ac:dyDescent="0.35">
      <c r="A597" t="s">
        <v>1276</v>
      </c>
      <c r="B597" t="s">
        <v>700</v>
      </c>
      <c r="C597" t="s">
        <v>2805</v>
      </c>
      <c r="D597" t="s">
        <v>20</v>
      </c>
      <c r="E597">
        <v>44</v>
      </c>
      <c r="F597" t="s">
        <v>13</v>
      </c>
      <c r="G597" t="s">
        <v>37</v>
      </c>
      <c r="H597" t="s">
        <v>23</v>
      </c>
      <c r="I597" t="s">
        <v>107</v>
      </c>
    </row>
    <row r="598" spans="1:9" x14ac:dyDescent="0.35">
      <c r="A598" t="s">
        <v>1278</v>
      </c>
      <c r="B598" t="s">
        <v>1279</v>
      </c>
      <c r="C598" t="s">
        <v>2806</v>
      </c>
      <c r="D598" t="s">
        <v>34</v>
      </c>
      <c r="E598" t="s">
        <v>1280</v>
      </c>
      <c r="F598" t="s">
        <v>36</v>
      </c>
      <c r="G598" t="s">
        <v>22</v>
      </c>
      <c r="H598" t="s">
        <v>57</v>
      </c>
      <c r="I598" t="s">
        <v>57</v>
      </c>
    </row>
    <row r="599" spans="1:9" x14ac:dyDescent="0.35">
      <c r="A599" t="s">
        <v>1281</v>
      </c>
      <c r="B599" t="s">
        <v>1282</v>
      </c>
      <c r="C599" t="s">
        <v>2807</v>
      </c>
      <c r="D599" t="s">
        <v>26</v>
      </c>
      <c r="E599">
        <v>54</v>
      </c>
      <c r="F599" t="s">
        <v>28</v>
      </c>
      <c r="G599" t="s">
        <v>14</v>
      </c>
      <c r="H599" t="s">
        <v>30</v>
      </c>
      <c r="I599" t="s">
        <v>38</v>
      </c>
    </row>
    <row r="600" spans="1:9" x14ac:dyDescent="0.35">
      <c r="A600" t="s">
        <v>1283</v>
      </c>
      <c r="B600" t="s">
        <v>1153</v>
      </c>
      <c r="C600" t="s">
        <v>2808</v>
      </c>
      <c r="D600" t="s">
        <v>34</v>
      </c>
      <c r="E600">
        <v>35</v>
      </c>
      <c r="F600" t="s">
        <v>109</v>
      </c>
      <c r="G600" t="s">
        <v>37</v>
      </c>
      <c r="H600" t="s">
        <v>43</v>
      </c>
      <c r="I600" t="s">
        <v>71</v>
      </c>
    </row>
    <row r="601" spans="1:9" x14ac:dyDescent="0.35">
      <c r="A601" t="s">
        <v>1284</v>
      </c>
      <c r="B601" t="s">
        <v>1285</v>
      </c>
      <c r="C601" t="s">
        <v>2809</v>
      </c>
      <c r="D601" t="s">
        <v>140</v>
      </c>
      <c r="E601">
        <v>57</v>
      </c>
      <c r="F601" t="s">
        <v>56</v>
      </c>
      <c r="G601" t="s">
        <v>22</v>
      </c>
      <c r="H601" t="s">
        <v>30</v>
      </c>
      <c r="I601" t="s">
        <v>30</v>
      </c>
    </row>
    <row r="602" spans="1:9" x14ac:dyDescent="0.35">
      <c r="A602" t="s">
        <v>1286</v>
      </c>
      <c r="B602" t="s">
        <v>1287</v>
      </c>
      <c r="C602" t="s">
        <v>2810</v>
      </c>
      <c r="D602" t="s">
        <v>34</v>
      </c>
      <c r="E602">
        <v>43</v>
      </c>
      <c r="F602" t="s">
        <v>13</v>
      </c>
      <c r="G602" t="s">
        <v>29</v>
      </c>
      <c r="H602" t="s">
        <v>96</v>
      </c>
      <c r="I602" t="s">
        <v>130</v>
      </c>
    </row>
    <row r="603" spans="1:9" x14ac:dyDescent="0.35">
      <c r="A603" t="s">
        <v>1288</v>
      </c>
      <c r="B603" t="s">
        <v>2046</v>
      </c>
      <c r="C603" t="s">
        <v>2811</v>
      </c>
      <c r="D603" t="s">
        <v>34</v>
      </c>
      <c r="E603">
        <v>25</v>
      </c>
      <c r="F603" t="s">
        <v>36</v>
      </c>
      <c r="G603" t="s">
        <v>22</v>
      </c>
      <c r="H603" t="s">
        <v>57</v>
      </c>
      <c r="I603" t="s">
        <v>57</v>
      </c>
    </row>
    <row r="604" spans="1:9" x14ac:dyDescent="0.35">
      <c r="A604" t="s">
        <v>1289</v>
      </c>
      <c r="B604" t="s">
        <v>1065</v>
      </c>
      <c r="C604" t="s">
        <v>2812</v>
      </c>
      <c r="D604" t="s">
        <v>26</v>
      </c>
      <c r="E604">
        <v>44</v>
      </c>
      <c r="F604" t="s">
        <v>56</v>
      </c>
      <c r="G604" t="s">
        <v>14</v>
      </c>
      <c r="H604" t="s">
        <v>371</v>
      </c>
      <c r="I604" t="s">
        <v>38</v>
      </c>
    </row>
    <row r="605" spans="1:9" x14ac:dyDescent="0.35">
      <c r="A605" t="s">
        <v>1290</v>
      </c>
      <c r="B605" t="s">
        <v>2128</v>
      </c>
      <c r="C605" t="s">
        <v>2813</v>
      </c>
      <c r="D605" t="s">
        <v>34</v>
      </c>
      <c r="E605" t="s">
        <v>1291</v>
      </c>
      <c r="F605" t="s">
        <v>28</v>
      </c>
      <c r="G605" t="s">
        <v>29</v>
      </c>
      <c r="H605" t="s">
        <v>23</v>
      </c>
      <c r="I605" t="s">
        <v>128</v>
      </c>
    </row>
    <row r="606" spans="1:9" x14ac:dyDescent="0.35">
      <c r="A606" t="s">
        <v>1292</v>
      </c>
      <c r="B606" t="s">
        <v>1293</v>
      </c>
      <c r="C606" t="s">
        <v>2814</v>
      </c>
      <c r="D606" t="s">
        <v>26</v>
      </c>
      <c r="E606">
        <v>42</v>
      </c>
      <c r="F606" t="s">
        <v>36</v>
      </c>
      <c r="G606" t="s">
        <v>22</v>
      </c>
      <c r="H606" t="s">
        <v>70</v>
      </c>
      <c r="I606" t="s">
        <v>70</v>
      </c>
    </row>
    <row r="607" spans="1:9" x14ac:dyDescent="0.35">
      <c r="A607" t="s">
        <v>1295</v>
      </c>
      <c r="B607" t="s">
        <v>248</v>
      </c>
      <c r="C607" t="s">
        <v>2815</v>
      </c>
      <c r="D607" t="s">
        <v>34</v>
      </c>
      <c r="E607">
        <v>46</v>
      </c>
      <c r="F607" t="s">
        <v>69</v>
      </c>
      <c r="G607" t="s">
        <v>14</v>
      </c>
      <c r="H607" t="s">
        <v>23</v>
      </c>
      <c r="I607" t="s">
        <v>79</v>
      </c>
    </row>
    <row r="608" spans="1:9" x14ac:dyDescent="0.35">
      <c r="A608" t="s">
        <v>1296</v>
      </c>
      <c r="B608" t="s">
        <v>1297</v>
      </c>
      <c r="C608" t="s">
        <v>2816</v>
      </c>
      <c r="D608" t="s">
        <v>140</v>
      </c>
      <c r="E608">
        <v>62</v>
      </c>
      <c r="F608" t="s">
        <v>36</v>
      </c>
      <c r="G608" t="s">
        <v>37</v>
      </c>
      <c r="I608" t="s">
        <v>38</v>
      </c>
    </row>
    <row r="609" spans="1:9" x14ac:dyDescent="0.35">
      <c r="A609" t="s">
        <v>1298</v>
      </c>
      <c r="B609" t="s">
        <v>1299</v>
      </c>
      <c r="C609" t="s">
        <v>2817</v>
      </c>
      <c r="D609" t="s">
        <v>26</v>
      </c>
      <c r="E609">
        <v>23</v>
      </c>
      <c r="F609" t="s">
        <v>56</v>
      </c>
      <c r="G609" t="s">
        <v>29</v>
      </c>
      <c r="H609" t="s">
        <v>70</v>
      </c>
      <c r="I609" t="s">
        <v>191</v>
      </c>
    </row>
    <row r="610" spans="1:9" x14ac:dyDescent="0.35">
      <c r="A610" t="s">
        <v>1301</v>
      </c>
      <c r="B610" t="s">
        <v>1302</v>
      </c>
      <c r="C610" t="s">
        <v>2818</v>
      </c>
      <c r="D610" t="s">
        <v>20</v>
      </c>
      <c r="E610">
        <v>31</v>
      </c>
      <c r="F610" t="s">
        <v>56</v>
      </c>
      <c r="G610" t="s">
        <v>22</v>
      </c>
      <c r="H610" t="s">
        <v>288</v>
      </c>
      <c r="I610" t="s">
        <v>23</v>
      </c>
    </row>
    <row r="611" spans="1:9" x14ac:dyDescent="0.35">
      <c r="A611" t="s">
        <v>1303</v>
      </c>
      <c r="B611" t="s">
        <v>1304</v>
      </c>
      <c r="C611" t="s">
        <v>2280</v>
      </c>
      <c r="D611" t="s">
        <v>46</v>
      </c>
      <c r="E611">
        <v>59</v>
      </c>
      <c r="F611" t="s">
        <v>36</v>
      </c>
      <c r="G611" t="s">
        <v>29</v>
      </c>
      <c r="H611" t="s">
        <v>49</v>
      </c>
      <c r="I611" t="s">
        <v>31</v>
      </c>
    </row>
    <row r="612" spans="1:9" x14ac:dyDescent="0.35">
      <c r="A612" t="s">
        <v>1305</v>
      </c>
      <c r="B612" t="s">
        <v>2129</v>
      </c>
      <c r="C612" t="s">
        <v>2819</v>
      </c>
      <c r="D612" t="s">
        <v>26</v>
      </c>
      <c r="E612">
        <v>42</v>
      </c>
      <c r="F612" t="s">
        <v>13</v>
      </c>
      <c r="G612" t="s">
        <v>14</v>
      </c>
      <c r="H612" t="s">
        <v>84</v>
      </c>
      <c r="I612" t="s">
        <v>232</v>
      </c>
    </row>
    <row r="613" spans="1:9" x14ac:dyDescent="0.35">
      <c r="A613" t="s">
        <v>1307</v>
      </c>
      <c r="B613" t="s">
        <v>1308</v>
      </c>
      <c r="C613" t="s">
        <v>2820</v>
      </c>
      <c r="D613" t="s">
        <v>26</v>
      </c>
      <c r="E613">
        <v>28</v>
      </c>
      <c r="F613" t="s">
        <v>36</v>
      </c>
      <c r="G613" t="s">
        <v>37</v>
      </c>
      <c r="H613" t="s">
        <v>15</v>
      </c>
      <c r="I613" t="s">
        <v>38</v>
      </c>
    </row>
    <row r="614" spans="1:9" x14ac:dyDescent="0.35">
      <c r="A614" t="s">
        <v>1310</v>
      </c>
      <c r="B614" t="s">
        <v>1311</v>
      </c>
      <c r="C614" t="s">
        <v>2821</v>
      </c>
      <c r="D614" t="s">
        <v>140</v>
      </c>
      <c r="E614">
        <v>20</v>
      </c>
      <c r="F614" t="s">
        <v>36</v>
      </c>
      <c r="G614" t="s">
        <v>22</v>
      </c>
      <c r="H614" t="s">
        <v>30</v>
      </c>
      <c r="I614" t="s">
        <v>30</v>
      </c>
    </row>
    <row r="615" spans="1:9" x14ac:dyDescent="0.35">
      <c r="A615" t="s">
        <v>1313</v>
      </c>
      <c r="B615" t="s">
        <v>1287</v>
      </c>
      <c r="C615" t="s">
        <v>2638</v>
      </c>
      <c r="D615" t="s">
        <v>34</v>
      </c>
      <c r="E615">
        <v>34</v>
      </c>
      <c r="F615" t="s">
        <v>56</v>
      </c>
      <c r="G615" t="s">
        <v>14</v>
      </c>
      <c r="H615" t="s">
        <v>282</v>
      </c>
      <c r="I615" t="s">
        <v>232</v>
      </c>
    </row>
    <row r="616" spans="1:9" x14ac:dyDescent="0.35">
      <c r="A616" t="s">
        <v>1315</v>
      </c>
      <c r="B616" t="s">
        <v>1316</v>
      </c>
      <c r="C616" t="s">
        <v>2822</v>
      </c>
      <c r="D616" t="s">
        <v>34</v>
      </c>
      <c r="E616" t="s">
        <v>877</v>
      </c>
      <c r="F616" t="s">
        <v>13</v>
      </c>
      <c r="G616" t="s">
        <v>37</v>
      </c>
      <c r="H616" t="s">
        <v>171</v>
      </c>
      <c r="I616" t="s">
        <v>15</v>
      </c>
    </row>
    <row r="617" spans="1:9" x14ac:dyDescent="0.35">
      <c r="A617" t="s">
        <v>1317</v>
      </c>
      <c r="B617" t="s">
        <v>2130</v>
      </c>
      <c r="C617" t="s">
        <v>2598</v>
      </c>
      <c r="D617" t="s">
        <v>26</v>
      </c>
      <c r="E617">
        <v>52</v>
      </c>
      <c r="F617" t="s">
        <v>69</v>
      </c>
      <c r="G617" t="s">
        <v>29</v>
      </c>
      <c r="H617" t="s">
        <v>15</v>
      </c>
      <c r="I617" t="s">
        <v>130</v>
      </c>
    </row>
    <row r="618" spans="1:9" x14ac:dyDescent="0.35">
      <c r="A618" t="s">
        <v>71</v>
      </c>
      <c r="B618" t="s">
        <v>1025</v>
      </c>
      <c r="C618" t="s">
        <v>2823</v>
      </c>
      <c r="D618" t="s">
        <v>34</v>
      </c>
      <c r="E618">
        <v>30</v>
      </c>
      <c r="F618" t="s">
        <v>36</v>
      </c>
      <c r="G618" t="s">
        <v>29</v>
      </c>
      <c r="H618" t="s">
        <v>15</v>
      </c>
      <c r="I618" t="s">
        <v>130</v>
      </c>
    </row>
    <row r="619" spans="1:9" x14ac:dyDescent="0.35">
      <c r="A619" t="s">
        <v>1321</v>
      </c>
      <c r="B619" t="s">
        <v>1209</v>
      </c>
      <c r="C619" t="s">
        <v>2824</v>
      </c>
      <c r="D619" t="s">
        <v>46</v>
      </c>
      <c r="E619">
        <v>55</v>
      </c>
      <c r="F619" t="s">
        <v>13</v>
      </c>
      <c r="G619" t="s">
        <v>22</v>
      </c>
      <c r="H619" t="s">
        <v>57</v>
      </c>
      <c r="I619" t="s">
        <v>57</v>
      </c>
    </row>
    <row r="620" spans="1:9" x14ac:dyDescent="0.35">
      <c r="A620" t="s">
        <v>1322</v>
      </c>
      <c r="B620" t="s">
        <v>1323</v>
      </c>
      <c r="C620" t="s">
        <v>2825</v>
      </c>
      <c r="D620" t="s">
        <v>26</v>
      </c>
      <c r="E620" t="s">
        <v>1325</v>
      </c>
      <c r="F620" t="s">
        <v>13</v>
      </c>
      <c r="G620" t="s">
        <v>14</v>
      </c>
      <c r="H620" t="s">
        <v>70</v>
      </c>
      <c r="I620" t="s">
        <v>44</v>
      </c>
    </row>
    <row r="621" spans="1:9" x14ac:dyDescent="0.35">
      <c r="A621" t="s">
        <v>1326</v>
      </c>
      <c r="B621" t="s">
        <v>2131</v>
      </c>
      <c r="C621" t="s">
        <v>2826</v>
      </c>
      <c r="D621" t="s">
        <v>34</v>
      </c>
      <c r="E621">
        <v>50</v>
      </c>
      <c r="F621" t="s">
        <v>48</v>
      </c>
      <c r="G621" t="s">
        <v>29</v>
      </c>
      <c r="H621" t="s">
        <v>70</v>
      </c>
      <c r="I621" t="s">
        <v>191</v>
      </c>
    </row>
    <row r="622" spans="1:9" x14ac:dyDescent="0.35">
      <c r="A622" t="s">
        <v>52</v>
      </c>
      <c r="B622" t="s">
        <v>1328</v>
      </c>
      <c r="C622" t="s">
        <v>433</v>
      </c>
      <c r="D622" t="s">
        <v>34</v>
      </c>
      <c r="E622">
        <v>22</v>
      </c>
      <c r="F622" t="s">
        <v>56</v>
      </c>
      <c r="G622" t="s">
        <v>29</v>
      </c>
      <c r="H622" t="s">
        <v>23</v>
      </c>
      <c r="I622" t="s">
        <v>128</v>
      </c>
    </row>
    <row r="623" spans="1:9" x14ac:dyDescent="0.35">
      <c r="A623" t="s">
        <v>1330</v>
      </c>
      <c r="B623" t="s">
        <v>2132</v>
      </c>
      <c r="C623" t="s">
        <v>2827</v>
      </c>
      <c r="D623" t="s">
        <v>26</v>
      </c>
      <c r="E623">
        <v>25</v>
      </c>
      <c r="F623" t="s">
        <v>36</v>
      </c>
      <c r="G623" t="s">
        <v>14</v>
      </c>
      <c r="H623" t="s">
        <v>15</v>
      </c>
      <c r="I623" t="s">
        <v>16</v>
      </c>
    </row>
    <row r="624" spans="1:9" x14ac:dyDescent="0.35">
      <c r="A624" t="s">
        <v>1331</v>
      </c>
      <c r="B624" t="s">
        <v>1332</v>
      </c>
      <c r="C624" t="s">
        <v>2828</v>
      </c>
      <c r="D624" t="s">
        <v>26</v>
      </c>
      <c r="E624">
        <v>61</v>
      </c>
      <c r="F624" t="s">
        <v>56</v>
      </c>
      <c r="H624" t="s">
        <v>30</v>
      </c>
      <c r="I624" t="s">
        <v>38</v>
      </c>
    </row>
    <row r="625" spans="1:9" x14ac:dyDescent="0.35">
      <c r="A625" t="s">
        <v>1333</v>
      </c>
      <c r="B625" t="s">
        <v>2133</v>
      </c>
      <c r="C625" t="s">
        <v>2829</v>
      </c>
      <c r="D625" t="s">
        <v>26</v>
      </c>
      <c r="E625" t="s">
        <v>674</v>
      </c>
      <c r="F625" t="s">
        <v>13</v>
      </c>
      <c r="G625" t="s">
        <v>29</v>
      </c>
      <c r="H625" t="s">
        <v>23</v>
      </c>
      <c r="I625" t="s">
        <v>128</v>
      </c>
    </row>
    <row r="626" spans="1:9" x14ac:dyDescent="0.35">
      <c r="A626" t="s">
        <v>1334</v>
      </c>
      <c r="B626" t="s">
        <v>1335</v>
      </c>
      <c r="C626" t="s">
        <v>2830</v>
      </c>
      <c r="D626" t="s">
        <v>26</v>
      </c>
      <c r="E626">
        <v>64</v>
      </c>
      <c r="F626" t="s">
        <v>56</v>
      </c>
      <c r="G626" t="s">
        <v>37</v>
      </c>
      <c r="H626" t="s">
        <v>70</v>
      </c>
      <c r="I626" t="s">
        <v>71</v>
      </c>
    </row>
    <row r="627" spans="1:9" x14ac:dyDescent="0.35">
      <c r="A627" t="s">
        <v>65</v>
      </c>
      <c r="B627" t="s">
        <v>2134</v>
      </c>
      <c r="C627" t="s">
        <v>2831</v>
      </c>
      <c r="D627" t="s">
        <v>26</v>
      </c>
      <c r="E627">
        <v>42</v>
      </c>
      <c r="F627" t="s">
        <v>99</v>
      </c>
      <c r="G627" t="s">
        <v>22</v>
      </c>
      <c r="H627" t="s">
        <v>70</v>
      </c>
    </row>
    <row r="628" spans="1:9" x14ac:dyDescent="0.35">
      <c r="A628" t="s">
        <v>1338</v>
      </c>
      <c r="B628" t="s">
        <v>1339</v>
      </c>
      <c r="C628" t="s">
        <v>2832</v>
      </c>
      <c r="D628" t="s">
        <v>11</v>
      </c>
      <c r="E628">
        <v>48</v>
      </c>
      <c r="F628" t="s">
        <v>56</v>
      </c>
      <c r="G628" t="s">
        <v>22</v>
      </c>
      <c r="H628" t="s">
        <v>70</v>
      </c>
      <c r="I628" t="s">
        <v>70</v>
      </c>
    </row>
    <row r="629" spans="1:9" x14ac:dyDescent="0.35">
      <c r="A629" t="s">
        <v>1341</v>
      </c>
      <c r="B629" t="s">
        <v>1342</v>
      </c>
      <c r="C629" t="s">
        <v>2833</v>
      </c>
      <c r="D629" t="s">
        <v>26</v>
      </c>
      <c r="E629">
        <v>62</v>
      </c>
      <c r="F629" t="s">
        <v>99</v>
      </c>
      <c r="G629" t="s">
        <v>14</v>
      </c>
      <c r="H629" t="s">
        <v>23</v>
      </c>
      <c r="I629" t="s">
        <v>79</v>
      </c>
    </row>
    <row r="630" spans="1:9" x14ac:dyDescent="0.35">
      <c r="A630" t="s">
        <v>1343</v>
      </c>
      <c r="B630" t="s">
        <v>2091</v>
      </c>
      <c r="C630" t="s">
        <v>2834</v>
      </c>
      <c r="D630" t="s">
        <v>34</v>
      </c>
      <c r="E630" t="s">
        <v>190</v>
      </c>
      <c r="F630" t="s">
        <v>28</v>
      </c>
      <c r="G630" t="s">
        <v>14</v>
      </c>
      <c r="H630" t="s">
        <v>23</v>
      </c>
      <c r="I630" t="s">
        <v>79</v>
      </c>
    </row>
    <row r="631" spans="1:9" x14ac:dyDescent="0.35">
      <c r="A631" t="s">
        <v>1344</v>
      </c>
      <c r="B631" t="s">
        <v>165</v>
      </c>
      <c r="C631" t="s">
        <v>2835</v>
      </c>
      <c r="D631" t="s">
        <v>20</v>
      </c>
      <c r="E631">
        <v>55</v>
      </c>
      <c r="F631" t="s">
        <v>89</v>
      </c>
      <c r="G631" t="s">
        <v>22</v>
      </c>
      <c r="H631" t="s">
        <v>162</v>
      </c>
      <c r="I631" t="s">
        <v>57</v>
      </c>
    </row>
    <row r="632" spans="1:9" x14ac:dyDescent="0.35">
      <c r="A632" t="s">
        <v>1345</v>
      </c>
      <c r="B632" t="s">
        <v>953</v>
      </c>
      <c r="C632" t="s">
        <v>2836</v>
      </c>
      <c r="D632" t="s">
        <v>34</v>
      </c>
      <c r="E632">
        <v>52</v>
      </c>
      <c r="F632" t="s">
        <v>400</v>
      </c>
      <c r="G632" t="s">
        <v>14</v>
      </c>
      <c r="H632" t="s">
        <v>147</v>
      </c>
      <c r="I632" t="s">
        <v>44</v>
      </c>
    </row>
    <row r="633" spans="1:9" x14ac:dyDescent="0.35">
      <c r="A633" t="s">
        <v>1347</v>
      </c>
      <c r="B633" t="s">
        <v>1348</v>
      </c>
      <c r="C633" t="s">
        <v>2837</v>
      </c>
      <c r="D633" t="s">
        <v>34</v>
      </c>
      <c r="E633">
        <v>31</v>
      </c>
      <c r="F633" t="s">
        <v>56</v>
      </c>
      <c r="G633" t="s">
        <v>29</v>
      </c>
      <c r="H633" t="s">
        <v>15</v>
      </c>
      <c r="I633" t="s">
        <v>130</v>
      </c>
    </row>
    <row r="634" spans="1:9" x14ac:dyDescent="0.35">
      <c r="A634" t="s">
        <v>1350</v>
      </c>
      <c r="B634" t="s">
        <v>1351</v>
      </c>
      <c r="C634" t="s">
        <v>2390</v>
      </c>
      <c r="D634" t="s">
        <v>34</v>
      </c>
      <c r="E634">
        <v>60</v>
      </c>
      <c r="F634" t="s">
        <v>56</v>
      </c>
      <c r="G634" t="s">
        <v>37</v>
      </c>
      <c r="H634" t="s">
        <v>15</v>
      </c>
      <c r="I634" t="s">
        <v>38</v>
      </c>
    </row>
    <row r="635" spans="1:9" x14ac:dyDescent="0.35">
      <c r="A635" t="s">
        <v>1352</v>
      </c>
      <c r="B635" t="s">
        <v>1186</v>
      </c>
      <c r="C635" t="s">
        <v>2838</v>
      </c>
      <c r="D635" t="s">
        <v>34</v>
      </c>
      <c r="E635">
        <v>46</v>
      </c>
      <c r="F635" t="s">
        <v>69</v>
      </c>
      <c r="G635" t="s">
        <v>37</v>
      </c>
      <c r="H635" t="s">
        <v>57</v>
      </c>
      <c r="I635" t="s">
        <v>163</v>
      </c>
    </row>
    <row r="636" spans="1:9" x14ac:dyDescent="0.35">
      <c r="A636" t="s">
        <v>1354</v>
      </c>
      <c r="B636" t="s">
        <v>1355</v>
      </c>
      <c r="C636" t="s">
        <v>1238</v>
      </c>
      <c r="D636" t="s">
        <v>34</v>
      </c>
      <c r="E636">
        <v>37</v>
      </c>
      <c r="F636" t="s">
        <v>56</v>
      </c>
      <c r="G636" t="s">
        <v>29</v>
      </c>
      <c r="H636" t="s">
        <v>57</v>
      </c>
      <c r="I636" t="s">
        <v>85</v>
      </c>
    </row>
    <row r="637" spans="1:9" x14ac:dyDescent="0.35">
      <c r="A637" t="s">
        <v>1357</v>
      </c>
      <c r="B637" t="s">
        <v>892</v>
      </c>
      <c r="C637" t="s">
        <v>2839</v>
      </c>
      <c r="D637" t="s">
        <v>34</v>
      </c>
      <c r="E637">
        <v>52</v>
      </c>
      <c r="F637" t="s">
        <v>56</v>
      </c>
      <c r="G637" t="s">
        <v>22</v>
      </c>
      <c r="H637" t="s">
        <v>70</v>
      </c>
      <c r="I637" t="s">
        <v>70</v>
      </c>
    </row>
    <row r="638" spans="1:9" x14ac:dyDescent="0.35">
      <c r="A638" t="s">
        <v>1359</v>
      </c>
      <c r="B638" t="s">
        <v>1360</v>
      </c>
      <c r="C638" t="s">
        <v>1488</v>
      </c>
      <c r="D638" t="s">
        <v>34</v>
      </c>
      <c r="E638">
        <v>31</v>
      </c>
      <c r="F638" t="s">
        <v>13</v>
      </c>
      <c r="G638" t="s">
        <v>22</v>
      </c>
      <c r="H638" t="s">
        <v>23</v>
      </c>
      <c r="I638" t="s">
        <v>23</v>
      </c>
    </row>
    <row r="639" spans="1:9" x14ac:dyDescent="0.35">
      <c r="A639" t="s">
        <v>1361</v>
      </c>
      <c r="B639" t="s">
        <v>2135</v>
      </c>
      <c r="C639" t="s">
        <v>2840</v>
      </c>
      <c r="D639" t="s">
        <v>34</v>
      </c>
      <c r="E639">
        <v>52</v>
      </c>
      <c r="F639" t="s">
        <v>13</v>
      </c>
      <c r="G639" t="s">
        <v>22</v>
      </c>
      <c r="H639" t="s">
        <v>70</v>
      </c>
      <c r="I639" t="s">
        <v>70</v>
      </c>
    </row>
    <row r="640" spans="1:9" x14ac:dyDescent="0.35">
      <c r="A640" t="s">
        <v>1363</v>
      </c>
      <c r="B640" t="s">
        <v>670</v>
      </c>
      <c r="C640" t="s">
        <v>2841</v>
      </c>
      <c r="D640" t="s">
        <v>11</v>
      </c>
      <c r="E640" t="s">
        <v>624</v>
      </c>
      <c r="F640" t="s">
        <v>56</v>
      </c>
      <c r="G640" t="s">
        <v>14</v>
      </c>
      <c r="H640" t="s">
        <v>70</v>
      </c>
      <c r="I640" t="s">
        <v>44</v>
      </c>
    </row>
    <row r="641" spans="1:9" x14ac:dyDescent="0.35">
      <c r="A641" t="s">
        <v>1365</v>
      </c>
      <c r="B641" t="s">
        <v>2136</v>
      </c>
      <c r="C641" t="s">
        <v>2418</v>
      </c>
      <c r="D641" t="s">
        <v>140</v>
      </c>
      <c r="E641">
        <v>57</v>
      </c>
      <c r="F641" t="s">
        <v>56</v>
      </c>
      <c r="G641" t="s">
        <v>22</v>
      </c>
      <c r="H641" t="s">
        <v>57</v>
      </c>
      <c r="I641" t="s">
        <v>57</v>
      </c>
    </row>
    <row r="642" spans="1:9" x14ac:dyDescent="0.35">
      <c r="A642" t="s">
        <v>1368</v>
      </c>
      <c r="B642" t="s">
        <v>2137</v>
      </c>
      <c r="C642" t="s">
        <v>2842</v>
      </c>
      <c r="D642" t="s">
        <v>34</v>
      </c>
      <c r="E642">
        <v>54</v>
      </c>
      <c r="F642" t="s">
        <v>36</v>
      </c>
      <c r="G642" t="s">
        <v>37</v>
      </c>
      <c r="H642" t="s">
        <v>153</v>
      </c>
      <c r="I642" t="s">
        <v>38</v>
      </c>
    </row>
    <row r="643" spans="1:9" x14ac:dyDescent="0.35">
      <c r="A643" t="s">
        <v>1370</v>
      </c>
      <c r="B643" t="s">
        <v>1371</v>
      </c>
      <c r="C643" t="s">
        <v>651</v>
      </c>
      <c r="D643" t="s">
        <v>140</v>
      </c>
      <c r="E643">
        <v>47</v>
      </c>
      <c r="F643" t="s">
        <v>56</v>
      </c>
      <c r="G643" t="s">
        <v>37</v>
      </c>
      <c r="H643" t="s">
        <v>153</v>
      </c>
      <c r="I643" t="s">
        <v>38</v>
      </c>
    </row>
    <row r="644" spans="1:9" x14ac:dyDescent="0.35">
      <c r="A644" t="s">
        <v>1372</v>
      </c>
      <c r="B644" t="s">
        <v>1168</v>
      </c>
      <c r="C644" t="s">
        <v>2843</v>
      </c>
      <c r="D644" t="s">
        <v>34</v>
      </c>
      <c r="E644">
        <v>48</v>
      </c>
      <c r="F644" t="s">
        <v>56</v>
      </c>
      <c r="G644" t="s">
        <v>37</v>
      </c>
      <c r="H644" t="s">
        <v>96</v>
      </c>
      <c r="I644" t="s">
        <v>38</v>
      </c>
    </row>
    <row r="645" spans="1:9" x14ac:dyDescent="0.35">
      <c r="A645" t="s">
        <v>1374</v>
      </c>
      <c r="B645" t="s">
        <v>770</v>
      </c>
      <c r="C645" t="s">
        <v>2844</v>
      </c>
      <c r="D645" t="s">
        <v>112</v>
      </c>
      <c r="E645">
        <v>40</v>
      </c>
      <c r="F645" t="s">
        <v>56</v>
      </c>
      <c r="G645" t="s">
        <v>29</v>
      </c>
      <c r="H645" t="s">
        <v>23</v>
      </c>
      <c r="I645" t="s">
        <v>128</v>
      </c>
    </row>
    <row r="646" spans="1:9" x14ac:dyDescent="0.35">
      <c r="A646" t="s">
        <v>1375</v>
      </c>
      <c r="B646" t="s">
        <v>1114</v>
      </c>
      <c r="C646" t="s">
        <v>2845</v>
      </c>
      <c r="D646" t="s">
        <v>268</v>
      </c>
      <c r="E646">
        <v>36</v>
      </c>
      <c r="F646" t="s">
        <v>48</v>
      </c>
      <c r="G646" t="s">
        <v>37</v>
      </c>
      <c r="H646" t="s">
        <v>15</v>
      </c>
      <c r="I646" t="s">
        <v>38</v>
      </c>
    </row>
    <row r="647" spans="1:9" x14ac:dyDescent="0.35">
      <c r="A647" t="s">
        <v>1376</v>
      </c>
      <c r="B647" t="s">
        <v>2138</v>
      </c>
      <c r="C647" t="s">
        <v>2737</v>
      </c>
      <c r="D647" t="s">
        <v>34</v>
      </c>
      <c r="E647">
        <v>25</v>
      </c>
      <c r="F647" t="s">
        <v>56</v>
      </c>
      <c r="G647" t="s">
        <v>14</v>
      </c>
      <c r="H647" t="s">
        <v>57</v>
      </c>
      <c r="I647" t="s">
        <v>232</v>
      </c>
    </row>
    <row r="648" spans="1:9" x14ac:dyDescent="0.35">
      <c r="A648" t="s">
        <v>1378</v>
      </c>
      <c r="B648" t="s">
        <v>175</v>
      </c>
      <c r="C648" t="s">
        <v>2748</v>
      </c>
      <c r="D648" t="s">
        <v>26</v>
      </c>
      <c r="E648">
        <v>49</v>
      </c>
      <c r="F648" t="s">
        <v>56</v>
      </c>
      <c r="G648" t="s">
        <v>37</v>
      </c>
      <c r="H648" t="s">
        <v>57</v>
      </c>
      <c r="I648" t="s">
        <v>163</v>
      </c>
    </row>
    <row r="649" spans="1:9" x14ac:dyDescent="0.35">
      <c r="A649" t="s">
        <v>1379</v>
      </c>
      <c r="B649" t="s">
        <v>1380</v>
      </c>
      <c r="C649" t="s">
        <v>2846</v>
      </c>
      <c r="D649" t="s">
        <v>34</v>
      </c>
      <c r="E649">
        <v>62</v>
      </c>
      <c r="F649" t="s">
        <v>56</v>
      </c>
      <c r="G649" t="s">
        <v>37</v>
      </c>
      <c r="H649" t="s">
        <v>30</v>
      </c>
      <c r="I649" t="s">
        <v>15</v>
      </c>
    </row>
    <row r="650" spans="1:9" x14ac:dyDescent="0.35">
      <c r="A650" t="s">
        <v>1381</v>
      </c>
      <c r="B650" t="s">
        <v>2036</v>
      </c>
      <c r="C650" t="s">
        <v>1401</v>
      </c>
      <c r="D650" t="s">
        <v>112</v>
      </c>
      <c r="E650">
        <v>34</v>
      </c>
      <c r="F650" t="s">
        <v>62</v>
      </c>
      <c r="G650" t="s">
        <v>37</v>
      </c>
      <c r="H650" t="s">
        <v>57</v>
      </c>
      <c r="I650" t="s">
        <v>163</v>
      </c>
    </row>
    <row r="651" spans="1:9" x14ac:dyDescent="0.35">
      <c r="A651" t="s">
        <v>1383</v>
      </c>
      <c r="B651" t="s">
        <v>1275</v>
      </c>
      <c r="C651" t="s">
        <v>2847</v>
      </c>
      <c r="D651" t="s">
        <v>140</v>
      </c>
      <c r="E651">
        <v>19</v>
      </c>
      <c r="F651" t="s">
        <v>13</v>
      </c>
      <c r="G651" t="s">
        <v>37</v>
      </c>
      <c r="H651" t="s">
        <v>23</v>
      </c>
      <c r="I651" t="s">
        <v>107</v>
      </c>
    </row>
    <row r="652" spans="1:9" x14ac:dyDescent="0.35">
      <c r="A652" t="s">
        <v>1384</v>
      </c>
      <c r="B652" t="s">
        <v>2103</v>
      </c>
      <c r="C652" t="s">
        <v>2848</v>
      </c>
      <c r="D652" t="s">
        <v>112</v>
      </c>
      <c r="E652">
        <v>41</v>
      </c>
      <c r="F652" t="s">
        <v>56</v>
      </c>
      <c r="G652" t="s">
        <v>29</v>
      </c>
      <c r="H652" t="s">
        <v>43</v>
      </c>
      <c r="I652" t="s">
        <v>191</v>
      </c>
    </row>
    <row r="653" spans="1:9" x14ac:dyDescent="0.35">
      <c r="A653" t="s">
        <v>1385</v>
      </c>
      <c r="B653" t="s">
        <v>1386</v>
      </c>
      <c r="C653" t="s">
        <v>2849</v>
      </c>
      <c r="D653" t="s">
        <v>11</v>
      </c>
      <c r="E653" t="s">
        <v>1387</v>
      </c>
      <c r="F653" t="s">
        <v>28</v>
      </c>
      <c r="H653" t="s">
        <v>23</v>
      </c>
      <c r="I653" t="s">
        <v>79</v>
      </c>
    </row>
    <row r="654" spans="1:9" x14ac:dyDescent="0.35">
      <c r="A654" t="s">
        <v>1388</v>
      </c>
      <c r="B654" t="s">
        <v>992</v>
      </c>
      <c r="C654" t="s">
        <v>2850</v>
      </c>
      <c r="D654" t="s">
        <v>140</v>
      </c>
      <c r="E654">
        <v>59</v>
      </c>
      <c r="F654" t="s">
        <v>13</v>
      </c>
      <c r="G654" t="s">
        <v>37</v>
      </c>
      <c r="H654" t="s">
        <v>70</v>
      </c>
      <c r="I654" t="s">
        <v>71</v>
      </c>
    </row>
    <row r="655" spans="1:9" x14ac:dyDescent="0.35">
      <c r="A655" t="s">
        <v>1389</v>
      </c>
      <c r="B655" t="s">
        <v>193</v>
      </c>
      <c r="C655" t="s">
        <v>2851</v>
      </c>
      <c r="D655" t="s">
        <v>46</v>
      </c>
      <c r="E655">
        <v>46</v>
      </c>
      <c r="F655" t="s">
        <v>13</v>
      </c>
      <c r="G655" t="s">
        <v>22</v>
      </c>
      <c r="H655" t="s">
        <v>186</v>
      </c>
      <c r="I655" t="s">
        <v>23</v>
      </c>
    </row>
    <row r="656" spans="1:9" x14ac:dyDescent="0.35">
      <c r="A656" t="s">
        <v>1390</v>
      </c>
      <c r="B656" t="s">
        <v>1391</v>
      </c>
      <c r="C656" t="s">
        <v>304</v>
      </c>
      <c r="D656" t="s">
        <v>34</v>
      </c>
      <c r="E656" t="s">
        <v>726</v>
      </c>
      <c r="F656" t="s">
        <v>62</v>
      </c>
      <c r="G656" t="s">
        <v>37</v>
      </c>
      <c r="H656" t="s">
        <v>186</v>
      </c>
      <c r="I656" t="s">
        <v>107</v>
      </c>
    </row>
    <row r="657" spans="1:9" x14ac:dyDescent="0.35">
      <c r="A657" t="s">
        <v>1393</v>
      </c>
      <c r="B657" t="s">
        <v>670</v>
      </c>
      <c r="C657" t="s">
        <v>2819</v>
      </c>
      <c r="D657" t="s">
        <v>26</v>
      </c>
      <c r="E657">
        <v>21</v>
      </c>
      <c r="F657" t="s">
        <v>36</v>
      </c>
      <c r="G657" t="s">
        <v>14</v>
      </c>
      <c r="H657" t="s">
        <v>30</v>
      </c>
      <c r="I657" t="s">
        <v>38</v>
      </c>
    </row>
    <row r="658" spans="1:9" x14ac:dyDescent="0.35">
      <c r="A658" t="s">
        <v>1395</v>
      </c>
      <c r="B658" t="s">
        <v>1396</v>
      </c>
      <c r="C658" t="s">
        <v>2852</v>
      </c>
      <c r="D658" t="s">
        <v>26</v>
      </c>
      <c r="E658" t="s">
        <v>1398</v>
      </c>
      <c r="F658" t="s">
        <v>89</v>
      </c>
      <c r="G658" t="s">
        <v>37</v>
      </c>
      <c r="H658" t="s">
        <v>30</v>
      </c>
      <c r="I658" t="s">
        <v>15</v>
      </c>
    </row>
    <row r="659" spans="1:9" x14ac:dyDescent="0.35">
      <c r="A659" t="s">
        <v>1399</v>
      </c>
      <c r="B659" t="s">
        <v>1400</v>
      </c>
      <c r="C659" t="s">
        <v>2853</v>
      </c>
      <c r="D659" t="s">
        <v>46</v>
      </c>
      <c r="E659" t="s">
        <v>1402</v>
      </c>
      <c r="F659" t="s">
        <v>69</v>
      </c>
      <c r="G659" t="s">
        <v>14</v>
      </c>
      <c r="H659" t="s">
        <v>30</v>
      </c>
      <c r="I659" t="s">
        <v>38</v>
      </c>
    </row>
    <row r="660" spans="1:9" x14ac:dyDescent="0.35">
      <c r="A660" t="s">
        <v>1403</v>
      </c>
      <c r="B660" t="s">
        <v>1404</v>
      </c>
      <c r="C660" t="s">
        <v>2854</v>
      </c>
      <c r="D660" t="s">
        <v>26</v>
      </c>
      <c r="E660">
        <v>42</v>
      </c>
      <c r="F660" t="s">
        <v>56</v>
      </c>
      <c r="G660" t="s">
        <v>29</v>
      </c>
      <c r="H660" t="s">
        <v>70</v>
      </c>
      <c r="I660" t="s">
        <v>191</v>
      </c>
    </row>
    <row r="661" spans="1:9" x14ac:dyDescent="0.35">
      <c r="A661" t="s">
        <v>281</v>
      </c>
      <c r="B661" t="s">
        <v>1084</v>
      </c>
      <c r="C661" t="s">
        <v>2855</v>
      </c>
      <c r="D661" t="s">
        <v>26</v>
      </c>
      <c r="E661">
        <v>18</v>
      </c>
      <c r="F661" t="s">
        <v>69</v>
      </c>
      <c r="G661" t="s">
        <v>29</v>
      </c>
      <c r="H661" t="s">
        <v>30</v>
      </c>
      <c r="I661" t="s">
        <v>31</v>
      </c>
    </row>
    <row r="662" spans="1:9" x14ac:dyDescent="0.35">
      <c r="A662" t="s">
        <v>1406</v>
      </c>
      <c r="B662" t="s">
        <v>252</v>
      </c>
      <c r="C662" t="s">
        <v>2856</v>
      </c>
      <c r="D662" t="s">
        <v>34</v>
      </c>
      <c r="E662">
        <v>38</v>
      </c>
      <c r="F662" t="s">
        <v>13</v>
      </c>
      <c r="H662" t="s">
        <v>70</v>
      </c>
      <c r="I662" t="s">
        <v>70</v>
      </c>
    </row>
    <row r="663" spans="1:9" x14ac:dyDescent="0.35">
      <c r="A663" t="s">
        <v>1408</v>
      </c>
      <c r="B663" t="s">
        <v>1019</v>
      </c>
      <c r="C663" t="s">
        <v>2857</v>
      </c>
      <c r="D663" t="s">
        <v>112</v>
      </c>
      <c r="E663">
        <v>37</v>
      </c>
      <c r="F663" t="s">
        <v>109</v>
      </c>
      <c r="G663" t="s">
        <v>37</v>
      </c>
      <c r="H663" t="s">
        <v>100</v>
      </c>
      <c r="I663" t="s">
        <v>71</v>
      </c>
    </row>
    <row r="664" spans="1:9" x14ac:dyDescent="0.35">
      <c r="A664" t="s">
        <v>470</v>
      </c>
      <c r="B664" t="s">
        <v>471</v>
      </c>
      <c r="C664" t="s">
        <v>2858</v>
      </c>
      <c r="D664" t="s">
        <v>26</v>
      </c>
      <c r="E664">
        <v>28</v>
      </c>
      <c r="F664" t="s">
        <v>13</v>
      </c>
      <c r="G664" t="s">
        <v>22</v>
      </c>
      <c r="H664" t="s">
        <v>70</v>
      </c>
      <c r="I664" t="s">
        <v>70</v>
      </c>
    </row>
    <row r="665" spans="1:9" x14ac:dyDescent="0.35">
      <c r="A665" t="s">
        <v>1409</v>
      </c>
      <c r="B665" t="s">
        <v>81</v>
      </c>
      <c r="C665" t="s">
        <v>2439</v>
      </c>
      <c r="D665" t="s">
        <v>11</v>
      </c>
      <c r="E665">
        <v>45</v>
      </c>
      <c r="F665" t="s">
        <v>56</v>
      </c>
      <c r="G665" t="s">
        <v>37</v>
      </c>
      <c r="H665" t="s">
        <v>57</v>
      </c>
      <c r="I665" t="s">
        <v>163</v>
      </c>
    </row>
    <row r="666" spans="1:9" x14ac:dyDescent="0.35">
      <c r="A666" t="s">
        <v>1410</v>
      </c>
      <c r="B666" t="s">
        <v>1114</v>
      </c>
      <c r="C666" t="s">
        <v>2859</v>
      </c>
      <c r="D666" t="s">
        <v>112</v>
      </c>
      <c r="E666">
        <v>36</v>
      </c>
      <c r="F666" t="s">
        <v>48</v>
      </c>
      <c r="G666" t="s">
        <v>14</v>
      </c>
      <c r="H666" t="s">
        <v>75</v>
      </c>
      <c r="I666" t="s">
        <v>16</v>
      </c>
    </row>
    <row r="667" spans="1:9" x14ac:dyDescent="0.35">
      <c r="A667" t="s">
        <v>1411</v>
      </c>
      <c r="B667" t="s">
        <v>1412</v>
      </c>
      <c r="C667" t="s">
        <v>2197</v>
      </c>
      <c r="D667" t="s">
        <v>268</v>
      </c>
      <c r="E667">
        <v>27</v>
      </c>
      <c r="F667" t="s">
        <v>69</v>
      </c>
      <c r="G667" t="s">
        <v>29</v>
      </c>
      <c r="H667" t="s">
        <v>57</v>
      </c>
      <c r="I667" t="s">
        <v>85</v>
      </c>
    </row>
    <row r="668" spans="1:9" x14ac:dyDescent="0.35">
      <c r="A668" t="s">
        <v>1413</v>
      </c>
      <c r="B668" t="s">
        <v>2008</v>
      </c>
      <c r="C668" t="s">
        <v>2803</v>
      </c>
      <c r="D668" t="s">
        <v>11</v>
      </c>
      <c r="E668" t="s">
        <v>1414</v>
      </c>
      <c r="F668" t="s">
        <v>42</v>
      </c>
      <c r="G668" t="s">
        <v>29</v>
      </c>
      <c r="H668" t="s">
        <v>30</v>
      </c>
      <c r="I668" t="s">
        <v>31</v>
      </c>
    </row>
    <row r="669" spans="1:9" x14ac:dyDescent="0.35">
      <c r="A669" t="s">
        <v>1415</v>
      </c>
      <c r="B669" t="s">
        <v>1416</v>
      </c>
      <c r="C669" t="s">
        <v>2860</v>
      </c>
      <c r="D669" t="s">
        <v>34</v>
      </c>
      <c r="E669">
        <v>45</v>
      </c>
      <c r="F669" t="s">
        <v>69</v>
      </c>
      <c r="G669" t="s">
        <v>29</v>
      </c>
      <c r="H669" t="s">
        <v>57</v>
      </c>
      <c r="I669" t="s">
        <v>85</v>
      </c>
    </row>
    <row r="670" spans="1:9" x14ac:dyDescent="0.35">
      <c r="A670" t="s">
        <v>1417</v>
      </c>
      <c r="B670" t="s">
        <v>1418</v>
      </c>
      <c r="C670" t="s">
        <v>1965</v>
      </c>
      <c r="D670" t="s">
        <v>26</v>
      </c>
      <c r="E670">
        <v>36</v>
      </c>
      <c r="F670" t="s">
        <v>56</v>
      </c>
      <c r="G670" t="s">
        <v>37</v>
      </c>
      <c r="H670" t="s">
        <v>70</v>
      </c>
      <c r="I670" t="s">
        <v>71</v>
      </c>
    </row>
    <row r="671" spans="1:9" x14ac:dyDescent="0.35">
      <c r="A671" t="s">
        <v>1419</v>
      </c>
      <c r="B671" t="s">
        <v>327</v>
      </c>
      <c r="C671" t="s">
        <v>2861</v>
      </c>
      <c r="D671" t="s">
        <v>34</v>
      </c>
      <c r="E671">
        <v>32</v>
      </c>
      <c r="F671" t="s">
        <v>56</v>
      </c>
      <c r="G671" t="s">
        <v>14</v>
      </c>
      <c r="H671" t="s">
        <v>186</v>
      </c>
      <c r="I671" t="s">
        <v>79</v>
      </c>
    </row>
    <row r="672" spans="1:9" x14ac:dyDescent="0.35">
      <c r="A672" t="s">
        <v>1420</v>
      </c>
      <c r="B672" t="s">
        <v>2131</v>
      </c>
      <c r="C672" t="s">
        <v>1185</v>
      </c>
      <c r="D672" t="s">
        <v>34</v>
      </c>
      <c r="E672" t="s">
        <v>475</v>
      </c>
      <c r="F672" t="s">
        <v>89</v>
      </c>
      <c r="H672" t="s">
        <v>171</v>
      </c>
      <c r="I672" t="s">
        <v>30</v>
      </c>
    </row>
    <row r="673" spans="1:9" x14ac:dyDescent="0.35">
      <c r="A673" t="s">
        <v>1422</v>
      </c>
      <c r="B673" t="s">
        <v>570</v>
      </c>
      <c r="C673" t="s">
        <v>2862</v>
      </c>
      <c r="D673" t="s">
        <v>268</v>
      </c>
      <c r="E673">
        <v>21</v>
      </c>
      <c r="F673" t="s">
        <v>13</v>
      </c>
      <c r="G673" t="s">
        <v>37</v>
      </c>
      <c r="H673" t="s">
        <v>30</v>
      </c>
      <c r="I673" t="s">
        <v>15</v>
      </c>
    </row>
    <row r="674" spans="1:9" x14ac:dyDescent="0.35">
      <c r="A674" t="s">
        <v>1423</v>
      </c>
      <c r="B674" t="s">
        <v>798</v>
      </c>
      <c r="C674" t="s">
        <v>2863</v>
      </c>
      <c r="D674" t="s">
        <v>34</v>
      </c>
      <c r="E674">
        <v>40</v>
      </c>
      <c r="F674" t="s">
        <v>56</v>
      </c>
      <c r="G674" t="s">
        <v>29</v>
      </c>
      <c r="H674" t="s">
        <v>23</v>
      </c>
      <c r="I674" t="s">
        <v>128</v>
      </c>
    </row>
    <row r="675" spans="1:9" x14ac:dyDescent="0.35">
      <c r="A675" t="s">
        <v>1424</v>
      </c>
      <c r="B675" t="s">
        <v>1425</v>
      </c>
      <c r="C675" t="s">
        <v>2864</v>
      </c>
      <c r="D675" t="s">
        <v>34</v>
      </c>
      <c r="E675">
        <v>44</v>
      </c>
      <c r="F675" t="s">
        <v>42</v>
      </c>
      <c r="G675" t="s">
        <v>22</v>
      </c>
      <c r="H675" t="s">
        <v>70</v>
      </c>
      <c r="I675" t="s">
        <v>70</v>
      </c>
    </row>
    <row r="676" spans="1:9" x14ac:dyDescent="0.35">
      <c r="A676" t="s">
        <v>1426</v>
      </c>
      <c r="B676" t="s">
        <v>241</v>
      </c>
      <c r="C676" t="s">
        <v>2559</v>
      </c>
      <c r="D676" t="s">
        <v>268</v>
      </c>
      <c r="E676">
        <v>21</v>
      </c>
      <c r="F676" t="s">
        <v>99</v>
      </c>
      <c r="G676" t="s">
        <v>22</v>
      </c>
      <c r="H676" t="s">
        <v>57</v>
      </c>
      <c r="I676" t="s">
        <v>57</v>
      </c>
    </row>
    <row r="677" spans="1:9" x14ac:dyDescent="0.35">
      <c r="A677" t="s">
        <v>1427</v>
      </c>
      <c r="B677" t="s">
        <v>770</v>
      </c>
      <c r="C677" t="s">
        <v>2865</v>
      </c>
      <c r="D677" t="s">
        <v>26</v>
      </c>
      <c r="E677">
        <v>42</v>
      </c>
      <c r="F677" t="s">
        <v>36</v>
      </c>
      <c r="G677" t="s">
        <v>37</v>
      </c>
      <c r="I677" t="s">
        <v>15</v>
      </c>
    </row>
    <row r="678" spans="1:9" x14ac:dyDescent="0.35">
      <c r="A678" t="s">
        <v>1429</v>
      </c>
      <c r="B678" t="s">
        <v>2080</v>
      </c>
      <c r="C678" t="s">
        <v>2866</v>
      </c>
      <c r="D678" t="s">
        <v>46</v>
      </c>
      <c r="E678">
        <v>22</v>
      </c>
      <c r="F678" t="s">
        <v>56</v>
      </c>
      <c r="G678" t="s">
        <v>14</v>
      </c>
      <c r="H678" t="s">
        <v>23</v>
      </c>
      <c r="I678" t="s">
        <v>79</v>
      </c>
    </row>
    <row r="679" spans="1:9" x14ac:dyDescent="0.35">
      <c r="A679" t="s">
        <v>1431</v>
      </c>
      <c r="B679" t="s">
        <v>1432</v>
      </c>
      <c r="C679" t="s">
        <v>2867</v>
      </c>
      <c r="D679" t="s">
        <v>20</v>
      </c>
      <c r="E679">
        <v>48</v>
      </c>
      <c r="F679" t="s">
        <v>13</v>
      </c>
      <c r="G679" t="s">
        <v>29</v>
      </c>
      <c r="H679" t="s">
        <v>15</v>
      </c>
      <c r="I679" t="s">
        <v>130</v>
      </c>
    </row>
    <row r="680" spans="1:9" x14ac:dyDescent="0.35">
      <c r="A680" t="s">
        <v>1433</v>
      </c>
      <c r="B680" t="s">
        <v>1434</v>
      </c>
      <c r="C680" t="s">
        <v>2558</v>
      </c>
      <c r="D680" t="s">
        <v>26</v>
      </c>
      <c r="E680">
        <v>18</v>
      </c>
      <c r="F680" t="s">
        <v>62</v>
      </c>
      <c r="G680" t="s">
        <v>14</v>
      </c>
      <c r="H680" t="s">
        <v>57</v>
      </c>
      <c r="I680" t="s">
        <v>232</v>
      </c>
    </row>
    <row r="681" spans="1:9" x14ac:dyDescent="0.35">
      <c r="A681" t="s">
        <v>1436</v>
      </c>
      <c r="B681" t="s">
        <v>1209</v>
      </c>
      <c r="C681" t="s">
        <v>1520</v>
      </c>
      <c r="D681" t="s">
        <v>268</v>
      </c>
      <c r="E681">
        <v>29</v>
      </c>
      <c r="F681" t="s">
        <v>28</v>
      </c>
      <c r="G681" t="s">
        <v>37</v>
      </c>
      <c r="H681" t="s">
        <v>15</v>
      </c>
      <c r="I681" t="s">
        <v>38</v>
      </c>
    </row>
    <row r="682" spans="1:9" x14ac:dyDescent="0.35">
      <c r="A682" t="s">
        <v>1437</v>
      </c>
      <c r="B682" t="s">
        <v>1279</v>
      </c>
      <c r="C682" t="s">
        <v>2868</v>
      </c>
      <c r="D682" t="s">
        <v>26</v>
      </c>
      <c r="E682">
        <v>22</v>
      </c>
      <c r="F682" t="s">
        <v>13</v>
      </c>
      <c r="G682" t="s">
        <v>22</v>
      </c>
      <c r="H682" t="s">
        <v>84</v>
      </c>
      <c r="I682" t="s">
        <v>57</v>
      </c>
    </row>
    <row r="683" spans="1:9" x14ac:dyDescent="0.35">
      <c r="A683" t="s">
        <v>1438</v>
      </c>
      <c r="B683" t="s">
        <v>1497</v>
      </c>
      <c r="C683" t="s">
        <v>2869</v>
      </c>
      <c r="D683" t="s">
        <v>26</v>
      </c>
      <c r="E683">
        <v>22</v>
      </c>
      <c r="F683" t="s">
        <v>48</v>
      </c>
      <c r="G683" t="s">
        <v>29</v>
      </c>
      <c r="H683" t="s">
        <v>15</v>
      </c>
      <c r="I683" t="s">
        <v>130</v>
      </c>
    </row>
    <row r="684" spans="1:9" x14ac:dyDescent="0.35">
      <c r="A684" t="s">
        <v>1439</v>
      </c>
      <c r="B684" t="s">
        <v>1168</v>
      </c>
      <c r="C684" t="s">
        <v>2870</v>
      </c>
      <c r="D684" t="s">
        <v>26</v>
      </c>
      <c r="E684">
        <v>60</v>
      </c>
      <c r="F684" t="s">
        <v>56</v>
      </c>
      <c r="G684" t="s">
        <v>14</v>
      </c>
      <c r="H684" t="s">
        <v>23</v>
      </c>
      <c r="I684" t="s">
        <v>79</v>
      </c>
    </row>
    <row r="685" spans="1:9" x14ac:dyDescent="0.35">
      <c r="A685" t="s">
        <v>1440</v>
      </c>
      <c r="B685" t="s">
        <v>2139</v>
      </c>
      <c r="C685" t="s">
        <v>2871</v>
      </c>
      <c r="D685" t="s">
        <v>34</v>
      </c>
      <c r="E685">
        <v>60</v>
      </c>
      <c r="F685" t="s">
        <v>400</v>
      </c>
      <c r="H685" t="s">
        <v>15</v>
      </c>
      <c r="I685" t="s">
        <v>15</v>
      </c>
    </row>
    <row r="686" spans="1:9" x14ac:dyDescent="0.35">
      <c r="A686" t="s">
        <v>1442</v>
      </c>
      <c r="B686" t="s">
        <v>1443</v>
      </c>
      <c r="C686" t="s">
        <v>2872</v>
      </c>
      <c r="D686" t="s">
        <v>26</v>
      </c>
      <c r="E686">
        <v>27</v>
      </c>
      <c r="F686" t="s">
        <v>56</v>
      </c>
      <c r="G686" t="s">
        <v>14</v>
      </c>
      <c r="H686" t="s">
        <v>30</v>
      </c>
      <c r="I686" t="s">
        <v>38</v>
      </c>
    </row>
    <row r="687" spans="1:9" x14ac:dyDescent="0.35">
      <c r="A687" t="s">
        <v>1445</v>
      </c>
      <c r="B687" t="s">
        <v>1982</v>
      </c>
      <c r="C687" t="s">
        <v>1312</v>
      </c>
      <c r="D687" t="s">
        <v>11</v>
      </c>
      <c r="E687" t="s">
        <v>377</v>
      </c>
      <c r="F687" t="s">
        <v>400</v>
      </c>
      <c r="G687" t="s">
        <v>37</v>
      </c>
      <c r="H687" t="s">
        <v>23</v>
      </c>
      <c r="I687" t="s">
        <v>107</v>
      </c>
    </row>
    <row r="688" spans="1:9" x14ac:dyDescent="0.35">
      <c r="A688" t="s">
        <v>1446</v>
      </c>
      <c r="B688" t="s">
        <v>1304</v>
      </c>
      <c r="C688" t="s">
        <v>2873</v>
      </c>
      <c r="D688" t="s">
        <v>26</v>
      </c>
      <c r="E688">
        <v>51</v>
      </c>
      <c r="F688" t="s">
        <v>99</v>
      </c>
      <c r="G688" t="s">
        <v>14</v>
      </c>
      <c r="H688" t="s">
        <v>70</v>
      </c>
      <c r="I688" t="s">
        <v>44</v>
      </c>
    </row>
    <row r="689" spans="1:9" x14ac:dyDescent="0.35">
      <c r="A689" t="s">
        <v>1448</v>
      </c>
      <c r="B689" t="s">
        <v>653</v>
      </c>
      <c r="C689" t="s">
        <v>2874</v>
      </c>
      <c r="D689" t="s">
        <v>26</v>
      </c>
      <c r="E689">
        <v>55</v>
      </c>
      <c r="F689" t="s">
        <v>13</v>
      </c>
      <c r="G689" t="s">
        <v>14</v>
      </c>
      <c r="H689" t="s">
        <v>57</v>
      </c>
      <c r="I689" t="s">
        <v>232</v>
      </c>
    </row>
    <row r="690" spans="1:9" x14ac:dyDescent="0.35">
      <c r="A690" t="s">
        <v>1450</v>
      </c>
      <c r="B690" t="s">
        <v>2140</v>
      </c>
      <c r="C690" t="s">
        <v>1935</v>
      </c>
      <c r="D690" t="s">
        <v>26</v>
      </c>
      <c r="E690">
        <v>45</v>
      </c>
      <c r="F690" t="s">
        <v>13</v>
      </c>
      <c r="G690" t="s">
        <v>22</v>
      </c>
      <c r="H690" t="s">
        <v>70</v>
      </c>
      <c r="I690" t="s">
        <v>70</v>
      </c>
    </row>
    <row r="691" spans="1:9" x14ac:dyDescent="0.35">
      <c r="A691" t="s">
        <v>174</v>
      </c>
      <c r="B691" t="s">
        <v>175</v>
      </c>
      <c r="C691" t="s">
        <v>2875</v>
      </c>
      <c r="D691" t="s">
        <v>26</v>
      </c>
      <c r="E691">
        <v>59</v>
      </c>
      <c r="F691" t="s">
        <v>56</v>
      </c>
      <c r="G691" t="s">
        <v>22</v>
      </c>
      <c r="H691" t="s">
        <v>30</v>
      </c>
      <c r="I691" t="s">
        <v>30</v>
      </c>
    </row>
    <row r="692" spans="1:9" x14ac:dyDescent="0.35">
      <c r="A692" t="s">
        <v>1452</v>
      </c>
      <c r="B692" t="s">
        <v>606</v>
      </c>
      <c r="C692" t="s">
        <v>2876</v>
      </c>
      <c r="D692" t="s">
        <v>20</v>
      </c>
      <c r="E692">
        <v>38</v>
      </c>
      <c r="F692" t="s">
        <v>109</v>
      </c>
      <c r="G692" t="s">
        <v>29</v>
      </c>
      <c r="H692" t="s">
        <v>162</v>
      </c>
      <c r="I692" t="s">
        <v>85</v>
      </c>
    </row>
    <row r="693" spans="1:9" x14ac:dyDescent="0.35">
      <c r="A693" t="s">
        <v>1454</v>
      </c>
      <c r="B693" t="s">
        <v>1741</v>
      </c>
      <c r="C693" t="s">
        <v>2322</v>
      </c>
      <c r="D693" t="s">
        <v>26</v>
      </c>
      <c r="E693">
        <v>64</v>
      </c>
      <c r="F693" t="s">
        <v>89</v>
      </c>
      <c r="G693" t="s">
        <v>29</v>
      </c>
      <c r="H693" t="s">
        <v>15</v>
      </c>
      <c r="I693" t="s">
        <v>130</v>
      </c>
    </row>
    <row r="694" spans="1:9" x14ac:dyDescent="0.35">
      <c r="A694" t="s">
        <v>1455</v>
      </c>
      <c r="B694" t="s">
        <v>691</v>
      </c>
      <c r="C694" t="s">
        <v>2877</v>
      </c>
      <c r="D694" t="s">
        <v>20</v>
      </c>
      <c r="E694">
        <v>41</v>
      </c>
      <c r="F694" t="s">
        <v>13</v>
      </c>
      <c r="G694" t="s">
        <v>37</v>
      </c>
      <c r="H694" t="s">
        <v>70</v>
      </c>
      <c r="I694" t="s">
        <v>71</v>
      </c>
    </row>
    <row r="695" spans="1:9" x14ac:dyDescent="0.35">
      <c r="A695" t="s">
        <v>1457</v>
      </c>
      <c r="B695" t="s">
        <v>1458</v>
      </c>
      <c r="C695" t="s">
        <v>2878</v>
      </c>
      <c r="D695" t="s">
        <v>26</v>
      </c>
      <c r="E695">
        <v>56</v>
      </c>
      <c r="F695" t="s">
        <v>69</v>
      </c>
      <c r="G695" t="s">
        <v>29</v>
      </c>
      <c r="H695" t="s">
        <v>84</v>
      </c>
      <c r="I695" t="s">
        <v>85</v>
      </c>
    </row>
    <row r="696" spans="1:9" x14ac:dyDescent="0.35">
      <c r="A696" t="s">
        <v>1459</v>
      </c>
      <c r="B696" t="s">
        <v>1460</v>
      </c>
      <c r="C696" t="s">
        <v>2879</v>
      </c>
      <c r="D696" t="s">
        <v>26</v>
      </c>
      <c r="E696">
        <v>44</v>
      </c>
      <c r="F696" t="s">
        <v>13</v>
      </c>
      <c r="G696" t="s">
        <v>37</v>
      </c>
      <c r="H696" t="s">
        <v>180</v>
      </c>
      <c r="I696" t="s">
        <v>107</v>
      </c>
    </row>
    <row r="697" spans="1:9" x14ac:dyDescent="0.35">
      <c r="A697" t="s">
        <v>1462</v>
      </c>
      <c r="B697" t="s">
        <v>2141</v>
      </c>
      <c r="C697" t="s">
        <v>2880</v>
      </c>
      <c r="D697" t="s">
        <v>46</v>
      </c>
      <c r="E697">
        <v>42</v>
      </c>
      <c r="F697" t="s">
        <v>36</v>
      </c>
      <c r="G697" t="s">
        <v>14</v>
      </c>
      <c r="H697" t="s">
        <v>84</v>
      </c>
      <c r="I697" t="s">
        <v>232</v>
      </c>
    </row>
    <row r="698" spans="1:9" x14ac:dyDescent="0.35">
      <c r="A698" t="s">
        <v>1463</v>
      </c>
      <c r="B698" t="s">
        <v>2142</v>
      </c>
      <c r="C698" t="s">
        <v>2881</v>
      </c>
      <c r="D698" t="s">
        <v>268</v>
      </c>
      <c r="E698">
        <v>38</v>
      </c>
      <c r="F698" t="s">
        <v>56</v>
      </c>
      <c r="G698" t="s">
        <v>29</v>
      </c>
      <c r="H698" t="s">
        <v>70</v>
      </c>
      <c r="I698" t="s">
        <v>191</v>
      </c>
    </row>
    <row r="699" spans="1:9" x14ac:dyDescent="0.35">
      <c r="A699" t="s">
        <v>1464</v>
      </c>
      <c r="B699" t="s">
        <v>1465</v>
      </c>
      <c r="C699" t="s">
        <v>103</v>
      </c>
      <c r="D699" t="s">
        <v>34</v>
      </c>
      <c r="E699">
        <v>21</v>
      </c>
      <c r="F699" t="s">
        <v>434</v>
      </c>
      <c r="G699" t="s">
        <v>37</v>
      </c>
      <c r="H699" t="s">
        <v>162</v>
      </c>
      <c r="I699" t="s">
        <v>163</v>
      </c>
    </row>
    <row r="700" spans="1:9" x14ac:dyDescent="0.35">
      <c r="A700" t="s">
        <v>1466</v>
      </c>
      <c r="B700" t="s">
        <v>1391</v>
      </c>
      <c r="C700" t="s">
        <v>2882</v>
      </c>
      <c r="D700" t="s">
        <v>20</v>
      </c>
      <c r="E700">
        <v>61</v>
      </c>
      <c r="F700" t="s">
        <v>42</v>
      </c>
      <c r="G700" t="s">
        <v>29</v>
      </c>
      <c r="H700" t="s">
        <v>70</v>
      </c>
      <c r="I700" t="s">
        <v>191</v>
      </c>
    </row>
    <row r="701" spans="1:9" x14ac:dyDescent="0.35">
      <c r="A701" t="s">
        <v>366</v>
      </c>
      <c r="B701" t="s">
        <v>2023</v>
      </c>
      <c r="C701" t="s">
        <v>2883</v>
      </c>
      <c r="D701" t="s">
        <v>140</v>
      </c>
      <c r="E701">
        <v>62</v>
      </c>
      <c r="F701" t="s">
        <v>124</v>
      </c>
      <c r="G701" t="s">
        <v>37</v>
      </c>
      <c r="H701" t="s">
        <v>371</v>
      </c>
      <c r="I701" t="s">
        <v>15</v>
      </c>
    </row>
    <row r="702" spans="1:9" x14ac:dyDescent="0.35">
      <c r="A702" t="s">
        <v>1468</v>
      </c>
      <c r="B702" t="s">
        <v>54</v>
      </c>
      <c r="C702" t="s">
        <v>2884</v>
      </c>
      <c r="D702" t="s">
        <v>34</v>
      </c>
      <c r="E702">
        <v>27</v>
      </c>
      <c r="F702" t="s">
        <v>109</v>
      </c>
      <c r="G702" t="s">
        <v>14</v>
      </c>
      <c r="H702" t="s">
        <v>30</v>
      </c>
      <c r="I702" t="s">
        <v>38</v>
      </c>
    </row>
    <row r="703" spans="1:9" x14ac:dyDescent="0.35">
      <c r="A703" t="s">
        <v>1469</v>
      </c>
      <c r="B703" t="s">
        <v>590</v>
      </c>
      <c r="C703" t="s">
        <v>2885</v>
      </c>
      <c r="D703" t="s">
        <v>34</v>
      </c>
      <c r="E703">
        <v>64</v>
      </c>
      <c r="F703" t="s">
        <v>99</v>
      </c>
      <c r="G703" t="s">
        <v>14</v>
      </c>
      <c r="H703" t="s">
        <v>70</v>
      </c>
      <c r="I703" t="s">
        <v>44</v>
      </c>
    </row>
    <row r="704" spans="1:9" x14ac:dyDescent="0.35">
      <c r="A704" t="s">
        <v>1470</v>
      </c>
      <c r="B704" t="s">
        <v>1282</v>
      </c>
      <c r="C704" t="s">
        <v>2886</v>
      </c>
      <c r="D704" t="s">
        <v>34</v>
      </c>
      <c r="E704">
        <v>21</v>
      </c>
      <c r="F704" t="s">
        <v>69</v>
      </c>
      <c r="G704" t="s">
        <v>29</v>
      </c>
      <c r="H704" t="s">
        <v>57</v>
      </c>
      <c r="I704" t="s">
        <v>85</v>
      </c>
    </row>
    <row r="705" spans="1:9" x14ac:dyDescent="0.35">
      <c r="A705" t="s">
        <v>1472</v>
      </c>
      <c r="B705" t="s">
        <v>1473</v>
      </c>
      <c r="C705" t="s">
        <v>2887</v>
      </c>
      <c r="D705" t="s">
        <v>34</v>
      </c>
      <c r="E705">
        <v>22</v>
      </c>
      <c r="F705" t="s">
        <v>13</v>
      </c>
      <c r="G705" t="s">
        <v>22</v>
      </c>
      <c r="I705" t="s">
        <v>23</v>
      </c>
    </row>
    <row r="706" spans="1:9" x14ac:dyDescent="0.35">
      <c r="A706" t="s">
        <v>1474</v>
      </c>
      <c r="B706" t="s">
        <v>953</v>
      </c>
      <c r="C706" t="s">
        <v>2888</v>
      </c>
      <c r="D706" t="s">
        <v>34</v>
      </c>
      <c r="E706">
        <v>43</v>
      </c>
      <c r="F706" t="s">
        <v>89</v>
      </c>
      <c r="G706" t="s">
        <v>37</v>
      </c>
      <c r="H706" t="s">
        <v>57</v>
      </c>
      <c r="I706" t="s">
        <v>163</v>
      </c>
    </row>
    <row r="707" spans="1:9" x14ac:dyDescent="0.35">
      <c r="A707" t="s">
        <v>1476</v>
      </c>
      <c r="B707" t="s">
        <v>1477</v>
      </c>
      <c r="C707" t="s">
        <v>2889</v>
      </c>
      <c r="D707" t="s">
        <v>26</v>
      </c>
      <c r="E707">
        <v>43</v>
      </c>
      <c r="F707" t="s">
        <v>13</v>
      </c>
      <c r="G707" t="s">
        <v>37</v>
      </c>
      <c r="H707" t="s">
        <v>30</v>
      </c>
      <c r="I707" t="s">
        <v>15</v>
      </c>
    </row>
    <row r="708" spans="1:9" x14ac:dyDescent="0.35">
      <c r="A708" t="s">
        <v>1103</v>
      </c>
      <c r="B708" t="s">
        <v>452</v>
      </c>
      <c r="C708" t="s">
        <v>2890</v>
      </c>
      <c r="D708" t="s">
        <v>20</v>
      </c>
      <c r="E708">
        <v>31</v>
      </c>
      <c r="F708" t="s">
        <v>56</v>
      </c>
      <c r="G708" t="s">
        <v>14</v>
      </c>
      <c r="H708" t="s">
        <v>15</v>
      </c>
      <c r="I708" t="s">
        <v>16</v>
      </c>
    </row>
    <row r="709" spans="1:9" x14ac:dyDescent="0.35">
      <c r="A709" t="s">
        <v>1479</v>
      </c>
      <c r="B709" t="s">
        <v>1480</v>
      </c>
      <c r="C709" t="s">
        <v>2763</v>
      </c>
      <c r="D709" t="s">
        <v>34</v>
      </c>
      <c r="E709">
        <v>41</v>
      </c>
      <c r="F709" t="s">
        <v>56</v>
      </c>
      <c r="G709" t="s">
        <v>14</v>
      </c>
      <c r="H709" t="s">
        <v>70</v>
      </c>
      <c r="I709" t="s">
        <v>44</v>
      </c>
    </row>
    <row r="710" spans="1:9" x14ac:dyDescent="0.35">
      <c r="A710" t="s">
        <v>1482</v>
      </c>
      <c r="B710" t="s">
        <v>1235</v>
      </c>
      <c r="C710" t="s">
        <v>2392</v>
      </c>
      <c r="D710" t="s">
        <v>112</v>
      </c>
      <c r="E710">
        <v>25</v>
      </c>
      <c r="F710" t="s">
        <v>13</v>
      </c>
      <c r="G710" t="s">
        <v>22</v>
      </c>
      <c r="H710" t="s">
        <v>23</v>
      </c>
      <c r="I710" t="s">
        <v>23</v>
      </c>
    </row>
    <row r="711" spans="1:9" x14ac:dyDescent="0.35">
      <c r="A711" t="s">
        <v>1483</v>
      </c>
      <c r="B711" t="s">
        <v>741</v>
      </c>
      <c r="C711" t="s">
        <v>2891</v>
      </c>
      <c r="D711" t="s">
        <v>34</v>
      </c>
      <c r="E711">
        <v>43</v>
      </c>
      <c r="F711" t="s">
        <v>109</v>
      </c>
      <c r="G711" t="s">
        <v>14</v>
      </c>
      <c r="H711" t="s">
        <v>57</v>
      </c>
      <c r="I711" t="s">
        <v>232</v>
      </c>
    </row>
    <row r="712" spans="1:9" x14ac:dyDescent="0.35">
      <c r="A712" t="s">
        <v>1484</v>
      </c>
      <c r="B712" t="s">
        <v>1485</v>
      </c>
      <c r="C712" t="s">
        <v>2892</v>
      </c>
      <c r="D712" t="s">
        <v>34</v>
      </c>
      <c r="E712">
        <v>63</v>
      </c>
      <c r="F712" t="s">
        <v>89</v>
      </c>
      <c r="G712" t="s">
        <v>14</v>
      </c>
      <c r="H712" t="s">
        <v>57</v>
      </c>
      <c r="I712" t="s">
        <v>232</v>
      </c>
    </row>
    <row r="713" spans="1:9" x14ac:dyDescent="0.35">
      <c r="A713" t="s">
        <v>1486</v>
      </c>
      <c r="B713" t="s">
        <v>518</v>
      </c>
      <c r="C713" t="s">
        <v>2893</v>
      </c>
      <c r="D713" t="s">
        <v>11</v>
      </c>
      <c r="E713">
        <v>62</v>
      </c>
      <c r="F713" t="s">
        <v>36</v>
      </c>
      <c r="G713" t="s">
        <v>14</v>
      </c>
      <c r="H713" t="s">
        <v>70</v>
      </c>
      <c r="I713" t="s">
        <v>44</v>
      </c>
    </row>
    <row r="714" spans="1:9" x14ac:dyDescent="0.35">
      <c r="A714" t="s">
        <v>1487</v>
      </c>
      <c r="B714" t="s">
        <v>1460</v>
      </c>
      <c r="C714" t="s">
        <v>2894</v>
      </c>
      <c r="D714" t="s">
        <v>34</v>
      </c>
      <c r="E714" t="s">
        <v>1489</v>
      </c>
      <c r="F714" t="s">
        <v>56</v>
      </c>
      <c r="G714" t="s">
        <v>22</v>
      </c>
      <c r="H714" t="s">
        <v>30</v>
      </c>
      <c r="I714" t="s">
        <v>30</v>
      </c>
    </row>
    <row r="715" spans="1:9" x14ac:dyDescent="0.35">
      <c r="A715" t="s">
        <v>1490</v>
      </c>
      <c r="B715" t="s">
        <v>1491</v>
      </c>
      <c r="C715" t="s">
        <v>2895</v>
      </c>
      <c r="D715" t="s">
        <v>26</v>
      </c>
      <c r="E715">
        <v>46</v>
      </c>
      <c r="F715" t="s">
        <v>48</v>
      </c>
      <c r="G715" t="s">
        <v>29</v>
      </c>
      <c r="H715" t="s">
        <v>186</v>
      </c>
    </row>
    <row r="716" spans="1:9" x14ac:dyDescent="0.35">
      <c r="A716" t="s">
        <v>1492</v>
      </c>
      <c r="B716" t="s">
        <v>1493</v>
      </c>
      <c r="C716" t="s">
        <v>2896</v>
      </c>
      <c r="D716" t="s">
        <v>34</v>
      </c>
      <c r="E716">
        <v>54</v>
      </c>
      <c r="F716" t="s">
        <v>56</v>
      </c>
      <c r="G716" t="s">
        <v>29</v>
      </c>
      <c r="H716" t="s">
        <v>30</v>
      </c>
      <c r="I716" t="s">
        <v>31</v>
      </c>
    </row>
    <row r="717" spans="1:9" x14ac:dyDescent="0.35">
      <c r="A717" t="s">
        <v>1494</v>
      </c>
      <c r="B717" t="s">
        <v>1495</v>
      </c>
      <c r="C717" t="s">
        <v>2897</v>
      </c>
      <c r="D717" t="s">
        <v>11</v>
      </c>
      <c r="E717">
        <v>41</v>
      </c>
      <c r="F717" t="s">
        <v>36</v>
      </c>
      <c r="G717" t="s">
        <v>29</v>
      </c>
      <c r="H717" t="s">
        <v>57</v>
      </c>
      <c r="I717" t="s">
        <v>85</v>
      </c>
    </row>
    <row r="718" spans="1:9" x14ac:dyDescent="0.35">
      <c r="A718" t="s">
        <v>1496</v>
      </c>
      <c r="B718" t="s">
        <v>1497</v>
      </c>
      <c r="C718" t="s">
        <v>2898</v>
      </c>
      <c r="D718" t="s">
        <v>26</v>
      </c>
      <c r="E718">
        <v>47</v>
      </c>
      <c r="F718" t="s">
        <v>56</v>
      </c>
      <c r="G718" t="s">
        <v>14</v>
      </c>
      <c r="H718" t="s">
        <v>70</v>
      </c>
      <c r="I718" t="s">
        <v>44</v>
      </c>
    </row>
    <row r="719" spans="1:9" x14ac:dyDescent="0.35">
      <c r="A719" t="s">
        <v>1498</v>
      </c>
      <c r="B719" t="s">
        <v>2097</v>
      </c>
      <c r="C719" t="s">
        <v>2672</v>
      </c>
      <c r="D719" t="s">
        <v>26</v>
      </c>
      <c r="E719">
        <v>44</v>
      </c>
      <c r="F719" t="s">
        <v>56</v>
      </c>
      <c r="G719" t="s">
        <v>14</v>
      </c>
      <c r="H719" t="s">
        <v>171</v>
      </c>
      <c r="I719" t="s">
        <v>38</v>
      </c>
    </row>
    <row r="720" spans="1:9" x14ac:dyDescent="0.35">
      <c r="A720" t="s">
        <v>1499</v>
      </c>
      <c r="B720" t="s">
        <v>1045</v>
      </c>
      <c r="C720" t="s">
        <v>2899</v>
      </c>
      <c r="D720" t="s">
        <v>20</v>
      </c>
      <c r="E720">
        <v>62</v>
      </c>
      <c r="F720" t="s">
        <v>13</v>
      </c>
      <c r="G720" t="s">
        <v>14</v>
      </c>
      <c r="H720" t="s">
        <v>15</v>
      </c>
      <c r="I720" t="s">
        <v>16</v>
      </c>
    </row>
    <row r="721" spans="1:9" x14ac:dyDescent="0.35">
      <c r="A721" t="s">
        <v>1501</v>
      </c>
      <c r="B721" t="s">
        <v>1502</v>
      </c>
      <c r="C721" t="s">
        <v>2900</v>
      </c>
      <c r="D721" t="s">
        <v>26</v>
      </c>
      <c r="E721" t="s">
        <v>845</v>
      </c>
      <c r="F721" t="s">
        <v>13</v>
      </c>
      <c r="G721" t="s">
        <v>29</v>
      </c>
      <c r="H721" t="s">
        <v>186</v>
      </c>
      <c r="I721" t="s">
        <v>128</v>
      </c>
    </row>
    <row r="722" spans="1:9" x14ac:dyDescent="0.35">
      <c r="A722" t="s">
        <v>1503</v>
      </c>
      <c r="B722" t="s">
        <v>861</v>
      </c>
      <c r="C722" t="s">
        <v>2554</v>
      </c>
      <c r="D722" t="s">
        <v>20</v>
      </c>
      <c r="E722">
        <v>23</v>
      </c>
      <c r="F722" t="s">
        <v>13</v>
      </c>
      <c r="G722" t="s">
        <v>37</v>
      </c>
      <c r="H722" t="s">
        <v>70</v>
      </c>
      <c r="I722" t="s">
        <v>71</v>
      </c>
    </row>
    <row r="723" spans="1:9" x14ac:dyDescent="0.35">
      <c r="A723" t="s">
        <v>1505</v>
      </c>
      <c r="B723" t="s">
        <v>1506</v>
      </c>
      <c r="C723" t="s">
        <v>2901</v>
      </c>
      <c r="D723" t="s">
        <v>34</v>
      </c>
      <c r="E723">
        <v>31</v>
      </c>
      <c r="F723" t="s">
        <v>13</v>
      </c>
      <c r="G723" t="s">
        <v>22</v>
      </c>
      <c r="H723" t="s">
        <v>43</v>
      </c>
      <c r="I723" t="s">
        <v>70</v>
      </c>
    </row>
    <row r="724" spans="1:9" x14ac:dyDescent="0.35">
      <c r="A724" t="s">
        <v>1379</v>
      </c>
      <c r="B724" t="s">
        <v>1380</v>
      </c>
      <c r="C724" t="s">
        <v>2902</v>
      </c>
      <c r="D724" t="s">
        <v>34</v>
      </c>
      <c r="E724">
        <v>62</v>
      </c>
      <c r="F724" t="s">
        <v>56</v>
      </c>
      <c r="G724" t="s">
        <v>37</v>
      </c>
      <c r="H724" t="s">
        <v>30</v>
      </c>
      <c r="I724" t="s">
        <v>15</v>
      </c>
    </row>
    <row r="725" spans="1:9" x14ac:dyDescent="0.35">
      <c r="A725" t="s">
        <v>1507</v>
      </c>
      <c r="B725" t="s">
        <v>237</v>
      </c>
      <c r="C725" t="s">
        <v>2903</v>
      </c>
      <c r="D725" t="s">
        <v>34</v>
      </c>
      <c r="E725">
        <v>52</v>
      </c>
      <c r="F725" t="s">
        <v>13</v>
      </c>
      <c r="G725" t="s">
        <v>37</v>
      </c>
      <c r="H725" t="s">
        <v>171</v>
      </c>
      <c r="I725" t="s">
        <v>15</v>
      </c>
    </row>
    <row r="726" spans="1:9" x14ac:dyDescent="0.35">
      <c r="A726" t="s">
        <v>1508</v>
      </c>
      <c r="B726" t="s">
        <v>1400</v>
      </c>
      <c r="C726" t="s">
        <v>2904</v>
      </c>
      <c r="D726" t="s">
        <v>268</v>
      </c>
      <c r="E726">
        <v>34</v>
      </c>
      <c r="F726" t="s">
        <v>69</v>
      </c>
      <c r="G726" t="s">
        <v>22</v>
      </c>
      <c r="H726" t="s">
        <v>23</v>
      </c>
      <c r="I726" t="s">
        <v>23</v>
      </c>
    </row>
    <row r="727" spans="1:9" x14ac:dyDescent="0.35">
      <c r="A727" t="s">
        <v>1509</v>
      </c>
      <c r="B727" t="s">
        <v>1510</v>
      </c>
      <c r="C727" t="s">
        <v>2905</v>
      </c>
      <c r="D727" t="s">
        <v>26</v>
      </c>
      <c r="E727">
        <v>63</v>
      </c>
      <c r="F727" t="s">
        <v>13</v>
      </c>
      <c r="H727" t="s">
        <v>30</v>
      </c>
      <c r="I727" t="s">
        <v>15</v>
      </c>
    </row>
    <row r="728" spans="1:9" x14ac:dyDescent="0.35">
      <c r="A728" t="s">
        <v>1511</v>
      </c>
      <c r="B728" t="s">
        <v>1043</v>
      </c>
      <c r="C728" t="s">
        <v>2906</v>
      </c>
      <c r="D728" t="s">
        <v>11</v>
      </c>
      <c r="E728">
        <v>46</v>
      </c>
      <c r="F728" t="s">
        <v>109</v>
      </c>
      <c r="G728" t="s">
        <v>22</v>
      </c>
      <c r="H728" t="s">
        <v>84</v>
      </c>
      <c r="I728" t="s">
        <v>57</v>
      </c>
    </row>
    <row r="729" spans="1:9" x14ac:dyDescent="0.35">
      <c r="A729" t="s">
        <v>1512</v>
      </c>
      <c r="B729" t="s">
        <v>2042</v>
      </c>
      <c r="C729" t="s">
        <v>2907</v>
      </c>
      <c r="D729" t="s">
        <v>26</v>
      </c>
      <c r="E729">
        <v>55</v>
      </c>
      <c r="F729" t="s">
        <v>99</v>
      </c>
      <c r="G729" t="s">
        <v>29</v>
      </c>
      <c r="H729" t="s">
        <v>57</v>
      </c>
      <c r="I729" t="s">
        <v>85</v>
      </c>
    </row>
    <row r="730" spans="1:9" x14ac:dyDescent="0.35">
      <c r="A730" t="s">
        <v>1513</v>
      </c>
      <c r="B730" t="s">
        <v>1514</v>
      </c>
      <c r="C730" t="s">
        <v>2908</v>
      </c>
      <c r="D730" t="s">
        <v>34</v>
      </c>
      <c r="E730">
        <v>21</v>
      </c>
      <c r="F730" t="s">
        <v>28</v>
      </c>
      <c r="G730" t="s">
        <v>14</v>
      </c>
      <c r="H730" t="s">
        <v>15</v>
      </c>
      <c r="I730" t="s">
        <v>16</v>
      </c>
    </row>
    <row r="731" spans="1:9" x14ac:dyDescent="0.35">
      <c r="A731" t="s">
        <v>101</v>
      </c>
      <c r="B731" t="s">
        <v>102</v>
      </c>
      <c r="C731" t="s">
        <v>2909</v>
      </c>
      <c r="D731" t="s">
        <v>26</v>
      </c>
      <c r="E731">
        <v>27</v>
      </c>
      <c r="F731" t="s">
        <v>28</v>
      </c>
      <c r="G731" t="s">
        <v>22</v>
      </c>
      <c r="H731" t="s">
        <v>49</v>
      </c>
      <c r="I731" t="s">
        <v>30</v>
      </c>
    </row>
    <row r="732" spans="1:9" x14ac:dyDescent="0.35">
      <c r="A732" t="s">
        <v>1515</v>
      </c>
      <c r="B732" t="s">
        <v>1516</v>
      </c>
      <c r="C732" t="s">
        <v>2910</v>
      </c>
      <c r="D732" t="s">
        <v>34</v>
      </c>
      <c r="E732">
        <v>47</v>
      </c>
      <c r="F732" t="s">
        <v>13</v>
      </c>
      <c r="G732" t="s">
        <v>37</v>
      </c>
      <c r="H732" t="s">
        <v>23</v>
      </c>
      <c r="I732" t="s">
        <v>107</v>
      </c>
    </row>
    <row r="733" spans="1:9" x14ac:dyDescent="0.35">
      <c r="A733" t="s">
        <v>1517</v>
      </c>
      <c r="B733" t="s">
        <v>1518</v>
      </c>
      <c r="C733" t="s">
        <v>2911</v>
      </c>
      <c r="D733" t="s">
        <v>34</v>
      </c>
      <c r="E733">
        <v>51</v>
      </c>
      <c r="F733" t="s">
        <v>56</v>
      </c>
      <c r="G733" t="s">
        <v>29</v>
      </c>
      <c r="H733" t="s">
        <v>57</v>
      </c>
      <c r="I733" t="s">
        <v>85</v>
      </c>
    </row>
    <row r="734" spans="1:9" x14ac:dyDescent="0.35">
      <c r="A734" t="s">
        <v>1519</v>
      </c>
      <c r="B734" t="s">
        <v>303</v>
      </c>
      <c r="C734" t="s">
        <v>2912</v>
      </c>
      <c r="D734" t="s">
        <v>11</v>
      </c>
      <c r="E734">
        <v>43</v>
      </c>
      <c r="F734" t="s">
        <v>99</v>
      </c>
      <c r="G734" t="s">
        <v>29</v>
      </c>
      <c r="H734" t="s">
        <v>23</v>
      </c>
    </row>
    <row r="735" spans="1:9" x14ac:dyDescent="0.35">
      <c r="A735" t="s">
        <v>1521</v>
      </c>
      <c r="B735" t="s">
        <v>2142</v>
      </c>
      <c r="C735" t="s">
        <v>2913</v>
      </c>
      <c r="D735" t="s">
        <v>34</v>
      </c>
      <c r="E735">
        <v>42</v>
      </c>
      <c r="F735" t="s">
        <v>69</v>
      </c>
      <c r="G735" t="s">
        <v>22</v>
      </c>
      <c r="H735" t="s">
        <v>100</v>
      </c>
      <c r="I735" t="s">
        <v>70</v>
      </c>
    </row>
    <row r="736" spans="1:9" x14ac:dyDescent="0.35">
      <c r="A736" t="s">
        <v>1522</v>
      </c>
      <c r="B736" t="s">
        <v>1400</v>
      </c>
      <c r="C736" t="s">
        <v>2914</v>
      </c>
      <c r="D736" t="s">
        <v>34</v>
      </c>
      <c r="E736">
        <v>54</v>
      </c>
      <c r="F736" t="s">
        <v>99</v>
      </c>
      <c r="G736" t="s">
        <v>37</v>
      </c>
      <c r="H736" t="s">
        <v>30</v>
      </c>
      <c r="I736" t="s">
        <v>15</v>
      </c>
    </row>
    <row r="737" spans="1:9" x14ac:dyDescent="0.35">
      <c r="A737" t="s">
        <v>1523</v>
      </c>
      <c r="B737" t="s">
        <v>805</v>
      </c>
      <c r="C737" t="s">
        <v>1329</v>
      </c>
      <c r="D737" t="s">
        <v>34</v>
      </c>
      <c r="E737">
        <v>25</v>
      </c>
      <c r="F737" t="s">
        <v>13</v>
      </c>
      <c r="G737" t="s">
        <v>22</v>
      </c>
      <c r="H737" t="s">
        <v>23</v>
      </c>
      <c r="I737" t="s">
        <v>23</v>
      </c>
    </row>
    <row r="738" spans="1:9" x14ac:dyDescent="0.35">
      <c r="A738" t="s">
        <v>1525</v>
      </c>
      <c r="B738" t="s">
        <v>1526</v>
      </c>
      <c r="C738" t="s">
        <v>2915</v>
      </c>
      <c r="D738" t="s">
        <v>140</v>
      </c>
      <c r="E738">
        <v>21</v>
      </c>
      <c r="F738" t="s">
        <v>36</v>
      </c>
      <c r="G738" t="s">
        <v>22</v>
      </c>
      <c r="H738" t="s">
        <v>57</v>
      </c>
      <c r="I738" t="s">
        <v>57</v>
      </c>
    </row>
    <row r="739" spans="1:9" x14ac:dyDescent="0.35">
      <c r="A739" t="s">
        <v>1527</v>
      </c>
      <c r="B739" t="s">
        <v>2040</v>
      </c>
      <c r="C739" t="s">
        <v>2916</v>
      </c>
      <c r="D739" t="s">
        <v>26</v>
      </c>
      <c r="E739">
        <v>47</v>
      </c>
      <c r="F739" t="s">
        <v>56</v>
      </c>
      <c r="G739" t="s">
        <v>29</v>
      </c>
      <c r="H739" t="s">
        <v>162</v>
      </c>
      <c r="I739" t="s">
        <v>85</v>
      </c>
    </row>
    <row r="740" spans="1:9" x14ac:dyDescent="0.35">
      <c r="A740" t="s">
        <v>1528</v>
      </c>
      <c r="B740" t="s">
        <v>2143</v>
      </c>
      <c r="C740" t="s">
        <v>2917</v>
      </c>
      <c r="D740" t="s">
        <v>26</v>
      </c>
      <c r="E740" t="s">
        <v>239</v>
      </c>
      <c r="F740" t="s">
        <v>56</v>
      </c>
      <c r="G740" t="s">
        <v>22</v>
      </c>
      <c r="H740" t="s">
        <v>15</v>
      </c>
      <c r="I740" t="s">
        <v>15</v>
      </c>
    </row>
    <row r="741" spans="1:9" x14ac:dyDescent="0.35">
      <c r="A741" t="s">
        <v>1523</v>
      </c>
      <c r="B741" t="s">
        <v>805</v>
      </c>
      <c r="C741" t="s">
        <v>2918</v>
      </c>
      <c r="D741" t="s">
        <v>34</v>
      </c>
      <c r="E741">
        <v>25</v>
      </c>
      <c r="F741" t="s">
        <v>13</v>
      </c>
      <c r="G741" t="s">
        <v>22</v>
      </c>
      <c r="H741" t="s">
        <v>23</v>
      </c>
      <c r="I741" t="s">
        <v>23</v>
      </c>
    </row>
    <row r="742" spans="1:9" x14ac:dyDescent="0.35">
      <c r="A742" t="s">
        <v>1530</v>
      </c>
      <c r="B742" t="s">
        <v>1531</v>
      </c>
      <c r="C742" t="s">
        <v>2919</v>
      </c>
      <c r="D742" t="s">
        <v>34</v>
      </c>
      <c r="E742">
        <v>41</v>
      </c>
      <c r="F742" t="s">
        <v>13</v>
      </c>
      <c r="G742" t="s">
        <v>22</v>
      </c>
      <c r="H742" t="s">
        <v>30</v>
      </c>
      <c r="I742" t="s">
        <v>30</v>
      </c>
    </row>
    <row r="743" spans="1:9" x14ac:dyDescent="0.35">
      <c r="A743" t="s">
        <v>1532</v>
      </c>
      <c r="B743" t="s">
        <v>1533</v>
      </c>
      <c r="C743" t="s">
        <v>2920</v>
      </c>
      <c r="D743" t="s">
        <v>46</v>
      </c>
      <c r="E743">
        <v>62</v>
      </c>
      <c r="F743" t="s">
        <v>36</v>
      </c>
      <c r="G743" t="s">
        <v>14</v>
      </c>
      <c r="H743" t="s">
        <v>15</v>
      </c>
      <c r="I743" t="s">
        <v>16</v>
      </c>
    </row>
    <row r="744" spans="1:9" x14ac:dyDescent="0.35">
      <c r="A744" t="s">
        <v>1534</v>
      </c>
      <c r="B744" t="s">
        <v>1535</v>
      </c>
      <c r="C744" t="s">
        <v>2921</v>
      </c>
      <c r="D744" t="s">
        <v>26</v>
      </c>
      <c r="E744">
        <v>25</v>
      </c>
      <c r="F744" t="s">
        <v>13</v>
      </c>
      <c r="G744" t="s">
        <v>22</v>
      </c>
      <c r="H744" t="s">
        <v>153</v>
      </c>
      <c r="I744" t="s">
        <v>15</v>
      </c>
    </row>
    <row r="745" spans="1:9" x14ac:dyDescent="0.35">
      <c r="A745" t="s">
        <v>1536</v>
      </c>
      <c r="B745" t="s">
        <v>322</v>
      </c>
      <c r="C745" t="s">
        <v>2922</v>
      </c>
      <c r="D745" t="s">
        <v>20</v>
      </c>
      <c r="E745">
        <v>35</v>
      </c>
      <c r="F745" t="s">
        <v>56</v>
      </c>
      <c r="G745" t="s">
        <v>29</v>
      </c>
      <c r="H745" t="s">
        <v>70</v>
      </c>
      <c r="I745" t="s">
        <v>191</v>
      </c>
    </row>
    <row r="746" spans="1:9" x14ac:dyDescent="0.35">
      <c r="A746" t="s">
        <v>1537</v>
      </c>
      <c r="B746" t="s">
        <v>1495</v>
      </c>
      <c r="C746" t="s">
        <v>2275</v>
      </c>
      <c r="D746" t="s">
        <v>26</v>
      </c>
      <c r="E746">
        <v>51</v>
      </c>
      <c r="F746" t="s">
        <v>400</v>
      </c>
      <c r="G746" t="s">
        <v>29</v>
      </c>
      <c r="H746" t="s">
        <v>43</v>
      </c>
      <c r="I746" t="s">
        <v>191</v>
      </c>
    </row>
    <row r="747" spans="1:9" x14ac:dyDescent="0.35">
      <c r="A747" t="s">
        <v>1538</v>
      </c>
      <c r="B747" t="s">
        <v>2144</v>
      </c>
      <c r="C747" t="s">
        <v>2437</v>
      </c>
      <c r="D747" t="s">
        <v>11</v>
      </c>
      <c r="E747">
        <v>43</v>
      </c>
      <c r="F747" t="s">
        <v>56</v>
      </c>
      <c r="G747" t="s">
        <v>14</v>
      </c>
      <c r="H747" t="s">
        <v>70</v>
      </c>
      <c r="I747" t="s">
        <v>44</v>
      </c>
    </row>
    <row r="748" spans="1:9" x14ac:dyDescent="0.35">
      <c r="A748" t="s">
        <v>1539</v>
      </c>
      <c r="B748" t="s">
        <v>1540</v>
      </c>
      <c r="C748" t="s">
        <v>2923</v>
      </c>
      <c r="D748" t="s">
        <v>20</v>
      </c>
      <c r="E748">
        <v>50</v>
      </c>
      <c r="F748" t="s">
        <v>36</v>
      </c>
      <c r="G748" t="s">
        <v>22</v>
      </c>
      <c r="H748" t="s">
        <v>23</v>
      </c>
      <c r="I748" t="s">
        <v>23</v>
      </c>
    </row>
    <row r="749" spans="1:9" x14ac:dyDescent="0.35">
      <c r="A749" t="s">
        <v>1541</v>
      </c>
      <c r="B749" t="s">
        <v>2145</v>
      </c>
      <c r="C749" t="s">
        <v>2924</v>
      </c>
      <c r="D749" t="s">
        <v>46</v>
      </c>
      <c r="E749">
        <v>20</v>
      </c>
      <c r="F749" t="s">
        <v>56</v>
      </c>
      <c r="G749" t="s">
        <v>22</v>
      </c>
      <c r="H749" t="s">
        <v>70</v>
      </c>
      <c r="I749" t="s">
        <v>70</v>
      </c>
    </row>
    <row r="750" spans="1:9" x14ac:dyDescent="0.35">
      <c r="A750" t="s">
        <v>1542</v>
      </c>
      <c r="B750" t="s">
        <v>2146</v>
      </c>
      <c r="C750" t="s">
        <v>2925</v>
      </c>
      <c r="D750" t="s">
        <v>34</v>
      </c>
      <c r="E750">
        <v>29</v>
      </c>
      <c r="F750" t="s">
        <v>56</v>
      </c>
      <c r="G750" t="s">
        <v>14</v>
      </c>
      <c r="H750" t="s">
        <v>30</v>
      </c>
      <c r="I750" t="s">
        <v>38</v>
      </c>
    </row>
    <row r="751" spans="1:9" x14ac:dyDescent="0.35">
      <c r="A751" t="s">
        <v>1543</v>
      </c>
      <c r="B751" t="s">
        <v>1544</v>
      </c>
      <c r="C751" t="s">
        <v>2926</v>
      </c>
      <c r="D751" t="s">
        <v>26</v>
      </c>
      <c r="E751">
        <v>32</v>
      </c>
      <c r="F751" t="s">
        <v>48</v>
      </c>
      <c r="G751" t="s">
        <v>22</v>
      </c>
      <c r="H751" t="s">
        <v>15</v>
      </c>
      <c r="I751" t="s">
        <v>15</v>
      </c>
    </row>
    <row r="752" spans="1:9" x14ac:dyDescent="0.35">
      <c r="A752" t="s">
        <v>1545</v>
      </c>
      <c r="B752" t="s">
        <v>995</v>
      </c>
      <c r="C752" t="s">
        <v>2927</v>
      </c>
      <c r="D752" t="s">
        <v>26</v>
      </c>
      <c r="E752">
        <v>60</v>
      </c>
      <c r="F752" t="s">
        <v>13</v>
      </c>
      <c r="G752" t="s">
        <v>29</v>
      </c>
      <c r="H752" t="s">
        <v>23</v>
      </c>
      <c r="I752" t="s">
        <v>128</v>
      </c>
    </row>
    <row r="753" spans="1:9" x14ac:dyDescent="0.35">
      <c r="A753" t="s">
        <v>1403</v>
      </c>
      <c r="B753" t="s">
        <v>1404</v>
      </c>
      <c r="C753" t="s">
        <v>2928</v>
      </c>
      <c r="D753" t="s">
        <v>26</v>
      </c>
      <c r="E753">
        <v>42</v>
      </c>
      <c r="F753" t="s">
        <v>56</v>
      </c>
      <c r="G753" t="s">
        <v>29</v>
      </c>
      <c r="H753" t="s">
        <v>70</v>
      </c>
      <c r="I753" t="s">
        <v>191</v>
      </c>
    </row>
    <row r="754" spans="1:9" x14ac:dyDescent="0.35">
      <c r="A754" t="s">
        <v>1546</v>
      </c>
      <c r="B754" t="s">
        <v>1706</v>
      </c>
      <c r="C754" t="s">
        <v>2929</v>
      </c>
      <c r="D754" t="s">
        <v>34</v>
      </c>
      <c r="E754">
        <v>32</v>
      </c>
      <c r="F754" t="s">
        <v>13</v>
      </c>
      <c r="G754" t="s">
        <v>37</v>
      </c>
      <c r="H754" t="s">
        <v>30</v>
      </c>
      <c r="I754" t="s">
        <v>15</v>
      </c>
    </row>
    <row r="755" spans="1:9" x14ac:dyDescent="0.35">
      <c r="A755" t="s">
        <v>1548</v>
      </c>
      <c r="B755" t="s">
        <v>467</v>
      </c>
      <c r="C755" t="s">
        <v>2930</v>
      </c>
      <c r="D755" t="s">
        <v>34</v>
      </c>
      <c r="E755">
        <v>22</v>
      </c>
      <c r="F755" t="s">
        <v>13</v>
      </c>
      <c r="G755" t="s">
        <v>22</v>
      </c>
      <c r="H755" t="s">
        <v>15</v>
      </c>
      <c r="I755" t="s">
        <v>15</v>
      </c>
    </row>
    <row r="756" spans="1:9" x14ac:dyDescent="0.35">
      <c r="A756" t="s">
        <v>1549</v>
      </c>
      <c r="B756" t="s">
        <v>1550</v>
      </c>
      <c r="C756" t="s">
        <v>2931</v>
      </c>
      <c r="D756" t="s">
        <v>26</v>
      </c>
      <c r="E756" t="s">
        <v>924</v>
      </c>
      <c r="F756" t="s">
        <v>36</v>
      </c>
      <c r="G756" t="s">
        <v>22</v>
      </c>
      <c r="H756" t="s">
        <v>57</v>
      </c>
      <c r="I756" t="s">
        <v>57</v>
      </c>
    </row>
    <row r="757" spans="1:9" x14ac:dyDescent="0.35">
      <c r="A757" t="s">
        <v>1552</v>
      </c>
      <c r="B757" t="s">
        <v>1553</v>
      </c>
      <c r="C757" t="s">
        <v>2932</v>
      </c>
      <c r="D757" t="s">
        <v>26</v>
      </c>
      <c r="E757" t="s">
        <v>251</v>
      </c>
      <c r="F757" t="s">
        <v>56</v>
      </c>
      <c r="G757" t="s">
        <v>22</v>
      </c>
      <c r="H757" t="s">
        <v>23</v>
      </c>
      <c r="I757" t="s">
        <v>23</v>
      </c>
    </row>
    <row r="758" spans="1:9" x14ac:dyDescent="0.35">
      <c r="A758" t="s">
        <v>1554</v>
      </c>
      <c r="B758" t="s">
        <v>299</v>
      </c>
      <c r="C758" t="s">
        <v>2933</v>
      </c>
      <c r="D758" t="s">
        <v>26</v>
      </c>
      <c r="E758">
        <v>50</v>
      </c>
      <c r="F758" t="s">
        <v>36</v>
      </c>
      <c r="G758" t="s">
        <v>37</v>
      </c>
      <c r="H758" t="s">
        <v>15</v>
      </c>
      <c r="I758" t="s">
        <v>38</v>
      </c>
    </row>
    <row r="759" spans="1:9" x14ac:dyDescent="0.35">
      <c r="A759" t="s">
        <v>1555</v>
      </c>
      <c r="B759" t="s">
        <v>1143</v>
      </c>
      <c r="C759" t="s">
        <v>2934</v>
      </c>
      <c r="D759" t="s">
        <v>11</v>
      </c>
      <c r="E759">
        <v>64</v>
      </c>
      <c r="F759" t="s">
        <v>434</v>
      </c>
      <c r="G759" t="s">
        <v>37</v>
      </c>
      <c r="H759" t="s">
        <v>162</v>
      </c>
      <c r="I759" t="s">
        <v>163</v>
      </c>
    </row>
    <row r="760" spans="1:9" x14ac:dyDescent="0.35">
      <c r="A760" t="s">
        <v>1557</v>
      </c>
      <c r="B760" t="s">
        <v>1558</v>
      </c>
      <c r="C760" t="s">
        <v>2935</v>
      </c>
      <c r="D760" t="s">
        <v>20</v>
      </c>
      <c r="E760">
        <v>35</v>
      </c>
      <c r="F760" t="s">
        <v>36</v>
      </c>
      <c r="G760" t="s">
        <v>29</v>
      </c>
      <c r="H760" t="s">
        <v>30</v>
      </c>
      <c r="I760" t="s">
        <v>31</v>
      </c>
    </row>
    <row r="761" spans="1:9" x14ac:dyDescent="0.35">
      <c r="A761" t="s">
        <v>1560</v>
      </c>
      <c r="B761" t="s">
        <v>1404</v>
      </c>
      <c r="C761" t="s">
        <v>2936</v>
      </c>
      <c r="D761" t="s">
        <v>26</v>
      </c>
      <c r="E761">
        <v>39</v>
      </c>
      <c r="F761" t="s">
        <v>56</v>
      </c>
      <c r="G761" t="s">
        <v>29</v>
      </c>
      <c r="H761" t="s">
        <v>30</v>
      </c>
      <c r="I761" t="s">
        <v>31</v>
      </c>
    </row>
    <row r="762" spans="1:9" x14ac:dyDescent="0.35">
      <c r="A762" t="s">
        <v>1562</v>
      </c>
      <c r="B762" t="s">
        <v>1563</v>
      </c>
      <c r="C762" t="s">
        <v>556</v>
      </c>
      <c r="D762" t="s">
        <v>112</v>
      </c>
      <c r="E762">
        <v>40</v>
      </c>
      <c r="F762" t="s">
        <v>56</v>
      </c>
      <c r="G762" t="s">
        <v>22</v>
      </c>
      <c r="H762" t="s">
        <v>70</v>
      </c>
      <c r="I762" t="s">
        <v>70</v>
      </c>
    </row>
    <row r="763" spans="1:9" x14ac:dyDescent="0.35">
      <c r="A763" t="s">
        <v>1564</v>
      </c>
      <c r="B763" t="s">
        <v>1565</v>
      </c>
      <c r="C763" t="s">
        <v>2489</v>
      </c>
      <c r="D763" t="s">
        <v>26</v>
      </c>
      <c r="E763">
        <v>40</v>
      </c>
      <c r="F763" t="s">
        <v>13</v>
      </c>
      <c r="G763" t="s">
        <v>14</v>
      </c>
      <c r="H763" t="s">
        <v>15</v>
      </c>
      <c r="I763" t="s">
        <v>16</v>
      </c>
    </row>
    <row r="764" spans="1:9" x14ac:dyDescent="0.35">
      <c r="A764" t="s">
        <v>1566</v>
      </c>
      <c r="B764" t="s">
        <v>1230</v>
      </c>
      <c r="C764" t="s">
        <v>1733</v>
      </c>
      <c r="D764" t="s">
        <v>26</v>
      </c>
      <c r="E764">
        <v>51</v>
      </c>
      <c r="F764" t="s">
        <v>48</v>
      </c>
      <c r="G764" t="s">
        <v>14</v>
      </c>
      <c r="H764" t="s">
        <v>70</v>
      </c>
      <c r="I764" t="s">
        <v>44</v>
      </c>
    </row>
    <row r="765" spans="1:9" x14ac:dyDescent="0.35">
      <c r="A765" t="s">
        <v>1567</v>
      </c>
      <c r="B765" t="s">
        <v>1224</v>
      </c>
      <c r="C765" t="s">
        <v>2937</v>
      </c>
      <c r="D765" t="s">
        <v>34</v>
      </c>
      <c r="E765">
        <v>45</v>
      </c>
      <c r="F765" t="s">
        <v>36</v>
      </c>
      <c r="G765" t="s">
        <v>37</v>
      </c>
      <c r="H765" t="s">
        <v>15</v>
      </c>
      <c r="I765" t="s">
        <v>38</v>
      </c>
    </row>
    <row r="766" spans="1:9" x14ac:dyDescent="0.35">
      <c r="A766" t="s">
        <v>1569</v>
      </c>
      <c r="B766" t="s">
        <v>2053</v>
      </c>
      <c r="C766" t="s">
        <v>2938</v>
      </c>
      <c r="D766" t="s">
        <v>34</v>
      </c>
      <c r="E766">
        <v>57</v>
      </c>
      <c r="F766" t="s">
        <v>36</v>
      </c>
      <c r="G766" t="s">
        <v>14</v>
      </c>
      <c r="H766" t="s">
        <v>180</v>
      </c>
      <c r="I766" t="s">
        <v>79</v>
      </c>
    </row>
    <row r="767" spans="1:9" x14ac:dyDescent="0.35">
      <c r="A767" t="s">
        <v>1571</v>
      </c>
      <c r="B767" t="s">
        <v>1572</v>
      </c>
      <c r="C767" t="s">
        <v>2939</v>
      </c>
      <c r="D767" t="s">
        <v>34</v>
      </c>
      <c r="E767">
        <v>46</v>
      </c>
      <c r="F767" t="s">
        <v>36</v>
      </c>
      <c r="G767" t="s">
        <v>29</v>
      </c>
      <c r="H767" t="s">
        <v>57</v>
      </c>
      <c r="I767" t="s">
        <v>85</v>
      </c>
    </row>
    <row r="768" spans="1:9" x14ac:dyDescent="0.35">
      <c r="A768" t="s">
        <v>1573</v>
      </c>
      <c r="B768" t="s">
        <v>678</v>
      </c>
      <c r="C768" t="s">
        <v>2204</v>
      </c>
      <c r="D768" t="s">
        <v>34</v>
      </c>
      <c r="E768">
        <v>23</v>
      </c>
      <c r="F768" t="s">
        <v>56</v>
      </c>
      <c r="G768" t="s">
        <v>22</v>
      </c>
      <c r="H768" t="s">
        <v>70</v>
      </c>
      <c r="I768" t="s">
        <v>70</v>
      </c>
    </row>
    <row r="769" spans="1:9" x14ac:dyDescent="0.35">
      <c r="A769" t="s">
        <v>1574</v>
      </c>
      <c r="B769" t="s">
        <v>2017</v>
      </c>
      <c r="C769" t="s">
        <v>2940</v>
      </c>
      <c r="D769" t="s">
        <v>34</v>
      </c>
      <c r="E769">
        <v>33</v>
      </c>
      <c r="F769" t="s">
        <v>36</v>
      </c>
      <c r="G769" t="s">
        <v>37</v>
      </c>
      <c r="H769" t="s">
        <v>15</v>
      </c>
      <c r="I769" t="s">
        <v>38</v>
      </c>
    </row>
    <row r="770" spans="1:9" x14ac:dyDescent="0.35">
      <c r="A770" t="s">
        <v>1575</v>
      </c>
      <c r="B770" t="s">
        <v>136</v>
      </c>
      <c r="C770" t="s">
        <v>2941</v>
      </c>
      <c r="D770" t="s">
        <v>34</v>
      </c>
      <c r="E770">
        <v>57</v>
      </c>
      <c r="F770" t="s">
        <v>109</v>
      </c>
      <c r="G770" t="s">
        <v>37</v>
      </c>
      <c r="H770" t="s">
        <v>15</v>
      </c>
      <c r="I770" t="s">
        <v>38</v>
      </c>
    </row>
    <row r="771" spans="1:9" x14ac:dyDescent="0.35">
      <c r="A771" t="s">
        <v>1576</v>
      </c>
      <c r="B771" t="s">
        <v>1348</v>
      </c>
      <c r="C771" t="s">
        <v>2942</v>
      </c>
      <c r="D771" t="s">
        <v>26</v>
      </c>
      <c r="E771" t="s">
        <v>674</v>
      </c>
      <c r="F771" t="s">
        <v>36</v>
      </c>
      <c r="G771" t="s">
        <v>22</v>
      </c>
      <c r="H771" t="s">
        <v>30</v>
      </c>
      <c r="I771" t="s">
        <v>30</v>
      </c>
    </row>
    <row r="772" spans="1:9" x14ac:dyDescent="0.35">
      <c r="A772" t="s">
        <v>1578</v>
      </c>
      <c r="B772" t="s">
        <v>1579</v>
      </c>
      <c r="C772" t="s">
        <v>2943</v>
      </c>
      <c r="D772" t="s">
        <v>20</v>
      </c>
      <c r="E772">
        <v>42</v>
      </c>
      <c r="F772" t="s">
        <v>36</v>
      </c>
      <c r="G772" t="s">
        <v>29</v>
      </c>
      <c r="H772" t="s">
        <v>162</v>
      </c>
      <c r="I772" t="s">
        <v>85</v>
      </c>
    </row>
    <row r="773" spans="1:9" x14ac:dyDescent="0.35">
      <c r="A773" t="s">
        <v>1581</v>
      </c>
      <c r="B773" t="s">
        <v>1582</v>
      </c>
      <c r="C773" t="s">
        <v>2944</v>
      </c>
      <c r="D773" t="s">
        <v>112</v>
      </c>
      <c r="E773">
        <v>40</v>
      </c>
      <c r="F773" t="s">
        <v>13</v>
      </c>
      <c r="G773" t="s">
        <v>22</v>
      </c>
      <c r="H773" t="s">
        <v>23</v>
      </c>
      <c r="I773" t="s">
        <v>23</v>
      </c>
    </row>
    <row r="774" spans="1:9" x14ac:dyDescent="0.35">
      <c r="A774" t="s">
        <v>1583</v>
      </c>
      <c r="B774" t="s">
        <v>2147</v>
      </c>
      <c r="C774" t="s">
        <v>2945</v>
      </c>
      <c r="D774" t="s">
        <v>26</v>
      </c>
      <c r="E774" t="s">
        <v>1585</v>
      </c>
      <c r="F774" t="s">
        <v>36</v>
      </c>
      <c r="G774" t="s">
        <v>29</v>
      </c>
      <c r="H774" t="s">
        <v>57</v>
      </c>
    </row>
    <row r="775" spans="1:9" x14ac:dyDescent="0.35">
      <c r="A775" t="s">
        <v>1586</v>
      </c>
      <c r="B775" t="s">
        <v>1587</v>
      </c>
      <c r="C775" t="s">
        <v>2946</v>
      </c>
      <c r="D775" t="s">
        <v>26</v>
      </c>
      <c r="E775">
        <v>43</v>
      </c>
      <c r="F775" t="s">
        <v>13</v>
      </c>
      <c r="G775" t="s">
        <v>14</v>
      </c>
      <c r="H775" t="s">
        <v>30</v>
      </c>
      <c r="I775" t="s">
        <v>38</v>
      </c>
    </row>
    <row r="776" spans="1:9" x14ac:dyDescent="0.35">
      <c r="A776" t="s">
        <v>1588</v>
      </c>
      <c r="B776" t="s">
        <v>324</v>
      </c>
      <c r="C776" t="s">
        <v>2947</v>
      </c>
      <c r="D776" t="s">
        <v>26</v>
      </c>
      <c r="E776">
        <v>49</v>
      </c>
      <c r="F776" t="s">
        <v>13</v>
      </c>
      <c r="G776" t="s">
        <v>14</v>
      </c>
      <c r="H776" t="s">
        <v>49</v>
      </c>
      <c r="I776" t="s">
        <v>38</v>
      </c>
    </row>
    <row r="777" spans="1:9" x14ac:dyDescent="0.35">
      <c r="A777" t="s">
        <v>1439</v>
      </c>
      <c r="B777" t="s">
        <v>1168</v>
      </c>
      <c r="C777" t="s">
        <v>2948</v>
      </c>
      <c r="D777" t="s">
        <v>26</v>
      </c>
      <c r="E777">
        <v>60</v>
      </c>
      <c r="F777" t="s">
        <v>56</v>
      </c>
      <c r="G777" t="s">
        <v>14</v>
      </c>
      <c r="H777" t="s">
        <v>23</v>
      </c>
      <c r="I777" t="s">
        <v>79</v>
      </c>
    </row>
    <row r="778" spans="1:9" x14ac:dyDescent="0.35">
      <c r="A778" t="s">
        <v>1589</v>
      </c>
      <c r="B778" t="s">
        <v>1279</v>
      </c>
      <c r="C778" t="s">
        <v>2949</v>
      </c>
      <c r="D778" t="s">
        <v>34</v>
      </c>
      <c r="E778">
        <v>61</v>
      </c>
      <c r="F778" t="s">
        <v>13</v>
      </c>
      <c r="G778" t="s">
        <v>37</v>
      </c>
      <c r="H778" t="s">
        <v>57</v>
      </c>
      <c r="I778" t="s">
        <v>163</v>
      </c>
    </row>
    <row r="779" spans="1:9" x14ac:dyDescent="0.35">
      <c r="A779" t="s">
        <v>1591</v>
      </c>
      <c r="B779" t="s">
        <v>1592</v>
      </c>
      <c r="C779" t="s">
        <v>2950</v>
      </c>
      <c r="D779" t="s">
        <v>34</v>
      </c>
      <c r="E779">
        <v>39</v>
      </c>
      <c r="F779" t="s">
        <v>36</v>
      </c>
      <c r="G779" t="s">
        <v>29</v>
      </c>
      <c r="H779" t="s">
        <v>30</v>
      </c>
      <c r="I779" t="s">
        <v>31</v>
      </c>
    </row>
    <row r="780" spans="1:9" x14ac:dyDescent="0.35">
      <c r="A780" t="s">
        <v>1593</v>
      </c>
      <c r="B780" t="s">
        <v>579</v>
      </c>
      <c r="C780" t="s">
        <v>2951</v>
      </c>
      <c r="D780" t="s">
        <v>34</v>
      </c>
      <c r="E780" t="s">
        <v>1189</v>
      </c>
      <c r="F780" t="s">
        <v>13</v>
      </c>
      <c r="G780" t="s">
        <v>37</v>
      </c>
      <c r="H780" t="s">
        <v>171</v>
      </c>
      <c r="I780" t="s">
        <v>15</v>
      </c>
    </row>
    <row r="781" spans="1:9" x14ac:dyDescent="0.35">
      <c r="A781" t="s">
        <v>1595</v>
      </c>
      <c r="B781" t="s">
        <v>547</v>
      </c>
      <c r="C781" t="s">
        <v>2777</v>
      </c>
      <c r="D781" t="s">
        <v>26</v>
      </c>
      <c r="E781">
        <v>52</v>
      </c>
      <c r="F781" t="s">
        <v>56</v>
      </c>
      <c r="G781" t="s">
        <v>29</v>
      </c>
      <c r="H781" t="s">
        <v>147</v>
      </c>
      <c r="I781" t="s">
        <v>191</v>
      </c>
    </row>
    <row r="782" spans="1:9" x14ac:dyDescent="0.35">
      <c r="A782" t="s">
        <v>1596</v>
      </c>
      <c r="B782" t="s">
        <v>1597</v>
      </c>
      <c r="C782" t="s">
        <v>2952</v>
      </c>
      <c r="D782" t="s">
        <v>46</v>
      </c>
      <c r="E782" t="s">
        <v>1176</v>
      </c>
      <c r="F782" t="s">
        <v>69</v>
      </c>
      <c r="G782" t="s">
        <v>22</v>
      </c>
      <c r="H782" t="s">
        <v>57</v>
      </c>
      <c r="I782" t="s">
        <v>57</v>
      </c>
    </row>
    <row r="783" spans="1:9" x14ac:dyDescent="0.35">
      <c r="A783" t="s">
        <v>1598</v>
      </c>
      <c r="B783" t="s">
        <v>851</v>
      </c>
      <c r="C783" t="s">
        <v>2953</v>
      </c>
      <c r="D783" t="s">
        <v>268</v>
      </c>
      <c r="E783">
        <v>62</v>
      </c>
      <c r="F783" t="s">
        <v>13</v>
      </c>
      <c r="G783" t="s">
        <v>14</v>
      </c>
      <c r="H783" t="s">
        <v>57</v>
      </c>
      <c r="I783" t="s">
        <v>232</v>
      </c>
    </row>
    <row r="784" spans="1:9" x14ac:dyDescent="0.35">
      <c r="A784" t="s">
        <v>1599</v>
      </c>
      <c r="B784" t="s">
        <v>1600</v>
      </c>
      <c r="C784" t="s">
        <v>225</v>
      </c>
      <c r="D784" t="s">
        <v>34</v>
      </c>
      <c r="E784">
        <v>63</v>
      </c>
      <c r="F784" t="s">
        <v>13</v>
      </c>
      <c r="G784" t="s">
        <v>37</v>
      </c>
      <c r="H784" t="s">
        <v>180</v>
      </c>
      <c r="I784" t="s">
        <v>107</v>
      </c>
    </row>
    <row r="785" spans="1:9" x14ac:dyDescent="0.35">
      <c r="A785" t="s">
        <v>1601</v>
      </c>
      <c r="B785" t="s">
        <v>1602</v>
      </c>
      <c r="C785" t="s">
        <v>526</v>
      </c>
      <c r="D785" t="s">
        <v>20</v>
      </c>
      <c r="E785">
        <v>62</v>
      </c>
      <c r="F785" t="s">
        <v>13</v>
      </c>
      <c r="G785" t="s">
        <v>14</v>
      </c>
      <c r="H785" t="s">
        <v>57</v>
      </c>
      <c r="I785" t="s">
        <v>232</v>
      </c>
    </row>
    <row r="786" spans="1:9" x14ac:dyDescent="0.35">
      <c r="A786" t="s">
        <v>1604</v>
      </c>
      <c r="B786" t="s">
        <v>1605</v>
      </c>
      <c r="C786" t="s">
        <v>2954</v>
      </c>
      <c r="D786" t="s">
        <v>140</v>
      </c>
      <c r="E786">
        <v>46</v>
      </c>
      <c r="F786" t="s">
        <v>13</v>
      </c>
      <c r="G786" t="s">
        <v>29</v>
      </c>
      <c r="H786" t="s">
        <v>23</v>
      </c>
      <c r="I786" t="s">
        <v>128</v>
      </c>
    </row>
    <row r="787" spans="1:9" x14ac:dyDescent="0.35">
      <c r="A787" t="s">
        <v>1606</v>
      </c>
      <c r="B787" t="s">
        <v>1404</v>
      </c>
      <c r="C787" t="s">
        <v>2836</v>
      </c>
      <c r="D787" t="s">
        <v>26</v>
      </c>
      <c r="E787" t="s">
        <v>1607</v>
      </c>
      <c r="F787" t="s">
        <v>13</v>
      </c>
      <c r="G787" t="s">
        <v>29</v>
      </c>
      <c r="H787" t="s">
        <v>57</v>
      </c>
      <c r="I787" t="s">
        <v>85</v>
      </c>
    </row>
    <row r="788" spans="1:9" x14ac:dyDescent="0.35">
      <c r="A788" t="s">
        <v>1608</v>
      </c>
      <c r="B788" t="s">
        <v>136</v>
      </c>
      <c r="C788" t="s">
        <v>2276</v>
      </c>
      <c r="D788" t="s">
        <v>26</v>
      </c>
      <c r="E788">
        <v>35</v>
      </c>
      <c r="F788" t="s">
        <v>13</v>
      </c>
      <c r="G788" t="s">
        <v>14</v>
      </c>
      <c r="H788" t="s">
        <v>23</v>
      </c>
      <c r="I788" t="s">
        <v>79</v>
      </c>
    </row>
    <row r="789" spans="1:9" x14ac:dyDescent="0.35">
      <c r="A789" t="s">
        <v>1610</v>
      </c>
      <c r="B789" t="s">
        <v>2148</v>
      </c>
      <c r="C789" t="s">
        <v>2955</v>
      </c>
      <c r="D789" t="s">
        <v>46</v>
      </c>
      <c r="E789">
        <v>32</v>
      </c>
      <c r="F789" t="s">
        <v>36</v>
      </c>
      <c r="G789" t="s">
        <v>29</v>
      </c>
      <c r="H789" t="s">
        <v>70</v>
      </c>
      <c r="I789" t="s">
        <v>191</v>
      </c>
    </row>
    <row r="790" spans="1:9" x14ac:dyDescent="0.35">
      <c r="A790" t="s">
        <v>1612</v>
      </c>
      <c r="B790" t="s">
        <v>999</v>
      </c>
      <c r="C790" t="s">
        <v>2956</v>
      </c>
      <c r="D790" t="s">
        <v>34</v>
      </c>
      <c r="E790" t="s">
        <v>845</v>
      </c>
      <c r="F790" t="s">
        <v>117</v>
      </c>
      <c r="G790" t="s">
        <v>14</v>
      </c>
      <c r="H790" t="s">
        <v>23</v>
      </c>
      <c r="I790" t="s">
        <v>79</v>
      </c>
    </row>
    <row r="791" spans="1:9" x14ac:dyDescent="0.35">
      <c r="A791" t="s">
        <v>1613</v>
      </c>
      <c r="B791" t="s">
        <v>1614</v>
      </c>
      <c r="C791" t="s">
        <v>2957</v>
      </c>
      <c r="D791" t="s">
        <v>20</v>
      </c>
      <c r="E791">
        <v>21</v>
      </c>
      <c r="F791" t="s">
        <v>36</v>
      </c>
      <c r="G791" t="s">
        <v>14</v>
      </c>
      <c r="H791" t="s">
        <v>57</v>
      </c>
      <c r="I791" t="s">
        <v>232</v>
      </c>
    </row>
    <row r="792" spans="1:9" x14ac:dyDescent="0.35">
      <c r="A792" t="s">
        <v>1615</v>
      </c>
      <c r="B792" t="s">
        <v>2149</v>
      </c>
      <c r="C792" t="s">
        <v>2958</v>
      </c>
      <c r="D792" t="s">
        <v>26</v>
      </c>
      <c r="E792">
        <v>22</v>
      </c>
      <c r="F792" t="s">
        <v>13</v>
      </c>
      <c r="G792" t="s">
        <v>37</v>
      </c>
      <c r="H792" t="s">
        <v>30</v>
      </c>
      <c r="I792" t="s">
        <v>15</v>
      </c>
    </row>
    <row r="793" spans="1:9" x14ac:dyDescent="0.35">
      <c r="A793" t="s">
        <v>1616</v>
      </c>
      <c r="B793" t="s">
        <v>1617</v>
      </c>
      <c r="C793" t="s">
        <v>2959</v>
      </c>
      <c r="D793" t="s">
        <v>34</v>
      </c>
      <c r="E793">
        <v>23</v>
      </c>
      <c r="F793" t="s">
        <v>56</v>
      </c>
      <c r="G793" t="s">
        <v>37</v>
      </c>
      <c r="H793" t="s">
        <v>57</v>
      </c>
      <c r="I793" t="s">
        <v>163</v>
      </c>
    </row>
    <row r="794" spans="1:9" x14ac:dyDescent="0.35">
      <c r="A794" t="s">
        <v>1619</v>
      </c>
      <c r="B794" t="s">
        <v>1200</v>
      </c>
      <c r="C794" t="s">
        <v>2960</v>
      </c>
      <c r="D794" t="s">
        <v>268</v>
      </c>
      <c r="E794">
        <v>61</v>
      </c>
      <c r="F794" t="s">
        <v>42</v>
      </c>
      <c r="G794" t="s">
        <v>37</v>
      </c>
      <c r="H794" t="s">
        <v>30</v>
      </c>
      <c r="I794" t="s">
        <v>15</v>
      </c>
    </row>
    <row r="795" spans="1:9" x14ac:dyDescent="0.35">
      <c r="A795" t="s">
        <v>1620</v>
      </c>
      <c r="B795" t="s">
        <v>2150</v>
      </c>
      <c r="C795" t="s">
        <v>2961</v>
      </c>
      <c r="D795" t="s">
        <v>34</v>
      </c>
      <c r="E795">
        <v>23</v>
      </c>
      <c r="F795" t="s">
        <v>13</v>
      </c>
      <c r="G795" t="s">
        <v>37</v>
      </c>
      <c r="H795" t="s">
        <v>15</v>
      </c>
      <c r="I795" t="s">
        <v>38</v>
      </c>
    </row>
    <row r="796" spans="1:9" x14ac:dyDescent="0.35">
      <c r="A796" t="s">
        <v>1621</v>
      </c>
      <c r="B796" t="s">
        <v>2035</v>
      </c>
      <c r="C796" t="s">
        <v>2962</v>
      </c>
      <c r="D796" t="s">
        <v>20</v>
      </c>
      <c r="E796">
        <v>51</v>
      </c>
      <c r="F796" t="s">
        <v>13</v>
      </c>
      <c r="G796" t="s">
        <v>29</v>
      </c>
      <c r="H796" t="s">
        <v>153</v>
      </c>
      <c r="I796" t="s">
        <v>130</v>
      </c>
    </row>
    <row r="797" spans="1:9" x14ac:dyDescent="0.35">
      <c r="A797" t="s">
        <v>1622</v>
      </c>
      <c r="B797" t="s">
        <v>1623</v>
      </c>
      <c r="C797" t="s">
        <v>2963</v>
      </c>
      <c r="D797" t="s">
        <v>26</v>
      </c>
      <c r="E797">
        <v>64</v>
      </c>
      <c r="F797" t="s">
        <v>124</v>
      </c>
      <c r="G797" t="s">
        <v>14</v>
      </c>
      <c r="H797" t="s">
        <v>57</v>
      </c>
      <c r="I797" t="s">
        <v>232</v>
      </c>
    </row>
    <row r="798" spans="1:9" x14ac:dyDescent="0.35">
      <c r="A798" t="s">
        <v>1624</v>
      </c>
      <c r="B798" t="s">
        <v>1625</v>
      </c>
      <c r="C798" t="s">
        <v>2964</v>
      </c>
      <c r="D798" t="s">
        <v>46</v>
      </c>
      <c r="E798">
        <v>30</v>
      </c>
      <c r="F798" t="s">
        <v>13</v>
      </c>
      <c r="G798" t="s">
        <v>14</v>
      </c>
      <c r="H798" t="s">
        <v>15</v>
      </c>
      <c r="I798" t="s">
        <v>16</v>
      </c>
    </row>
    <row r="799" spans="1:9" x14ac:dyDescent="0.35">
      <c r="A799" t="s">
        <v>1627</v>
      </c>
      <c r="B799" t="s">
        <v>1458</v>
      </c>
      <c r="C799" t="s">
        <v>2965</v>
      </c>
      <c r="D799" t="s">
        <v>11</v>
      </c>
      <c r="E799">
        <v>28</v>
      </c>
      <c r="F799" t="s">
        <v>56</v>
      </c>
      <c r="G799" t="s">
        <v>14</v>
      </c>
      <c r="H799" t="s">
        <v>70</v>
      </c>
      <c r="I799" t="s">
        <v>44</v>
      </c>
    </row>
    <row r="800" spans="1:9" x14ac:dyDescent="0.35">
      <c r="A800" t="s">
        <v>37</v>
      </c>
      <c r="B800" t="s">
        <v>64</v>
      </c>
      <c r="C800" t="s">
        <v>2622</v>
      </c>
      <c r="D800" t="s">
        <v>140</v>
      </c>
      <c r="E800">
        <v>26</v>
      </c>
      <c r="F800" t="s">
        <v>56</v>
      </c>
      <c r="G800" t="s">
        <v>37</v>
      </c>
      <c r="H800" t="s">
        <v>57</v>
      </c>
      <c r="I800" t="s">
        <v>163</v>
      </c>
    </row>
    <row r="801" spans="1:9" x14ac:dyDescent="0.35">
      <c r="A801" t="s">
        <v>1629</v>
      </c>
      <c r="B801" t="s">
        <v>431</v>
      </c>
      <c r="C801" t="s">
        <v>2966</v>
      </c>
      <c r="D801" t="s">
        <v>26</v>
      </c>
      <c r="E801">
        <v>43</v>
      </c>
      <c r="F801" t="s">
        <v>56</v>
      </c>
      <c r="G801" t="s">
        <v>14</v>
      </c>
      <c r="H801" t="s">
        <v>57</v>
      </c>
      <c r="I801" t="s">
        <v>232</v>
      </c>
    </row>
    <row r="802" spans="1:9" x14ac:dyDescent="0.35">
      <c r="A802" t="s">
        <v>1631</v>
      </c>
      <c r="B802" t="s">
        <v>267</v>
      </c>
      <c r="C802" t="s">
        <v>2967</v>
      </c>
      <c r="D802" t="s">
        <v>34</v>
      </c>
      <c r="E802">
        <v>43</v>
      </c>
      <c r="F802" t="s">
        <v>99</v>
      </c>
      <c r="G802" t="s">
        <v>22</v>
      </c>
      <c r="H802" t="s">
        <v>23</v>
      </c>
      <c r="I802" t="s">
        <v>23</v>
      </c>
    </row>
    <row r="803" spans="1:9" x14ac:dyDescent="0.35">
      <c r="A803" t="s">
        <v>1633</v>
      </c>
      <c r="B803" t="s">
        <v>2151</v>
      </c>
      <c r="C803" t="s">
        <v>1194</v>
      </c>
      <c r="D803" t="s">
        <v>26</v>
      </c>
      <c r="E803">
        <v>19</v>
      </c>
      <c r="F803" t="s">
        <v>13</v>
      </c>
      <c r="G803" t="s">
        <v>37</v>
      </c>
      <c r="H803" t="s">
        <v>70</v>
      </c>
      <c r="I803" t="s">
        <v>71</v>
      </c>
    </row>
    <row r="804" spans="1:9" x14ac:dyDescent="0.35">
      <c r="A804" t="s">
        <v>1634</v>
      </c>
      <c r="B804" t="s">
        <v>2152</v>
      </c>
      <c r="C804" t="s">
        <v>1952</v>
      </c>
      <c r="D804" t="s">
        <v>11</v>
      </c>
      <c r="E804">
        <v>49</v>
      </c>
      <c r="F804" t="s">
        <v>99</v>
      </c>
      <c r="G804" t="s">
        <v>22</v>
      </c>
      <c r="H804" t="s">
        <v>23</v>
      </c>
      <c r="I804" t="s">
        <v>23</v>
      </c>
    </row>
    <row r="805" spans="1:9" x14ac:dyDescent="0.35">
      <c r="A805" t="s">
        <v>1635</v>
      </c>
      <c r="B805" t="s">
        <v>1636</v>
      </c>
      <c r="C805" t="s">
        <v>2968</v>
      </c>
      <c r="D805" t="s">
        <v>26</v>
      </c>
      <c r="E805" t="s">
        <v>1150</v>
      </c>
      <c r="F805" t="s">
        <v>36</v>
      </c>
      <c r="G805" t="s">
        <v>14</v>
      </c>
      <c r="H805" t="s">
        <v>15</v>
      </c>
      <c r="I805" t="s">
        <v>16</v>
      </c>
    </row>
    <row r="806" spans="1:9" x14ac:dyDescent="0.35">
      <c r="A806" t="s">
        <v>1637</v>
      </c>
      <c r="B806" t="s">
        <v>1371</v>
      </c>
      <c r="C806" t="s">
        <v>2969</v>
      </c>
      <c r="D806" t="s">
        <v>26</v>
      </c>
      <c r="E806">
        <v>44</v>
      </c>
      <c r="F806" t="s">
        <v>400</v>
      </c>
      <c r="G806" t="s">
        <v>37</v>
      </c>
      <c r="H806" t="s">
        <v>23</v>
      </c>
      <c r="I806" t="s">
        <v>107</v>
      </c>
    </row>
    <row r="807" spans="1:9" x14ac:dyDescent="0.35">
      <c r="A807" t="s">
        <v>1638</v>
      </c>
      <c r="B807" t="s">
        <v>1246</v>
      </c>
      <c r="C807" t="s">
        <v>2970</v>
      </c>
      <c r="D807" t="s">
        <v>46</v>
      </c>
      <c r="E807">
        <v>19</v>
      </c>
      <c r="F807" t="s">
        <v>36</v>
      </c>
      <c r="G807" t="s">
        <v>22</v>
      </c>
      <c r="H807" t="s">
        <v>30</v>
      </c>
    </row>
    <row r="808" spans="1:9" x14ac:dyDescent="0.35">
      <c r="A808" t="s">
        <v>462</v>
      </c>
      <c r="B808" t="s">
        <v>91</v>
      </c>
      <c r="C808" t="s">
        <v>2971</v>
      </c>
      <c r="D808" t="s">
        <v>26</v>
      </c>
      <c r="E808">
        <v>48</v>
      </c>
      <c r="F808" t="s">
        <v>56</v>
      </c>
      <c r="G808" t="s">
        <v>22</v>
      </c>
      <c r="H808" t="s">
        <v>23</v>
      </c>
      <c r="I808" t="s">
        <v>23</v>
      </c>
    </row>
    <row r="809" spans="1:9" x14ac:dyDescent="0.35">
      <c r="A809" t="s">
        <v>1640</v>
      </c>
      <c r="B809" t="s">
        <v>995</v>
      </c>
      <c r="C809" t="s">
        <v>2972</v>
      </c>
      <c r="D809" t="s">
        <v>140</v>
      </c>
      <c r="E809">
        <v>52</v>
      </c>
      <c r="F809" t="s">
        <v>62</v>
      </c>
      <c r="G809" t="s">
        <v>29</v>
      </c>
      <c r="H809" t="s">
        <v>96</v>
      </c>
      <c r="I809" t="s">
        <v>130</v>
      </c>
    </row>
    <row r="810" spans="1:9" x14ac:dyDescent="0.35">
      <c r="A810" t="s">
        <v>1641</v>
      </c>
      <c r="B810" t="s">
        <v>2153</v>
      </c>
      <c r="C810" t="s">
        <v>2973</v>
      </c>
      <c r="D810" t="s">
        <v>20</v>
      </c>
      <c r="E810">
        <v>54</v>
      </c>
      <c r="F810" t="s">
        <v>56</v>
      </c>
      <c r="G810" t="s">
        <v>22</v>
      </c>
      <c r="H810" t="s">
        <v>57</v>
      </c>
      <c r="I810" t="s">
        <v>57</v>
      </c>
    </row>
    <row r="811" spans="1:9" x14ac:dyDescent="0.35">
      <c r="A811" t="s">
        <v>1642</v>
      </c>
      <c r="B811" t="s">
        <v>1404</v>
      </c>
      <c r="C811" t="s">
        <v>2974</v>
      </c>
      <c r="D811" t="s">
        <v>34</v>
      </c>
      <c r="E811">
        <v>31</v>
      </c>
      <c r="F811" t="s">
        <v>13</v>
      </c>
      <c r="G811" t="s">
        <v>14</v>
      </c>
      <c r="H811" t="s">
        <v>30</v>
      </c>
      <c r="I811" t="s">
        <v>38</v>
      </c>
    </row>
    <row r="812" spans="1:9" x14ac:dyDescent="0.35">
      <c r="A812" t="s">
        <v>1643</v>
      </c>
      <c r="B812" t="s">
        <v>2154</v>
      </c>
      <c r="C812" t="s">
        <v>2975</v>
      </c>
      <c r="D812" t="s">
        <v>34</v>
      </c>
      <c r="E812">
        <v>62</v>
      </c>
      <c r="F812" t="s">
        <v>13</v>
      </c>
      <c r="G812" t="s">
        <v>37</v>
      </c>
      <c r="H812" t="s">
        <v>30</v>
      </c>
      <c r="I812" t="s">
        <v>15</v>
      </c>
    </row>
    <row r="813" spans="1:9" x14ac:dyDescent="0.35">
      <c r="A813" t="s">
        <v>47</v>
      </c>
      <c r="B813" t="s">
        <v>965</v>
      </c>
      <c r="C813" t="s">
        <v>2976</v>
      </c>
      <c r="D813" t="s">
        <v>26</v>
      </c>
      <c r="E813">
        <v>20</v>
      </c>
      <c r="F813" t="s">
        <v>13</v>
      </c>
      <c r="G813" t="s">
        <v>14</v>
      </c>
      <c r="H813" t="s">
        <v>23</v>
      </c>
      <c r="I813" t="s">
        <v>79</v>
      </c>
    </row>
    <row r="814" spans="1:9" x14ac:dyDescent="0.35">
      <c r="A814" t="s">
        <v>1645</v>
      </c>
      <c r="B814" t="s">
        <v>1701</v>
      </c>
      <c r="C814" t="s">
        <v>2977</v>
      </c>
      <c r="D814" t="s">
        <v>20</v>
      </c>
      <c r="E814">
        <v>39</v>
      </c>
      <c r="F814" t="s">
        <v>56</v>
      </c>
      <c r="G814" t="s">
        <v>37</v>
      </c>
      <c r="H814" t="s">
        <v>147</v>
      </c>
      <c r="I814" t="s">
        <v>71</v>
      </c>
    </row>
    <row r="815" spans="1:9" x14ac:dyDescent="0.35">
      <c r="A815" t="s">
        <v>1648</v>
      </c>
      <c r="B815" t="s">
        <v>91</v>
      </c>
      <c r="C815" t="s">
        <v>238</v>
      </c>
      <c r="D815" t="s">
        <v>34</v>
      </c>
      <c r="E815">
        <v>51</v>
      </c>
      <c r="F815" t="s">
        <v>13</v>
      </c>
      <c r="G815" t="s">
        <v>29</v>
      </c>
      <c r="H815" t="s">
        <v>15</v>
      </c>
      <c r="I815" t="s">
        <v>130</v>
      </c>
    </row>
    <row r="816" spans="1:9" x14ac:dyDescent="0.35">
      <c r="A816" t="s">
        <v>1649</v>
      </c>
      <c r="B816" t="s">
        <v>10</v>
      </c>
      <c r="C816" t="s">
        <v>1780</v>
      </c>
      <c r="D816" t="s">
        <v>34</v>
      </c>
      <c r="E816">
        <v>42</v>
      </c>
      <c r="F816" t="s">
        <v>56</v>
      </c>
      <c r="G816" t="s">
        <v>37</v>
      </c>
      <c r="H816" t="s">
        <v>15</v>
      </c>
      <c r="I816" t="s">
        <v>38</v>
      </c>
    </row>
    <row r="817" spans="1:9" x14ac:dyDescent="0.35">
      <c r="A817" t="s">
        <v>1650</v>
      </c>
      <c r="B817" t="s">
        <v>1651</v>
      </c>
      <c r="C817" t="s">
        <v>2978</v>
      </c>
      <c r="D817" t="s">
        <v>34</v>
      </c>
      <c r="E817">
        <v>53</v>
      </c>
      <c r="F817" t="s">
        <v>13</v>
      </c>
      <c r="G817" t="s">
        <v>37</v>
      </c>
      <c r="H817" t="s">
        <v>70</v>
      </c>
      <c r="I817" t="s">
        <v>71</v>
      </c>
    </row>
    <row r="818" spans="1:9" x14ac:dyDescent="0.35">
      <c r="A818" t="s">
        <v>1653</v>
      </c>
      <c r="B818" t="s">
        <v>1654</v>
      </c>
      <c r="C818" t="s">
        <v>2979</v>
      </c>
      <c r="D818" t="s">
        <v>34</v>
      </c>
      <c r="E818">
        <v>36</v>
      </c>
      <c r="F818" t="s">
        <v>28</v>
      </c>
      <c r="G818" t="s">
        <v>29</v>
      </c>
      <c r="H818" t="s">
        <v>23</v>
      </c>
      <c r="I818" t="s">
        <v>128</v>
      </c>
    </row>
    <row r="819" spans="1:9" x14ac:dyDescent="0.35">
      <c r="A819" t="s">
        <v>1655</v>
      </c>
      <c r="B819" t="s">
        <v>696</v>
      </c>
      <c r="C819" t="s">
        <v>679</v>
      </c>
      <c r="D819" t="s">
        <v>26</v>
      </c>
      <c r="E819">
        <v>54</v>
      </c>
      <c r="F819" t="s">
        <v>62</v>
      </c>
      <c r="G819" t="s">
        <v>22</v>
      </c>
      <c r="H819" t="s">
        <v>15</v>
      </c>
      <c r="I819" t="s">
        <v>15</v>
      </c>
    </row>
    <row r="820" spans="1:9" x14ac:dyDescent="0.35">
      <c r="A820" t="s">
        <v>1656</v>
      </c>
      <c r="B820" t="s">
        <v>2128</v>
      </c>
      <c r="C820" t="s">
        <v>2196</v>
      </c>
      <c r="D820" t="s">
        <v>26</v>
      </c>
      <c r="E820">
        <v>55</v>
      </c>
      <c r="F820" t="s">
        <v>36</v>
      </c>
      <c r="G820" t="s">
        <v>22</v>
      </c>
      <c r="H820" t="s">
        <v>15</v>
      </c>
      <c r="I820" t="s">
        <v>15</v>
      </c>
    </row>
    <row r="821" spans="1:9" x14ac:dyDescent="0.35">
      <c r="A821" t="s">
        <v>1657</v>
      </c>
      <c r="B821" t="s">
        <v>1416</v>
      </c>
      <c r="C821" t="s">
        <v>2980</v>
      </c>
      <c r="D821" t="s">
        <v>46</v>
      </c>
      <c r="E821">
        <v>33</v>
      </c>
      <c r="F821" t="s">
        <v>36</v>
      </c>
      <c r="G821" t="s">
        <v>29</v>
      </c>
      <c r="H821" t="s">
        <v>15</v>
      </c>
      <c r="I821" t="s">
        <v>130</v>
      </c>
    </row>
    <row r="822" spans="1:9" x14ac:dyDescent="0.35">
      <c r="A822" t="s">
        <v>1658</v>
      </c>
      <c r="B822" t="s">
        <v>2155</v>
      </c>
      <c r="C822" t="s">
        <v>2981</v>
      </c>
      <c r="D822" t="s">
        <v>140</v>
      </c>
      <c r="E822">
        <v>48</v>
      </c>
      <c r="F822" t="s">
        <v>124</v>
      </c>
      <c r="G822" t="s">
        <v>37</v>
      </c>
      <c r="H822" t="s">
        <v>30</v>
      </c>
      <c r="I822" t="s">
        <v>15</v>
      </c>
    </row>
    <row r="823" spans="1:9" x14ac:dyDescent="0.35">
      <c r="A823" t="s">
        <v>1660</v>
      </c>
      <c r="B823" t="s">
        <v>1661</v>
      </c>
      <c r="C823" t="s">
        <v>2982</v>
      </c>
      <c r="D823" t="s">
        <v>34</v>
      </c>
      <c r="E823">
        <v>26</v>
      </c>
      <c r="F823" t="s">
        <v>56</v>
      </c>
      <c r="G823" t="s">
        <v>37</v>
      </c>
      <c r="H823" t="s">
        <v>23</v>
      </c>
      <c r="I823" t="s">
        <v>107</v>
      </c>
    </row>
    <row r="824" spans="1:9" x14ac:dyDescent="0.35">
      <c r="A824" t="s">
        <v>1662</v>
      </c>
      <c r="B824" t="s">
        <v>818</v>
      </c>
      <c r="C824" t="s">
        <v>2983</v>
      </c>
      <c r="D824" t="s">
        <v>46</v>
      </c>
      <c r="E824">
        <v>23</v>
      </c>
      <c r="F824" t="s">
        <v>56</v>
      </c>
      <c r="G824" t="s">
        <v>29</v>
      </c>
      <c r="H824" t="s">
        <v>15</v>
      </c>
      <c r="I824" t="s">
        <v>130</v>
      </c>
    </row>
    <row r="825" spans="1:9" x14ac:dyDescent="0.35">
      <c r="A825" t="s">
        <v>1664</v>
      </c>
      <c r="B825" t="s">
        <v>1651</v>
      </c>
      <c r="C825" t="s">
        <v>2984</v>
      </c>
      <c r="D825" t="s">
        <v>34</v>
      </c>
      <c r="E825">
        <v>59</v>
      </c>
      <c r="F825" t="s">
        <v>13</v>
      </c>
      <c r="G825" t="s">
        <v>14</v>
      </c>
      <c r="H825" t="s">
        <v>30</v>
      </c>
      <c r="I825" t="s">
        <v>38</v>
      </c>
    </row>
    <row r="826" spans="1:9" x14ac:dyDescent="0.35">
      <c r="A826" t="s">
        <v>1665</v>
      </c>
      <c r="B826" t="s">
        <v>1666</v>
      </c>
      <c r="C826" t="s">
        <v>2985</v>
      </c>
      <c r="D826" t="s">
        <v>26</v>
      </c>
      <c r="E826">
        <v>37</v>
      </c>
      <c r="F826" t="s">
        <v>89</v>
      </c>
      <c r="G826" t="s">
        <v>14</v>
      </c>
      <c r="H826" t="s">
        <v>70</v>
      </c>
      <c r="I826" t="s">
        <v>44</v>
      </c>
    </row>
    <row r="827" spans="1:9" x14ac:dyDescent="0.35">
      <c r="A827" t="s">
        <v>1667</v>
      </c>
      <c r="B827" t="s">
        <v>2156</v>
      </c>
      <c r="C827" t="s">
        <v>2986</v>
      </c>
      <c r="D827" t="s">
        <v>26</v>
      </c>
      <c r="E827" t="s">
        <v>754</v>
      </c>
      <c r="F827" t="s">
        <v>69</v>
      </c>
      <c r="G827" t="s">
        <v>37</v>
      </c>
      <c r="H827" t="s">
        <v>70</v>
      </c>
      <c r="I827" t="s">
        <v>71</v>
      </c>
    </row>
    <row r="828" spans="1:9" x14ac:dyDescent="0.35">
      <c r="A828" t="s">
        <v>1668</v>
      </c>
      <c r="B828" t="s">
        <v>2082</v>
      </c>
      <c r="C828" t="s">
        <v>2987</v>
      </c>
      <c r="D828" t="s">
        <v>112</v>
      </c>
      <c r="E828">
        <v>57</v>
      </c>
      <c r="F828" t="s">
        <v>36</v>
      </c>
      <c r="G828" t="s">
        <v>37</v>
      </c>
      <c r="H828" t="s">
        <v>371</v>
      </c>
      <c r="I828" t="s">
        <v>15</v>
      </c>
    </row>
    <row r="829" spans="1:9" x14ac:dyDescent="0.35">
      <c r="A829" t="s">
        <v>1669</v>
      </c>
      <c r="B829" t="s">
        <v>1670</v>
      </c>
      <c r="C829" t="s">
        <v>2988</v>
      </c>
      <c r="D829" t="s">
        <v>26</v>
      </c>
      <c r="E829">
        <v>47</v>
      </c>
      <c r="F829" t="s">
        <v>56</v>
      </c>
      <c r="G829" t="s">
        <v>37</v>
      </c>
      <c r="H829" t="s">
        <v>15</v>
      </c>
      <c r="I829" t="s">
        <v>38</v>
      </c>
    </row>
    <row r="830" spans="1:9" x14ac:dyDescent="0.35">
      <c r="A830" t="s">
        <v>1672</v>
      </c>
      <c r="B830" t="s">
        <v>1673</v>
      </c>
      <c r="C830" t="s">
        <v>2989</v>
      </c>
      <c r="D830" t="s">
        <v>34</v>
      </c>
      <c r="E830">
        <v>60</v>
      </c>
      <c r="F830" t="s">
        <v>13</v>
      </c>
      <c r="G830" t="s">
        <v>14</v>
      </c>
      <c r="H830" t="s">
        <v>282</v>
      </c>
      <c r="I830" t="s">
        <v>232</v>
      </c>
    </row>
    <row r="831" spans="1:9" x14ac:dyDescent="0.35">
      <c r="A831" t="s">
        <v>1674</v>
      </c>
      <c r="B831" t="s">
        <v>870</v>
      </c>
      <c r="C831" t="s">
        <v>2277</v>
      </c>
      <c r="D831" t="s">
        <v>140</v>
      </c>
      <c r="E831">
        <v>19</v>
      </c>
      <c r="F831" t="s">
        <v>13</v>
      </c>
      <c r="G831" t="s">
        <v>37</v>
      </c>
      <c r="H831" t="s">
        <v>30</v>
      </c>
      <c r="I831" t="s">
        <v>15</v>
      </c>
    </row>
    <row r="832" spans="1:9" x14ac:dyDescent="0.35">
      <c r="A832" t="s">
        <v>1675</v>
      </c>
      <c r="B832" t="s">
        <v>1676</v>
      </c>
      <c r="C832" t="s">
        <v>2990</v>
      </c>
      <c r="D832" t="s">
        <v>268</v>
      </c>
      <c r="E832">
        <v>26</v>
      </c>
      <c r="F832" t="s">
        <v>56</v>
      </c>
      <c r="G832" t="s">
        <v>29</v>
      </c>
      <c r="H832" t="s">
        <v>186</v>
      </c>
      <c r="I832" t="s">
        <v>128</v>
      </c>
    </row>
    <row r="833" spans="1:9" x14ac:dyDescent="0.35">
      <c r="A833" t="s">
        <v>1677</v>
      </c>
      <c r="B833" t="s">
        <v>1095</v>
      </c>
      <c r="C833" t="s">
        <v>2991</v>
      </c>
      <c r="D833" t="s">
        <v>34</v>
      </c>
      <c r="E833">
        <v>49</v>
      </c>
      <c r="F833" t="s">
        <v>13</v>
      </c>
      <c r="G833" t="s">
        <v>14</v>
      </c>
      <c r="H833" t="s">
        <v>75</v>
      </c>
      <c r="I833" t="s">
        <v>16</v>
      </c>
    </row>
    <row r="834" spans="1:9" x14ac:dyDescent="0.35">
      <c r="A834" t="s">
        <v>1678</v>
      </c>
      <c r="B834" t="s">
        <v>772</v>
      </c>
      <c r="C834" t="s">
        <v>2992</v>
      </c>
      <c r="D834" t="s">
        <v>26</v>
      </c>
      <c r="E834">
        <v>30</v>
      </c>
      <c r="F834" t="s">
        <v>56</v>
      </c>
      <c r="G834" t="s">
        <v>29</v>
      </c>
      <c r="I834" t="s">
        <v>128</v>
      </c>
    </row>
    <row r="835" spans="1:9" x14ac:dyDescent="0.35">
      <c r="A835" t="s">
        <v>1679</v>
      </c>
      <c r="B835" t="s">
        <v>1680</v>
      </c>
      <c r="C835" t="s">
        <v>2993</v>
      </c>
      <c r="D835" t="s">
        <v>34</v>
      </c>
      <c r="E835" t="s">
        <v>674</v>
      </c>
      <c r="F835" t="s">
        <v>56</v>
      </c>
      <c r="G835" t="s">
        <v>14</v>
      </c>
      <c r="H835" t="s">
        <v>70</v>
      </c>
      <c r="I835" t="s">
        <v>44</v>
      </c>
    </row>
    <row r="836" spans="1:9" x14ac:dyDescent="0.35">
      <c r="A836" t="s">
        <v>1681</v>
      </c>
      <c r="B836" t="s">
        <v>713</v>
      </c>
      <c r="C836" t="s">
        <v>2994</v>
      </c>
      <c r="D836" t="s">
        <v>34</v>
      </c>
      <c r="E836">
        <v>62</v>
      </c>
      <c r="F836" t="s">
        <v>48</v>
      </c>
      <c r="G836" t="s">
        <v>29</v>
      </c>
      <c r="H836" t="s">
        <v>15</v>
      </c>
      <c r="I836" t="s">
        <v>130</v>
      </c>
    </row>
    <row r="837" spans="1:9" x14ac:dyDescent="0.35">
      <c r="A837" t="s">
        <v>1682</v>
      </c>
      <c r="B837" t="s">
        <v>1683</v>
      </c>
      <c r="C837" t="s">
        <v>2186</v>
      </c>
      <c r="D837" t="s">
        <v>34</v>
      </c>
      <c r="E837">
        <v>19</v>
      </c>
      <c r="F837" t="s">
        <v>36</v>
      </c>
      <c r="H837" t="s">
        <v>70</v>
      </c>
      <c r="I837" t="s">
        <v>191</v>
      </c>
    </row>
    <row r="838" spans="1:9" x14ac:dyDescent="0.35">
      <c r="A838" t="s">
        <v>1685</v>
      </c>
      <c r="B838" t="s">
        <v>1111</v>
      </c>
      <c r="C838" t="s">
        <v>2995</v>
      </c>
      <c r="D838" t="s">
        <v>26</v>
      </c>
      <c r="E838">
        <v>57</v>
      </c>
      <c r="F838" t="s">
        <v>56</v>
      </c>
      <c r="G838" t="s">
        <v>37</v>
      </c>
      <c r="H838" t="s">
        <v>84</v>
      </c>
      <c r="I838" t="s">
        <v>163</v>
      </c>
    </row>
    <row r="839" spans="1:9" x14ac:dyDescent="0.35">
      <c r="A839" t="s">
        <v>1687</v>
      </c>
      <c r="B839" t="s">
        <v>1688</v>
      </c>
      <c r="C839" t="s">
        <v>2996</v>
      </c>
      <c r="D839" t="s">
        <v>26</v>
      </c>
      <c r="E839">
        <v>61</v>
      </c>
      <c r="F839" t="s">
        <v>56</v>
      </c>
      <c r="G839" t="s">
        <v>22</v>
      </c>
      <c r="H839" t="s">
        <v>15</v>
      </c>
      <c r="I839" t="s">
        <v>15</v>
      </c>
    </row>
    <row r="840" spans="1:9" x14ac:dyDescent="0.35">
      <c r="A840" t="s">
        <v>1690</v>
      </c>
      <c r="B840" t="s">
        <v>2157</v>
      </c>
      <c r="C840" t="s">
        <v>1032</v>
      </c>
      <c r="D840" t="s">
        <v>46</v>
      </c>
      <c r="E840">
        <v>46</v>
      </c>
      <c r="F840" t="s">
        <v>13</v>
      </c>
      <c r="G840" t="s">
        <v>14</v>
      </c>
      <c r="H840" t="s">
        <v>30</v>
      </c>
      <c r="I840" t="s">
        <v>38</v>
      </c>
    </row>
    <row r="841" spans="1:9" x14ac:dyDescent="0.35">
      <c r="A841" t="s">
        <v>1691</v>
      </c>
      <c r="B841" t="s">
        <v>1692</v>
      </c>
      <c r="C841" t="s">
        <v>2545</v>
      </c>
      <c r="D841" t="s">
        <v>34</v>
      </c>
      <c r="E841">
        <v>58</v>
      </c>
      <c r="F841" t="s">
        <v>48</v>
      </c>
      <c r="G841" t="s">
        <v>14</v>
      </c>
      <c r="H841" t="s">
        <v>23</v>
      </c>
      <c r="I841" t="s">
        <v>79</v>
      </c>
    </row>
    <row r="842" spans="1:9" x14ac:dyDescent="0.35">
      <c r="A842" t="s">
        <v>1694</v>
      </c>
      <c r="B842" t="s">
        <v>1695</v>
      </c>
      <c r="C842" t="s">
        <v>2997</v>
      </c>
      <c r="D842" t="s">
        <v>26</v>
      </c>
      <c r="E842">
        <v>62</v>
      </c>
      <c r="F842" t="s">
        <v>13</v>
      </c>
      <c r="G842" t="s">
        <v>37</v>
      </c>
      <c r="H842" t="s">
        <v>49</v>
      </c>
      <c r="I842" t="s">
        <v>15</v>
      </c>
    </row>
    <row r="843" spans="1:9" x14ac:dyDescent="0.35">
      <c r="A843" t="s">
        <v>1697</v>
      </c>
      <c r="B843" t="s">
        <v>656</v>
      </c>
      <c r="C843" t="s">
        <v>565</v>
      </c>
      <c r="D843" t="s">
        <v>26</v>
      </c>
      <c r="E843">
        <v>36</v>
      </c>
      <c r="F843" t="s">
        <v>69</v>
      </c>
      <c r="G843" t="s">
        <v>37</v>
      </c>
      <c r="H843" t="s">
        <v>57</v>
      </c>
      <c r="I843" t="s">
        <v>163</v>
      </c>
    </row>
    <row r="844" spans="1:9" x14ac:dyDescent="0.35">
      <c r="A844" t="s">
        <v>1698</v>
      </c>
      <c r="B844" t="s">
        <v>2127</v>
      </c>
      <c r="C844" t="s">
        <v>2998</v>
      </c>
      <c r="D844" t="s">
        <v>140</v>
      </c>
      <c r="E844" t="s">
        <v>1699</v>
      </c>
      <c r="F844" t="s">
        <v>56</v>
      </c>
      <c r="G844" t="s">
        <v>14</v>
      </c>
      <c r="I844" t="s">
        <v>232</v>
      </c>
    </row>
    <row r="845" spans="1:9" x14ac:dyDescent="0.35">
      <c r="A845" t="s">
        <v>128</v>
      </c>
      <c r="B845" t="s">
        <v>1311</v>
      </c>
      <c r="C845" t="s">
        <v>2999</v>
      </c>
      <c r="D845" t="s">
        <v>34</v>
      </c>
      <c r="E845">
        <v>21</v>
      </c>
      <c r="F845" t="s">
        <v>124</v>
      </c>
      <c r="G845" t="s">
        <v>37</v>
      </c>
      <c r="H845" t="s">
        <v>70</v>
      </c>
      <c r="I845" t="s">
        <v>71</v>
      </c>
    </row>
    <row r="846" spans="1:9" x14ac:dyDescent="0.35">
      <c r="A846" t="s">
        <v>1700</v>
      </c>
      <c r="B846" t="s">
        <v>1701</v>
      </c>
      <c r="C846" t="s">
        <v>3000</v>
      </c>
      <c r="D846" t="s">
        <v>34</v>
      </c>
      <c r="E846" t="s">
        <v>1402</v>
      </c>
      <c r="F846" t="s">
        <v>36</v>
      </c>
      <c r="G846" t="s">
        <v>37</v>
      </c>
      <c r="H846" t="s">
        <v>57</v>
      </c>
      <c r="I846" t="s">
        <v>163</v>
      </c>
    </row>
    <row r="847" spans="1:9" x14ac:dyDescent="0.35">
      <c r="A847" t="s">
        <v>107</v>
      </c>
      <c r="B847" t="s">
        <v>2158</v>
      </c>
      <c r="C847" t="s">
        <v>3001</v>
      </c>
      <c r="D847" t="s">
        <v>26</v>
      </c>
      <c r="E847" t="s">
        <v>1585</v>
      </c>
      <c r="F847" t="s">
        <v>36</v>
      </c>
      <c r="G847" t="s">
        <v>37</v>
      </c>
      <c r="H847" t="s">
        <v>162</v>
      </c>
      <c r="I847" t="s">
        <v>163</v>
      </c>
    </row>
    <row r="848" spans="1:9" x14ac:dyDescent="0.35">
      <c r="A848" t="s">
        <v>1702</v>
      </c>
      <c r="B848" t="s">
        <v>2159</v>
      </c>
      <c r="C848" t="s">
        <v>3002</v>
      </c>
      <c r="D848" t="s">
        <v>26</v>
      </c>
      <c r="E848">
        <v>28</v>
      </c>
      <c r="F848" t="s">
        <v>56</v>
      </c>
      <c r="G848" t="s">
        <v>29</v>
      </c>
      <c r="H848" t="s">
        <v>70</v>
      </c>
      <c r="I848" t="s">
        <v>191</v>
      </c>
    </row>
    <row r="849" spans="1:9" x14ac:dyDescent="0.35">
      <c r="A849" t="s">
        <v>1704</v>
      </c>
      <c r="B849" t="s">
        <v>1244</v>
      </c>
      <c r="C849" t="s">
        <v>3003</v>
      </c>
      <c r="D849" t="s">
        <v>34</v>
      </c>
      <c r="E849">
        <v>56</v>
      </c>
      <c r="F849" t="s">
        <v>56</v>
      </c>
      <c r="G849" t="s">
        <v>14</v>
      </c>
      <c r="I849" t="s">
        <v>38</v>
      </c>
    </row>
    <row r="850" spans="1:9" x14ac:dyDescent="0.35">
      <c r="A850" t="s">
        <v>1705</v>
      </c>
      <c r="B850" t="s">
        <v>1706</v>
      </c>
      <c r="C850" t="s">
        <v>3004</v>
      </c>
      <c r="D850" t="s">
        <v>26</v>
      </c>
      <c r="E850">
        <v>43</v>
      </c>
      <c r="F850" t="s">
        <v>36</v>
      </c>
      <c r="G850" t="s">
        <v>29</v>
      </c>
      <c r="H850" t="s">
        <v>23</v>
      </c>
      <c r="I850" t="s">
        <v>128</v>
      </c>
    </row>
    <row r="851" spans="1:9" x14ac:dyDescent="0.35">
      <c r="A851" t="s">
        <v>1708</v>
      </c>
      <c r="B851" t="s">
        <v>1458</v>
      </c>
      <c r="C851" t="s">
        <v>2909</v>
      </c>
      <c r="D851" t="s">
        <v>26</v>
      </c>
      <c r="E851">
        <v>27</v>
      </c>
      <c r="F851" t="s">
        <v>36</v>
      </c>
      <c r="G851" t="s">
        <v>22</v>
      </c>
      <c r="H851" t="s">
        <v>15</v>
      </c>
      <c r="I851" t="s">
        <v>15</v>
      </c>
    </row>
    <row r="852" spans="1:9" x14ac:dyDescent="0.35">
      <c r="A852" t="s">
        <v>1709</v>
      </c>
      <c r="B852" t="s">
        <v>2045</v>
      </c>
      <c r="C852" t="s">
        <v>3005</v>
      </c>
      <c r="D852" t="s">
        <v>112</v>
      </c>
      <c r="E852">
        <v>54</v>
      </c>
      <c r="F852" t="s">
        <v>117</v>
      </c>
      <c r="G852" t="s">
        <v>14</v>
      </c>
      <c r="H852" t="s">
        <v>288</v>
      </c>
      <c r="I852" t="s">
        <v>79</v>
      </c>
    </row>
    <row r="853" spans="1:9" x14ac:dyDescent="0.35">
      <c r="A853" t="s">
        <v>1711</v>
      </c>
      <c r="B853" t="s">
        <v>2097</v>
      </c>
      <c r="C853" t="s">
        <v>3006</v>
      </c>
      <c r="D853" t="s">
        <v>34</v>
      </c>
      <c r="E853">
        <v>50</v>
      </c>
      <c r="F853" t="s">
        <v>56</v>
      </c>
      <c r="G853" t="s">
        <v>29</v>
      </c>
      <c r="H853" t="s">
        <v>30</v>
      </c>
      <c r="I853" t="s">
        <v>31</v>
      </c>
    </row>
    <row r="854" spans="1:9" x14ac:dyDescent="0.35">
      <c r="A854" t="s">
        <v>15</v>
      </c>
      <c r="B854" t="s">
        <v>1713</v>
      </c>
      <c r="C854" t="s">
        <v>2824</v>
      </c>
      <c r="D854" t="s">
        <v>46</v>
      </c>
      <c r="E854">
        <v>27</v>
      </c>
      <c r="F854" t="s">
        <v>36</v>
      </c>
      <c r="G854" t="s">
        <v>29</v>
      </c>
      <c r="H854" t="s">
        <v>30</v>
      </c>
      <c r="I854" t="s">
        <v>31</v>
      </c>
    </row>
    <row r="855" spans="1:9" x14ac:dyDescent="0.35">
      <c r="A855" t="s">
        <v>1715</v>
      </c>
      <c r="B855" t="s">
        <v>1302</v>
      </c>
      <c r="C855" t="s">
        <v>3007</v>
      </c>
      <c r="D855" t="s">
        <v>34</v>
      </c>
      <c r="E855">
        <v>59</v>
      </c>
      <c r="F855" t="s">
        <v>56</v>
      </c>
      <c r="G855" t="s">
        <v>14</v>
      </c>
      <c r="H855" t="s">
        <v>30</v>
      </c>
      <c r="I855" t="s">
        <v>38</v>
      </c>
    </row>
    <row r="856" spans="1:9" x14ac:dyDescent="0.35">
      <c r="A856" t="s">
        <v>1716</v>
      </c>
      <c r="B856" t="s">
        <v>1717</v>
      </c>
      <c r="C856" t="s">
        <v>3008</v>
      </c>
      <c r="D856" t="s">
        <v>26</v>
      </c>
      <c r="E856">
        <v>45</v>
      </c>
      <c r="F856" t="s">
        <v>36</v>
      </c>
      <c r="G856" t="s">
        <v>22</v>
      </c>
      <c r="H856" t="s">
        <v>70</v>
      </c>
      <c r="I856" t="s">
        <v>70</v>
      </c>
    </row>
    <row r="857" spans="1:9" x14ac:dyDescent="0.35">
      <c r="A857" t="s">
        <v>1719</v>
      </c>
      <c r="B857" t="s">
        <v>892</v>
      </c>
      <c r="C857" t="s">
        <v>2206</v>
      </c>
      <c r="D857" t="s">
        <v>26</v>
      </c>
      <c r="E857">
        <v>18</v>
      </c>
      <c r="F857" t="s">
        <v>13</v>
      </c>
      <c r="G857" t="s">
        <v>14</v>
      </c>
      <c r="H857" t="s">
        <v>70</v>
      </c>
      <c r="I857" t="s">
        <v>44</v>
      </c>
    </row>
    <row r="858" spans="1:9" x14ac:dyDescent="0.35">
      <c r="A858" t="s">
        <v>1720</v>
      </c>
      <c r="B858" t="s">
        <v>1721</v>
      </c>
      <c r="C858" t="s">
        <v>3009</v>
      </c>
      <c r="D858" t="s">
        <v>26</v>
      </c>
      <c r="E858">
        <v>23</v>
      </c>
      <c r="F858" t="s">
        <v>117</v>
      </c>
      <c r="G858" t="s">
        <v>37</v>
      </c>
      <c r="H858" t="s">
        <v>57</v>
      </c>
      <c r="I858" t="s">
        <v>163</v>
      </c>
    </row>
    <row r="859" spans="1:9" x14ac:dyDescent="0.35">
      <c r="A859" t="s">
        <v>1723</v>
      </c>
      <c r="B859" t="s">
        <v>1412</v>
      </c>
      <c r="C859" t="s">
        <v>3010</v>
      </c>
      <c r="D859" t="s">
        <v>20</v>
      </c>
      <c r="E859">
        <v>44</v>
      </c>
      <c r="F859" t="s">
        <v>56</v>
      </c>
      <c r="G859" t="s">
        <v>14</v>
      </c>
      <c r="H859" t="s">
        <v>57</v>
      </c>
      <c r="I859" t="s">
        <v>232</v>
      </c>
    </row>
    <row r="860" spans="1:9" x14ac:dyDescent="0.35">
      <c r="A860" t="s">
        <v>1725</v>
      </c>
      <c r="B860" t="s">
        <v>2110</v>
      </c>
      <c r="C860" t="s">
        <v>1201</v>
      </c>
      <c r="D860" t="s">
        <v>112</v>
      </c>
      <c r="E860">
        <v>59</v>
      </c>
      <c r="F860" t="s">
        <v>99</v>
      </c>
      <c r="G860" t="s">
        <v>22</v>
      </c>
      <c r="H860" t="s">
        <v>57</v>
      </c>
      <c r="I860" t="s">
        <v>57</v>
      </c>
    </row>
    <row r="861" spans="1:9" x14ac:dyDescent="0.35">
      <c r="A861" t="s">
        <v>1726</v>
      </c>
      <c r="B861" t="s">
        <v>1075</v>
      </c>
      <c r="C861" t="s">
        <v>3011</v>
      </c>
      <c r="D861" t="s">
        <v>26</v>
      </c>
      <c r="E861">
        <v>50</v>
      </c>
      <c r="F861" t="s">
        <v>56</v>
      </c>
      <c r="H861" t="s">
        <v>30</v>
      </c>
      <c r="I861" t="s">
        <v>38</v>
      </c>
    </row>
    <row r="862" spans="1:9" x14ac:dyDescent="0.35">
      <c r="A862" t="s">
        <v>1728</v>
      </c>
      <c r="B862" t="s">
        <v>1729</v>
      </c>
      <c r="C862" t="s">
        <v>2248</v>
      </c>
      <c r="D862" t="s">
        <v>34</v>
      </c>
      <c r="E862">
        <v>46</v>
      </c>
      <c r="F862" t="s">
        <v>69</v>
      </c>
      <c r="G862" t="s">
        <v>14</v>
      </c>
      <c r="H862" t="s">
        <v>23</v>
      </c>
      <c r="I862" t="s">
        <v>79</v>
      </c>
    </row>
    <row r="863" spans="1:9" x14ac:dyDescent="0.35">
      <c r="A863" t="s">
        <v>1730</v>
      </c>
      <c r="B863" t="s">
        <v>969</v>
      </c>
      <c r="C863" t="s">
        <v>3012</v>
      </c>
      <c r="D863" t="s">
        <v>26</v>
      </c>
      <c r="E863" t="s">
        <v>195</v>
      </c>
      <c r="F863" t="s">
        <v>124</v>
      </c>
      <c r="G863" t="s">
        <v>14</v>
      </c>
      <c r="H863" t="s">
        <v>23</v>
      </c>
      <c r="I863" t="s">
        <v>79</v>
      </c>
    </row>
    <row r="864" spans="1:9" x14ac:dyDescent="0.35">
      <c r="A864" t="s">
        <v>1732</v>
      </c>
      <c r="B864" t="s">
        <v>1485</v>
      </c>
      <c r="C864" t="s">
        <v>3013</v>
      </c>
      <c r="D864" t="s">
        <v>26</v>
      </c>
      <c r="E864">
        <v>61</v>
      </c>
      <c r="F864" t="s">
        <v>56</v>
      </c>
      <c r="G864" t="s">
        <v>29</v>
      </c>
      <c r="H864" t="s">
        <v>70</v>
      </c>
      <c r="I864" t="s">
        <v>191</v>
      </c>
    </row>
    <row r="865" spans="1:9" x14ac:dyDescent="0.35">
      <c r="A865" t="s">
        <v>1734</v>
      </c>
      <c r="B865" t="s">
        <v>397</v>
      </c>
      <c r="C865" t="s">
        <v>1584</v>
      </c>
      <c r="D865" t="s">
        <v>34</v>
      </c>
      <c r="E865">
        <v>44</v>
      </c>
      <c r="F865" t="s">
        <v>13</v>
      </c>
      <c r="G865" t="s">
        <v>22</v>
      </c>
      <c r="H865" t="s">
        <v>70</v>
      </c>
      <c r="I865" t="s">
        <v>70</v>
      </c>
    </row>
    <row r="866" spans="1:9" x14ac:dyDescent="0.35">
      <c r="A866" t="s">
        <v>1736</v>
      </c>
      <c r="B866" t="s">
        <v>2160</v>
      </c>
      <c r="C866" t="s">
        <v>2307</v>
      </c>
      <c r="D866" t="s">
        <v>34</v>
      </c>
      <c r="E866">
        <v>59</v>
      </c>
      <c r="F866" t="s">
        <v>89</v>
      </c>
      <c r="G866" t="s">
        <v>29</v>
      </c>
      <c r="H866" t="s">
        <v>57</v>
      </c>
      <c r="I866" t="s">
        <v>85</v>
      </c>
    </row>
    <row r="867" spans="1:9" x14ac:dyDescent="0.35">
      <c r="A867" t="s">
        <v>1737</v>
      </c>
      <c r="B867" t="s">
        <v>252</v>
      </c>
      <c r="C867" t="s">
        <v>3014</v>
      </c>
      <c r="D867" t="s">
        <v>268</v>
      </c>
      <c r="E867">
        <v>22</v>
      </c>
      <c r="F867" t="s">
        <v>109</v>
      </c>
      <c r="G867" t="s">
        <v>29</v>
      </c>
      <c r="H867" t="s">
        <v>57</v>
      </c>
      <c r="I867" t="s">
        <v>85</v>
      </c>
    </row>
    <row r="868" spans="1:9" x14ac:dyDescent="0.35">
      <c r="A868" t="s">
        <v>1739</v>
      </c>
      <c r="B868" t="s">
        <v>1101</v>
      </c>
      <c r="C868" t="s">
        <v>2982</v>
      </c>
      <c r="D868" t="s">
        <v>34</v>
      </c>
      <c r="E868">
        <v>36</v>
      </c>
      <c r="F868" t="s">
        <v>434</v>
      </c>
      <c r="G868" t="s">
        <v>22</v>
      </c>
      <c r="H868" t="s">
        <v>30</v>
      </c>
      <c r="I868" t="s">
        <v>30</v>
      </c>
    </row>
    <row r="869" spans="1:9" x14ac:dyDescent="0.35">
      <c r="A869" t="s">
        <v>1740</v>
      </c>
      <c r="B869" t="s">
        <v>1741</v>
      </c>
      <c r="C869" t="s">
        <v>3015</v>
      </c>
      <c r="D869" t="s">
        <v>34</v>
      </c>
      <c r="E869">
        <v>55</v>
      </c>
      <c r="F869" t="s">
        <v>36</v>
      </c>
      <c r="G869" t="s">
        <v>29</v>
      </c>
      <c r="H869" t="s">
        <v>186</v>
      </c>
      <c r="I869" t="s">
        <v>128</v>
      </c>
    </row>
    <row r="870" spans="1:9" x14ac:dyDescent="0.35">
      <c r="A870" t="s">
        <v>1742</v>
      </c>
      <c r="B870" t="s">
        <v>310</v>
      </c>
      <c r="C870" t="s">
        <v>3016</v>
      </c>
      <c r="D870" t="s">
        <v>34</v>
      </c>
      <c r="E870">
        <v>64</v>
      </c>
      <c r="F870" t="s">
        <v>36</v>
      </c>
      <c r="G870" t="s">
        <v>22</v>
      </c>
      <c r="H870" t="s">
        <v>30</v>
      </c>
      <c r="I870" t="s">
        <v>30</v>
      </c>
    </row>
    <row r="871" spans="1:9" x14ac:dyDescent="0.35">
      <c r="A871" t="s">
        <v>1743</v>
      </c>
      <c r="B871" t="s">
        <v>1744</v>
      </c>
      <c r="C871" t="s">
        <v>3017</v>
      </c>
      <c r="D871" t="s">
        <v>26</v>
      </c>
      <c r="E871">
        <v>60</v>
      </c>
      <c r="F871" t="s">
        <v>13</v>
      </c>
      <c r="G871" t="s">
        <v>14</v>
      </c>
      <c r="H871" t="s">
        <v>147</v>
      </c>
      <c r="I871" t="s">
        <v>44</v>
      </c>
    </row>
    <row r="872" spans="1:9" x14ac:dyDescent="0.35">
      <c r="A872" t="s">
        <v>50</v>
      </c>
      <c r="B872" t="s">
        <v>51</v>
      </c>
      <c r="C872" t="s">
        <v>3018</v>
      </c>
      <c r="D872" t="s">
        <v>34</v>
      </c>
      <c r="E872">
        <v>42</v>
      </c>
      <c r="F872" t="s">
        <v>36</v>
      </c>
      <c r="G872" t="s">
        <v>14</v>
      </c>
      <c r="H872" t="s">
        <v>15</v>
      </c>
      <c r="I872" t="s">
        <v>16</v>
      </c>
    </row>
    <row r="873" spans="1:9" x14ac:dyDescent="0.35">
      <c r="A873" t="s">
        <v>1745</v>
      </c>
      <c r="B873" t="s">
        <v>2008</v>
      </c>
      <c r="C873" t="s">
        <v>3019</v>
      </c>
      <c r="D873" t="s">
        <v>26</v>
      </c>
      <c r="E873" t="s">
        <v>1414</v>
      </c>
      <c r="F873" t="s">
        <v>99</v>
      </c>
      <c r="G873" t="s">
        <v>22</v>
      </c>
      <c r="H873" t="s">
        <v>57</v>
      </c>
      <c r="I873" t="s">
        <v>57</v>
      </c>
    </row>
    <row r="874" spans="1:9" x14ac:dyDescent="0.35">
      <c r="A874" t="s">
        <v>70</v>
      </c>
      <c r="B874" t="s">
        <v>1688</v>
      </c>
      <c r="C874" t="s">
        <v>3020</v>
      </c>
      <c r="D874" t="s">
        <v>26</v>
      </c>
      <c r="E874">
        <v>39</v>
      </c>
      <c r="F874" t="s">
        <v>36</v>
      </c>
      <c r="G874" t="s">
        <v>29</v>
      </c>
      <c r="I874" t="s">
        <v>128</v>
      </c>
    </row>
    <row r="875" spans="1:9" x14ac:dyDescent="0.35">
      <c r="A875" t="s">
        <v>1748</v>
      </c>
      <c r="B875" t="s">
        <v>914</v>
      </c>
      <c r="C875" t="s">
        <v>3021</v>
      </c>
      <c r="D875" t="s">
        <v>26</v>
      </c>
      <c r="E875">
        <v>25</v>
      </c>
      <c r="F875" t="s">
        <v>56</v>
      </c>
      <c r="G875" t="s">
        <v>37</v>
      </c>
      <c r="H875" t="s">
        <v>171</v>
      </c>
      <c r="I875" t="s">
        <v>15</v>
      </c>
    </row>
    <row r="876" spans="1:9" x14ac:dyDescent="0.35">
      <c r="A876" t="s">
        <v>1750</v>
      </c>
      <c r="B876" t="s">
        <v>2161</v>
      </c>
      <c r="C876" t="s">
        <v>166</v>
      </c>
      <c r="D876" t="s">
        <v>34</v>
      </c>
      <c r="E876">
        <v>19</v>
      </c>
      <c r="F876" t="s">
        <v>13</v>
      </c>
      <c r="G876" t="s">
        <v>14</v>
      </c>
      <c r="I876" t="s">
        <v>79</v>
      </c>
    </row>
    <row r="877" spans="1:9" x14ac:dyDescent="0.35">
      <c r="A877" t="s">
        <v>1752</v>
      </c>
      <c r="B877" t="s">
        <v>1753</v>
      </c>
      <c r="C877" t="s">
        <v>3022</v>
      </c>
      <c r="D877" t="s">
        <v>34</v>
      </c>
      <c r="E877" t="s">
        <v>1755</v>
      </c>
      <c r="F877" t="s">
        <v>56</v>
      </c>
      <c r="G877" t="s">
        <v>37</v>
      </c>
      <c r="H877" t="s">
        <v>180</v>
      </c>
      <c r="I877" t="s">
        <v>107</v>
      </c>
    </row>
    <row r="878" spans="1:9" x14ac:dyDescent="0.35">
      <c r="A878" t="s">
        <v>1756</v>
      </c>
      <c r="B878" t="s">
        <v>1757</v>
      </c>
      <c r="C878" t="s">
        <v>3023</v>
      </c>
      <c r="D878" t="s">
        <v>26</v>
      </c>
      <c r="E878" t="s">
        <v>308</v>
      </c>
      <c r="F878" t="s">
        <v>69</v>
      </c>
      <c r="G878" t="s">
        <v>29</v>
      </c>
      <c r="H878" t="s">
        <v>23</v>
      </c>
      <c r="I878" t="s">
        <v>128</v>
      </c>
    </row>
    <row r="879" spans="1:9" x14ac:dyDescent="0.35">
      <c r="A879" t="s">
        <v>1759</v>
      </c>
      <c r="B879" t="s">
        <v>1047</v>
      </c>
      <c r="C879" t="s">
        <v>1659</v>
      </c>
      <c r="D879" t="s">
        <v>34</v>
      </c>
      <c r="E879">
        <v>23</v>
      </c>
      <c r="F879" t="s">
        <v>89</v>
      </c>
      <c r="G879" t="s">
        <v>37</v>
      </c>
      <c r="H879" t="s">
        <v>23</v>
      </c>
      <c r="I879" t="s">
        <v>107</v>
      </c>
    </row>
    <row r="880" spans="1:9" x14ac:dyDescent="0.35">
      <c r="A880" t="s">
        <v>1760</v>
      </c>
      <c r="B880" t="s">
        <v>1761</v>
      </c>
      <c r="C880" t="s">
        <v>3024</v>
      </c>
      <c r="D880" t="s">
        <v>34</v>
      </c>
      <c r="E880">
        <v>20</v>
      </c>
      <c r="F880" t="s">
        <v>434</v>
      </c>
      <c r="G880" t="s">
        <v>29</v>
      </c>
      <c r="H880" t="s">
        <v>23</v>
      </c>
      <c r="I880" t="s">
        <v>128</v>
      </c>
    </row>
    <row r="881" spans="1:9" x14ac:dyDescent="0.35">
      <c r="A881" t="s">
        <v>1762</v>
      </c>
      <c r="B881" t="s">
        <v>1763</v>
      </c>
      <c r="C881" t="s">
        <v>3025</v>
      </c>
      <c r="D881" t="s">
        <v>34</v>
      </c>
      <c r="E881">
        <v>53</v>
      </c>
      <c r="F881" t="s">
        <v>36</v>
      </c>
      <c r="G881" t="s">
        <v>14</v>
      </c>
      <c r="H881" t="s">
        <v>23</v>
      </c>
      <c r="I881" t="s">
        <v>79</v>
      </c>
    </row>
    <row r="882" spans="1:9" x14ac:dyDescent="0.35">
      <c r="A882" t="s">
        <v>1764</v>
      </c>
      <c r="B882" t="s">
        <v>1765</v>
      </c>
      <c r="C882" t="s">
        <v>3026</v>
      </c>
      <c r="D882" t="s">
        <v>26</v>
      </c>
      <c r="E882">
        <v>58</v>
      </c>
      <c r="F882" t="s">
        <v>69</v>
      </c>
      <c r="G882" t="s">
        <v>37</v>
      </c>
      <c r="H882" t="s">
        <v>57</v>
      </c>
      <c r="I882" t="s">
        <v>163</v>
      </c>
    </row>
    <row r="883" spans="1:9" x14ac:dyDescent="0.35">
      <c r="A883" t="s">
        <v>1766</v>
      </c>
      <c r="B883" t="s">
        <v>2162</v>
      </c>
      <c r="C883" t="s">
        <v>3027</v>
      </c>
      <c r="D883" t="s">
        <v>11</v>
      </c>
      <c r="E883">
        <v>44</v>
      </c>
      <c r="F883" t="s">
        <v>28</v>
      </c>
      <c r="G883" t="s">
        <v>37</v>
      </c>
      <c r="H883" t="s">
        <v>30</v>
      </c>
      <c r="I883" t="s">
        <v>15</v>
      </c>
    </row>
    <row r="884" spans="1:9" x14ac:dyDescent="0.35">
      <c r="A884" t="s">
        <v>1767</v>
      </c>
      <c r="B884" t="s">
        <v>1768</v>
      </c>
      <c r="C884" t="s">
        <v>2773</v>
      </c>
      <c r="D884" t="s">
        <v>20</v>
      </c>
      <c r="E884">
        <v>26</v>
      </c>
      <c r="F884" t="s">
        <v>48</v>
      </c>
      <c r="G884" t="s">
        <v>29</v>
      </c>
      <c r="H884" t="s">
        <v>162</v>
      </c>
      <c r="I884" t="s">
        <v>85</v>
      </c>
    </row>
    <row r="885" spans="1:9" x14ac:dyDescent="0.35">
      <c r="A885" t="s">
        <v>1769</v>
      </c>
      <c r="B885" t="s">
        <v>1184</v>
      </c>
      <c r="C885" t="s">
        <v>3028</v>
      </c>
      <c r="D885" t="s">
        <v>140</v>
      </c>
      <c r="E885">
        <v>59</v>
      </c>
      <c r="F885" t="s">
        <v>42</v>
      </c>
      <c r="G885" t="s">
        <v>29</v>
      </c>
      <c r="H885" t="s">
        <v>30</v>
      </c>
      <c r="I885" t="s">
        <v>31</v>
      </c>
    </row>
    <row r="886" spans="1:9" x14ac:dyDescent="0.35">
      <c r="A886" t="s">
        <v>1771</v>
      </c>
      <c r="B886" t="s">
        <v>1772</v>
      </c>
      <c r="C886" t="s">
        <v>3029</v>
      </c>
      <c r="D886" t="s">
        <v>26</v>
      </c>
      <c r="E886">
        <v>18</v>
      </c>
      <c r="F886" t="s">
        <v>62</v>
      </c>
      <c r="G886" t="s">
        <v>29</v>
      </c>
      <c r="H886" t="s">
        <v>70</v>
      </c>
      <c r="I886" t="s">
        <v>191</v>
      </c>
    </row>
    <row r="887" spans="1:9" x14ac:dyDescent="0.35">
      <c r="A887" t="s">
        <v>1773</v>
      </c>
      <c r="B887" t="s">
        <v>1774</v>
      </c>
      <c r="C887" t="s">
        <v>2207</v>
      </c>
      <c r="D887" t="s">
        <v>46</v>
      </c>
      <c r="E887">
        <v>55</v>
      </c>
      <c r="F887" t="s">
        <v>56</v>
      </c>
      <c r="G887" t="s">
        <v>14</v>
      </c>
      <c r="H887" t="s">
        <v>70</v>
      </c>
      <c r="I887" t="s">
        <v>44</v>
      </c>
    </row>
    <row r="888" spans="1:9" x14ac:dyDescent="0.35">
      <c r="A888" t="s">
        <v>1775</v>
      </c>
      <c r="B888" t="s">
        <v>2163</v>
      </c>
      <c r="C888" t="s">
        <v>2330</v>
      </c>
      <c r="D888" t="s">
        <v>26</v>
      </c>
      <c r="E888">
        <v>58</v>
      </c>
      <c r="F888" t="s">
        <v>56</v>
      </c>
      <c r="G888" t="s">
        <v>37</v>
      </c>
      <c r="H888" t="s">
        <v>23</v>
      </c>
      <c r="I888" t="s">
        <v>107</v>
      </c>
    </row>
    <row r="889" spans="1:9" x14ac:dyDescent="0.35">
      <c r="A889" t="s">
        <v>1776</v>
      </c>
      <c r="B889" t="s">
        <v>1777</v>
      </c>
      <c r="C889" t="s">
        <v>3030</v>
      </c>
      <c r="D889" t="s">
        <v>34</v>
      </c>
      <c r="E889">
        <v>61</v>
      </c>
      <c r="F889" t="s">
        <v>89</v>
      </c>
      <c r="G889" t="s">
        <v>22</v>
      </c>
      <c r="H889" t="s">
        <v>15</v>
      </c>
      <c r="I889" t="s">
        <v>15</v>
      </c>
    </row>
    <row r="890" spans="1:9" x14ac:dyDescent="0.35">
      <c r="A890" t="s">
        <v>1778</v>
      </c>
      <c r="B890" t="s">
        <v>801</v>
      </c>
      <c r="C890" t="s">
        <v>3031</v>
      </c>
      <c r="D890" t="s">
        <v>26</v>
      </c>
      <c r="E890">
        <v>63</v>
      </c>
      <c r="F890" t="s">
        <v>56</v>
      </c>
      <c r="G890" t="s">
        <v>29</v>
      </c>
      <c r="H890" t="s">
        <v>30</v>
      </c>
    </row>
    <row r="891" spans="1:9" x14ac:dyDescent="0.35">
      <c r="A891" t="s">
        <v>1779</v>
      </c>
      <c r="B891" t="s">
        <v>1192</v>
      </c>
      <c r="C891" t="s">
        <v>3032</v>
      </c>
      <c r="D891" t="s">
        <v>26</v>
      </c>
      <c r="E891">
        <v>18</v>
      </c>
      <c r="F891" t="s">
        <v>36</v>
      </c>
      <c r="G891" t="s">
        <v>37</v>
      </c>
      <c r="H891" t="s">
        <v>57</v>
      </c>
      <c r="I891" t="s">
        <v>163</v>
      </c>
    </row>
    <row r="892" spans="1:9" x14ac:dyDescent="0.35">
      <c r="A892" t="s">
        <v>1781</v>
      </c>
      <c r="B892" t="s">
        <v>929</v>
      </c>
      <c r="C892" t="s">
        <v>3033</v>
      </c>
      <c r="D892" t="s">
        <v>34</v>
      </c>
      <c r="E892" t="s">
        <v>524</v>
      </c>
      <c r="F892" t="s">
        <v>62</v>
      </c>
      <c r="G892" t="s">
        <v>14</v>
      </c>
      <c r="H892" t="s">
        <v>371</v>
      </c>
      <c r="I892" t="s">
        <v>38</v>
      </c>
    </row>
    <row r="893" spans="1:9" x14ac:dyDescent="0.35">
      <c r="A893" t="s">
        <v>1783</v>
      </c>
      <c r="B893" t="s">
        <v>1784</v>
      </c>
      <c r="C893" t="s">
        <v>3034</v>
      </c>
      <c r="D893" t="s">
        <v>20</v>
      </c>
      <c r="E893">
        <v>42</v>
      </c>
      <c r="F893" t="s">
        <v>13</v>
      </c>
      <c r="G893" t="s">
        <v>14</v>
      </c>
      <c r="H893" t="s">
        <v>15</v>
      </c>
      <c r="I893" t="s">
        <v>16</v>
      </c>
    </row>
    <row r="894" spans="1:9" x14ac:dyDescent="0.35">
      <c r="A894" t="s">
        <v>228</v>
      </c>
      <c r="B894" t="s">
        <v>1666</v>
      </c>
      <c r="C894" t="s">
        <v>3035</v>
      </c>
      <c r="D894" t="s">
        <v>268</v>
      </c>
      <c r="E894">
        <v>45</v>
      </c>
      <c r="F894" t="s">
        <v>36</v>
      </c>
      <c r="G894" t="s">
        <v>22</v>
      </c>
      <c r="H894" t="s">
        <v>15</v>
      </c>
      <c r="I894" t="s">
        <v>15</v>
      </c>
    </row>
    <row r="895" spans="1:9" x14ac:dyDescent="0.35">
      <c r="A895" t="s">
        <v>1787</v>
      </c>
      <c r="B895" t="s">
        <v>1316</v>
      </c>
      <c r="C895" t="s">
        <v>3036</v>
      </c>
      <c r="D895" t="s">
        <v>26</v>
      </c>
      <c r="E895">
        <v>30</v>
      </c>
      <c r="F895" t="s">
        <v>36</v>
      </c>
      <c r="G895" t="s">
        <v>29</v>
      </c>
      <c r="H895" t="s">
        <v>23</v>
      </c>
      <c r="I895" t="s">
        <v>128</v>
      </c>
    </row>
    <row r="896" spans="1:9" x14ac:dyDescent="0.35">
      <c r="A896" t="s">
        <v>1788</v>
      </c>
      <c r="B896" t="s">
        <v>1789</v>
      </c>
      <c r="C896" t="s">
        <v>2856</v>
      </c>
      <c r="D896" t="s">
        <v>34</v>
      </c>
      <c r="E896" t="s">
        <v>1176</v>
      </c>
      <c r="F896" t="s">
        <v>13</v>
      </c>
      <c r="G896" t="s">
        <v>37</v>
      </c>
      <c r="H896" t="s">
        <v>15</v>
      </c>
      <c r="I896" t="s">
        <v>38</v>
      </c>
    </row>
    <row r="897" spans="1:9" x14ac:dyDescent="0.35">
      <c r="A897" t="s">
        <v>1790</v>
      </c>
      <c r="B897" t="s">
        <v>2015</v>
      </c>
      <c r="C897" t="s">
        <v>3037</v>
      </c>
      <c r="D897" t="s">
        <v>112</v>
      </c>
      <c r="E897">
        <v>18</v>
      </c>
      <c r="F897" t="s">
        <v>13</v>
      </c>
      <c r="G897" t="s">
        <v>22</v>
      </c>
      <c r="H897" t="s">
        <v>153</v>
      </c>
      <c r="I897" t="s">
        <v>15</v>
      </c>
    </row>
    <row r="898" spans="1:9" x14ac:dyDescent="0.35">
      <c r="A898" t="s">
        <v>1791</v>
      </c>
      <c r="B898" t="s">
        <v>1792</v>
      </c>
      <c r="C898" t="s">
        <v>3038</v>
      </c>
      <c r="D898" t="s">
        <v>26</v>
      </c>
      <c r="E898" t="s">
        <v>1793</v>
      </c>
      <c r="F898" t="s">
        <v>56</v>
      </c>
      <c r="G898" t="s">
        <v>29</v>
      </c>
      <c r="H898" t="s">
        <v>23</v>
      </c>
      <c r="I898" t="s">
        <v>128</v>
      </c>
    </row>
    <row r="899" spans="1:9" x14ac:dyDescent="0.35">
      <c r="A899" t="s">
        <v>1794</v>
      </c>
      <c r="B899" t="s">
        <v>1865</v>
      </c>
      <c r="C899" t="s">
        <v>3039</v>
      </c>
      <c r="D899" t="s">
        <v>34</v>
      </c>
      <c r="E899">
        <v>34</v>
      </c>
      <c r="F899" t="s">
        <v>56</v>
      </c>
      <c r="G899" t="s">
        <v>37</v>
      </c>
      <c r="H899" t="s">
        <v>371</v>
      </c>
      <c r="I899" t="s">
        <v>15</v>
      </c>
    </row>
    <row r="900" spans="1:9" x14ac:dyDescent="0.35">
      <c r="A900" t="s">
        <v>1795</v>
      </c>
      <c r="B900" t="s">
        <v>1796</v>
      </c>
      <c r="C900" t="s">
        <v>3040</v>
      </c>
      <c r="D900" t="s">
        <v>20</v>
      </c>
      <c r="E900">
        <v>26</v>
      </c>
      <c r="F900" t="s">
        <v>56</v>
      </c>
      <c r="G900" t="s">
        <v>29</v>
      </c>
      <c r="H900" t="s">
        <v>171</v>
      </c>
      <c r="I900" t="s">
        <v>31</v>
      </c>
    </row>
    <row r="901" spans="1:9" x14ac:dyDescent="0.35">
      <c r="A901" t="s">
        <v>1798</v>
      </c>
      <c r="B901" t="s">
        <v>665</v>
      </c>
      <c r="C901" t="s">
        <v>621</v>
      </c>
      <c r="D901" t="s">
        <v>26</v>
      </c>
      <c r="E901">
        <v>58</v>
      </c>
      <c r="F901" t="s">
        <v>69</v>
      </c>
      <c r="G901" t="s">
        <v>29</v>
      </c>
      <c r="H901" t="s">
        <v>23</v>
      </c>
      <c r="I901" t="s">
        <v>128</v>
      </c>
    </row>
    <row r="902" spans="1:9" x14ac:dyDescent="0.35">
      <c r="A902" t="s">
        <v>1800</v>
      </c>
      <c r="B902" t="s">
        <v>1801</v>
      </c>
      <c r="C902" t="s">
        <v>3041</v>
      </c>
      <c r="D902" t="s">
        <v>268</v>
      </c>
      <c r="E902">
        <v>19</v>
      </c>
      <c r="F902" t="s">
        <v>99</v>
      </c>
      <c r="G902" t="s">
        <v>29</v>
      </c>
      <c r="H902" t="s">
        <v>30</v>
      </c>
      <c r="I902" t="s">
        <v>31</v>
      </c>
    </row>
    <row r="903" spans="1:9" x14ac:dyDescent="0.35">
      <c r="A903" t="s">
        <v>1802</v>
      </c>
      <c r="B903" t="s">
        <v>2104</v>
      </c>
      <c r="C903" t="s">
        <v>3042</v>
      </c>
      <c r="D903" t="s">
        <v>11</v>
      </c>
      <c r="E903" t="s">
        <v>475</v>
      </c>
      <c r="F903" t="s">
        <v>89</v>
      </c>
      <c r="G903" t="s">
        <v>37</v>
      </c>
      <c r="H903" t="s">
        <v>30</v>
      </c>
      <c r="I903" t="s">
        <v>15</v>
      </c>
    </row>
    <row r="904" spans="1:9" x14ac:dyDescent="0.35">
      <c r="A904" t="s">
        <v>1804</v>
      </c>
      <c r="B904" t="s">
        <v>2164</v>
      </c>
      <c r="C904" t="s">
        <v>3043</v>
      </c>
      <c r="D904" t="s">
        <v>34</v>
      </c>
      <c r="E904">
        <v>30</v>
      </c>
      <c r="F904" t="s">
        <v>36</v>
      </c>
      <c r="G904" t="s">
        <v>14</v>
      </c>
      <c r="H904" t="s">
        <v>75</v>
      </c>
    </row>
    <row r="905" spans="1:9" x14ac:dyDescent="0.35">
      <c r="A905" t="s">
        <v>300</v>
      </c>
      <c r="B905" t="s">
        <v>741</v>
      </c>
      <c r="C905" t="s">
        <v>3044</v>
      </c>
      <c r="D905" t="s">
        <v>20</v>
      </c>
      <c r="E905">
        <v>52</v>
      </c>
      <c r="F905" t="s">
        <v>69</v>
      </c>
      <c r="G905" t="s">
        <v>29</v>
      </c>
      <c r="H905" t="s">
        <v>23</v>
      </c>
      <c r="I905" t="s">
        <v>128</v>
      </c>
    </row>
    <row r="906" spans="1:9" x14ac:dyDescent="0.35">
      <c r="A906" t="s">
        <v>1805</v>
      </c>
      <c r="B906" t="s">
        <v>2009</v>
      </c>
      <c r="C906" t="s">
        <v>3045</v>
      </c>
      <c r="D906" t="s">
        <v>140</v>
      </c>
      <c r="E906">
        <v>33</v>
      </c>
      <c r="F906" t="s">
        <v>13</v>
      </c>
      <c r="G906" t="s">
        <v>14</v>
      </c>
      <c r="H906" t="s">
        <v>186</v>
      </c>
      <c r="I906" t="s">
        <v>79</v>
      </c>
    </row>
    <row r="907" spans="1:9" x14ac:dyDescent="0.35">
      <c r="A907" t="s">
        <v>1806</v>
      </c>
      <c r="B907" t="s">
        <v>2038</v>
      </c>
      <c r="C907" t="s">
        <v>3046</v>
      </c>
      <c r="D907" t="s">
        <v>46</v>
      </c>
      <c r="E907">
        <v>28</v>
      </c>
      <c r="F907" t="s">
        <v>62</v>
      </c>
      <c r="G907" t="s">
        <v>22</v>
      </c>
      <c r="H907" t="s">
        <v>30</v>
      </c>
      <c r="I907" t="s">
        <v>30</v>
      </c>
    </row>
    <row r="908" spans="1:9" x14ac:dyDescent="0.35">
      <c r="A908" t="s">
        <v>1808</v>
      </c>
      <c r="B908" t="s">
        <v>1242</v>
      </c>
      <c r="C908" t="s">
        <v>3047</v>
      </c>
      <c r="D908" t="s">
        <v>34</v>
      </c>
      <c r="E908">
        <v>36</v>
      </c>
      <c r="F908" t="s">
        <v>56</v>
      </c>
      <c r="G908" t="s">
        <v>14</v>
      </c>
      <c r="H908" t="s">
        <v>30</v>
      </c>
      <c r="I908" t="s">
        <v>38</v>
      </c>
    </row>
    <row r="909" spans="1:9" x14ac:dyDescent="0.35">
      <c r="A909" t="s">
        <v>1810</v>
      </c>
      <c r="B909" t="s">
        <v>1811</v>
      </c>
      <c r="C909" t="s">
        <v>3048</v>
      </c>
      <c r="D909" t="s">
        <v>34</v>
      </c>
      <c r="E909">
        <v>43</v>
      </c>
      <c r="F909" t="s">
        <v>124</v>
      </c>
      <c r="G909" t="s">
        <v>37</v>
      </c>
      <c r="H909" t="s">
        <v>23</v>
      </c>
      <c r="I909" t="s">
        <v>107</v>
      </c>
    </row>
    <row r="910" spans="1:9" x14ac:dyDescent="0.35">
      <c r="A910" t="s">
        <v>1812</v>
      </c>
      <c r="B910" t="s">
        <v>2165</v>
      </c>
      <c r="C910" t="s">
        <v>3049</v>
      </c>
      <c r="D910" t="s">
        <v>26</v>
      </c>
      <c r="E910">
        <v>55</v>
      </c>
      <c r="F910" t="s">
        <v>400</v>
      </c>
      <c r="G910" t="s">
        <v>22</v>
      </c>
      <c r="H910" t="s">
        <v>57</v>
      </c>
      <c r="I910" t="s">
        <v>57</v>
      </c>
    </row>
    <row r="911" spans="1:9" x14ac:dyDescent="0.35">
      <c r="A911" t="s">
        <v>1813</v>
      </c>
      <c r="B911" t="s">
        <v>1814</v>
      </c>
      <c r="C911" t="s">
        <v>1105</v>
      </c>
      <c r="D911" t="s">
        <v>34</v>
      </c>
      <c r="E911" t="s">
        <v>877</v>
      </c>
      <c r="F911" t="s">
        <v>56</v>
      </c>
      <c r="G911" t="s">
        <v>29</v>
      </c>
      <c r="H911" t="s">
        <v>15</v>
      </c>
      <c r="I911" t="s">
        <v>130</v>
      </c>
    </row>
    <row r="912" spans="1:9" x14ac:dyDescent="0.35">
      <c r="A912" t="s">
        <v>1815</v>
      </c>
      <c r="B912" t="s">
        <v>770</v>
      </c>
      <c r="C912" t="s">
        <v>3050</v>
      </c>
      <c r="D912" t="s">
        <v>26</v>
      </c>
      <c r="E912">
        <v>22</v>
      </c>
      <c r="F912" t="s">
        <v>56</v>
      </c>
      <c r="G912" t="s">
        <v>22</v>
      </c>
      <c r="H912" t="s">
        <v>96</v>
      </c>
      <c r="I912" t="s">
        <v>15</v>
      </c>
    </row>
    <row r="913" spans="1:9" x14ac:dyDescent="0.35">
      <c r="A913" t="s">
        <v>1641</v>
      </c>
      <c r="B913" t="s">
        <v>2153</v>
      </c>
      <c r="C913" t="s">
        <v>3051</v>
      </c>
      <c r="D913" t="s">
        <v>20</v>
      </c>
      <c r="E913">
        <v>54</v>
      </c>
      <c r="F913" t="s">
        <v>56</v>
      </c>
      <c r="G913" t="s">
        <v>22</v>
      </c>
      <c r="H913" t="s">
        <v>57</v>
      </c>
      <c r="I913" t="s">
        <v>57</v>
      </c>
    </row>
    <row r="914" spans="1:9" x14ac:dyDescent="0.35">
      <c r="A914" t="s">
        <v>1816</v>
      </c>
      <c r="B914" t="s">
        <v>2078</v>
      </c>
      <c r="C914" t="s">
        <v>3052</v>
      </c>
      <c r="D914" t="s">
        <v>26</v>
      </c>
      <c r="E914">
        <v>27</v>
      </c>
      <c r="F914" t="s">
        <v>28</v>
      </c>
      <c r="G914" t="s">
        <v>22</v>
      </c>
      <c r="H914" t="s">
        <v>57</v>
      </c>
      <c r="I914" t="s">
        <v>57</v>
      </c>
    </row>
    <row r="915" spans="1:9" x14ac:dyDescent="0.35">
      <c r="A915" t="s">
        <v>1818</v>
      </c>
      <c r="B915" t="s">
        <v>1819</v>
      </c>
      <c r="C915" t="s">
        <v>1260</v>
      </c>
      <c r="D915" t="s">
        <v>20</v>
      </c>
      <c r="E915">
        <v>45</v>
      </c>
      <c r="F915" t="s">
        <v>36</v>
      </c>
      <c r="G915" t="s">
        <v>29</v>
      </c>
      <c r="H915" t="s">
        <v>70</v>
      </c>
      <c r="I915" t="s">
        <v>191</v>
      </c>
    </row>
    <row r="916" spans="1:9" x14ac:dyDescent="0.35">
      <c r="A916" t="s">
        <v>1820</v>
      </c>
      <c r="B916" t="s">
        <v>770</v>
      </c>
      <c r="C916" t="s">
        <v>3053</v>
      </c>
      <c r="D916" t="s">
        <v>26</v>
      </c>
      <c r="E916">
        <v>27</v>
      </c>
      <c r="F916" t="s">
        <v>36</v>
      </c>
      <c r="G916" t="s">
        <v>29</v>
      </c>
      <c r="H916" t="s">
        <v>371</v>
      </c>
      <c r="I916" t="s">
        <v>31</v>
      </c>
    </row>
    <row r="917" spans="1:9" x14ac:dyDescent="0.35">
      <c r="A917" t="s">
        <v>1821</v>
      </c>
      <c r="B917" t="s">
        <v>2166</v>
      </c>
      <c r="C917" t="s">
        <v>194</v>
      </c>
      <c r="D917" t="s">
        <v>34</v>
      </c>
      <c r="E917">
        <v>59</v>
      </c>
      <c r="F917" t="s">
        <v>56</v>
      </c>
      <c r="G917" t="s">
        <v>37</v>
      </c>
      <c r="H917" t="s">
        <v>147</v>
      </c>
      <c r="I917" t="s">
        <v>71</v>
      </c>
    </row>
    <row r="918" spans="1:9" x14ac:dyDescent="0.35">
      <c r="A918" t="s">
        <v>1822</v>
      </c>
      <c r="B918" t="s">
        <v>193</v>
      </c>
      <c r="C918" t="s">
        <v>3054</v>
      </c>
      <c r="D918" t="s">
        <v>26</v>
      </c>
      <c r="E918">
        <v>47</v>
      </c>
      <c r="F918" t="s">
        <v>434</v>
      </c>
      <c r="G918" t="s">
        <v>37</v>
      </c>
      <c r="H918" t="s">
        <v>30</v>
      </c>
      <c r="I918" t="s">
        <v>15</v>
      </c>
    </row>
    <row r="919" spans="1:9" x14ac:dyDescent="0.35">
      <c r="A919" t="s">
        <v>1823</v>
      </c>
      <c r="B919" t="s">
        <v>1824</v>
      </c>
      <c r="C919" t="s">
        <v>558</v>
      </c>
      <c r="D919" t="s">
        <v>46</v>
      </c>
      <c r="E919">
        <v>31</v>
      </c>
      <c r="F919" t="s">
        <v>434</v>
      </c>
      <c r="G919" t="s">
        <v>14</v>
      </c>
      <c r="H919" t="s">
        <v>15</v>
      </c>
      <c r="I919" t="s">
        <v>16</v>
      </c>
    </row>
    <row r="920" spans="1:9" x14ac:dyDescent="0.35">
      <c r="A920" t="s">
        <v>226</v>
      </c>
      <c r="B920" t="s">
        <v>210</v>
      </c>
      <c r="C920" t="s">
        <v>2248</v>
      </c>
      <c r="D920" t="s">
        <v>34</v>
      </c>
      <c r="E920" t="s">
        <v>748</v>
      </c>
      <c r="F920" t="s">
        <v>99</v>
      </c>
      <c r="G920" t="s">
        <v>29</v>
      </c>
      <c r="H920" t="s">
        <v>23</v>
      </c>
      <c r="I920" t="s">
        <v>128</v>
      </c>
    </row>
    <row r="921" spans="1:9" x14ac:dyDescent="0.35">
      <c r="A921" t="s">
        <v>1826</v>
      </c>
      <c r="B921" t="s">
        <v>1827</v>
      </c>
      <c r="C921" t="s">
        <v>3055</v>
      </c>
      <c r="D921" t="s">
        <v>34</v>
      </c>
      <c r="E921">
        <v>39</v>
      </c>
      <c r="F921" t="s">
        <v>62</v>
      </c>
      <c r="G921" t="s">
        <v>22</v>
      </c>
      <c r="H921" t="s">
        <v>30</v>
      </c>
      <c r="I921" t="s">
        <v>30</v>
      </c>
    </row>
    <row r="922" spans="1:9" x14ac:dyDescent="0.35">
      <c r="A922" t="s">
        <v>1829</v>
      </c>
      <c r="B922" t="s">
        <v>821</v>
      </c>
      <c r="C922" t="s">
        <v>3056</v>
      </c>
      <c r="D922" t="s">
        <v>112</v>
      </c>
      <c r="E922">
        <v>20</v>
      </c>
      <c r="F922" t="s">
        <v>13</v>
      </c>
      <c r="G922" t="s">
        <v>22</v>
      </c>
      <c r="H922" t="s">
        <v>147</v>
      </c>
      <c r="I922" t="s">
        <v>70</v>
      </c>
    </row>
    <row r="923" spans="1:9" x14ac:dyDescent="0.35">
      <c r="A923" t="s">
        <v>1830</v>
      </c>
      <c r="B923" t="s">
        <v>1831</v>
      </c>
      <c r="C923" t="s">
        <v>3057</v>
      </c>
      <c r="D923" t="s">
        <v>26</v>
      </c>
      <c r="E923">
        <v>26</v>
      </c>
      <c r="F923" t="s">
        <v>99</v>
      </c>
      <c r="G923" t="s">
        <v>14</v>
      </c>
      <c r="H923" t="s">
        <v>30</v>
      </c>
      <c r="I923" t="s">
        <v>38</v>
      </c>
    </row>
    <row r="924" spans="1:9" x14ac:dyDescent="0.35">
      <c r="A924" t="s">
        <v>216</v>
      </c>
      <c r="B924" t="s">
        <v>1832</v>
      </c>
      <c r="C924" t="s">
        <v>3058</v>
      </c>
      <c r="D924" t="s">
        <v>11</v>
      </c>
      <c r="E924" t="s">
        <v>1834</v>
      </c>
      <c r="F924" t="s">
        <v>56</v>
      </c>
      <c r="G924" t="s">
        <v>37</v>
      </c>
      <c r="H924" t="s">
        <v>15</v>
      </c>
      <c r="I924" t="s">
        <v>38</v>
      </c>
    </row>
    <row r="925" spans="1:9" x14ac:dyDescent="0.35">
      <c r="A925" t="s">
        <v>1835</v>
      </c>
      <c r="B925" t="s">
        <v>1836</v>
      </c>
      <c r="C925" t="s">
        <v>3059</v>
      </c>
      <c r="D925" t="s">
        <v>34</v>
      </c>
      <c r="E925">
        <v>32</v>
      </c>
      <c r="F925" t="s">
        <v>56</v>
      </c>
      <c r="G925" t="s">
        <v>37</v>
      </c>
      <c r="H925" t="s">
        <v>288</v>
      </c>
      <c r="I925" t="s">
        <v>107</v>
      </c>
    </row>
    <row r="926" spans="1:9" x14ac:dyDescent="0.35">
      <c r="A926" t="s">
        <v>1838</v>
      </c>
      <c r="B926" t="s">
        <v>2167</v>
      </c>
      <c r="C926" t="s">
        <v>2936</v>
      </c>
      <c r="D926" t="s">
        <v>26</v>
      </c>
      <c r="E926">
        <v>38</v>
      </c>
      <c r="F926" t="s">
        <v>13</v>
      </c>
      <c r="G926" t="s">
        <v>29</v>
      </c>
      <c r="H926" t="s">
        <v>70</v>
      </c>
      <c r="I926" t="s">
        <v>191</v>
      </c>
    </row>
    <row r="927" spans="1:9" x14ac:dyDescent="0.35">
      <c r="A927" t="s">
        <v>1840</v>
      </c>
      <c r="B927" t="s">
        <v>73</v>
      </c>
      <c r="C927" t="s">
        <v>3060</v>
      </c>
      <c r="D927" t="s">
        <v>46</v>
      </c>
      <c r="E927">
        <v>21</v>
      </c>
      <c r="F927" t="s">
        <v>434</v>
      </c>
      <c r="G927" t="s">
        <v>37</v>
      </c>
      <c r="H927" t="s">
        <v>23</v>
      </c>
      <c r="I927" t="s">
        <v>107</v>
      </c>
    </row>
    <row r="928" spans="1:9" x14ac:dyDescent="0.35">
      <c r="A928" t="s">
        <v>1841</v>
      </c>
      <c r="B928" t="s">
        <v>1328</v>
      </c>
      <c r="C928" t="s">
        <v>626</v>
      </c>
      <c r="D928" t="s">
        <v>34</v>
      </c>
      <c r="E928">
        <v>53</v>
      </c>
      <c r="F928" t="s">
        <v>117</v>
      </c>
      <c r="G928" t="s">
        <v>14</v>
      </c>
      <c r="H928" t="s">
        <v>84</v>
      </c>
      <c r="I928" t="s">
        <v>232</v>
      </c>
    </row>
    <row r="929" spans="1:9" x14ac:dyDescent="0.35">
      <c r="A929" t="s">
        <v>163</v>
      </c>
      <c r="B929" t="s">
        <v>2123</v>
      </c>
      <c r="C929" t="s">
        <v>3061</v>
      </c>
      <c r="D929" t="s">
        <v>11</v>
      </c>
      <c r="E929">
        <v>47</v>
      </c>
      <c r="F929" t="s">
        <v>13</v>
      </c>
      <c r="G929" t="s">
        <v>14</v>
      </c>
      <c r="H929" t="s">
        <v>70</v>
      </c>
      <c r="I929" t="s">
        <v>44</v>
      </c>
    </row>
    <row r="930" spans="1:9" x14ac:dyDescent="0.35">
      <c r="A930" t="s">
        <v>1843</v>
      </c>
      <c r="B930" t="s">
        <v>1844</v>
      </c>
      <c r="C930" t="s">
        <v>543</v>
      </c>
      <c r="D930" t="s">
        <v>26</v>
      </c>
      <c r="E930">
        <v>47</v>
      </c>
      <c r="F930" t="s">
        <v>400</v>
      </c>
      <c r="G930" t="s">
        <v>37</v>
      </c>
      <c r="H930" t="s">
        <v>23</v>
      </c>
      <c r="I930" t="s">
        <v>107</v>
      </c>
    </row>
    <row r="931" spans="1:9" x14ac:dyDescent="0.35">
      <c r="A931" t="s">
        <v>1845</v>
      </c>
      <c r="B931" t="s">
        <v>2168</v>
      </c>
      <c r="C931" t="s">
        <v>2375</v>
      </c>
      <c r="D931" t="s">
        <v>112</v>
      </c>
      <c r="E931">
        <v>38</v>
      </c>
      <c r="F931" t="s">
        <v>13</v>
      </c>
      <c r="G931" t="s">
        <v>14</v>
      </c>
      <c r="H931" t="s">
        <v>84</v>
      </c>
    </row>
    <row r="932" spans="1:9" x14ac:dyDescent="0.35">
      <c r="A932" t="s">
        <v>1846</v>
      </c>
      <c r="B932" t="s">
        <v>2169</v>
      </c>
      <c r="C932" t="s">
        <v>3062</v>
      </c>
      <c r="D932" t="s">
        <v>26</v>
      </c>
      <c r="E932">
        <v>64</v>
      </c>
      <c r="F932" t="s">
        <v>13</v>
      </c>
      <c r="G932" t="s">
        <v>22</v>
      </c>
      <c r="H932" t="s">
        <v>186</v>
      </c>
      <c r="I932" t="s">
        <v>23</v>
      </c>
    </row>
    <row r="933" spans="1:9" x14ac:dyDescent="0.35">
      <c r="A933" t="s">
        <v>1847</v>
      </c>
      <c r="B933" t="s">
        <v>2170</v>
      </c>
      <c r="C933" t="s">
        <v>1863</v>
      </c>
      <c r="D933" t="s">
        <v>34</v>
      </c>
      <c r="E933">
        <v>54</v>
      </c>
      <c r="F933" t="s">
        <v>28</v>
      </c>
      <c r="G933" t="s">
        <v>14</v>
      </c>
      <c r="H933" t="s">
        <v>49</v>
      </c>
      <c r="I933" t="s">
        <v>38</v>
      </c>
    </row>
    <row r="934" spans="1:9" x14ac:dyDescent="0.35">
      <c r="A934" t="s">
        <v>1848</v>
      </c>
      <c r="B934" t="s">
        <v>1849</v>
      </c>
      <c r="C934" t="s">
        <v>2854</v>
      </c>
      <c r="D934" t="s">
        <v>268</v>
      </c>
      <c r="E934">
        <v>33</v>
      </c>
      <c r="F934" t="s">
        <v>56</v>
      </c>
      <c r="G934" t="s">
        <v>14</v>
      </c>
      <c r="I934" t="s">
        <v>232</v>
      </c>
    </row>
    <row r="935" spans="1:9" x14ac:dyDescent="0.35">
      <c r="A935" t="s">
        <v>285</v>
      </c>
      <c r="B935" t="s">
        <v>1851</v>
      </c>
      <c r="C935" t="s">
        <v>329</v>
      </c>
      <c r="D935" t="s">
        <v>140</v>
      </c>
      <c r="E935">
        <v>51</v>
      </c>
      <c r="F935" t="s">
        <v>56</v>
      </c>
      <c r="G935" t="s">
        <v>29</v>
      </c>
      <c r="H935" t="s">
        <v>15</v>
      </c>
      <c r="I935" t="s">
        <v>130</v>
      </c>
    </row>
    <row r="936" spans="1:9" x14ac:dyDescent="0.35">
      <c r="A936" t="s">
        <v>1853</v>
      </c>
      <c r="B936" t="s">
        <v>339</v>
      </c>
      <c r="C936" t="s">
        <v>3063</v>
      </c>
      <c r="D936" t="s">
        <v>26</v>
      </c>
      <c r="E936">
        <v>57</v>
      </c>
      <c r="F936" t="s">
        <v>13</v>
      </c>
      <c r="G936" t="s">
        <v>37</v>
      </c>
      <c r="H936" t="s">
        <v>147</v>
      </c>
      <c r="I936" t="s">
        <v>71</v>
      </c>
    </row>
    <row r="937" spans="1:9" x14ac:dyDescent="0.35">
      <c r="A937" t="s">
        <v>1854</v>
      </c>
      <c r="B937" t="s">
        <v>953</v>
      </c>
      <c r="C937" t="s">
        <v>3064</v>
      </c>
      <c r="D937" t="s">
        <v>26</v>
      </c>
      <c r="E937">
        <v>47</v>
      </c>
      <c r="F937" t="s">
        <v>400</v>
      </c>
      <c r="G937" t="s">
        <v>14</v>
      </c>
      <c r="H937" t="s">
        <v>30</v>
      </c>
      <c r="I937" t="s">
        <v>38</v>
      </c>
    </row>
    <row r="938" spans="1:9" x14ac:dyDescent="0.35">
      <c r="A938" t="s">
        <v>1855</v>
      </c>
      <c r="B938" t="s">
        <v>2127</v>
      </c>
      <c r="C938" t="s">
        <v>2565</v>
      </c>
      <c r="D938" t="s">
        <v>20</v>
      </c>
      <c r="E938">
        <v>55</v>
      </c>
      <c r="F938" t="s">
        <v>36</v>
      </c>
      <c r="G938" t="s">
        <v>37</v>
      </c>
      <c r="H938" t="s">
        <v>75</v>
      </c>
      <c r="I938" t="s">
        <v>38</v>
      </c>
    </row>
    <row r="939" spans="1:9" x14ac:dyDescent="0.35">
      <c r="A939" t="s">
        <v>246</v>
      </c>
      <c r="B939" t="s">
        <v>1856</v>
      </c>
      <c r="C939" t="s">
        <v>2372</v>
      </c>
      <c r="D939" t="s">
        <v>34</v>
      </c>
      <c r="E939">
        <v>22</v>
      </c>
      <c r="F939" t="s">
        <v>400</v>
      </c>
      <c r="G939" t="s">
        <v>29</v>
      </c>
      <c r="H939" t="s">
        <v>23</v>
      </c>
      <c r="I939" t="s">
        <v>128</v>
      </c>
    </row>
    <row r="940" spans="1:9" x14ac:dyDescent="0.35">
      <c r="A940" t="s">
        <v>1857</v>
      </c>
      <c r="B940" t="s">
        <v>1688</v>
      </c>
      <c r="C940" t="s">
        <v>2627</v>
      </c>
      <c r="D940" t="s">
        <v>26</v>
      </c>
      <c r="E940">
        <v>42</v>
      </c>
      <c r="F940" t="s">
        <v>13</v>
      </c>
      <c r="G940" t="s">
        <v>37</v>
      </c>
      <c r="H940" t="s">
        <v>70</v>
      </c>
      <c r="I940" t="s">
        <v>71</v>
      </c>
    </row>
    <row r="941" spans="1:9" x14ac:dyDescent="0.35">
      <c r="A941" t="s">
        <v>1858</v>
      </c>
      <c r="B941" t="s">
        <v>1824</v>
      </c>
      <c r="C941" t="s">
        <v>3065</v>
      </c>
      <c r="D941" t="s">
        <v>34</v>
      </c>
      <c r="E941">
        <v>64</v>
      </c>
      <c r="F941" t="s">
        <v>62</v>
      </c>
      <c r="G941" t="s">
        <v>22</v>
      </c>
      <c r="H941" t="s">
        <v>57</v>
      </c>
      <c r="I941" t="s">
        <v>57</v>
      </c>
    </row>
    <row r="942" spans="1:9" x14ac:dyDescent="0.35">
      <c r="A942" t="s">
        <v>1860</v>
      </c>
      <c r="B942" t="s">
        <v>263</v>
      </c>
      <c r="C942" t="s">
        <v>3066</v>
      </c>
      <c r="D942" t="s">
        <v>34</v>
      </c>
      <c r="E942">
        <v>20</v>
      </c>
      <c r="F942" t="s">
        <v>13</v>
      </c>
      <c r="G942" t="s">
        <v>22</v>
      </c>
      <c r="H942" t="s">
        <v>15</v>
      </c>
      <c r="I942" t="s">
        <v>15</v>
      </c>
    </row>
    <row r="943" spans="1:9" x14ac:dyDescent="0.35">
      <c r="A943" t="s">
        <v>537</v>
      </c>
      <c r="B943" t="s">
        <v>1052</v>
      </c>
      <c r="C943" t="s">
        <v>3067</v>
      </c>
      <c r="D943" t="s">
        <v>26</v>
      </c>
      <c r="E943">
        <v>34</v>
      </c>
      <c r="F943" t="s">
        <v>13</v>
      </c>
      <c r="G943" t="s">
        <v>14</v>
      </c>
      <c r="H943" t="s">
        <v>23</v>
      </c>
      <c r="I943" t="s">
        <v>79</v>
      </c>
    </row>
    <row r="944" spans="1:9" x14ac:dyDescent="0.35">
      <c r="A944" t="s">
        <v>1861</v>
      </c>
      <c r="B944" t="s">
        <v>1862</v>
      </c>
      <c r="C944" t="s">
        <v>3068</v>
      </c>
      <c r="D944" t="s">
        <v>26</v>
      </c>
      <c r="E944">
        <v>28</v>
      </c>
      <c r="F944" t="s">
        <v>28</v>
      </c>
      <c r="G944" t="s">
        <v>14</v>
      </c>
      <c r="H944" t="s">
        <v>23</v>
      </c>
      <c r="I944" t="s">
        <v>79</v>
      </c>
    </row>
    <row r="945" spans="1:9" x14ac:dyDescent="0.35">
      <c r="A945" t="s">
        <v>1864</v>
      </c>
      <c r="B945" t="s">
        <v>1865</v>
      </c>
      <c r="C945" t="s">
        <v>3069</v>
      </c>
      <c r="D945" t="s">
        <v>112</v>
      </c>
      <c r="E945">
        <v>45</v>
      </c>
      <c r="F945" t="s">
        <v>36</v>
      </c>
      <c r="G945" t="s">
        <v>14</v>
      </c>
      <c r="H945" t="s">
        <v>30</v>
      </c>
      <c r="I945" t="s">
        <v>38</v>
      </c>
    </row>
    <row r="946" spans="1:9" x14ac:dyDescent="0.35">
      <c r="A946" t="s">
        <v>1866</v>
      </c>
      <c r="B946" t="s">
        <v>361</v>
      </c>
      <c r="C946" t="s">
        <v>3070</v>
      </c>
      <c r="D946" t="s">
        <v>26</v>
      </c>
      <c r="E946">
        <v>40</v>
      </c>
      <c r="F946" t="s">
        <v>13</v>
      </c>
      <c r="G946" t="s">
        <v>29</v>
      </c>
      <c r="H946" t="s">
        <v>30</v>
      </c>
      <c r="I946" t="s">
        <v>31</v>
      </c>
    </row>
    <row r="947" spans="1:9" x14ac:dyDescent="0.35">
      <c r="A947" t="s">
        <v>1868</v>
      </c>
      <c r="B947" t="s">
        <v>1869</v>
      </c>
      <c r="C947" t="s">
        <v>1689</v>
      </c>
      <c r="D947" t="s">
        <v>34</v>
      </c>
      <c r="E947">
        <v>48</v>
      </c>
      <c r="F947" t="s">
        <v>36</v>
      </c>
      <c r="G947" t="s">
        <v>37</v>
      </c>
      <c r="H947" t="s">
        <v>57</v>
      </c>
      <c r="I947" t="s">
        <v>163</v>
      </c>
    </row>
    <row r="948" spans="1:9" x14ac:dyDescent="0.35">
      <c r="A948" t="s">
        <v>1870</v>
      </c>
      <c r="B948" t="s">
        <v>1772</v>
      </c>
      <c r="C948" t="s">
        <v>2617</v>
      </c>
      <c r="D948" t="s">
        <v>26</v>
      </c>
      <c r="E948">
        <v>57</v>
      </c>
      <c r="F948" t="s">
        <v>62</v>
      </c>
      <c r="G948" t="s">
        <v>14</v>
      </c>
      <c r="H948" t="s">
        <v>30</v>
      </c>
      <c r="I948" t="s">
        <v>38</v>
      </c>
    </row>
    <row r="949" spans="1:9" x14ac:dyDescent="0.35">
      <c r="A949" t="s">
        <v>1871</v>
      </c>
      <c r="B949" t="s">
        <v>1299</v>
      </c>
      <c r="C949" t="s">
        <v>3071</v>
      </c>
      <c r="D949" t="s">
        <v>20</v>
      </c>
      <c r="E949" t="s">
        <v>1699</v>
      </c>
      <c r="F949" t="s">
        <v>36</v>
      </c>
      <c r="G949" t="s">
        <v>22</v>
      </c>
      <c r="H949" t="s">
        <v>57</v>
      </c>
      <c r="I949" t="s">
        <v>57</v>
      </c>
    </row>
    <row r="950" spans="1:9" x14ac:dyDescent="0.35">
      <c r="A950" t="s">
        <v>1872</v>
      </c>
      <c r="B950" t="s">
        <v>810</v>
      </c>
      <c r="C950" t="s">
        <v>3072</v>
      </c>
      <c r="D950" t="s">
        <v>26</v>
      </c>
      <c r="E950">
        <v>35</v>
      </c>
      <c r="F950" t="s">
        <v>36</v>
      </c>
      <c r="G950" t="s">
        <v>14</v>
      </c>
      <c r="I950" t="s">
        <v>232</v>
      </c>
    </row>
    <row r="951" spans="1:9" x14ac:dyDescent="0.35">
      <c r="A951" t="s">
        <v>1873</v>
      </c>
      <c r="B951" t="s">
        <v>1007</v>
      </c>
      <c r="C951" t="s">
        <v>3073</v>
      </c>
      <c r="D951" t="s">
        <v>34</v>
      </c>
      <c r="E951">
        <v>43</v>
      </c>
      <c r="F951" t="s">
        <v>13</v>
      </c>
      <c r="G951" t="s">
        <v>14</v>
      </c>
      <c r="H951" t="s">
        <v>57</v>
      </c>
      <c r="I951" t="s">
        <v>232</v>
      </c>
    </row>
    <row r="952" spans="1:9" x14ac:dyDescent="0.35">
      <c r="A952" t="s">
        <v>709</v>
      </c>
      <c r="B952" t="s">
        <v>710</v>
      </c>
      <c r="C952" t="s">
        <v>3074</v>
      </c>
      <c r="D952" t="s">
        <v>140</v>
      </c>
      <c r="E952">
        <v>41</v>
      </c>
      <c r="F952" t="s">
        <v>13</v>
      </c>
      <c r="G952" t="s">
        <v>37</v>
      </c>
      <c r="H952" t="s">
        <v>30</v>
      </c>
      <c r="I952" t="s">
        <v>15</v>
      </c>
    </row>
    <row r="953" spans="1:9" x14ac:dyDescent="0.35">
      <c r="A953" t="s">
        <v>1875</v>
      </c>
      <c r="B953" t="s">
        <v>1592</v>
      </c>
      <c r="C953" t="s">
        <v>3075</v>
      </c>
      <c r="D953" t="s">
        <v>34</v>
      </c>
      <c r="E953">
        <v>61</v>
      </c>
      <c r="F953" t="s">
        <v>56</v>
      </c>
      <c r="H953" t="s">
        <v>30</v>
      </c>
      <c r="I953" t="s">
        <v>30</v>
      </c>
    </row>
    <row r="954" spans="1:9" x14ac:dyDescent="0.35">
      <c r="A954" t="s">
        <v>1876</v>
      </c>
      <c r="B954" t="s">
        <v>2171</v>
      </c>
      <c r="C954" t="s">
        <v>2588</v>
      </c>
      <c r="D954" t="s">
        <v>34</v>
      </c>
      <c r="E954">
        <v>25</v>
      </c>
      <c r="F954" t="s">
        <v>13</v>
      </c>
      <c r="G954" t="s">
        <v>14</v>
      </c>
      <c r="H954" t="s">
        <v>15</v>
      </c>
      <c r="I954" t="s">
        <v>16</v>
      </c>
    </row>
    <row r="955" spans="1:9" x14ac:dyDescent="0.35">
      <c r="A955" t="s">
        <v>1877</v>
      </c>
      <c r="B955" t="s">
        <v>1878</v>
      </c>
      <c r="C955" t="s">
        <v>3076</v>
      </c>
      <c r="D955" t="s">
        <v>34</v>
      </c>
      <c r="E955">
        <v>42</v>
      </c>
      <c r="F955" t="s">
        <v>13</v>
      </c>
      <c r="G955" t="s">
        <v>22</v>
      </c>
      <c r="H955" t="s">
        <v>100</v>
      </c>
      <c r="I955" t="s">
        <v>70</v>
      </c>
    </row>
    <row r="956" spans="1:9" x14ac:dyDescent="0.35">
      <c r="A956" t="s">
        <v>1879</v>
      </c>
      <c r="B956" t="s">
        <v>1880</v>
      </c>
      <c r="C956" t="s">
        <v>2828</v>
      </c>
      <c r="D956" t="s">
        <v>26</v>
      </c>
      <c r="E956">
        <v>33</v>
      </c>
      <c r="F956" t="s">
        <v>124</v>
      </c>
      <c r="G956" t="s">
        <v>29</v>
      </c>
      <c r="H956" t="s">
        <v>70</v>
      </c>
      <c r="I956" t="s">
        <v>191</v>
      </c>
    </row>
    <row r="957" spans="1:9" x14ac:dyDescent="0.35">
      <c r="A957" t="s">
        <v>1881</v>
      </c>
      <c r="B957" t="s">
        <v>1232</v>
      </c>
      <c r="C957" t="s">
        <v>3077</v>
      </c>
      <c r="D957" t="s">
        <v>26</v>
      </c>
      <c r="E957">
        <v>62</v>
      </c>
      <c r="F957" t="s">
        <v>13</v>
      </c>
      <c r="G957" t="s">
        <v>22</v>
      </c>
      <c r="H957" t="s">
        <v>23</v>
      </c>
      <c r="I957" t="s">
        <v>23</v>
      </c>
    </row>
    <row r="958" spans="1:9" x14ac:dyDescent="0.35">
      <c r="A958" t="s">
        <v>1882</v>
      </c>
      <c r="B958" t="s">
        <v>2156</v>
      </c>
      <c r="C958" t="s">
        <v>3078</v>
      </c>
      <c r="D958" t="s">
        <v>140</v>
      </c>
      <c r="E958">
        <v>37</v>
      </c>
      <c r="F958" t="s">
        <v>56</v>
      </c>
      <c r="G958" t="s">
        <v>29</v>
      </c>
      <c r="H958" t="s">
        <v>282</v>
      </c>
    </row>
    <row r="959" spans="1:9" x14ac:dyDescent="0.35">
      <c r="A959" t="s">
        <v>1884</v>
      </c>
      <c r="B959" t="s">
        <v>1328</v>
      </c>
      <c r="C959" t="s">
        <v>3079</v>
      </c>
      <c r="D959" t="s">
        <v>26</v>
      </c>
      <c r="E959">
        <v>27</v>
      </c>
      <c r="F959" t="s">
        <v>36</v>
      </c>
      <c r="G959" t="s">
        <v>14</v>
      </c>
      <c r="H959" t="s">
        <v>153</v>
      </c>
      <c r="I959" t="s">
        <v>16</v>
      </c>
    </row>
    <row r="960" spans="1:9" x14ac:dyDescent="0.35">
      <c r="A960" t="s">
        <v>1885</v>
      </c>
      <c r="B960" t="s">
        <v>1988</v>
      </c>
      <c r="C960" t="s">
        <v>3080</v>
      </c>
      <c r="D960" t="s">
        <v>11</v>
      </c>
      <c r="E960">
        <v>43</v>
      </c>
      <c r="F960" t="s">
        <v>56</v>
      </c>
      <c r="G960" t="s">
        <v>14</v>
      </c>
      <c r="H960" t="s">
        <v>75</v>
      </c>
      <c r="I960" t="s">
        <v>16</v>
      </c>
    </row>
    <row r="961" spans="1:9" x14ac:dyDescent="0.35">
      <c r="A961" t="s">
        <v>1886</v>
      </c>
      <c r="B961" t="s">
        <v>1887</v>
      </c>
      <c r="C961" t="s">
        <v>3081</v>
      </c>
      <c r="D961" t="s">
        <v>34</v>
      </c>
      <c r="E961">
        <v>37</v>
      </c>
      <c r="F961" t="s">
        <v>13</v>
      </c>
      <c r="G961" t="s">
        <v>37</v>
      </c>
      <c r="H961" t="s">
        <v>57</v>
      </c>
      <c r="I961" t="s">
        <v>163</v>
      </c>
    </row>
    <row r="962" spans="1:9" x14ac:dyDescent="0.35">
      <c r="A962" t="s">
        <v>1888</v>
      </c>
      <c r="B962" t="s">
        <v>1688</v>
      </c>
      <c r="C962" t="s">
        <v>3082</v>
      </c>
      <c r="D962" t="s">
        <v>26</v>
      </c>
      <c r="E962">
        <v>23</v>
      </c>
      <c r="F962" t="s">
        <v>42</v>
      </c>
      <c r="G962" t="s">
        <v>14</v>
      </c>
      <c r="H962" t="s">
        <v>30</v>
      </c>
      <c r="I962" t="s">
        <v>38</v>
      </c>
    </row>
    <row r="963" spans="1:9" x14ac:dyDescent="0.35">
      <c r="A963" t="s">
        <v>1889</v>
      </c>
      <c r="B963" t="s">
        <v>1890</v>
      </c>
      <c r="C963" t="s">
        <v>1300</v>
      </c>
      <c r="D963" t="s">
        <v>34</v>
      </c>
      <c r="E963">
        <v>25</v>
      </c>
      <c r="F963" t="s">
        <v>36</v>
      </c>
      <c r="G963" t="s">
        <v>29</v>
      </c>
      <c r="H963" t="s">
        <v>30</v>
      </c>
      <c r="I963" t="s">
        <v>31</v>
      </c>
    </row>
    <row r="964" spans="1:9" x14ac:dyDescent="0.35">
      <c r="A964" t="s">
        <v>1892</v>
      </c>
      <c r="B964" t="s">
        <v>2062</v>
      </c>
      <c r="C964" t="s">
        <v>3083</v>
      </c>
      <c r="D964" t="s">
        <v>46</v>
      </c>
      <c r="E964">
        <v>35</v>
      </c>
      <c r="F964" t="s">
        <v>124</v>
      </c>
      <c r="G964" t="s">
        <v>14</v>
      </c>
      <c r="I964" t="s">
        <v>79</v>
      </c>
    </row>
    <row r="965" spans="1:9" x14ac:dyDescent="0.35">
      <c r="A965" t="s">
        <v>1893</v>
      </c>
      <c r="B965" t="s">
        <v>672</v>
      </c>
      <c r="C965" t="s">
        <v>2492</v>
      </c>
      <c r="D965" t="s">
        <v>268</v>
      </c>
      <c r="E965">
        <v>32</v>
      </c>
      <c r="F965" t="s">
        <v>28</v>
      </c>
      <c r="G965" t="s">
        <v>22</v>
      </c>
      <c r="H965" t="s">
        <v>15</v>
      </c>
      <c r="I965" t="s">
        <v>15</v>
      </c>
    </row>
    <row r="966" spans="1:9" x14ac:dyDescent="0.35">
      <c r="A966" t="s">
        <v>1895</v>
      </c>
      <c r="B966" t="s">
        <v>464</v>
      </c>
      <c r="C966" t="s">
        <v>3084</v>
      </c>
      <c r="D966" t="s">
        <v>26</v>
      </c>
      <c r="E966">
        <v>62</v>
      </c>
      <c r="F966" t="s">
        <v>56</v>
      </c>
      <c r="G966" t="s">
        <v>22</v>
      </c>
      <c r="H966" t="s">
        <v>23</v>
      </c>
      <c r="I966" t="s">
        <v>23</v>
      </c>
    </row>
    <row r="967" spans="1:9" x14ac:dyDescent="0.35">
      <c r="A967" t="s">
        <v>1897</v>
      </c>
      <c r="B967" t="s">
        <v>1757</v>
      </c>
      <c r="C967" t="s">
        <v>3085</v>
      </c>
      <c r="D967" t="s">
        <v>34</v>
      </c>
      <c r="E967">
        <v>60</v>
      </c>
      <c r="F967" t="s">
        <v>13</v>
      </c>
      <c r="G967" t="s">
        <v>37</v>
      </c>
      <c r="H967" t="s">
        <v>30</v>
      </c>
      <c r="I967" t="s">
        <v>15</v>
      </c>
    </row>
    <row r="968" spans="1:9" x14ac:dyDescent="0.35">
      <c r="A968" t="s">
        <v>1898</v>
      </c>
      <c r="B968" t="s">
        <v>1899</v>
      </c>
      <c r="C968" t="s">
        <v>3086</v>
      </c>
      <c r="D968" t="s">
        <v>26</v>
      </c>
      <c r="E968" t="s">
        <v>1607</v>
      </c>
      <c r="F968" t="s">
        <v>89</v>
      </c>
      <c r="G968" t="s">
        <v>22</v>
      </c>
      <c r="H968" t="s">
        <v>15</v>
      </c>
    </row>
    <row r="969" spans="1:9" x14ac:dyDescent="0.35">
      <c r="A969" t="s">
        <v>1901</v>
      </c>
      <c r="B969" t="s">
        <v>801</v>
      </c>
      <c r="C969" t="s">
        <v>3087</v>
      </c>
      <c r="D969" t="s">
        <v>34</v>
      </c>
      <c r="E969" t="s">
        <v>1902</v>
      </c>
      <c r="F969" t="s">
        <v>36</v>
      </c>
      <c r="G969" t="s">
        <v>22</v>
      </c>
      <c r="H969" t="s">
        <v>171</v>
      </c>
      <c r="I969" t="s">
        <v>30</v>
      </c>
    </row>
    <row r="970" spans="1:9" x14ac:dyDescent="0.35">
      <c r="A970" t="s">
        <v>1903</v>
      </c>
      <c r="B970" t="s">
        <v>1904</v>
      </c>
      <c r="C970" t="s">
        <v>3088</v>
      </c>
      <c r="D970" t="s">
        <v>26</v>
      </c>
      <c r="E970">
        <v>41</v>
      </c>
      <c r="F970" t="s">
        <v>124</v>
      </c>
      <c r="G970" t="s">
        <v>22</v>
      </c>
      <c r="H970" t="s">
        <v>23</v>
      </c>
      <c r="I970" t="s">
        <v>23</v>
      </c>
    </row>
    <row r="971" spans="1:9" x14ac:dyDescent="0.35">
      <c r="A971" t="s">
        <v>1905</v>
      </c>
      <c r="B971" t="s">
        <v>1646</v>
      </c>
      <c r="C971" t="s">
        <v>3089</v>
      </c>
      <c r="D971" t="s">
        <v>268</v>
      </c>
      <c r="E971">
        <v>29</v>
      </c>
      <c r="F971" t="s">
        <v>109</v>
      </c>
      <c r="G971" t="s">
        <v>29</v>
      </c>
      <c r="H971" t="s">
        <v>70</v>
      </c>
      <c r="I971" t="s">
        <v>191</v>
      </c>
    </row>
    <row r="972" spans="1:9" x14ac:dyDescent="0.35">
      <c r="A972" t="s">
        <v>1907</v>
      </c>
      <c r="B972" t="s">
        <v>2172</v>
      </c>
      <c r="C972" t="s">
        <v>3090</v>
      </c>
      <c r="D972" t="s">
        <v>26</v>
      </c>
      <c r="E972">
        <v>32</v>
      </c>
      <c r="F972" t="s">
        <v>56</v>
      </c>
      <c r="G972" t="s">
        <v>29</v>
      </c>
      <c r="H972" t="s">
        <v>23</v>
      </c>
      <c r="I972" t="s">
        <v>128</v>
      </c>
    </row>
    <row r="973" spans="1:9" x14ac:dyDescent="0.35">
      <c r="A973" t="s">
        <v>1908</v>
      </c>
      <c r="B973" t="s">
        <v>2041</v>
      </c>
      <c r="C973" t="s">
        <v>3091</v>
      </c>
      <c r="D973" t="s">
        <v>26</v>
      </c>
      <c r="E973">
        <v>19</v>
      </c>
      <c r="F973" t="s">
        <v>400</v>
      </c>
      <c r="G973" t="s">
        <v>14</v>
      </c>
      <c r="H973" t="s">
        <v>180</v>
      </c>
      <c r="I973" t="s">
        <v>79</v>
      </c>
    </row>
    <row r="974" spans="1:9" x14ac:dyDescent="0.35">
      <c r="A974" t="s">
        <v>1910</v>
      </c>
      <c r="B974" t="s">
        <v>1911</v>
      </c>
      <c r="C974" t="s">
        <v>3092</v>
      </c>
      <c r="D974" t="s">
        <v>34</v>
      </c>
      <c r="E974">
        <v>54</v>
      </c>
      <c r="F974" t="s">
        <v>117</v>
      </c>
      <c r="G974" t="s">
        <v>14</v>
      </c>
      <c r="H974" t="s">
        <v>70</v>
      </c>
      <c r="I974" t="s">
        <v>44</v>
      </c>
    </row>
    <row r="975" spans="1:9" x14ac:dyDescent="0.35">
      <c r="A975" t="s">
        <v>1912</v>
      </c>
      <c r="B975" t="s">
        <v>2173</v>
      </c>
      <c r="C975" t="s">
        <v>3093</v>
      </c>
      <c r="D975" t="s">
        <v>34</v>
      </c>
      <c r="E975">
        <v>49</v>
      </c>
      <c r="F975" t="s">
        <v>89</v>
      </c>
      <c r="G975" t="s">
        <v>14</v>
      </c>
      <c r="H975" t="s">
        <v>96</v>
      </c>
      <c r="I975" t="s">
        <v>16</v>
      </c>
    </row>
    <row r="976" spans="1:9" x14ac:dyDescent="0.35">
      <c r="A976" t="s">
        <v>1914</v>
      </c>
      <c r="B976" t="s">
        <v>1396</v>
      </c>
      <c r="C976" t="s">
        <v>3094</v>
      </c>
      <c r="D976" t="s">
        <v>34</v>
      </c>
      <c r="E976">
        <v>24</v>
      </c>
      <c r="F976" t="s">
        <v>36</v>
      </c>
      <c r="G976" t="s">
        <v>37</v>
      </c>
      <c r="H976" t="s">
        <v>70</v>
      </c>
      <c r="I976" t="s">
        <v>71</v>
      </c>
    </row>
    <row r="977" spans="1:9" x14ac:dyDescent="0.35">
      <c r="A977" t="s">
        <v>1915</v>
      </c>
      <c r="B977" t="s">
        <v>1916</v>
      </c>
      <c r="C977" t="s">
        <v>3095</v>
      </c>
      <c r="D977" t="s">
        <v>34</v>
      </c>
      <c r="E977">
        <v>25</v>
      </c>
      <c r="F977" t="s">
        <v>13</v>
      </c>
      <c r="G977" t="s">
        <v>14</v>
      </c>
      <c r="H977" t="s">
        <v>282</v>
      </c>
      <c r="I977" t="s">
        <v>232</v>
      </c>
    </row>
    <row r="978" spans="1:9" x14ac:dyDescent="0.35">
      <c r="A978" t="s">
        <v>1917</v>
      </c>
      <c r="B978" t="s">
        <v>810</v>
      </c>
      <c r="C978" t="s">
        <v>3096</v>
      </c>
      <c r="D978" t="s">
        <v>11</v>
      </c>
      <c r="E978">
        <v>45</v>
      </c>
      <c r="F978" t="s">
        <v>13</v>
      </c>
      <c r="G978" t="s">
        <v>29</v>
      </c>
      <c r="H978" t="s">
        <v>180</v>
      </c>
      <c r="I978" t="s">
        <v>128</v>
      </c>
    </row>
    <row r="979" spans="1:9" x14ac:dyDescent="0.35">
      <c r="A979" t="s">
        <v>1918</v>
      </c>
      <c r="B979" t="s">
        <v>1919</v>
      </c>
      <c r="C979" t="s">
        <v>3097</v>
      </c>
      <c r="D979" t="s">
        <v>112</v>
      </c>
      <c r="E979" t="s">
        <v>748</v>
      </c>
      <c r="F979" t="s">
        <v>36</v>
      </c>
      <c r="G979" t="s">
        <v>29</v>
      </c>
      <c r="H979" t="s">
        <v>57</v>
      </c>
      <c r="I979" t="s">
        <v>85</v>
      </c>
    </row>
    <row r="980" spans="1:9" x14ac:dyDescent="0.35">
      <c r="A980" t="s">
        <v>1920</v>
      </c>
      <c r="B980" t="s">
        <v>1107</v>
      </c>
      <c r="C980" t="s">
        <v>3098</v>
      </c>
      <c r="D980" t="s">
        <v>46</v>
      </c>
      <c r="E980">
        <v>34</v>
      </c>
      <c r="F980" t="s">
        <v>56</v>
      </c>
      <c r="G980" t="s">
        <v>14</v>
      </c>
      <c r="H980" t="s">
        <v>23</v>
      </c>
      <c r="I980" t="s">
        <v>79</v>
      </c>
    </row>
    <row r="981" spans="1:9" x14ac:dyDescent="0.35">
      <c r="A981" t="s">
        <v>1922</v>
      </c>
      <c r="B981" t="s">
        <v>1237</v>
      </c>
      <c r="C981" t="s">
        <v>3099</v>
      </c>
      <c r="D981" t="s">
        <v>26</v>
      </c>
      <c r="E981">
        <v>55</v>
      </c>
      <c r="F981" t="s">
        <v>69</v>
      </c>
      <c r="G981" t="s">
        <v>29</v>
      </c>
      <c r="H981" t="s">
        <v>162</v>
      </c>
      <c r="I981" t="s">
        <v>85</v>
      </c>
    </row>
    <row r="982" spans="1:9" x14ac:dyDescent="0.35">
      <c r="A982" t="s">
        <v>1923</v>
      </c>
      <c r="B982" t="s">
        <v>1924</v>
      </c>
      <c r="C982" t="s">
        <v>3100</v>
      </c>
      <c r="D982" t="s">
        <v>34</v>
      </c>
      <c r="E982" t="s">
        <v>600</v>
      </c>
      <c r="F982" t="s">
        <v>89</v>
      </c>
      <c r="G982" t="s">
        <v>37</v>
      </c>
      <c r="H982" t="s">
        <v>23</v>
      </c>
      <c r="I982" t="s">
        <v>107</v>
      </c>
    </row>
    <row r="983" spans="1:9" x14ac:dyDescent="0.35">
      <c r="A983" t="s">
        <v>1926</v>
      </c>
      <c r="B983" t="s">
        <v>2174</v>
      </c>
      <c r="C983" t="s">
        <v>3101</v>
      </c>
      <c r="D983" t="s">
        <v>268</v>
      </c>
      <c r="E983">
        <v>53</v>
      </c>
      <c r="F983" t="s">
        <v>42</v>
      </c>
      <c r="G983" t="s">
        <v>14</v>
      </c>
      <c r="H983" t="s">
        <v>15</v>
      </c>
      <c r="I983" t="s">
        <v>16</v>
      </c>
    </row>
    <row r="984" spans="1:9" x14ac:dyDescent="0.35">
      <c r="A984" t="s">
        <v>1927</v>
      </c>
      <c r="B984" t="s">
        <v>1465</v>
      </c>
      <c r="C984" t="s">
        <v>3102</v>
      </c>
      <c r="D984" t="s">
        <v>26</v>
      </c>
      <c r="E984">
        <v>60</v>
      </c>
      <c r="F984" t="s">
        <v>42</v>
      </c>
      <c r="G984" t="s">
        <v>29</v>
      </c>
      <c r="H984" t="s">
        <v>70</v>
      </c>
      <c r="I984" t="s">
        <v>191</v>
      </c>
    </row>
    <row r="985" spans="1:9" x14ac:dyDescent="0.35">
      <c r="A985" t="s">
        <v>1929</v>
      </c>
      <c r="B985" t="s">
        <v>1192</v>
      </c>
      <c r="C985" t="s">
        <v>3103</v>
      </c>
      <c r="D985" t="s">
        <v>26</v>
      </c>
      <c r="E985">
        <v>40</v>
      </c>
      <c r="F985" t="s">
        <v>56</v>
      </c>
      <c r="G985" t="s">
        <v>22</v>
      </c>
      <c r="H985" t="s">
        <v>30</v>
      </c>
      <c r="I985" t="s">
        <v>30</v>
      </c>
    </row>
    <row r="986" spans="1:9" x14ac:dyDescent="0.35">
      <c r="A986" t="s">
        <v>1930</v>
      </c>
      <c r="B986" t="s">
        <v>1931</v>
      </c>
      <c r="C986" t="s">
        <v>3104</v>
      </c>
      <c r="D986" t="s">
        <v>26</v>
      </c>
      <c r="E986">
        <v>41</v>
      </c>
      <c r="F986" t="s">
        <v>48</v>
      </c>
      <c r="G986" t="s">
        <v>37</v>
      </c>
      <c r="H986" t="s">
        <v>30</v>
      </c>
      <c r="I986" t="s">
        <v>15</v>
      </c>
    </row>
    <row r="987" spans="1:9" x14ac:dyDescent="0.35">
      <c r="A987" t="s">
        <v>1933</v>
      </c>
      <c r="B987" t="s">
        <v>2002</v>
      </c>
      <c r="C987" t="s">
        <v>3105</v>
      </c>
      <c r="D987" t="s">
        <v>34</v>
      </c>
      <c r="E987">
        <v>36</v>
      </c>
      <c r="F987" t="s">
        <v>56</v>
      </c>
      <c r="G987" t="s">
        <v>29</v>
      </c>
      <c r="H987" t="s">
        <v>186</v>
      </c>
      <c r="I987" t="s">
        <v>128</v>
      </c>
    </row>
    <row r="988" spans="1:9" x14ac:dyDescent="0.35">
      <c r="A988" t="s">
        <v>1934</v>
      </c>
      <c r="B988" t="s">
        <v>1180</v>
      </c>
      <c r="C988" t="s">
        <v>2664</v>
      </c>
      <c r="D988" t="s">
        <v>34</v>
      </c>
      <c r="E988">
        <v>31</v>
      </c>
      <c r="F988" t="s">
        <v>13</v>
      </c>
      <c r="G988" t="s">
        <v>14</v>
      </c>
      <c r="H988" t="s">
        <v>15</v>
      </c>
      <c r="I988" t="s">
        <v>16</v>
      </c>
    </row>
    <row r="989" spans="1:9" x14ac:dyDescent="0.35">
      <c r="A989" t="s">
        <v>1936</v>
      </c>
      <c r="B989" t="s">
        <v>1123</v>
      </c>
      <c r="C989" t="s">
        <v>3106</v>
      </c>
      <c r="D989" t="s">
        <v>34</v>
      </c>
      <c r="E989">
        <v>63</v>
      </c>
      <c r="F989" t="s">
        <v>48</v>
      </c>
      <c r="G989" t="s">
        <v>37</v>
      </c>
      <c r="H989" t="s">
        <v>57</v>
      </c>
      <c r="I989" t="s">
        <v>163</v>
      </c>
    </row>
    <row r="990" spans="1:9" x14ac:dyDescent="0.35">
      <c r="A990" t="s">
        <v>1938</v>
      </c>
      <c r="B990" t="s">
        <v>1939</v>
      </c>
      <c r="C990" t="s">
        <v>3105</v>
      </c>
      <c r="D990" t="s">
        <v>26</v>
      </c>
      <c r="E990">
        <v>46</v>
      </c>
      <c r="F990" t="s">
        <v>36</v>
      </c>
      <c r="G990" t="s">
        <v>22</v>
      </c>
      <c r="H990" t="s">
        <v>30</v>
      </c>
      <c r="I990" t="s">
        <v>30</v>
      </c>
    </row>
    <row r="991" spans="1:9" x14ac:dyDescent="0.35">
      <c r="A991" t="s">
        <v>1940</v>
      </c>
      <c r="B991" t="s">
        <v>1941</v>
      </c>
      <c r="C991" t="s">
        <v>3107</v>
      </c>
      <c r="D991" t="s">
        <v>46</v>
      </c>
      <c r="E991">
        <v>18</v>
      </c>
      <c r="F991" t="s">
        <v>400</v>
      </c>
      <c r="G991" t="s">
        <v>29</v>
      </c>
      <c r="H991" t="s">
        <v>30</v>
      </c>
      <c r="I991" t="s">
        <v>31</v>
      </c>
    </row>
    <row r="992" spans="1:9" x14ac:dyDescent="0.35">
      <c r="A992" t="s">
        <v>1943</v>
      </c>
      <c r="B992" t="s">
        <v>67</v>
      </c>
      <c r="C992" t="s">
        <v>3108</v>
      </c>
      <c r="D992" t="s">
        <v>26</v>
      </c>
      <c r="E992">
        <v>62</v>
      </c>
      <c r="F992" t="s">
        <v>89</v>
      </c>
      <c r="G992" t="s">
        <v>29</v>
      </c>
      <c r="H992" t="s">
        <v>70</v>
      </c>
      <c r="I992" t="s">
        <v>191</v>
      </c>
    </row>
    <row r="993" spans="1:9" x14ac:dyDescent="0.35">
      <c r="A993" t="s">
        <v>146</v>
      </c>
      <c r="B993" t="s">
        <v>1944</v>
      </c>
      <c r="C993" t="s">
        <v>3109</v>
      </c>
      <c r="D993" t="s">
        <v>26</v>
      </c>
      <c r="E993">
        <v>55</v>
      </c>
      <c r="F993" t="s">
        <v>99</v>
      </c>
      <c r="G993" t="s">
        <v>22</v>
      </c>
      <c r="H993" t="s">
        <v>70</v>
      </c>
      <c r="I993" t="s">
        <v>70</v>
      </c>
    </row>
    <row r="994" spans="1:9" x14ac:dyDescent="0.35">
      <c r="A994" t="s">
        <v>1945</v>
      </c>
      <c r="B994" t="s">
        <v>2175</v>
      </c>
      <c r="C994" t="s">
        <v>3110</v>
      </c>
      <c r="D994" t="s">
        <v>46</v>
      </c>
      <c r="E994">
        <v>53</v>
      </c>
      <c r="F994" t="s">
        <v>48</v>
      </c>
      <c r="G994" t="s">
        <v>22</v>
      </c>
      <c r="H994" t="s">
        <v>180</v>
      </c>
      <c r="I994" t="s">
        <v>23</v>
      </c>
    </row>
    <row r="995" spans="1:9" x14ac:dyDescent="0.35">
      <c r="A995" t="s">
        <v>1947</v>
      </c>
      <c r="B995" t="s">
        <v>1948</v>
      </c>
      <c r="C995" t="s">
        <v>2802</v>
      </c>
      <c r="D995" t="s">
        <v>26</v>
      </c>
      <c r="E995">
        <v>52</v>
      </c>
      <c r="F995" t="s">
        <v>36</v>
      </c>
      <c r="G995" t="s">
        <v>29</v>
      </c>
      <c r="H995" t="s">
        <v>23</v>
      </c>
      <c r="I995" t="s">
        <v>128</v>
      </c>
    </row>
    <row r="996" spans="1:9" x14ac:dyDescent="0.35">
      <c r="A996" t="s">
        <v>1949</v>
      </c>
      <c r="B996" t="s">
        <v>1228</v>
      </c>
      <c r="C996" t="s">
        <v>3111</v>
      </c>
      <c r="D996" t="s">
        <v>11</v>
      </c>
      <c r="E996">
        <v>46</v>
      </c>
      <c r="F996" t="s">
        <v>28</v>
      </c>
      <c r="G996" t="s">
        <v>37</v>
      </c>
      <c r="H996" t="s">
        <v>30</v>
      </c>
      <c r="I996" t="s">
        <v>15</v>
      </c>
    </row>
    <row r="997" spans="1:9" x14ac:dyDescent="0.35">
      <c r="A997" t="s">
        <v>1951</v>
      </c>
      <c r="B997" t="s">
        <v>356</v>
      </c>
      <c r="C997" t="s">
        <v>3112</v>
      </c>
      <c r="D997" t="s">
        <v>26</v>
      </c>
      <c r="E997">
        <v>57</v>
      </c>
      <c r="F997" t="s">
        <v>62</v>
      </c>
      <c r="G997" t="s">
        <v>14</v>
      </c>
      <c r="H997" t="s">
        <v>15</v>
      </c>
      <c r="I997" t="s">
        <v>16</v>
      </c>
    </row>
    <row r="998" spans="1:9" x14ac:dyDescent="0.35">
      <c r="A998" t="s">
        <v>1953</v>
      </c>
      <c r="B998" t="s">
        <v>2037</v>
      </c>
      <c r="C998" t="s">
        <v>2333</v>
      </c>
      <c r="D998" t="s">
        <v>34</v>
      </c>
      <c r="E998" t="s">
        <v>1954</v>
      </c>
      <c r="F998" t="s">
        <v>124</v>
      </c>
      <c r="G998" t="s">
        <v>14</v>
      </c>
      <c r="H998" t="s">
        <v>70</v>
      </c>
      <c r="I998" t="s">
        <v>44</v>
      </c>
    </row>
    <row r="999" spans="1:9" x14ac:dyDescent="0.35">
      <c r="A999" t="s">
        <v>1955</v>
      </c>
      <c r="B999" t="s">
        <v>1192</v>
      </c>
      <c r="C999" t="s">
        <v>3113</v>
      </c>
      <c r="D999" t="s">
        <v>26</v>
      </c>
      <c r="E999">
        <v>22</v>
      </c>
      <c r="F999" t="s">
        <v>13</v>
      </c>
      <c r="G999" t="s">
        <v>37</v>
      </c>
      <c r="H999" t="s">
        <v>15</v>
      </c>
      <c r="I999" t="s">
        <v>38</v>
      </c>
    </row>
    <row r="1000" spans="1:9" x14ac:dyDescent="0.35">
      <c r="A1000" t="s">
        <v>1956</v>
      </c>
      <c r="B1000" t="s">
        <v>974</v>
      </c>
      <c r="C1000" t="s">
        <v>3114</v>
      </c>
      <c r="D1000" t="s">
        <v>34</v>
      </c>
      <c r="E1000">
        <v>24</v>
      </c>
      <c r="F1000" t="s">
        <v>13</v>
      </c>
      <c r="G1000" t="s">
        <v>14</v>
      </c>
      <c r="I1000" t="s">
        <v>38</v>
      </c>
    </row>
    <row r="1001" spans="1:9" x14ac:dyDescent="0.35">
      <c r="A1001" t="s">
        <v>680</v>
      </c>
      <c r="B1001" t="s">
        <v>2070</v>
      </c>
      <c r="C1001" t="s">
        <v>3115</v>
      </c>
      <c r="D1001" t="s">
        <v>46</v>
      </c>
      <c r="E1001">
        <v>57</v>
      </c>
      <c r="F1001" t="s">
        <v>56</v>
      </c>
      <c r="G1001" t="s">
        <v>37</v>
      </c>
      <c r="H1001" t="s">
        <v>49</v>
      </c>
      <c r="I1001" t="s">
        <v>15</v>
      </c>
    </row>
    <row r="1002" spans="1:9" x14ac:dyDescent="0.35">
      <c r="A1002" t="s">
        <v>1957</v>
      </c>
      <c r="B1002" t="s">
        <v>2087</v>
      </c>
      <c r="C1002" t="s">
        <v>2646</v>
      </c>
      <c r="D1002" t="s">
        <v>268</v>
      </c>
      <c r="E1002">
        <v>27</v>
      </c>
      <c r="F1002" t="s">
        <v>28</v>
      </c>
      <c r="G1002" t="s">
        <v>37</v>
      </c>
      <c r="H1002" t="s">
        <v>23</v>
      </c>
      <c r="I1002" t="s">
        <v>107</v>
      </c>
    </row>
    <row r="1003" spans="1:9" x14ac:dyDescent="0.35">
      <c r="A1003" t="s">
        <v>1959</v>
      </c>
      <c r="B1003" t="s">
        <v>391</v>
      </c>
      <c r="C1003" t="s">
        <v>3116</v>
      </c>
      <c r="D1003" t="s">
        <v>26</v>
      </c>
      <c r="E1003">
        <v>30</v>
      </c>
      <c r="F1003" t="s">
        <v>13</v>
      </c>
      <c r="G1003" t="s">
        <v>37</v>
      </c>
      <c r="H1003" t="s">
        <v>30</v>
      </c>
      <c r="I1003" t="s">
        <v>15</v>
      </c>
    </row>
    <row r="1004" spans="1:9" x14ac:dyDescent="0.35">
      <c r="A1004" t="s">
        <v>63</v>
      </c>
      <c r="B1004" t="s">
        <v>64</v>
      </c>
      <c r="C1004" t="s">
        <v>169</v>
      </c>
      <c r="D1004" t="s">
        <v>34</v>
      </c>
      <c r="E1004">
        <v>29</v>
      </c>
      <c r="F1004" t="s">
        <v>36</v>
      </c>
      <c r="H1004" t="s">
        <v>15</v>
      </c>
      <c r="I1004" t="s">
        <v>16</v>
      </c>
    </row>
    <row r="1005" spans="1:9" x14ac:dyDescent="0.35">
      <c r="A1005" t="s">
        <v>1960</v>
      </c>
      <c r="B1005" t="s">
        <v>1961</v>
      </c>
      <c r="C1005" t="s">
        <v>3117</v>
      </c>
      <c r="D1005" t="s">
        <v>46</v>
      </c>
      <c r="E1005">
        <v>56</v>
      </c>
      <c r="F1005" t="s">
        <v>42</v>
      </c>
      <c r="G1005" t="s">
        <v>29</v>
      </c>
      <c r="H1005" t="s">
        <v>171</v>
      </c>
      <c r="I1005" t="s">
        <v>31</v>
      </c>
    </row>
    <row r="1006" spans="1:9" x14ac:dyDescent="0.35">
      <c r="A1006" t="s">
        <v>1963</v>
      </c>
      <c r="B1006" t="s">
        <v>111</v>
      </c>
      <c r="C1006" t="s">
        <v>3118</v>
      </c>
      <c r="D1006" t="s">
        <v>26</v>
      </c>
      <c r="E1006">
        <v>36</v>
      </c>
      <c r="F1006" t="s">
        <v>99</v>
      </c>
      <c r="G1006" t="s">
        <v>29</v>
      </c>
      <c r="H1006" t="s">
        <v>15</v>
      </c>
      <c r="I1006" t="s">
        <v>130</v>
      </c>
    </row>
    <row r="1007" spans="1:9" x14ac:dyDescent="0.35">
      <c r="A1007" t="s">
        <v>1964</v>
      </c>
      <c r="B1007" t="s">
        <v>327</v>
      </c>
      <c r="C1007" t="s">
        <v>3119</v>
      </c>
      <c r="D1007" t="s">
        <v>34</v>
      </c>
      <c r="E1007">
        <v>53</v>
      </c>
      <c r="F1007" t="s">
        <v>56</v>
      </c>
      <c r="G1007" t="s">
        <v>22</v>
      </c>
      <c r="H1007" t="s">
        <v>23</v>
      </c>
      <c r="I1007" t="s">
        <v>23</v>
      </c>
    </row>
    <row r="1008" spans="1:9" x14ac:dyDescent="0.35">
      <c r="A1008" t="s">
        <v>1966</v>
      </c>
      <c r="B1008" t="s">
        <v>1287</v>
      </c>
      <c r="C1008" t="s">
        <v>3120</v>
      </c>
      <c r="D1008" t="s">
        <v>34</v>
      </c>
      <c r="E1008" t="s">
        <v>1218</v>
      </c>
      <c r="F1008" t="s">
        <v>42</v>
      </c>
      <c r="G1008" t="s">
        <v>22</v>
      </c>
      <c r="H1008" t="s">
        <v>23</v>
      </c>
      <c r="I1008" t="s">
        <v>23</v>
      </c>
    </row>
    <row r="1009" spans="1:9" x14ac:dyDescent="0.35">
      <c r="A1009" t="s">
        <v>1967</v>
      </c>
      <c r="B1009" t="s">
        <v>2176</v>
      </c>
      <c r="C1009" t="s">
        <v>3121</v>
      </c>
      <c r="D1009" t="s">
        <v>34</v>
      </c>
      <c r="E1009">
        <v>54</v>
      </c>
      <c r="F1009" t="s">
        <v>56</v>
      </c>
      <c r="G1009" t="s">
        <v>14</v>
      </c>
      <c r="H1009" t="s">
        <v>57</v>
      </c>
      <c r="I1009" t="s">
        <v>232</v>
      </c>
    </row>
    <row r="1010" spans="1:9" x14ac:dyDescent="0.35">
      <c r="A1010" t="s">
        <v>1968</v>
      </c>
      <c r="B1010" t="s">
        <v>2177</v>
      </c>
      <c r="C1010" t="s">
        <v>1504</v>
      </c>
      <c r="D1010" t="s">
        <v>34</v>
      </c>
      <c r="E1010" t="s">
        <v>1969</v>
      </c>
      <c r="F1010" t="s">
        <v>62</v>
      </c>
      <c r="G1010" t="s">
        <v>22</v>
      </c>
      <c r="H1010" t="s">
        <v>23</v>
      </c>
      <c r="I1010" t="s">
        <v>23</v>
      </c>
    </row>
    <row r="1011" spans="1:9" x14ac:dyDescent="0.35">
      <c r="A1011" t="s">
        <v>1970</v>
      </c>
      <c r="B1011" t="s">
        <v>1971</v>
      </c>
      <c r="C1011" t="s">
        <v>3122</v>
      </c>
      <c r="D1011" t="s">
        <v>26</v>
      </c>
      <c r="E1011" t="s">
        <v>1972</v>
      </c>
      <c r="F1011" t="s">
        <v>13</v>
      </c>
      <c r="G1011" t="s">
        <v>22</v>
      </c>
      <c r="H1011" t="s">
        <v>75</v>
      </c>
      <c r="I1011" t="s">
        <v>15</v>
      </c>
    </row>
    <row r="1012" spans="1:9" x14ac:dyDescent="0.35">
      <c r="A1012" t="s">
        <v>1973</v>
      </c>
      <c r="B1012" t="s">
        <v>2011</v>
      </c>
      <c r="C1012" t="s">
        <v>3123</v>
      </c>
      <c r="D1012" t="s">
        <v>11</v>
      </c>
      <c r="E1012">
        <v>59</v>
      </c>
      <c r="F1012" t="s">
        <v>56</v>
      </c>
      <c r="G1012" t="s">
        <v>37</v>
      </c>
      <c r="H1012" t="s">
        <v>282</v>
      </c>
      <c r="I1012" t="s">
        <v>163</v>
      </c>
    </row>
    <row r="1013" spans="1:9" x14ac:dyDescent="0.35">
      <c r="A1013" t="s">
        <v>1975</v>
      </c>
      <c r="B1013" t="s">
        <v>2178</v>
      </c>
      <c r="C1013" t="s">
        <v>1238</v>
      </c>
      <c r="D1013" t="s">
        <v>46</v>
      </c>
      <c r="E1013">
        <v>24</v>
      </c>
      <c r="F1013" t="s">
        <v>56</v>
      </c>
      <c r="G1013" t="s">
        <v>22</v>
      </c>
      <c r="I1013" t="s">
        <v>30</v>
      </c>
    </row>
    <row r="1014" spans="1:9" x14ac:dyDescent="0.35">
      <c r="A1014" t="s">
        <v>1976</v>
      </c>
      <c r="B1014" t="s">
        <v>2179</v>
      </c>
      <c r="C1014" t="s">
        <v>3124</v>
      </c>
      <c r="D1014" t="s">
        <v>26</v>
      </c>
      <c r="E1014">
        <v>55</v>
      </c>
      <c r="F1014" t="s">
        <v>36</v>
      </c>
      <c r="G1014" t="s">
        <v>14</v>
      </c>
      <c r="H1014" t="s">
        <v>70</v>
      </c>
      <c r="I1014" t="s">
        <v>44</v>
      </c>
    </row>
    <row r="1015" spans="1:9" x14ac:dyDescent="0.35">
      <c r="A1015" t="s">
        <v>1977</v>
      </c>
      <c r="B1015" t="s">
        <v>2180</v>
      </c>
      <c r="C1015" t="s">
        <v>902</v>
      </c>
      <c r="D1015" t="s">
        <v>26</v>
      </c>
      <c r="E1015">
        <v>64</v>
      </c>
      <c r="F1015" t="s">
        <v>36</v>
      </c>
      <c r="G1015" t="s">
        <v>37</v>
      </c>
      <c r="H1015" t="s">
        <v>70</v>
      </c>
      <c r="I1015" t="s">
        <v>71</v>
      </c>
    </row>
    <row r="1016" spans="1:9" x14ac:dyDescent="0.35">
      <c r="A1016" t="s">
        <v>1979</v>
      </c>
      <c r="B1016" t="s">
        <v>985</v>
      </c>
      <c r="C1016" t="s">
        <v>3125</v>
      </c>
      <c r="D1016" t="s">
        <v>34</v>
      </c>
      <c r="E1016">
        <v>20</v>
      </c>
      <c r="F1016" t="s">
        <v>56</v>
      </c>
      <c r="G1016" t="s">
        <v>14</v>
      </c>
      <c r="H1016" t="s">
        <v>15</v>
      </c>
      <c r="I1016" t="s">
        <v>16</v>
      </c>
    </row>
    <row r="1017" spans="1:9" x14ac:dyDescent="0.35">
      <c r="A1017" t="s">
        <v>1981</v>
      </c>
      <c r="B1017" t="s">
        <v>2181</v>
      </c>
      <c r="C1017" t="s">
        <v>2342</v>
      </c>
      <c r="D1017" t="s">
        <v>26</v>
      </c>
      <c r="E1017">
        <v>57</v>
      </c>
      <c r="F1017" t="s">
        <v>36</v>
      </c>
      <c r="G1017" t="s">
        <v>22</v>
      </c>
      <c r="H1017" t="s">
        <v>15</v>
      </c>
      <c r="I1017" t="s">
        <v>15</v>
      </c>
    </row>
    <row r="1018" spans="1:9" x14ac:dyDescent="0.35">
      <c r="A1018" t="s">
        <v>1984</v>
      </c>
      <c r="B1018" t="s">
        <v>1985</v>
      </c>
      <c r="C1018" t="s">
        <v>3126</v>
      </c>
      <c r="D1018" t="s">
        <v>11</v>
      </c>
      <c r="E1018">
        <v>41</v>
      </c>
      <c r="F1018" t="s">
        <v>56</v>
      </c>
      <c r="G1018" t="s">
        <v>37</v>
      </c>
      <c r="H1018" t="s">
        <v>153</v>
      </c>
      <c r="I1018" t="s">
        <v>38</v>
      </c>
    </row>
    <row r="1019" spans="1:9" x14ac:dyDescent="0.35">
      <c r="A1019" t="s">
        <v>1986</v>
      </c>
      <c r="B1019" t="s">
        <v>875</v>
      </c>
      <c r="C1019" t="s">
        <v>3127</v>
      </c>
      <c r="D1019" t="s">
        <v>26</v>
      </c>
      <c r="E1019">
        <v>28</v>
      </c>
      <c r="F1019" t="s">
        <v>36</v>
      </c>
      <c r="G1019" t="s">
        <v>29</v>
      </c>
      <c r="H1019" t="s">
        <v>371</v>
      </c>
      <c r="I1019" t="s">
        <v>31</v>
      </c>
    </row>
    <row r="1020" spans="1:9" x14ac:dyDescent="0.35">
      <c r="A1020" t="s">
        <v>1987</v>
      </c>
      <c r="B1020" t="s">
        <v>2182</v>
      </c>
      <c r="C1020" t="s">
        <v>2254</v>
      </c>
      <c r="D1020" t="s">
        <v>34</v>
      </c>
      <c r="E1020">
        <v>21</v>
      </c>
      <c r="F1020" t="s">
        <v>89</v>
      </c>
      <c r="G1020" t="s">
        <v>29</v>
      </c>
      <c r="H1020" t="s">
        <v>57</v>
      </c>
      <c r="I1020" t="s">
        <v>85</v>
      </c>
    </row>
    <row r="1021" spans="1:9" x14ac:dyDescent="0.35">
      <c r="A1021" t="s">
        <v>1990</v>
      </c>
      <c r="B1021" t="s">
        <v>2082</v>
      </c>
      <c r="C1021" t="s">
        <v>3128</v>
      </c>
      <c r="D1021" t="s">
        <v>26</v>
      </c>
      <c r="E1021">
        <v>31</v>
      </c>
      <c r="F1021" t="s">
        <v>89</v>
      </c>
      <c r="G1021" t="s">
        <v>29</v>
      </c>
      <c r="H1021" t="s">
        <v>57</v>
      </c>
      <c r="I1021" t="s">
        <v>85</v>
      </c>
    </row>
    <row r="1022" spans="1:9" x14ac:dyDescent="0.35">
      <c r="A1022" t="s">
        <v>1991</v>
      </c>
      <c r="B1022" t="s">
        <v>967</v>
      </c>
      <c r="C1022" t="s">
        <v>3129</v>
      </c>
      <c r="D1022" t="s">
        <v>34</v>
      </c>
      <c r="E1022">
        <v>45</v>
      </c>
      <c r="F1022" t="s">
        <v>36</v>
      </c>
      <c r="G1022" t="s">
        <v>14</v>
      </c>
      <c r="H1022" t="s">
        <v>57</v>
      </c>
      <c r="I1022" t="s">
        <v>232</v>
      </c>
    </row>
    <row r="1023" spans="1:9" x14ac:dyDescent="0.35">
      <c r="A1023" t="s">
        <v>1992</v>
      </c>
      <c r="B1023" t="s">
        <v>59</v>
      </c>
      <c r="C1023" t="s">
        <v>3130</v>
      </c>
      <c r="D1023" t="s">
        <v>34</v>
      </c>
      <c r="E1023">
        <v>18</v>
      </c>
      <c r="F1023" t="s">
        <v>400</v>
      </c>
      <c r="G1023" t="s">
        <v>29</v>
      </c>
      <c r="I1023" t="s">
        <v>130</v>
      </c>
    </row>
    <row r="1024" spans="1:9" x14ac:dyDescent="0.35">
      <c r="A1024" t="s">
        <v>1994</v>
      </c>
      <c r="B1024" t="s">
        <v>2012</v>
      </c>
      <c r="C1024" t="s">
        <v>203</v>
      </c>
      <c r="D1024" t="s">
        <v>26</v>
      </c>
      <c r="E1024">
        <v>42</v>
      </c>
      <c r="F1024" t="s">
        <v>56</v>
      </c>
      <c r="G1024" t="s">
        <v>14</v>
      </c>
      <c r="H1024" t="s">
        <v>15</v>
      </c>
    </row>
    <row r="1025" spans="1:9" x14ac:dyDescent="0.35">
      <c r="A1025" t="s">
        <v>1996</v>
      </c>
      <c r="B1025" t="s">
        <v>1997</v>
      </c>
      <c r="C1025" t="s">
        <v>3131</v>
      </c>
      <c r="D1025" t="s">
        <v>26</v>
      </c>
      <c r="E1025">
        <v>43</v>
      </c>
      <c r="F1025" t="s">
        <v>36</v>
      </c>
      <c r="G1025" t="s">
        <v>37</v>
      </c>
      <c r="H1025" t="s">
        <v>15</v>
      </c>
      <c r="I1025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D19B7-7C41-4B98-95F6-236F6885FCA7}">
  <sheetPr codeName="Sheet2"/>
  <dimension ref="A1:AH1001"/>
  <sheetViews>
    <sheetView tabSelected="1" topLeftCell="AD1" zoomScale="90" zoomScaleNormal="90" workbookViewId="0">
      <selection activeCell="AE4" sqref="AE3:AE4"/>
    </sheetView>
  </sheetViews>
  <sheetFormatPr defaultRowHeight="14.5" x14ac:dyDescent="0.35"/>
  <cols>
    <col min="1" max="1" width="13.1796875" bestFit="1" customWidth="1"/>
    <col min="2" max="2" width="39.90625" style="6" bestFit="1" customWidth="1"/>
    <col min="3" max="3" width="17.90625" bestFit="1" customWidth="1"/>
    <col min="4" max="4" width="25" style="2" bestFit="1" customWidth="1"/>
    <col min="5" max="5" width="18.26953125" style="3" bestFit="1" customWidth="1"/>
    <col min="6" max="6" width="24.81640625" style="3" bestFit="1" customWidth="1"/>
    <col min="7" max="7" width="29.453125" style="5" bestFit="1" customWidth="1"/>
    <col min="8" max="8" width="11.36328125" bestFit="1" customWidth="1"/>
    <col min="9" max="9" width="32.1796875" style="2" bestFit="1" customWidth="1"/>
    <col min="10" max="10" width="34.36328125" style="2" bestFit="1" customWidth="1"/>
    <col min="11" max="11" width="43.6328125" style="6" bestFit="1" customWidth="1"/>
    <col min="12" max="12" width="7.54296875" bestFit="1" customWidth="1"/>
    <col min="13" max="13" width="27.36328125" style="4" bestFit="1" customWidth="1"/>
    <col min="14" max="14" width="29" style="4" bestFit="1" customWidth="1"/>
    <col min="15" max="15" width="38.453125" style="6" bestFit="1" customWidth="1"/>
    <col min="16" max="16" width="4.453125" bestFit="1" customWidth="1"/>
    <col min="17" max="17" width="24.08984375" style="2" bestFit="1" customWidth="1"/>
    <col min="18" max="18" width="41.7265625" style="6" bestFit="1" customWidth="1"/>
    <col min="19" max="19" width="15.6328125" bestFit="1" customWidth="1"/>
    <col min="20" max="20" width="36.453125" style="2" bestFit="1" customWidth="1"/>
    <col min="21" max="21" width="47.54296875" style="6" bestFit="1" customWidth="1"/>
    <col min="22" max="22" width="8.36328125" bestFit="1" customWidth="1"/>
    <col min="23" max="23" width="1.90625" style="2" bestFit="1" customWidth="1"/>
    <col min="24" max="24" width="28.6328125" style="2" bestFit="1" customWidth="1"/>
    <col min="25" max="25" width="55.7265625" style="6" bestFit="1" customWidth="1"/>
    <col min="26" max="26" width="12.54296875" bestFit="1" customWidth="1"/>
    <col min="27" max="27" width="33.90625" style="2" bestFit="1" customWidth="1"/>
    <col min="28" max="28" width="33.54296875" style="2" bestFit="1" customWidth="1"/>
    <col min="29" max="29" width="36.6328125" style="2" bestFit="1" customWidth="1"/>
    <col min="30" max="30" width="62.08984375" style="8" bestFit="1" customWidth="1"/>
    <col min="31" max="31" width="12.6328125" bestFit="1" customWidth="1"/>
    <col min="32" max="32" width="33.453125" style="2" bestFit="1" customWidth="1"/>
    <col min="33" max="33" width="33.54296875" style="2" bestFit="1" customWidth="1"/>
    <col min="34" max="34" width="61.7265625" style="9" bestFit="1" customWidth="1"/>
  </cols>
  <sheetData>
    <row r="1" spans="1:34" x14ac:dyDescent="0.35">
      <c r="A1" t="s">
        <v>0</v>
      </c>
      <c r="B1" s="6" t="s">
        <v>3137</v>
      </c>
      <c r="C1" t="s">
        <v>1</v>
      </c>
      <c r="D1" s="2" t="s">
        <v>3138</v>
      </c>
      <c r="E1" s="3" t="s">
        <v>3132</v>
      </c>
      <c r="F1" s="3" t="s">
        <v>3133</v>
      </c>
      <c r="G1" s="5" t="s">
        <v>3134</v>
      </c>
      <c r="H1" t="s">
        <v>2</v>
      </c>
      <c r="I1" s="2" t="s">
        <v>3139</v>
      </c>
      <c r="J1" s="2" t="s">
        <v>3135</v>
      </c>
      <c r="K1" s="6" t="s">
        <v>3136</v>
      </c>
      <c r="L1" t="s">
        <v>3</v>
      </c>
      <c r="M1" s="4" t="s">
        <v>3140</v>
      </c>
      <c r="N1" s="4" t="s">
        <v>3141</v>
      </c>
      <c r="O1" s="6" t="s">
        <v>3142</v>
      </c>
      <c r="P1" t="s">
        <v>4</v>
      </c>
      <c r="Q1" s="2" t="s">
        <v>3143</v>
      </c>
      <c r="R1" s="6" t="s">
        <v>3144</v>
      </c>
      <c r="S1" t="s">
        <v>5</v>
      </c>
      <c r="T1" s="2" t="s">
        <v>3145</v>
      </c>
      <c r="U1" s="6" t="s">
        <v>3146</v>
      </c>
      <c r="V1" t="s">
        <v>6</v>
      </c>
      <c r="W1" s="2" t="s">
        <v>3157</v>
      </c>
      <c r="X1" s="2" t="s">
        <v>3147</v>
      </c>
      <c r="Y1" s="6" t="s">
        <v>3153</v>
      </c>
      <c r="Z1" t="s">
        <v>7</v>
      </c>
      <c r="AA1" s="2" t="s">
        <v>3148</v>
      </c>
      <c r="AB1" s="2" t="s">
        <v>3149</v>
      </c>
      <c r="AC1" s="2" t="s">
        <v>3150</v>
      </c>
      <c r="AD1" s="8" t="s">
        <v>3154</v>
      </c>
      <c r="AE1" t="s">
        <v>8</v>
      </c>
      <c r="AF1" s="2" t="s">
        <v>3151</v>
      </c>
      <c r="AG1" s="2" t="s">
        <v>3152</v>
      </c>
      <c r="AH1" s="9" t="s">
        <v>3155</v>
      </c>
    </row>
    <row r="2" spans="1:34" x14ac:dyDescent="0.35">
      <c r="A2" t="s">
        <v>9</v>
      </c>
      <c r="B2" s="6" t="str">
        <f>CLEAN(TRIM(Working_Sales[[#This Row],[Transaction ID]]))</f>
        <v>569</v>
      </c>
      <c r="C2" t="s">
        <v>168</v>
      </c>
      <c r="D2" s="2" t="str">
        <f>CLEAN(TRIM(Working_Sales[[#This Row],[Date]]))</f>
        <v>15/08/2023</v>
      </c>
      <c r="E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45153</v>
      </c>
      <c r="F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45153</v>
      </c>
      <c r="G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45153</v>
      </c>
      <c r="H2" t="s">
        <v>2325</v>
      </c>
      <c r="I2" s="2" t="str">
        <f>CLEAN(TRIM(Working_Sales[[#This Row],[Customer ID]]))</f>
        <v>CUST-001</v>
      </c>
      <c r="J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CUST001</v>
      </c>
      <c r="L2" t="s">
        <v>11</v>
      </c>
      <c r="M2" s="4" t="str">
        <f>CLEAN(TRIM(Working_Sales[[#This Row],[Gender]]))</f>
        <v>MALE</v>
      </c>
      <c r="N2" s="4" t="str" cm="1">
        <f t="array" ref="N2">_xlfn.SWITCH(
   Working_Sales[[#This Row],[Gender_Whitespace_Removed]],
   "m", "Male",
   "f", "Female",
   Working_Sales[[#This Row],[Gender_Whitespace_Removed]]
)</f>
        <v>MALE</v>
      </c>
      <c r="O2" s="6" t="str">
        <f>PROPER(Working_Sales[[#This Row],[Gender_Abbreviation_Expanded]])</f>
        <v>Male</v>
      </c>
      <c r="P2">
        <v>52</v>
      </c>
      <c r="Q2" s="2" t="str">
        <f>CLEAN(TRIM(Working_Sales[[#This Row],[Age]]))</f>
        <v>52</v>
      </c>
      <c r="R2" s="6">
        <f>INT(SUBSTITUTE(Working_Sales[[#This Row],[Age_Whitespace_Removed]],".",","))</f>
        <v>52</v>
      </c>
      <c r="S2" t="s">
        <v>13</v>
      </c>
      <c r="T2" s="2" t="str">
        <f>CLEAN(TRIM(Working_Sales[[#This Row],[Product Category]]))</f>
        <v>Electronics</v>
      </c>
      <c r="U2" s="6" t="str">
        <f>PROPER(Working_Sales[[#This Row],[Product_Category_Whitespace_Removed]])</f>
        <v>Electronics</v>
      </c>
      <c r="V2" t="s">
        <v>14</v>
      </c>
      <c r="W2" s="2" t="str">
        <f>CLEAN(TRIM(Working_Sales[[#This Row],[Quantity]]))</f>
        <v>4</v>
      </c>
      <c r="X2" s="2">
        <f>INT(Working_Sales[[#This Row],[`]])</f>
        <v>4</v>
      </c>
      <c r="Y2" s="6">
        <f>IFERROR(
   Working_Sales[[#This Row],[Quantity_Converted_To_Integer]],
   Working_Sales[[#This Row],[Total_Amount_Whitespace_Removed]]/Working_Sales[[#This Row],[Price_Per_Unit_Decimal_Separator_Fixed]])</f>
        <v>4</v>
      </c>
      <c r="Z2" t="s">
        <v>15</v>
      </c>
      <c r="AA2" s="2" t="str">
        <f>CLEAN(TRIM(Working_Sales[[#This Row],[Price per Unit]]))</f>
        <v>50</v>
      </c>
      <c r="AB2" s="2">
        <f>INT(
   SUBSTITUTE(Working_Sales[[#This Row],[Price_Per_Unit_Whitespace_Removed]],
   "$",
   ""
   )
)</f>
        <v>50</v>
      </c>
      <c r="AC2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2" s="8">
        <f>IFERROR(
   Working_Sales[[#This Row],[Price_Per_Unit_Decimal_Separator_Fixed]],
   Working_Sales[[#This Row],[Total_Amount_Converted_To_Integer]]/Working_Sales[[#This Row],[Quantity_Converted_To_Integer]]
)</f>
        <v>50</v>
      </c>
      <c r="AE2" t="s">
        <v>16</v>
      </c>
      <c r="AF2" s="2" t="str">
        <f>CLEAN(TRIM(Working_Sales[[#This Row],[Total Amount]]))</f>
        <v>200</v>
      </c>
      <c r="AG2" s="2">
        <f>INT(Working_Sales[[#This Row],[Total_Amount_Whitespace_Removed]])</f>
        <v>200</v>
      </c>
      <c r="AH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3" spans="1:34" x14ac:dyDescent="0.35">
      <c r="A3" t="s">
        <v>17</v>
      </c>
      <c r="B3" s="6" t="str">
        <f>CLEAN(TRIM(Working_Sales[[#This Row],[Transaction ID]]))</f>
        <v>147</v>
      </c>
      <c r="C3" t="s">
        <v>18</v>
      </c>
      <c r="D3" s="2" t="str">
        <f>CLEAN(TRIM(Working_Sales[[#This Row],[Date]]))</f>
        <v>28/09/2023</v>
      </c>
      <c r="E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45197</v>
      </c>
      <c r="F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45197</v>
      </c>
      <c r="G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45197</v>
      </c>
      <c r="H3" t="s">
        <v>2326</v>
      </c>
      <c r="I3" s="2" t="str">
        <f>CLEAN(TRIM(Working_Sales[[#This Row],[Customer ID]]))</f>
        <v>CUST002</v>
      </c>
      <c r="J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CUST002</v>
      </c>
      <c r="L3" t="s">
        <v>20</v>
      </c>
      <c r="M3" s="4" t="str">
        <f>CLEAN(TRIM(Working_Sales[[#This Row],[Gender]]))</f>
        <v>male</v>
      </c>
      <c r="N3" s="4" t="str" cm="1">
        <f t="array" ref="N3">_xlfn.SWITCH(
   Working_Sales[[#This Row],[Gender_Whitespace_Removed]],
   "m", "Male",
   "f", "Female",
   Working_Sales[[#This Row],[Gender_Whitespace_Removed]]
)</f>
        <v>male</v>
      </c>
      <c r="O3" s="6" t="str">
        <f>PROPER(Working_Sales[[#This Row],[Gender_Abbreviation_Expanded]])</f>
        <v>Male</v>
      </c>
      <c r="P3">
        <v>23</v>
      </c>
      <c r="Q3" s="2" t="str">
        <f>CLEAN(TRIM(Working_Sales[[#This Row],[Age]]))</f>
        <v>23</v>
      </c>
      <c r="R3" s="6">
        <f>INT(SUBSTITUTE(Working_Sales[[#This Row],[Age_Whitespace_Removed]],".",","))</f>
        <v>23</v>
      </c>
      <c r="S3" t="s">
        <v>13</v>
      </c>
      <c r="T3" s="2" t="str">
        <f>CLEAN(TRIM(Working_Sales[[#This Row],[Product Category]]))</f>
        <v>Electronics</v>
      </c>
      <c r="U3" s="6" t="str">
        <f>PROPER(Working_Sales[[#This Row],[Product_Category_Whitespace_Removed]])</f>
        <v>Electronics</v>
      </c>
      <c r="V3" t="s">
        <v>22</v>
      </c>
      <c r="W3" s="2" t="str">
        <f>CLEAN(TRIM(Working_Sales[[#This Row],[Quantity]]))</f>
        <v>1</v>
      </c>
      <c r="X3" s="2">
        <f>INT(Working_Sales[[#This Row],[`]])</f>
        <v>1</v>
      </c>
      <c r="Y3" s="6">
        <f>IFERROR(
   Working_Sales[[#This Row],[Quantity_Converted_To_Integer]],
   Working_Sales[[#This Row],[Total_Amount_Whitespace_Removed]]/Working_Sales[[#This Row],[Price_Per_Unit_Decimal_Separator_Fixed]])</f>
        <v>1</v>
      </c>
      <c r="Z3" t="s">
        <v>23</v>
      </c>
      <c r="AA3" s="2" t="str">
        <f>CLEAN(TRIM(Working_Sales[[#This Row],[Price per Unit]]))</f>
        <v>300</v>
      </c>
      <c r="AB3" s="2">
        <f>INT(
   SUBSTITUTE(Working_Sales[[#This Row],[Price_Per_Unit_Whitespace_Removed]],
   "$",
   ""
   )
)</f>
        <v>300</v>
      </c>
      <c r="AC3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3" s="8">
        <f>IFERROR(
   Working_Sales[[#This Row],[Price_Per_Unit_Decimal_Separator_Fixed]],
   Working_Sales[[#This Row],[Total_Amount_Converted_To_Integer]]/Working_Sales[[#This Row],[Quantity_Converted_To_Integer]]
)</f>
        <v>300</v>
      </c>
      <c r="AE3" t="s">
        <v>23</v>
      </c>
      <c r="AF3" s="2" t="str">
        <f>CLEAN(TRIM(Working_Sales[[#This Row],[Total Amount]]))</f>
        <v>300</v>
      </c>
      <c r="AG3" s="2">
        <f>INT(Working_Sales[[#This Row],[Total_Amount_Whitespace_Removed]])</f>
        <v>300</v>
      </c>
      <c r="AH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4" spans="1:34" x14ac:dyDescent="0.35">
      <c r="A4" t="s">
        <v>24</v>
      </c>
      <c r="B4" s="6" t="str">
        <f>CLEAN(TRIM(Working_Sales[[#This Row],[Transaction ID]]))</f>
        <v>988</v>
      </c>
      <c r="C4" t="s">
        <v>25</v>
      </c>
      <c r="D4" s="2" t="str">
        <f>CLEAN(TRIM(Working_Sales[[#This Row],[Date]]))</f>
        <v>28/05/2023</v>
      </c>
      <c r="E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45074</v>
      </c>
      <c r="F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45074</v>
      </c>
      <c r="G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45074</v>
      </c>
      <c r="H4" t="s">
        <v>2327</v>
      </c>
      <c r="I4" s="2" t="str">
        <f>CLEAN(TRIM(Working_Sales[[#This Row],[Customer ID]]))</f>
        <v>Cust003</v>
      </c>
      <c r="J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CUST003</v>
      </c>
      <c r="L4" t="s">
        <v>26</v>
      </c>
      <c r="M4" s="4" t="str">
        <f>CLEAN(TRIM(Working_Sales[[#This Row],[Gender]]))</f>
        <v>Female</v>
      </c>
      <c r="N4" s="4" t="str" cm="1">
        <f t="array" ref="N4">_xlfn.SWITCH(
   Working_Sales[[#This Row],[Gender_Whitespace_Removed]],
   "m", "Male",
   "f", "Female",
   Working_Sales[[#This Row],[Gender_Whitespace_Removed]]
)</f>
        <v>Female</v>
      </c>
      <c r="O4" s="6" t="str">
        <f>PROPER(Working_Sales[[#This Row],[Gender_Abbreviation_Expanded]])</f>
        <v>Female</v>
      </c>
      <c r="P4">
        <v>63</v>
      </c>
      <c r="Q4" s="2" t="str">
        <f>CLEAN(TRIM(Working_Sales[[#This Row],[Age]]))</f>
        <v>63</v>
      </c>
      <c r="R4" s="6">
        <f>INT(SUBSTITUTE(Working_Sales[[#This Row],[Age_Whitespace_Removed]],".",","))</f>
        <v>63</v>
      </c>
      <c r="S4" t="s">
        <v>28</v>
      </c>
      <c r="T4" s="2" t="str">
        <f>CLEAN(TRIM(Working_Sales[[#This Row],[Product Category]]))</f>
        <v>clothing</v>
      </c>
      <c r="U4" s="6" t="str">
        <f>PROPER(Working_Sales[[#This Row],[Product_Category_Whitespace_Removed]])</f>
        <v>Clothing</v>
      </c>
      <c r="V4" t="s">
        <v>29</v>
      </c>
      <c r="W4" s="2" t="str">
        <f>CLEAN(TRIM(Working_Sales[[#This Row],[Quantity]]))</f>
        <v>3</v>
      </c>
      <c r="X4" s="2">
        <f>INT(Working_Sales[[#This Row],[`]])</f>
        <v>3</v>
      </c>
      <c r="Y4" s="6">
        <f>IFERROR(
   Working_Sales[[#This Row],[Quantity_Converted_To_Integer]],
   Working_Sales[[#This Row],[Total_Amount_Whitespace_Removed]]/Working_Sales[[#This Row],[Price_Per_Unit_Decimal_Separator_Fixed]])</f>
        <v>3</v>
      </c>
      <c r="Z4" t="s">
        <v>30</v>
      </c>
      <c r="AA4" s="2" t="str">
        <f>CLEAN(TRIM(Working_Sales[[#This Row],[Price per Unit]]))</f>
        <v>25</v>
      </c>
      <c r="AB4" s="2">
        <f>INT(
   SUBSTITUTE(Working_Sales[[#This Row],[Price_Per_Unit_Whitespace_Removed]],
   "$",
   ""
   )
)</f>
        <v>25</v>
      </c>
      <c r="AC4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4" s="8">
        <f>IFERROR(
   Working_Sales[[#This Row],[Price_Per_Unit_Decimal_Separator_Fixed]],
   Working_Sales[[#This Row],[Total_Amount_Converted_To_Integer]]/Working_Sales[[#This Row],[Quantity_Converted_To_Integer]]
)</f>
        <v>25</v>
      </c>
      <c r="AE4" t="s">
        <v>31</v>
      </c>
      <c r="AF4" s="2" t="str">
        <f>CLEAN(TRIM(Working_Sales[[#This Row],[Total Amount]]))</f>
        <v>75</v>
      </c>
      <c r="AG4" s="2">
        <f>INT(Working_Sales[[#This Row],[Total_Amount_Whitespace_Removed]])</f>
        <v>75</v>
      </c>
      <c r="AH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5" spans="1:34" x14ac:dyDescent="0.35">
      <c r="A5" t="s">
        <v>32</v>
      </c>
      <c r="B5" s="6" t="str">
        <f>CLEAN(TRIM(Working_Sales[[#This Row],[Transaction ID]]))</f>
        <v>745</v>
      </c>
      <c r="C5" t="s">
        <v>33</v>
      </c>
      <c r="D5" s="2" t="str">
        <f>CLEAN(TRIM(Working_Sales[[#This Row],[Date]]))</f>
        <v>2023-04-13</v>
      </c>
      <c r="E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45029</v>
      </c>
      <c r="F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45029</v>
      </c>
      <c r="G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45029</v>
      </c>
      <c r="H5" t="s">
        <v>2238</v>
      </c>
      <c r="I5" s="2" t="str">
        <f>CLEAN(TRIM(Working_Sales[[#This Row],[Customer ID]]))</f>
        <v>CUST004</v>
      </c>
      <c r="J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CUST004</v>
      </c>
      <c r="K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CUST004</v>
      </c>
      <c r="L5" t="s">
        <v>34</v>
      </c>
      <c r="M5" s="4" t="str">
        <f>CLEAN(TRIM(Working_Sales[[#This Row],[Gender]]))</f>
        <v>Male</v>
      </c>
      <c r="N5" s="4" t="str" cm="1">
        <f t="array" ref="N5">_xlfn.SWITCH(
   Working_Sales[[#This Row],[Gender_Whitespace_Removed]],
   "m", "Male",
   "f", "Female",
   Working_Sales[[#This Row],[Gender_Whitespace_Removed]]
)</f>
        <v>Male</v>
      </c>
      <c r="O5" s="6" t="str">
        <f>PROPER(Working_Sales[[#This Row],[Gender_Abbreviation_Expanded]])</f>
        <v>Male</v>
      </c>
      <c r="P5">
        <v>54</v>
      </c>
      <c r="Q5" s="2" t="str">
        <f>CLEAN(TRIM(Working_Sales[[#This Row],[Age]]))</f>
        <v>54</v>
      </c>
      <c r="R5" s="6">
        <f>INT(SUBSTITUTE(Working_Sales[[#This Row],[Age_Whitespace_Removed]],".",","))</f>
        <v>54</v>
      </c>
      <c r="S5" t="s">
        <v>36</v>
      </c>
      <c r="T5" s="2" t="str">
        <f>CLEAN(TRIM(Working_Sales[[#This Row],[Product Category]]))</f>
        <v>Beauty</v>
      </c>
      <c r="U5" s="6" t="str">
        <f>PROPER(Working_Sales[[#This Row],[Product_Category_Whitespace_Removed]])</f>
        <v>Beauty</v>
      </c>
      <c r="V5" t="s">
        <v>37</v>
      </c>
      <c r="W5" s="2" t="str">
        <f>CLEAN(TRIM(Working_Sales[[#This Row],[Quantity]]))</f>
        <v>2</v>
      </c>
      <c r="X5" s="2">
        <f>INT(Working_Sales[[#This Row],[`]])</f>
        <v>2</v>
      </c>
      <c r="Y5" s="6">
        <f>IFERROR(
   Working_Sales[[#This Row],[Quantity_Converted_To_Integer]],
   Working_Sales[[#This Row],[Total_Amount_Whitespace_Removed]]/Working_Sales[[#This Row],[Price_Per_Unit_Decimal_Separator_Fixed]])</f>
        <v>2</v>
      </c>
      <c r="Z5" t="s">
        <v>15</v>
      </c>
      <c r="AA5" s="2" t="str">
        <f>CLEAN(TRIM(Working_Sales[[#This Row],[Price per Unit]]))</f>
        <v>50</v>
      </c>
      <c r="AB5" s="2">
        <f>INT(
   SUBSTITUTE(Working_Sales[[#This Row],[Price_Per_Unit_Whitespace_Removed]],
   "$",
   ""
   )
)</f>
        <v>50</v>
      </c>
      <c r="AC5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5" s="8">
        <f>IFERROR(
   Working_Sales[[#This Row],[Price_Per_Unit_Decimal_Separator_Fixed]],
   Working_Sales[[#This Row],[Total_Amount_Converted_To_Integer]]/Working_Sales[[#This Row],[Quantity_Converted_To_Integer]]
)</f>
        <v>50</v>
      </c>
      <c r="AE5" t="s">
        <v>38</v>
      </c>
      <c r="AF5" s="2" t="str">
        <f>CLEAN(TRIM(Working_Sales[[#This Row],[Total Amount]]))</f>
        <v>100</v>
      </c>
      <c r="AG5" s="2">
        <f>INT(Working_Sales[[#This Row],[Total_Amount_Whitespace_Removed]])</f>
        <v>100</v>
      </c>
      <c r="AH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6" spans="1:34" x14ac:dyDescent="0.35">
      <c r="A6" t="s">
        <v>39</v>
      </c>
      <c r="B6" s="6" t="str">
        <f>CLEAN(TRIM(Working_Sales[[#This Row],[Transaction ID]]))</f>
        <v>271</v>
      </c>
      <c r="C6" t="s">
        <v>988</v>
      </c>
      <c r="D6" s="2" t="str">
        <f>CLEAN(TRIM(Working_Sales[[#This Row],[Date]]))</f>
        <v>06/23/2023</v>
      </c>
      <c r="E6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45100</v>
      </c>
      <c r="G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45100</v>
      </c>
      <c r="H6" t="s">
        <v>2328</v>
      </c>
      <c r="I6" s="2" t="str">
        <f>CLEAN(TRIM(Working_Sales[[#This Row],[Customer ID]]))</f>
        <v>cust005</v>
      </c>
      <c r="J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CUST005</v>
      </c>
      <c r="L6" t="s">
        <v>26</v>
      </c>
      <c r="M6" s="4" t="str">
        <f>CLEAN(TRIM(Working_Sales[[#This Row],[Gender]]))</f>
        <v>Female</v>
      </c>
      <c r="N6" s="4" t="str" cm="1">
        <f t="array" ref="N6">_xlfn.SWITCH(
   Working_Sales[[#This Row],[Gender_Whitespace_Removed]],
   "m", "Male",
   "f", "Female",
   Working_Sales[[#This Row],[Gender_Whitespace_Removed]]
)</f>
        <v>Female</v>
      </c>
      <c r="O6" s="6" t="str">
        <f>PROPER(Working_Sales[[#This Row],[Gender_Abbreviation_Expanded]])</f>
        <v>Female</v>
      </c>
      <c r="P6">
        <v>62</v>
      </c>
      <c r="Q6" s="2" t="str">
        <f>CLEAN(TRIM(Working_Sales[[#This Row],[Age]]))</f>
        <v>62</v>
      </c>
      <c r="R6" s="6">
        <f>INT(SUBSTITUTE(Working_Sales[[#This Row],[Age_Whitespace_Removed]],".",","))</f>
        <v>62</v>
      </c>
      <c r="S6" t="s">
        <v>42</v>
      </c>
      <c r="T6" s="2" t="str">
        <f>CLEAN(TRIM(Working_Sales[[#This Row],[Product Category]]))</f>
        <v>Beauty</v>
      </c>
      <c r="U6" s="6" t="str">
        <f>PROPER(Working_Sales[[#This Row],[Product_Category_Whitespace_Removed]])</f>
        <v>Beauty</v>
      </c>
      <c r="V6" t="s">
        <v>14</v>
      </c>
      <c r="W6" s="2" t="str">
        <f>CLEAN(TRIM(Working_Sales[[#This Row],[Quantity]]))</f>
        <v>4</v>
      </c>
      <c r="X6" s="2">
        <f>INT(Working_Sales[[#This Row],[`]])</f>
        <v>4</v>
      </c>
      <c r="Y6" s="6">
        <f>IFERROR(
   Working_Sales[[#This Row],[Quantity_Converted_To_Integer]],
   Working_Sales[[#This Row],[Total_Amount_Whitespace_Removed]]/Working_Sales[[#This Row],[Price_Per_Unit_Decimal_Separator_Fixed]])</f>
        <v>4</v>
      </c>
      <c r="Z6" t="s">
        <v>43</v>
      </c>
      <c r="AA6" s="2" t="str">
        <f>CLEAN(TRIM(Working_Sales[[#This Row],[Price per Unit]]))</f>
        <v>30.00</v>
      </c>
      <c r="AB6" s="2" t="e">
        <f>INT(
   SUBSTITUTE(Working_Sales[[#This Row],[Price_Per_Unit_Whitespace_Removed]],
   "$",
   ""
   )
)</f>
        <v>#VALUE!</v>
      </c>
      <c r="AC6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6" s="8">
        <f>IFERROR(
   Working_Sales[[#This Row],[Price_Per_Unit_Decimal_Separator_Fixed]],
   Working_Sales[[#This Row],[Total_Amount_Converted_To_Integer]]/Working_Sales[[#This Row],[Quantity_Converted_To_Integer]]
)</f>
        <v>30</v>
      </c>
      <c r="AE6" t="s">
        <v>44</v>
      </c>
      <c r="AF6" s="2" t="str">
        <f>CLEAN(TRIM(Working_Sales[[#This Row],[Total Amount]]))</f>
        <v>120</v>
      </c>
      <c r="AG6" s="2">
        <f>INT(Working_Sales[[#This Row],[Total_Amount_Whitespace_Removed]])</f>
        <v>120</v>
      </c>
      <c r="AH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7" spans="1:34" x14ac:dyDescent="0.35">
      <c r="A7" t="s">
        <v>45</v>
      </c>
      <c r="B7" s="6" t="str">
        <f>CLEAN(TRIM(Working_Sales[[#This Row],[Transaction ID]]))</f>
        <v>329</v>
      </c>
      <c r="C7" t="s">
        <v>1998</v>
      </c>
      <c r="D7" s="2" t="str">
        <f>CLEAN(TRIM(Working_Sales[[#This Row],[Date]]))</f>
        <v>01/30/2023</v>
      </c>
      <c r="E7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44956</v>
      </c>
      <c r="G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44956</v>
      </c>
      <c r="H7" t="s">
        <v>2329</v>
      </c>
      <c r="I7" s="2" t="str">
        <f>CLEAN(TRIM(Working_Sales[[#This Row],[Customer ID]]))</f>
        <v>CUST004</v>
      </c>
      <c r="J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CUST004</v>
      </c>
      <c r="K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CUST004</v>
      </c>
      <c r="L7" t="s">
        <v>46</v>
      </c>
      <c r="M7" s="4" t="str">
        <f>CLEAN(TRIM(Working_Sales[[#This Row],[Gender]]))</f>
        <v>F</v>
      </c>
      <c r="N7" s="4" t="str" cm="1">
        <f t="array" ref="N7">_xlfn.SWITCH(
   Working_Sales[[#This Row],[Gender_Whitespace_Removed]],
   "m", "Male",
   "f", "Female",
   Working_Sales[[#This Row],[Gender_Whitespace_Removed]]
)</f>
        <v>Female</v>
      </c>
      <c r="O7" s="6" t="str">
        <f>PROPER(Working_Sales[[#This Row],[Gender_Abbreviation_Expanded]])</f>
        <v>Female</v>
      </c>
      <c r="P7">
        <v>46</v>
      </c>
      <c r="Q7" s="2" t="str">
        <f>CLEAN(TRIM(Working_Sales[[#This Row],[Age]]))</f>
        <v>46</v>
      </c>
      <c r="R7" s="6">
        <f>INT(SUBSTITUTE(Working_Sales[[#This Row],[Age_Whitespace_Removed]],".",","))</f>
        <v>46</v>
      </c>
      <c r="S7" t="s">
        <v>48</v>
      </c>
      <c r="T7" s="2" t="str">
        <f>CLEAN(TRIM(Working_Sales[[#This Row],[Product Category]]))</f>
        <v>electronics</v>
      </c>
      <c r="U7" s="6" t="str">
        <f>PROPER(Working_Sales[[#This Row],[Product_Category_Whitespace_Removed]])</f>
        <v>Electronics</v>
      </c>
      <c r="V7" t="s">
        <v>14</v>
      </c>
      <c r="W7" s="2" t="str">
        <f>CLEAN(TRIM(Working_Sales[[#This Row],[Quantity]]))</f>
        <v>4</v>
      </c>
      <c r="X7" s="2">
        <f>INT(Working_Sales[[#This Row],[`]])</f>
        <v>4</v>
      </c>
      <c r="Y7" s="6">
        <f>IFERROR(
   Working_Sales[[#This Row],[Quantity_Converted_To_Integer]],
   Working_Sales[[#This Row],[Total_Amount_Whitespace_Removed]]/Working_Sales[[#This Row],[Price_Per_Unit_Decimal_Separator_Fixed]])</f>
        <v>4</v>
      </c>
      <c r="Z7" t="s">
        <v>49</v>
      </c>
      <c r="AA7" s="2" t="str">
        <f>CLEAN(TRIM(Working_Sales[[#This Row],[Price per Unit]]))</f>
        <v>$25</v>
      </c>
      <c r="AB7" s="2">
        <f>INT(
   SUBSTITUTE(Working_Sales[[#This Row],[Price_Per_Unit_Whitespace_Removed]],
   "$",
   ""
   )
)</f>
        <v>25</v>
      </c>
      <c r="AC7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7" s="8">
        <f>IFERROR(
   Working_Sales[[#This Row],[Price_Per_Unit_Decimal_Separator_Fixed]],
   Working_Sales[[#This Row],[Total_Amount_Converted_To_Integer]]/Working_Sales[[#This Row],[Quantity_Converted_To_Integer]]
)</f>
        <v>25</v>
      </c>
      <c r="AE7" t="s">
        <v>38</v>
      </c>
      <c r="AF7" s="2" t="str">
        <f>CLEAN(TRIM(Working_Sales[[#This Row],[Total Amount]]))</f>
        <v>100</v>
      </c>
      <c r="AG7" s="2">
        <f>INT(Working_Sales[[#This Row],[Total_Amount_Whitespace_Removed]])</f>
        <v>100</v>
      </c>
      <c r="AH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8" spans="1:34" x14ac:dyDescent="0.35">
      <c r="A8" t="s">
        <v>50</v>
      </c>
      <c r="B8" s="6" t="str">
        <f>CLEAN(TRIM(Working_Sales[[#This Row],[Transaction ID]]))</f>
        <v>833</v>
      </c>
      <c r="C8" t="s">
        <v>51</v>
      </c>
      <c r="D8" s="2" t="str">
        <f>CLEAN(TRIM(Working_Sales[[#This Row],[Date]]))</f>
        <v>16/06/2023</v>
      </c>
      <c r="E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45093</v>
      </c>
      <c r="F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45093</v>
      </c>
      <c r="G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45093</v>
      </c>
      <c r="H8" t="s">
        <v>2330</v>
      </c>
      <c r="I8" s="2" t="str">
        <f>CLEAN(TRIM(Working_Sales[[#This Row],[Customer ID]]))</f>
        <v>cust006</v>
      </c>
      <c r="J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CUST006</v>
      </c>
      <c r="L8" t="s">
        <v>34</v>
      </c>
      <c r="M8" s="4" t="str">
        <f>CLEAN(TRIM(Working_Sales[[#This Row],[Gender]]))</f>
        <v>Male</v>
      </c>
      <c r="N8" s="4" t="str" cm="1">
        <f t="array" ref="N8">_xlfn.SWITCH(
   Working_Sales[[#This Row],[Gender_Whitespace_Removed]],
   "m", "Male",
   "f", "Female",
   Working_Sales[[#This Row],[Gender_Whitespace_Removed]]
)</f>
        <v>Male</v>
      </c>
      <c r="O8" s="6" t="str">
        <f>PROPER(Working_Sales[[#This Row],[Gender_Abbreviation_Expanded]])</f>
        <v>Male</v>
      </c>
      <c r="P8">
        <v>42</v>
      </c>
      <c r="Q8" s="2" t="str">
        <f>CLEAN(TRIM(Working_Sales[[#This Row],[Age]]))</f>
        <v>42</v>
      </c>
      <c r="R8" s="6">
        <f>INT(SUBSTITUTE(Working_Sales[[#This Row],[Age_Whitespace_Removed]],".",","))</f>
        <v>42</v>
      </c>
      <c r="S8" t="s">
        <v>36</v>
      </c>
      <c r="T8" s="2" t="str">
        <f>CLEAN(TRIM(Working_Sales[[#This Row],[Product Category]]))</f>
        <v>Beauty</v>
      </c>
      <c r="U8" s="6" t="str">
        <f>PROPER(Working_Sales[[#This Row],[Product_Category_Whitespace_Removed]])</f>
        <v>Beauty</v>
      </c>
      <c r="V8" t="s">
        <v>14</v>
      </c>
      <c r="W8" s="2" t="str">
        <f>CLEAN(TRIM(Working_Sales[[#This Row],[Quantity]]))</f>
        <v>4</v>
      </c>
      <c r="X8" s="2">
        <f>INT(Working_Sales[[#This Row],[`]])</f>
        <v>4</v>
      </c>
      <c r="Y8" s="6">
        <f>IFERROR(
   Working_Sales[[#This Row],[Quantity_Converted_To_Integer]],
   Working_Sales[[#This Row],[Total_Amount_Whitespace_Removed]]/Working_Sales[[#This Row],[Price_Per_Unit_Decimal_Separator_Fixed]])</f>
        <v>4</v>
      </c>
      <c r="Z8" t="s">
        <v>15</v>
      </c>
      <c r="AA8" s="2" t="str">
        <f>CLEAN(TRIM(Working_Sales[[#This Row],[Price per Unit]]))</f>
        <v>50</v>
      </c>
      <c r="AB8" s="2">
        <f>INT(
   SUBSTITUTE(Working_Sales[[#This Row],[Price_Per_Unit_Whitespace_Removed]],
   "$",
   ""
   )
)</f>
        <v>50</v>
      </c>
      <c r="AC8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8" s="8">
        <f>IFERROR(
   Working_Sales[[#This Row],[Price_Per_Unit_Decimal_Separator_Fixed]],
   Working_Sales[[#This Row],[Total_Amount_Converted_To_Integer]]/Working_Sales[[#This Row],[Quantity_Converted_To_Integer]]
)</f>
        <v>50</v>
      </c>
      <c r="AE8" t="s">
        <v>16</v>
      </c>
      <c r="AF8" s="2" t="str">
        <f>CLEAN(TRIM(Working_Sales[[#This Row],[Total Amount]]))</f>
        <v>200</v>
      </c>
      <c r="AG8" s="2">
        <f>INT(Working_Sales[[#This Row],[Total_Amount_Whitespace_Removed]])</f>
        <v>200</v>
      </c>
      <c r="AH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9" spans="1:34" x14ac:dyDescent="0.35">
      <c r="A9" t="s">
        <v>53</v>
      </c>
      <c r="B9" s="6" t="str">
        <f>CLEAN(TRIM(Working_Sales[[#This Row],[Transaction ID]]))</f>
        <v>697</v>
      </c>
      <c r="C9" t="s">
        <v>54</v>
      </c>
      <c r="D9" s="2" t="str">
        <f>CLEAN(TRIM(Working_Sales[[#This Row],[Date]]))</f>
        <v>01/15/2023</v>
      </c>
      <c r="E9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44941</v>
      </c>
      <c r="G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44941</v>
      </c>
      <c r="H9" t="s">
        <v>2331</v>
      </c>
      <c r="I9" s="2" t="str">
        <f>CLEAN(TRIM(Working_Sales[[#This Row],[Customer ID]]))</f>
        <v>CUST-007</v>
      </c>
      <c r="J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CUST007</v>
      </c>
      <c r="L9" t="s">
        <v>34</v>
      </c>
      <c r="M9" s="4" t="str">
        <f>CLEAN(TRIM(Working_Sales[[#This Row],[Gender]]))</f>
        <v>Male</v>
      </c>
      <c r="N9" s="4" t="str" cm="1">
        <f t="array" ref="N9">_xlfn.SWITCH(
   Working_Sales[[#This Row],[Gender_Whitespace_Removed]],
   "m", "Male",
   "f", "Female",
   Working_Sales[[#This Row],[Gender_Whitespace_Removed]]
)</f>
        <v>Male</v>
      </c>
      <c r="O9" s="6" t="str">
        <f>PROPER(Working_Sales[[#This Row],[Gender_Abbreviation_Expanded]])</f>
        <v>Male</v>
      </c>
      <c r="P9">
        <v>53</v>
      </c>
      <c r="Q9" s="2" t="str">
        <f>CLEAN(TRIM(Working_Sales[[#This Row],[Age]]))</f>
        <v>53</v>
      </c>
      <c r="R9" s="6">
        <f>INT(SUBSTITUTE(Working_Sales[[#This Row],[Age_Whitespace_Removed]],".",","))</f>
        <v>53</v>
      </c>
      <c r="S9" t="s">
        <v>56</v>
      </c>
      <c r="T9" s="2" t="str">
        <f>CLEAN(TRIM(Working_Sales[[#This Row],[Product Category]]))</f>
        <v>Clothing</v>
      </c>
      <c r="U9" s="6" t="str">
        <f>PROPER(Working_Sales[[#This Row],[Product_Category_Whitespace_Removed]])</f>
        <v>Clothing</v>
      </c>
      <c r="V9" t="s">
        <v>22</v>
      </c>
      <c r="W9" s="2" t="str">
        <f>CLEAN(TRIM(Working_Sales[[#This Row],[Quantity]]))</f>
        <v>1</v>
      </c>
      <c r="X9" s="2">
        <f>INT(Working_Sales[[#This Row],[`]])</f>
        <v>1</v>
      </c>
      <c r="Y9" s="6">
        <f>IFERROR(
   Working_Sales[[#This Row],[Quantity_Converted_To_Integer]],
   Working_Sales[[#This Row],[Total_Amount_Whitespace_Removed]]/Working_Sales[[#This Row],[Price_Per_Unit_Decimal_Separator_Fixed]])</f>
        <v>1</v>
      </c>
      <c r="Z9" t="s">
        <v>57</v>
      </c>
      <c r="AA9" s="2" t="str">
        <f>CLEAN(TRIM(Working_Sales[[#This Row],[Price per Unit]]))</f>
        <v>500</v>
      </c>
      <c r="AB9" s="2">
        <f>INT(
   SUBSTITUTE(Working_Sales[[#This Row],[Price_Per_Unit_Whitespace_Removed]],
   "$",
   ""
   )
)</f>
        <v>500</v>
      </c>
      <c r="AC9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9" s="8">
        <f>IFERROR(
   Working_Sales[[#This Row],[Price_Per_Unit_Decimal_Separator_Fixed]],
   Working_Sales[[#This Row],[Total_Amount_Converted_To_Integer]]/Working_Sales[[#This Row],[Quantity_Converted_To_Integer]]
)</f>
        <v>500</v>
      </c>
      <c r="AE9" t="s">
        <v>57</v>
      </c>
      <c r="AF9" s="2" t="str">
        <f>CLEAN(TRIM(Working_Sales[[#This Row],[Total Amount]]))</f>
        <v>500</v>
      </c>
      <c r="AG9" s="2">
        <f>INT(Working_Sales[[#This Row],[Total_Amount_Whitespace_Removed]])</f>
        <v>500</v>
      </c>
      <c r="AH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10" spans="1:34" x14ac:dyDescent="0.35">
      <c r="A10" t="s">
        <v>58</v>
      </c>
      <c r="B10" s="6" t="str">
        <f>CLEAN(TRIM(Working_Sales[[#This Row],[Transaction ID]]))</f>
        <v>172</v>
      </c>
      <c r="C10" t="s">
        <v>59</v>
      </c>
      <c r="D10" s="2" t="str">
        <f>CLEAN(TRIM(Working_Sales[[#This Row],[Date]]))</f>
        <v>17/09/2023</v>
      </c>
      <c r="E1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45186</v>
      </c>
      <c r="F1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45186</v>
      </c>
      <c r="G1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45186</v>
      </c>
      <c r="H10" t="s">
        <v>1163</v>
      </c>
      <c r="I10" s="2" t="str">
        <f>CLEAN(TRIM(Working_Sales[[#This Row],[Customer ID]]))</f>
        <v>CUST008</v>
      </c>
      <c r="J1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CUST008</v>
      </c>
      <c r="K1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CUST008</v>
      </c>
      <c r="L10" t="s">
        <v>34</v>
      </c>
      <c r="M10" s="4" t="str">
        <f>CLEAN(TRIM(Working_Sales[[#This Row],[Gender]]))</f>
        <v>Male</v>
      </c>
      <c r="N10" s="4" t="str" cm="1">
        <f t="array" ref="N10">_xlfn.SWITCH(
   Working_Sales[[#This Row],[Gender_Whitespace_Removed]],
   "m", "Male",
   "f", "Female",
   Working_Sales[[#This Row],[Gender_Whitespace_Removed]]
)</f>
        <v>Male</v>
      </c>
      <c r="O10" s="6" t="str">
        <f>PROPER(Working_Sales[[#This Row],[Gender_Abbreviation_Expanded]])</f>
        <v>Male</v>
      </c>
      <c r="P10">
        <v>32</v>
      </c>
      <c r="Q10" s="2" t="str">
        <f>CLEAN(TRIM(Working_Sales[[#This Row],[Age]]))</f>
        <v>32</v>
      </c>
      <c r="R10" s="6">
        <f>INT(SUBSTITUTE(Working_Sales[[#This Row],[Age_Whitespace_Removed]],".",","))</f>
        <v>32</v>
      </c>
      <c r="S10" t="s">
        <v>62</v>
      </c>
      <c r="T10" s="2" t="str">
        <f>CLEAN(TRIM(Working_Sales[[#This Row],[Product Category]]))</f>
        <v>beauty</v>
      </c>
      <c r="U10" s="6" t="str">
        <f>PROPER(Working_Sales[[#This Row],[Product_Category_Whitespace_Removed]])</f>
        <v>Beauty</v>
      </c>
      <c r="V10" t="s">
        <v>37</v>
      </c>
      <c r="W10" s="2" t="str">
        <f>CLEAN(TRIM(Working_Sales[[#This Row],[Quantity]]))</f>
        <v>2</v>
      </c>
      <c r="X10" s="2">
        <f>INT(Working_Sales[[#This Row],[`]])</f>
        <v>2</v>
      </c>
      <c r="Y10" s="6">
        <f>IFERROR(
   Working_Sales[[#This Row],[Quantity_Converted_To_Integer]],
   Working_Sales[[#This Row],[Total_Amount_Whitespace_Removed]]/Working_Sales[[#This Row],[Price_Per_Unit_Decimal_Separator_Fixed]])</f>
        <v>2</v>
      </c>
      <c r="Z10" t="s">
        <v>30</v>
      </c>
      <c r="AA10" s="2" t="str">
        <f>CLEAN(TRIM(Working_Sales[[#This Row],[Price per Unit]]))</f>
        <v>25</v>
      </c>
      <c r="AB10" s="2">
        <f>INT(
   SUBSTITUTE(Working_Sales[[#This Row],[Price_Per_Unit_Whitespace_Removed]],
   "$",
   ""
   )
)</f>
        <v>25</v>
      </c>
      <c r="AC10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10" s="8">
        <f>IFERROR(
   Working_Sales[[#This Row],[Price_Per_Unit_Decimal_Separator_Fixed]],
   Working_Sales[[#This Row],[Total_Amount_Converted_To_Integer]]/Working_Sales[[#This Row],[Quantity_Converted_To_Integer]]
)</f>
        <v>25</v>
      </c>
      <c r="AE10" t="s">
        <v>15</v>
      </c>
      <c r="AF10" s="2" t="str">
        <f>CLEAN(TRIM(Working_Sales[[#This Row],[Total Amount]]))</f>
        <v>50</v>
      </c>
      <c r="AG10" s="2">
        <f>INT(Working_Sales[[#This Row],[Total_Amount_Whitespace_Removed]])</f>
        <v>50</v>
      </c>
      <c r="AH1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11" spans="1:34" x14ac:dyDescent="0.35">
      <c r="A11" t="s">
        <v>63</v>
      </c>
      <c r="B11" s="6" t="str">
        <f>CLEAN(TRIM(Working_Sales[[#This Row],[Transaction ID]]))</f>
        <v>433</v>
      </c>
      <c r="C11" t="s">
        <v>64</v>
      </c>
      <c r="D11" s="2" t="str">
        <f>CLEAN(TRIM(Working_Sales[[#This Row],[Date]]))</f>
        <v>2023-02-27</v>
      </c>
      <c r="E1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44984</v>
      </c>
      <c r="F1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44984</v>
      </c>
      <c r="G1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44984</v>
      </c>
      <c r="H11" t="s">
        <v>2332</v>
      </c>
      <c r="I11" s="2" t="str">
        <f>CLEAN(TRIM(Working_Sales[[#This Row],[Customer ID]]))</f>
        <v>CUST009</v>
      </c>
      <c r="J1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CUST009</v>
      </c>
      <c r="K1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CUST009</v>
      </c>
      <c r="L11" t="s">
        <v>34</v>
      </c>
      <c r="M11" s="4" t="str">
        <f>CLEAN(TRIM(Working_Sales[[#This Row],[Gender]]))</f>
        <v>Male</v>
      </c>
      <c r="N11" s="4" t="str" cm="1">
        <f t="array" ref="N11">_xlfn.SWITCH(
   Working_Sales[[#This Row],[Gender_Whitespace_Removed]],
   "m", "Male",
   "f", "Female",
   Working_Sales[[#This Row],[Gender_Whitespace_Removed]]
)</f>
        <v>Male</v>
      </c>
      <c r="O11" s="6" t="str">
        <f>PROPER(Working_Sales[[#This Row],[Gender_Abbreviation_Expanded]])</f>
        <v>Male</v>
      </c>
      <c r="P11">
        <v>29</v>
      </c>
      <c r="Q11" s="2" t="str">
        <f>CLEAN(TRIM(Working_Sales[[#This Row],[Age]]))</f>
        <v>29</v>
      </c>
      <c r="R11" s="6">
        <f>INT(SUBSTITUTE(Working_Sales[[#This Row],[Age_Whitespace_Removed]],".",","))</f>
        <v>29</v>
      </c>
      <c r="S11" t="s">
        <v>36</v>
      </c>
      <c r="T11" s="2" t="str">
        <f>CLEAN(TRIM(Working_Sales[[#This Row],[Product Category]]))</f>
        <v>Beauty</v>
      </c>
      <c r="U11" s="6" t="str">
        <f>PROPER(Working_Sales[[#This Row],[Product_Category_Whitespace_Removed]])</f>
        <v>Beauty</v>
      </c>
      <c r="W11" s="2" t="str">
        <f>CLEAN(TRIM(Working_Sales[[#This Row],[Quantity]]))</f>
        <v/>
      </c>
      <c r="X11" s="2" t="e">
        <f>INT(Working_Sales[[#This Row],[`]])</f>
        <v>#VALUE!</v>
      </c>
      <c r="Y11" s="6">
        <f>IFERROR(
   Working_Sales[[#This Row],[Quantity_Converted_To_Integer]],
   Working_Sales[[#This Row],[Total_Amount_Whitespace_Removed]]/Working_Sales[[#This Row],[Price_Per_Unit_Decimal_Separator_Fixed]])</f>
        <v>4</v>
      </c>
      <c r="Z11" t="s">
        <v>15</v>
      </c>
      <c r="AA11" s="2" t="str">
        <f>CLEAN(TRIM(Working_Sales[[#This Row],[Price per Unit]]))</f>
        <v>50</v>
      </c>
      <c r="AB11" s="2">
        <f>INT(
   SUBSTITUTE(Working_Sales[[#This Row],[Price_Per_Unit_Whitespace_Removed]],
   "$",
   ""
   )
)</f>
        <v>50</v>
      </c>
      <c r="AC11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11" s="8">
        <f>IFERROR(
   Working_Sales[[#This Row],[Price_Per_Unit_Decimal_Separator_Fixed]],
   Working_Sales[[#This Row],[Total_Amount_Converted_To_Integer]]/Working_Sales[[#This Row],[Quantity_Converted_To_Integer]]
)</f>
        <v>50</v>
      </c>
      <c r="AE11" t="s">
        <v>16</v>
      </c>
      <c r="AF11" s="2" t="str">
        <f>CLEAN(TRIM(Working_Sales[[#This Row],[Total Amount]]))</f>
        <v>200</v>
      </c>
      <c r="AG11" s="2">
        <f>INT(Working_Sales[[#This Row],[Total_Amount_Whitespace_Removed]])</f>
        <v>200</v>
      </c>
      <c r="AH1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12" spans="1:34" x14ac:dyDescent="0.35">
      <c r="A12" t="s">
        <v>66</v>
      </c>
      <c r="B12" s="6" t="str">
        <f>CLEAN(TRIM(Working_Sales[[#This Row],[Transaction ID]]))</f>
        <v>263</v>
      </c>
      <c r="C12" t="s">
        <v>67</v>
      </c>
      <c r="D12" s="2" t="str">
        <f>CLEAN(TRIM(Working_Sales[[#This Row],[Date]]))</f>
        <v>2023-08-28</v>
      </c>
      <c r="E1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45166</v>
      </c>
      <c r="F1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45166</v>
      </c>
      <c r="G1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45166</v>
      </c>
      <c r="H12" t="s">
        <v>2333</v>
      </c>
      <c r="I12" s="2" t="str">
        <f>CLEAN(TRIM(Working_Sales[[#This Row],[Customer ID]]))</f>
        <v>CUST010</v>
      </c>
      <c r="J1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CUST010</v>
      </c>
      <c r="K1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CUST010</v>
      </c>
      <c r="L12" t="s">
        <v>34</v>
      </c>
      <c r="M12" s="4" t="str">
        <f>CLEAN(TRIM(Working_Sales[[#This Row],[Gender]]))</f>
        <v>Male</v>
      </c>
      <c r="N12" s="4" t="str" cm="1">
        <f t="array" ref="N12">_xlfn.SWITCH(
   Working_Sales[[#This Row],[Gender_Whitespace_Removed]],
   "m", "Male",
   "f", "Female",
   Working_Sales[[#This Row],[Gender_Whitespace_Removed]]
)</f>
        <v>Male</v>
      </c>
      <c r="O12" s="6" t="str">
        <f>PROPER(Working_Sales[[#This Row],[Gender_Abbreviation_Expanded]])</f>
        <v>Male</v>
      </c>
      <c r="P12">
        <v>23</v>
      </c>
      <c r="Q12" s="2" t="str">
        <f>CLEAN(TRIM(Working_Sales[[#This Row],[Age]]))</f>
        <v>23</v>
      </c>
      <c r="R12" s="6">
        <f>INT(SUBSTITUTE(Working_Sales[[#This Row],[Age_Whitespace_Removed]],".",","))</f>
        <v>23</v>
      </c>
      <c r="S12" t="s">
        <v>69</v>
      </c>
      <c r="T12" s="2" t="str">
        <f>CLEAN(TRIM(Working_Sales[[#This Row],[Product Category]]))</f>
        <v>BEAUTY</v>
      </c>
      <c r="U12" s="6" t="str">
        <f>PROPER(Working_Sales[[#This Row],[Product_Category_Whitespace_Removed]])</f>
        <v>Beauty</v>
      </c>
      <c r="V12" t="s">
        <v>37</v>
      </c>
      <c r="W12" s="2" t="str">
        <f>CLEAN(TRIM(Working_Sales[[#This Row],[Quantity]]))</f>
        <v>2</v>
      </c>
      <c r="X12" s="2">
        <f>INT(Working_Sales[[#This Row],[`]])</f>
        <v>2</v>
      </c>
      <c r="Y12" s="6">
        <f>IFERROR(
   Working_Sales[[#This Row],[Quantity_Converted_To_Integer]],
   Working_Sales[[#This Row],[Total_Amount_Whitespace_Removed]]/Working_Sales[[#This Row],[Price_Per_Unit_Decimal_Separator_Fixed]])</f>
        <v>2</v>
      </c>
      <c r="Z12" t="s">
        <v>70</v>
      </c>
      <c r="AA12" s="2" t="str">
        <f>CLEAN(TRIM(Working_Sales[[#This Row],[Price per Unit]]))</f>
        <v>30</v>
      </c>
      <c r="AB12" s="2">
        <f>INT(
   SUBSTITUTE(Working_Sales[[#This Row],[Price_Per_Unit_Whitespace_Removed]],
   "$",
   ""
   )
)</f>
        <v>30</v>
      </c>
      <c r="AC12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12" s="8">
        <f>IFERROR(
   Working_Sales[[#This Row],[Price_Per_Unit_Decimal_Separator_Fixed]],
   Working_Sales[[#This Row],[Total_Amount_Converted_To_Integer]]/Working_Sales[[#This Row],[Quantity_Converted_To_Integer]]
)</f>
        <v>30</v>
      </c>
      <c r="AE12" t="s">
        <v>71</v>
      </c>
      <c r="AF12" s="2" t="str">
        <f>CLEAN(TRIM(Working_Sales[[#This Row],[Total Amount]]))</f>
        <v>60</v>
      </c>
      <c r="AG12" s="2">
        <f>INT(Working_Sales[[#This Row],[Total_Amount_Whitespace_Removed]])</f>
        <v>60</v>
      </c>
      <c r="AH1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13" spans="1:34" x14ac:dyDescent="0.35">
      <c r="A13" t="s">
        <v>72</v>
      </c>
      <c r="B13" s="6" t="str">
        <f>CLEAN(TRIM(Working_Sales[[#This Row],[Transaction ID]]))</f>
        <v>494</v>
      </c>
      <c r="C13" t="s">
        <v>73</v>
      </c>
      <c r="D13" s="2" t="str">
        <f>CLEAN(TRIM(Working_Sales[[#This Row],[Date]]))</f>
        <v>2023-09-18</v>
      </c>
      <c r="E1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45187</v>
      </c>
      <c r="F1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45187</v>
      </c>
      <c r="G1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45187</v>
      </c>
      <c r="H13" t="s">
        <v>1136</v>
      </c>
      <c r="I13" s="2" t="str">
        <f>CLEAN(TRIM(Working_Sales[[#This Row],[Customer ID]]))</f>
        <v>CUST011</v>
      </c>
      <c r="J1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CUST011</v>
      </c>
      <c r="K1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CUST011</v>
      </c>
      <c r="L13" t="s">
        <v>26</v>
      </c>
      <c r="M13" s="4" t="str">
        <f>CLEAN(TRIM(Working_Sales[[#This Row],[Gender]]))</f>
        <v>Female</v>
      </c>
      <c r="N13" s="4" t="str" cm="1">
        <f t="array" ref="N13">_xlfn.SWITCH(
   Working_Sales[[#This Row],[Gender_Whitespace_Removed]],
   "m", "Male",
   "f", "Female",
   Working_Sales[[#This Row],[Gender_Whitespace_Removed]]
)</f>
        <v>Female</v>
      </c>
      <c r="O13" s="6" t="str">
        <f>PROPER(Working_Sales[[#This Row],[Gender_Abbreviation_Expanded]])</f>
        <v>Female</v>
      </c>
      <c r="P13">
        <v>42</v>
      </c>
      <c r="Q13" s="2" t="str">
        <f>CLEAN(TRIM(Working_Sales[[#This Row],[Age]]))</f>
        <v>42</v>
      </c>
      <c r="R13" s="6">
        <f>INT(SUBSTITUTE(Working_Sales[[#This Row],[Age_Whitespace_Removed]],".",","))</f>
        <v>42</v>
      </c>
      <c r="S13" t="s">
        <v>36</v>
      </c>
      <c r="T13" s="2" t="str">
        <f>CLEAN(TRIM(Working_Sales[[#This Row],[Product Category]]))</f>
        <v>Beauty</v>
      </c>
      <c r="U13" s="6" t="str">
        <f>PROPER(Working_Sales[[#This Row],[Product_Category_Whitespace_Removed]])</f>
        <v>Beauty</v>
      </c>
      <c r="V13" t="s">
        <v>14</v>
      </c>
      <c r="W13" s="2" t="str">
        <f>CLEAN(TRIM(Working_Sales[[#This Row],[Quantity]]))</f>
        <v>4</v>
      </c>
      <c r="X13" s="2">
        <f>INT(Working_Sales[[#This Row],[`]])</f>
        <v>4</v>
      </c>
      <c r="Y13" s="6">
        <f>IFERROR(
   Working_Sales[[#This Row],[Quantity_Converted_To_Integer]],
   Working_Sales[[#This Row],[Total_Amount_Whitespace_Removed]]/Working_Sales[[#This Row],[Price_Per_Unit_Decimal_Separator_Fixed]])</f>
        <v>4</v>
      </c>
      <c r="Z13" t="s">
        <v>75</v>
      </c>
      <c r="AA13" s="2" t="str">
        <f>CLEAN(TRIM(Working_Sales[[#This Row],[Price per Unit]]))</f>
        <v>50</v>
      </c>
      <c r="AB13" s="2">
        <f>INT(
   SUBSTITUTE(Working_Sales[[#This Row],[Price_Per_Unit_Whitespace_Removed]],
   "$",
   ""
   )
)</f>
        <v>50</v>
      </c>
      <c r="AC13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13" s="8">
        <f>IFERROR(
   Working_Sales[[#This Row],[Price_Per_Unit_Decimal_Separator_Fixed]],
   Working_Sales[[#This Row],[Total_Amount_Converted_To_Integer]]/Working_Sales[[#This Row],[Quantity_Converted_To_Integer]]
)</f>
        <v>50</v>
      </c>
      <c r="AE13" t="s">
        <v>16</v>
      </c>
      <c r="AF13" s="2" t="str">
        <f>CLEAN(TRIM(Working_Sales[[#This Row],[Total Amount]]))</f>
        <v>200</v>
      </c>
      <c r="AG13" s="2">
        <f>INT(Working_Sales[[#This Row],[Total_Amount_Whitespace_Removed]])</f>
        <v>200</v>
      </c>
      <c r="AH1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14" spans="1:34" x14ac:dyDescent="0.35">
      <c r="A14" t="s">
        <v>76</v>
      </c>
      <c r="B14" s="6" t="str">
        <f>CLEAN(TRIM(Working_Sales[[#This Row],[Transaction ID]]))</f>
        <v>862</v>
      </c>
      <c r="C14" t="s">
        <v>77</v>
      </c>
      <c r="D14" s="2" t="str">
        <f>CLEAN(TRIM(Working_Sales[[#This Row],[Date]]))</f>
        <v>31/05/2023</v>
      </c>
      <c r="E1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45077</v>
      </c>
      <c r="F1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45077</v>
      </c>
      <c r="G1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45077</v>
      </c>
      <c r="H14" t="s">
        <v>2334</v>
      </c>
      <c r="I14" s="2" t="str">
        <f>CLEAN(TRIM(Working_Sales[[#This Row],[Customer ID]]))</f>
        <v>cust012</v>
      </c>
      <c r="J1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CUST012</v>
      </c>
      <c r="L14" t="s">
        <v>34</v>
      </c>
      <c r="M14" s="4" t="str">
        <f>CLEAN(TRIM(Working_Sales[[#This Row],[Gender]]))</f>
        <v>Male</v>
      </c>
      <c r="N14" s="4" t="str" cm="1">
        <f t="array" ref="N14">_xlfn.SWITCH(
   Working_Sales[[#This Row],[Gender_Whitespace_Removed]],
   "m", "Male",
   "f", "Female",
   Working_Sales[[#This Row],[Gender_Whitespace_Removed]]
)</f>
        <v>Male</v>
      </c>
      <c r="O14" s="6" t="str">
        <f>PROPER(Working_Sales[[#This Row],[Gender_Abbreviation_Expanded]])</f>
        <v>Male</v>
      </c>
      <c r="P14">
        <v>28</v>
      </c>
      <c r="Q14" s="2" t="str">
        <f>CLEAN(TRIM(Working_Sales[[#This Row],[Age]]))</f>
        <v>28</v>
      </c>
      <c r="R14" s="6">
        <f>INT(SUBSTITUTE(Working_Sales[[#This Row],[Age_Whitespace_Removed]],".",","))</f>
        <v>28</v>
      </c>
      <c r="S14" t="s">
        <v>48</v>
      </c>
      <c r="T14" s="2" t="str">
        <f>CLEAN(TRIM(Working_Sales[[#This Row],[Product Category]]))</f>
        <v>electronics</v>
      </c>
      <c r="U14" s="6" t="str">
        <f>PROPER(Working_Sales[[#This Row],[Product_Category_Whitespace_Removed]])</f>
        <v>Electronics</v>
      </c>
      <c r="V14" t="s">
        <v>14</v>
      </c>
      <c r="W14" s="2" t="str">
        <f>CLEAN(TRIM(Working_Sales[[#This Row],[Quantity]]))</f>
        <v>4</v>
      </c>
      <c r="X14" s="2">
        <f>INT(Working_Sales[[#This Row],[`]])</f>
        <v>4</v>
      </c>
      <c r="Y14" s="6">
        <f>IFERROR(
   Working_Sales[[#This Row],[Quantity_Converted_To_Integer]],
   Working_Sales[[#This Row],[Total_Amount_Whitespace_Removed]]/Working_Sales[[#This Row],[Price_Per_Unit_Decimal_Separator_Fixed]])</f>
        <v>4</v>
      </c>
      <c r="Z14" t="s">
        <v>23</v>
      </c>
      <c r="AA14" s="2" t="str">
        <f>CLEAN(TRIM(Working_Sales[[#This Row],[Price per Unit]]))</f>
        <v>300</v>
      </c>
      <c r="AB14" s="2">
        <f>INT(
   SUBSTITUTE(Working_Sales[[#This Row],[Price_Per_Unit_Whitespace_Removed]],
   "$",
   ""
   )
)</f>
        <v>300</v>
      </c>
      <c r="AC14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14" s="8">
        <f>IFERROR(
   Working_Sales[[#This Row],[Price_Per_Unit_Decimal_Separator_Fixed]],
   Working_Sales[[#This Row],[Total_Amount_Converted_To_Integer]]/Working_Sales[[#This Row],[Quantity_Converted_To_Integer]]
)</f>
        <v>300</v>
      </c>
      <c r="AE14" t="s">
        <v>79</v>
      </c>
      <c r="AF14" s="2" t="str">
        <f>CLEAN(TRIM(Working_Sales[[#This Row],[Total Amount]]))</f>
        <v>1200</v>
      </c>
      <c r="AG14" s="2">
        <f>INT(Working_Sales[[#This Row],[Total_Amount_Whitespace_Removed]])</f>
        <v>1200</v>
      </c>
      <c r="AH1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15" spans="1:34" x14ac:dyDescent="0.35">
      <c r="A15" t="s">
        <v>80</v>
      </c>
      <c r="B15" s="6" t="str">
        <f>CLEAN(TRIM(Working_Sales[[#This Row],[Transaction ID]]))</f>
        <v>356</v>
      </c>
      <c r="C15" t="s">
        <v>81</v>
      </c>
      <c r="D15" s="2" t="str">
        <f>CLEAN(TRIM(Working_Sales[[#This Row],[Date]]))</f>
        <v>2023-06-10</v>
      </c>
      <c r="E1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45087</v>
      </c>
      <c r="F1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45087</v>
      </c>
      <c r="G1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45087</v>
      </c>
      <c r="H15" t="s">
        <v>2335</v>
      </c>
      <c r="I15" s="2" t="str">
        <f>CLEAN(TRIM(Working_Sales[[#This Row],[Customer ID]]))</f>
        <v>Cust013</v>
      </c>
      <c r="J1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CUST013</v>
      </c>
      <c r="L15" t="s">
        <v>34</v>
      </c>
      <c r="M15" s="4" t="str">
        <f>CLEAN(TRIM(Working_Sales[[#This Row],[Gender]]))</f>
        <v>Male</v>
      </c>
      <c r="N15" s="4" t="str" cm="1">
        <f t="array" ref="N15">_xlfn.SWITCH(
   Working_Sales[[#This Row],[Gender_Whitespace_Removed]],
   "m", "Male",
   "f", "Female",
   Working_Sales[[#This Row],[Gender_Whitespace_Removed]]
)</f>
        <v>Male</v>
      </c>
      <c r="O15" s="6" t="str">
        <f>PROPER(Working_Sales[[#This Row],[Gender_Abbreviation_Expanded]])</f>
        <v>Male</v>
      </c>
      <c r="P15" t="s">
        <v>83</v>
      </c>
      <c r="Q15" s="2" t="str">
        <f>CLEAN(TRIM(Working_Sales[[#This Row],[Age]]))</f>
        <v>50.0</v>
      </c>
      <c r="R15" s="6">
        <f>INT(SUBSTITUTE(Working_Sales[[#This Row],[Age_Whitespace_Removed]],".",","))</f>
        <v>50</v>
      </c>
      <c r="S15" t="s">
        <v>13</v>
      </c>
      <c r="T15" s="2" t="str">
        <f>CLEAN(TRIM(Working_Sales[[#This Row],[Product Category]]))</f>
        <v>Electronics</v>
      </c>
      <c r="U15" s="6" t="str">
        <f>PROPER(Working_Sales[[#This Row],[Product_Category_Whitespace_Removed]])</f>
        <v>Electronics</v>
      </c>
      <c r="V15" t="s">
        <v>29</v>
      </c>
      <c r="W15" s="2" t="str">
        <f>CLEAN(TRIM(Working_Sales[[#This Row],[Quantity]]))</f>
        <v>3</v>
      </c>
      <c r="X15" s="2">
        <f>INT(Working_Sales[[#This Row],[`]])</f>
        <v>3</v>
      </c>
      <c r="Y15" s="6">
        <f>IFERROR(
   Working_Sales[[#This Row],[Quantity_Converted_To_Integer]],
   Working_Sales[[#This Row],[Total_Amount_Whitespace_Removed]]/Working_Sales[[#This Row],[Price_Per_Unit_Decimal_Separator_Fixed]])</f>
        <v>3</v>
      </c>
      <c r="Z15" t="s">
        <v>84</v>
      </c>
      <c r="AA15" s="2" t="str">
        <f>CLEAN(TRIM(Working_Sales[[#This Row],[Price per Unit]]))</f>
        <v>500.00</v>
      </c>
      <c r="AB15" s="2" t="e">
        <f>INT(
   SUBSTITUTE(Working_Sales[[#This Row],[Price_Per_Unit_Whitespace_Removed]],
   "$",
   ""
   )
)</f>
        <v>#VALUE!</v>
      </c>
      <c r="AC15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15" s="8">
        <f>IFERROR(
   Working_Sales[[#This Row],[Price_Per_Unit_Decimal_Separator_Fixed]],
   Working_Sales[[#This Row],[Total_Amount_Converted_To_Integer]]/Working_Sales[[#This Row],[Quantity_Converted_To_Integer]]
)</f>
        <v>500</v>
      </c>
      <c r="AE15" t="s">
        <v>85</v>
      </c>
      <c r="AF15" s="2" t="str">
        <f>CLEAN(TRIM(Working_Sales[[#This Row],[Total Amount]]))</f>
        <v>1500</v>
      </c>
      <c r="AG15" s="2">
        <f>INT(Working_Sales[[#This Row],[Total_Amount_Whitespace_Removed]])</f>
        <v>1500</v>
      </c>
      <c r="AH1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16" spans="1:34" x14ac:dyDescent="0.35">
      <c r="A16" t="s">
        <v>86</v>
      </c>
      <c r="B16" s="6" t="str">
        <f>CLEAN(TRIM(Working_Sales[[#This Row],[Transaction ID]]))</f>
        <v>726</v>
      </c>
      <c r="C16" t="s">
        <v>87</v>
      </c>
      <c r="D16" s="2" t="str">
        <f>CLEAN(TRIM(Working_Sales[[#This Row],[Date]]))</f>
        <v>June 17, 2023</v>
      </c>
      <c r="E16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16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1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45094</v>
      </c>
      <c r="H16" t="s">
        <v>2336</v>
      </c>
      <c r="I16" s="2" t="str">
        <f>CLEAN(TRIM(Working_Sales[[#This Row],[Customer ID]]))</f>
        <v>Cust014</v>
      </c>
      <c r="J1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CUST014</v>
      </c>
      <c r="L16" t="s">
        <v>11</v>
      </c>
      <c r="M16" s="4" t="str">
        <f>CLEAN(TRIM(Working_Sales[[#This Row],[Gender]]))</f>
        <v>MALE</v>
      </c>
      <c r="N16" s="4" t="str" cm="1">
        <f t="array" ref="N16">_xlfn.SWITCH(
   Working_Sales[[#This Row],[Gender_Whitespace_Removed]],
   "m", "Male",
   "f", "Female",
   Working_Sales[[#This Row],[Gender_Whitespace_Removed]]
)</f>
        <v>MALE</v>
      </c>
      <c r="O16" s="6" t="str">
        <f>PROPER(Working_Sales[[#This Row],[Gender_Abbreviation_Expanded]])</f>
        <v>Male</v>
      </c>
      <c r="P16" t="s">
        <v>88</v>
      </c>
      <c r="Q16" s="2" t="str">
        <f>CLEAN(TRIM(Working_Sales[[#This Row],[Age]]))</f>
        <v>47.0</v>
      </c>
      <c r="R16" s="6">
        <f>INT(SUBSTITUTE(Working_Sales[[#This Row],[Age_Whitespace_Removed]],".",","))</f>
        <v>47</v>
      </c>
      <c r="S16" t="s">
        <v>89</v>
      </c>
      <c r="T16" s="2" t="str">
        <f>CLEAN(TRIM(Working_Sales[[#This Row],[Product Category]]))</f>
        <v>CLOTHING</v>
      </c>
      <c r="U16" s="6" t="str">
        <f>PROPER(Working_Sales[[#This Row],[Product_Category_Whitespace_Removed]])</f>
        <v>Clothing</v>
      </c>
      <c r="V16" t="s">
        <v>14</v>
      </c>
      <c r="W16" s="2" t="str">
        <f>CLEAN(TRIM(Working_Sales[[#This Row],[Quantity]]))</f>
        <v>4</v>
      </c>
      <c r="X16" s="2">
        <f>INT(Working_Sales[[#This Row],[`]])</f>
        <v>4</v>
      </c>
      <c r="Y16" s="6">
        <f>IFERROR(
   Working_Sales[[#This Row],[Quantity_Converted_To_Integer]],
   Working_Sales[[#This Row],[Total_Amount_Whitespace_Removed]]/Working_Sales[[#This Row],[Price_Per_Unit_Decimal_Separator_Fixed]])</f>
        <v>4</v>
      </c>
      <c r="Z16" t="s">
        <v>23</v>
      </c>
      <c r="AA16" s="2" t="str">
        <f>CLEAN(TRIM(Working_Sales[[#This Row],[Price per Unit]]))</f>
        <v>300</v>
      </c>
      <c r="AB16" s="2">
        <f>INT(
   SUBSTITUTE(Working_Sales[[#This Row],[Price_Per_Unit_Whitespace_Removed]],
   "$",
   ""
   )
)</f>
        <v>300</v>
      </c>
      <c r="AC16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16" s="8">
        <f>IFERROR(
   Working_Sales[[#This Row],[Price_Per_Unit_Decimal_Separator_Fixed]],
   Working_Sales[[#This Row],[Total_Amount_Converted_To_Integer]]/Working_Sales[[#This Row],[Quantity_Converted_To_Integer]]
)</f>
        <v>300</v>
      </c>
      <c r="AE16" t="s">
        <v>79</v>
      </c>
      <c r="AF16" s="2" t="str">
        <f>CLEAN(TRIM(Working_Sales[[#This Row],[Total Amount]]))</f>
        <v>1200</v>
      </c>
      <c r="AG16" s="2">
        <f>INT(Working_Sales[[#This Row],[Total_Amount_Whitespace_Removed]])</f>
        <v>1200</v>
      </c>
      <c r="AH1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17" spans="1:34" x14ac:dyDescent="0.35">
      <c r="A17" t="s">
        <v>90</v>
      </c>
      <c r="B17" s="6" t="str">
        <f>CLEAN(TRIM(Working_Sales[[#This Row],[Transaction ID]]))</f>
        <v>955</v>
      </c>
      <c r="C17" t="s">
        <v>91</v>
      </c>
      <c r="D17" s="2" t="str">
        <f>CLEAN(TRIM(Working_Sales[[#This Row],[Date]]))</f>
        <v>2023-07-14</v>
      </c>
      <c r="E1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45121</v>
      </c>
      <c r="F1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45121</v>
      </c>
      <c r="G1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45121</v>
      </c>
      <c r="H17" t="s">
        <v>1306</v>
      </c>
      <c r="I17" s="2" t="str">
        <f>CLEAN(TRIM(Working_Sales[[#This Row],[Customer ID]]))</f>
        <v>cust015</v>
      </c>
      <c r="J1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CUST015</v>
      </c>
      <c r="L17" t="s">
        <v>34</v>
      </c>
      <c r="M17" s="4" t="str">
        <f>CLEAN(TRIM(Working_Sales[[#This Row],[Gender]]))</f>
        <v>Male</v>
      </c>
      <c r="N17" s="4" t="str" cm="1">
        <f t="array" ref="N17">_xlfn.SWITCH(
   Working_Sales[[#This Row],[Gender_Whitespace_Removed]],
   "m", "Male",
   "f", "Female",
   Working_Sales[[#This Row],[Gender_Whitespace_Removed]]
)</f>
        <v>Male</v>
      </c>
      <c r="O17" s="6" t="str">
        <f>PROPER(Working_Sales[[#This Row],[Gender_Abbreviation_Expanded]])</f>
        <v>Male</v>
      </c>
      <c r="P17">
        <v>58</v>
      </c>
      <c r="Q17" s="2" t="str">
        <f>CLEAN(TRIM(Working_Sales[[#This Row],[Age]]))</f>
        <v>58</v>
      </c>
      <c r="R17" s="6">
        <f>INT(SUBSTITUTE(Working_Sales[[#This Row],[Age_Whitespace_Removed]],".",","))</f>
        <v>58</v>
      </c>
      <c r="S17" t="s">
        <v>56</v>
      </c>
      <c r="T17" s="2" t="str">
        <f>CLEAN(TRIM(Working_Sales[[#This Row],[Product Category]]))</f>
        <v>Clothing</v>
      </c>
      <c r="U17" s="6" t="str">
        <f>PROPER(Working_Sales[[#This Row],[Product_Category_Whitespace_Removed]])</f>
        <v>Clothing</v>
      </c>
      <c r="V17" t="s">
        <v>22</v>
      </c>
      <c r="W17" s="2" t="str">
        <f>CLEAN(TRIM(Working_Sales[[#This Row],[Quantity]]))</f>
        <v>1</v>
      </c>
      <c r="X17" s="2">
        <f>INT(Working_Sales[[#This Row],[`]])</f>
        <v>1</v>
      </c>
      <c r="Y17" s="6">
        <f>IFERROR(
   Working_Sales[[#This Row],[Quantity_Converted_To_Integer]],
   Working_Sales[[#This Row],[Total_Amount_Whitespace_Removed]]/Working_Sales[[#This Row],[Price_Per_Unit_Decimal_Separator_Fixed]])</f>
        <v>1</v>
      </c>
      <c r="Z17" t="s">
        <v>30</v>
      </c>
      <c r="AA17" s="2" t="str">
        <f>CLEAN(TRIM(Working_Sales[[#This Row],[Price per Unit]]))</f>
        <v>25</v>
      </c>
      <c r="AB17" s="2">
        <f>INT(
   SUBSTITUTE(Working_Sales[[#This Row],[Price_Per_Unit_Whitespace_Removed]],
   "$",
   ""
   )
)</f>
        <v>25</v>
      </c>
      <c r="AC17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17" s="8">
        <f>IFERROR(
   Working_Sales[[#This Row],[Price_Per_Unit_Decimal_Separator_Fixed]],
   Working_Sales[[#This Row],[Total_Amount_Converted_To_Integer]]/Working_Sales[[#This Row],[Quantity_Converted_To_Integer]]
)</f>
        <v>25</v>
      </c>
      <c r="AE17" t="s">
        <v>30</v>
      </c>
      <c r="AF17" s="2" t="str">
        <f>CLEAN(TRIM(Working_Sales[[#This Row],[Total Amount]]))</f>
        <v>25</v>
      </c>
      <c r="AG17" s="2">
        <f>INT(Working_Sales[[#This Row],[Total_Amount_Whitespace_Removed]])</f>
        <v>25</v>
      </c>
      <c r="AH1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18" spans="1:34" x14ac:dyDescent="0.35">
      <c r="A18" t="s">
        <v>93</v>
      </c>
      <c r="B18" s="6" t="str">
        <f>CLEAN(TRIM(Working_Sales[[#This Row],[Transaction ID]]))</f>
        <v>897</v>
      </c>
      <c r="C18" t="s">
        <v>94</v>
      </c>
      <c r="D18" s="2" t="str">
        <f>CLEAN(TRIM(Working_Sales[[#This Row],[Date]]))</f>
        <v>26/09/2023</v>
      </c>
      <c r="E1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45195</v>
      </c>
      <c r="F1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45195</v>
      </c>
      <c r="G1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45195</v>
      </c>
      <c r="H18" t="s">
        <v>2337</v>
      </c>
      <c r="I18" s="2" t="str">
        <f>CLEAN(TRIM(Working_Sales[[#This Row],[Customer ID]]))</f>
        <v>CUST016</v>
      </c>
      <c r="J1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CUST016</v>
      </c>
      <c r="K1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CUST016</v>
      </c>
      <c r="L18" t="s">
        <v>26</v>
      </c>
      <c r="M18" s="4" t="str">
        <f>CLEAN(TRIM(Working_Sales[[#This Row],[Gender]]))</f>
        <v>Female</v>
      </c>
      <c r="N18" s="4" t="str" cm="1">
        <f t="array" ref="N18">_xlfn.SWITCH(
   Working_Sales[[#This Row],[Gender_Whitespace_Removed]],
   "m", "Male",
   "f", "Female",
   Working_Sales[[#This Row],[Gender_Whitespace_Removed]]
)</f>
        <v>Female</v>
      </c>
      <c r="O18" s="6" t="str">
        <f>PROPER(Working_Sales[[#This Row],[Gender_Abbreviation_Expanded]])</f>
        <v>Female</v>
      </c>
      <c r="P18">
        <v>64</v>
      </c>
      <c r="Q18" s="2" t="str">
        <f>CLEAN(TRIM(Working_Sales[[#This Row],[Age]]))</f>
        <v>64</v>
      </c>
      <c r="R18" s="6">
        <f>INT(SUBSTITUTE(Working_Sales[[#This Row],[Age_Whitespace_Removed]],".",","))</f>
        <v>64</v>
      </c>
      <c r="S18" t="s">
        <v>13</v>
      </c>
      <c r="T18" s="2" t="str">
        <f>CLEAN(TRIM(Working_Sales[[#This Row],[Product Category]]))</f>
        <v>Electronics</v>
      </c>
      <c r="U18" s="6" t="str">
        <f>PROPER(Working_Sales[[#This Row],[Product_Category_Whitespace_Removed]])</f>
        <v>Electronics</v>
      </c>
      <c r="V18" t="s">
        <v>37</v>
      </c>
      <c r="W18" s="2" t="str">
        <f>CLEAN(TRIM(Working_Sales[[#This Row],[Quantity]]))</f>
        <v>2</v>
      </c>
      <c r="X18" s="2">
        <f>INT(Working_Sales[[#This Row],[`]])</f>
        <v>2</v>
      </c>
      <c r="Y18" s="6">
        <f>IFERROR(
   Working_Sales[[#This Row],[Quantity_Converted_To_Integer]],
   Working_Sales[[#This Row],[Total_Amount_Whitespace_Removed]]/Working_Sales[[#This Row],[Price_Per_Unit_Decimal_Separator_Fixed]])</f>
        <v>2</v>
      </c>
      <c r="Z18" t="s">
        <v>96</v>
      </c>
      <c r="AA18" s="2" t="str">
        <f>CLEAN(TRIM(Working_Sales[[#This Row],[Price per Unit]]))</f>
        <v>$50</v>
      </c>
      <c r="AB18" s="2">
        <f>INT(
   SUBSTITUTE(Working_Sales[[#This Row],[Price_Per_Unit_Whitespace_Removed]],
   "$",
   ""
   )
)</f>
        <v>50</v>
      </c>
      <c r="AC18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18" s="8">
        <f>IFERROR(
   Working_Sales[[#This Row],[Price_Per_Unit_Decimal_Separator_Fixed]],
   Working_Sales[[#This Row],[Total_Amount_Converted_To_Integer]]/Working_Sales[[#This Row],[Quantity_Converted_To_Integer]]
)</f>
        <v>50</v>
      </c>
      <c r="AE18" t="s">
        <v>38</v>
      </c>
      <c r="AF18" s="2" t="str">
        <f>CLEAN(TRIM(Working_Sales[[#This Row],[Total Amount]]))</f>
        <v>100</v>
      </c>
      <c r="AG18" s="2">
        <f>INT(Working_Sales[[#This Row],[Total_Amount_Whitespace_Removed]])</f>
        <v>100</v>
      </c>
      <c r="AH1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19" spans="1:34" x14ac:dyDescent="0.35">
      <c r="A19" t="s">
        <v>97</v>
      </c>
      <c r="B19" s="6" t="str">
        <f>CLEAN(TRIM(Working_Sales[[#This Row],[Transaction ID]]))</f>
        <v>645</v>
      </c>
      <c r="C19" t="s">
        <v>1999</v>
      </c>
      <c r="D19" s="2" t="str">
        <f>CLEAN(TRIM(Working_Sales[[#This Row],[Date]]))</f>
        <v>11/17/2023</v>
      </c>
      <c r="E19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1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45247</v>
      </c>
      <c r="G1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45247</v>
      </c>
      <c r="H19" t="s">
        <v>2338</v>
      </c>
      <c r="I19" s="2" t="str">
        <f>CLEAN(TRIM(Working_Sales[[#This Row],[Customer ID]]))</f>
        <v>cust017</v>
      </c>
      <c r="J1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CUST017</v>
      </c>
      <c r="L19" t="s">
        <v>26</v>
      </c>
      <c r="M19" s="4" t="str">
        <f>CLEAN(TRIM(Working_Sales[[#This Row],[Gender]]))</f>
        <v>Female</v>
      </c>
      <c r="N19" s="4" t="str" cm="1">
        <f t="array" ref="N19">_xlfn.SWITCH(
   Working_Sales[[#This Row],[Gender_Whitespace_Removed]],
   "m", "Male",
   "f", "Female",
   Working_Sales[[#This Row],[Gender_Whitespace_Removed]]
)</f>
        <v>Female</v>
      </c>
      <c r="O19" s="6" t="str">
        <f>PROPER(Working_Sales[[#This Row],[Gender_Abbreviation_Expanded]])</f>
        <v>Female</v>
      </c>
      <c r="P19">
        <v>35</v>
      </c>
      <c r="Q19" s="2" t="str">
        <f>CLEAN(TRIM(Working_Sales[[#This Row],[Age]]))</f>
        <v>35</v>
      </c>
      <c r="R19" s="6">
        <f>INT(SUBSTITUTE(Working_Sales[[#This Row],[Age_Whitespace_Removed]],".",","))</f>
        <v>35</v>
      </c>
      <c r="S19" t="s">
        <v>99</v>
      </c>
      <c r="T19" s="2" t="str">
        <f>CLEAN(TRIM(Working_Sales[[#This Row],[Product Category]]))</f>
        <v>ELECTRONICS</v>
      </c>
      <c r="U19" s="6" t="str">
        <f>PROPER(Working_Sales[[#This Row],[Product_Category_Whitespace_Removed]])</f>
        <v>Electronics</v>
      </c>
      <c r="V19" t="s">
        <v>14</v>
      </c>
      <c r="W19" s="2" t="str">
        <f>CLEAN(TRIM(Working_Sales[[#This Row],[Quantity]]))</f>
        <v>4</v>
      </c>
      <c r="X19" s="2">
        <f>INT(Working_Sales[[#This Row],[`]])</f>
        <v>4</v>
      </c>
      <c r="Y19" s="6">
        <f>IFERROR(
   Working_Sales[[#This Row],[Quantity_Converted_To_Integer]],
   Working_Sales[[#This Row],[Total_Amount_Whitespace_Removed]]/Working_Sales[[#This Row],[Price_Per_Unit_Decimal_Separator_Fixed]])</f>
        <v>4</v>
      </c>
      <c r="Z19" t="s">
        <v>100</v>
      </c>
      <c r="AA19" s="2" t="str">
        <f>CLEAN(TRIM(Working_Sales[[#This Row],[Price per Unit]]))</f>
        <v>30</v>
      </c>
      <c r="AB19" s="2">
        <f>INT(
   SUBSTITUTE(Working_Sales[[#This Row],[Price_Per_Unit_Whitespace_Removed]],
   "$",
   ""
   )
)</f>
        <v>30</v>
      </c>
      <c r="AC19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19" s="8">
        <f>IFERROR(
   Working_Sales[[#This Row],[Price_Per_Unit_Decimal_Separator_Fixed]],
   Working_Sales[[#This Row],[Total_Amount_Converted_To_Integer]]/Working_Sales[[#This Row],[Quantity_Converted_To_Integer]]
)</f>
        <v>30</v>
      </c>
      <c r="AE19" t="s">
        <v>44</v>
      </c>
      <c r="AF19" s="2" t="str">
        <f>CLEAN(TRIM(Working_Sales[[#This Row],[Total Amount]]))</f>
        <v>120</v>
      </c>
      <c r="AG19" s="2">
        <f>INT(Working_Sales[[#This Row],[Total_Amount_Whitespace_Removed]])</f>
        <v>120</v>
      </c>
      <c r="AH1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20" spans="1:34" x14ac:dyDescent="0.35">
      <c r="A20" t="s">
        <v>101</v>
      </c>
      <c r="B20" s="6" t="str">
        <f>CLEAN(TRIM(Working_Sales[[#This Row],[Transaction ID]]))</f>
        <v>423</v>
      </c>
      <c r="C20" t="s">
        <v>102</v>
      </c>
      <c r="D20" s="2" t="str">
        <f>CLEAN(TRIM(Working_Sales[[#This Row],[Date]]))</f>
        <v>2023-03-08</v>
      </c>
      <c r="E2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44993</v>
      </c>
      <c r="F2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44993</v>
      </c>
      <c r="G2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44993</v>
      </c>
      <c r="H20" t="s">
        <v>2339</v>
      </c>
      <c r="I20" s="2" t="str">
        <f>CLEAN(TRIM(Working_Sales[[#This Row],[Customer ID]]))</f>
        <v>CUST018</v>
      </c>
      <c r="J2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CUST018</v>
      </c>
      <c r="K2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CUST018</v>
      </c>
      <c r="L20" t="s">
        <v>26</v>
      </c>
      <c r="M20" s="4" t="str">
        <f>CLEAN(TRIM(Working_Sales[[#This Row],[Gender]]))</f>
        <v>Female</v>
      </c>
      <c r="N20" s="4" t="str" cm="1">
        <f t="array" ref="N20">_xlfn.SWITCH(
   Working_Sales[[#This Row],[Gender_Whitespace_Removed]],
   "m", "Male",
   "f", "Female",
   Working_Sales[[#This Row],[Gender_Whitespace_Removed]]
)</f>
        <v>Female</v>
      </c>
      <c r="O20" s="6" t="str">
        <f>PROPER(Working_Sales[[#This Row],[Gender_Abbreviation_Expanded]])</f>
        <v>Female</v>
      </c>
      <c r="P20">
        <v>27</v>
      </c>
      <c r="Q20" s="2" t="str">
        <f>CLEAN(TRIM(Working_Sales[[#This Row],[Age]]))</f>
        <v>27</v>
      </c>
      <c r="R20" s="6">
        <f>INT(SUBSTITUTE(Working_Sales[[#This Row],[Age_Whitespace_Removed]],".",","))</f>
        <v>27</v>
      </c>
      <c r="S20" t="s">
        <v>28</v>
      </c>
      <c r="T20" s="2" t="str">
        <f>CLEAN(TRIM(Working_Sales[[#This Row],[Product Category]]))</f>
        <v>clothing</v>
      </c>
      <c r="U20" s="6" t="str">
        <f>PROPER(Working_Sales[[#This Row],[Product_Category_Whitespace_Removed]])</f>
        <v>Clothing</v>
      </c>
      <c r="V20" t="s">
        <v>22</v>
      </c>
      <c r="W20" s="2" t="str">
        <f>CLEAN(TRIM(Working_Sales[[#This Row],[Quantity]]))</f>
        <v>1</v>
      </c>
      <c r="X20" s="2">
        <f>INT(Working_Sales[[#This Row],[`]])</f>
        <v>1</v>
      </c>
      <c r="Y20" s="6">
        <f>IFERROR(
   Working_Sales[[#This Row],[Quantity_Converted_To_Integer]],
   Working_Sales[[#This Row],[Total_Amount_Whitespace_Removed]]/Working_Sales[[#This Row],[Price_Per_Unit_Decimal_Separator_Fixed]])</f>
        <v>1</v>
      </c>
      <c r="Z20" t="s">
        <v>49</v>
      </c>
      <c r="AA20" s="2" t="str">
        <f>CLEAN(TRIM(Working_Sales[[#This Row],[Price per Unit]]))</f>
        <v>$25</v>
      </c>
      <c r="AB20" s="2">
        <f>INT(
   SUBSTITUTE(Working_Sales[[#This Row],[Price_Per_Unit_Whitespace_Removed]],
   "$",
   ""
   )
)</f>
        <v>25</v>
      </c>
      <c r="AC20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20" s="8">
        <f>IFERROR(
   Working_Sales[[#This Row],[Price_Per_Unit_Decimal_Separator_Fixed]],
   Working_Sales[[#This Row],[Total_Amount_Converted_To_Integer]]/Working_Sales[[#This Row],[Quantity_Converted_To_Integer]]
)</f>
        <v>25</v>
      </c>
      <c r="AE20" t="s">
        <v>30</v>
      </c>
      <c r="AF20" s="2" t="str">
        <f>CLEAN(TRIM(Working_Sales[[#This Row],[Total Amount]]))</f>
        <v>25</v>
      </c>
      <c r="AG20" s="2">
        <f>INT(Working_Sales[[#This Row],[Total_Amount_Whitespace_Removed]])</f>
        <v>25</v>
      </c>
      <c r="AH2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21" spans="1:34" x14ac:dyDescent="0.35">
      <c r="A21" t="s">
        <v>105</v>
      </c>
      <c r="B21" s="6" t="str">
        <f>CLEAN(TRIM(Working_Sales[[#This Row],[Transaction ID]]))</f>
        <v>348</v>
      </c>
      <c r="C21" t="s">
        <v>106</v>
      </c>
      <c r="D21" s="2" t="str">
        <f>CLEAN(TRIM(Working_Sales[[#This Row],[Date]]))</f>
        <v>2023-12-03</v>
      </c>
      <c r="E2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45263</v>
      </c>
      <c r="F2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45263</v>
      </c>
      <c r="G2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45263</v>
      </c>
      <c r="H21" t="s">
        <v>2340</v>
      </c>
      <c r="I21" s="2" t="str">
        <f>CLEAN(TRIM(Working_Sales[[#This Row],[Customer ID]]))</f>
        <v>Cust019</v>
      </c>
      <c r="J2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CUST019</v>
      </c>
      <c r="L21" t="s">
        <v>46</v>
      </c>
      <c r="M21" s="4" t="str">
        <f>CLEAN(TRIM(Working_Sales[[#This Row],[Gender]]))</f>
        <v>F</v>
      </c>
      <c r="N21" s="4" t="str" cm="1">
        <f t="array" ref="N21">_xlfn.SWITCH(
   Working_Sales[[#This Row],[Gender_Whitespace_Removed]],
   "m", "Male",
   "f", "Female",
   Working_Sales[[#This Row],[Gender_Whitespace_Removed]]
)</f>
        <v>Female</v>
      </c>
      <c r="O21" s="6" t="str">
        <f>PROPER(Working_Sales[[#This Row],[Gender_Abbreviation_Expanded]])</f>
        <v>Female</v>
      </c>
      <c r="P21">
        <v>35</v>
      </c>
      <c r="Q21" s="2" t="str">
        <f>CLEAN(TRIM(Working_Sales[[#This Row],[Age]]))</f>
        <v>35</v>
      </c>
      <c r="R21" s="6">
        <f>INT(SUBSTITUTE(Working_Sales[[#This Row],[Age_Whitespace_Removed]],".",","))</f>
        <v>35</v>
      </c>
      <c r="S21" t="s">
        <v>13</v>
      </c>
      <c r="T21" s="2" t="str">
        <f>CLEAN(TRIM(Working_Sales[[#This Row],[Product Category]]))</f>
        <v>Electronics</v>
      </c>
      <c r="U21" s="6" t="str">
        <f>PROPER(Working_Sales[[#This Row],[Product_Category_Whitespace_Removed]])</f>
        <v>Electronics</v>
      </c>
      <c r="V21" t="s">
        <v>37</v>
      </c>
      <c r="W21" s="2" t="str">
        <f>CLEAN(TRIM(Working_Sales[[#This Row],[Quantity]]))</f>
        <v>2</v>
      </c>
      <c r="X21" s="2">
        <f>INT(Working_Sales[[#This Row],[`]])</f>
        <v>2</v>
      </c>
      <c r="Y21" s="6">
        <f>IFERROR(
   Working_Sales[[#This Row],[Quantity_Converted_To_Integer]],
   Working_Sales[[#This Row],[Total_Amount_Whitespace_Removed]]/Working_Sales[[#This Row],[Price_Per_Unit_Decimal_Separator_Fixed]])</f>
        <v>2</v>
      </c>
      <c r="Z21" t="s">
        <v>23</v>
      </c>
      <c r="AA21" s="2" t="str">
        <f>CLEAN(TRIM(Working_Sales[[#This Row],[Price per Unit]]))</f>
        <v>300</v>
      </c>
      <c r="AB21" s="2">
        <f>INT(
   SUBSTITUTE(Working_Sales[[#This Row],[Price_Per_Unit_Whitespace_Removed]],
   "$",
   ""
   )
)</f>
        <v>300</v>
      </c>
      <c r="AC21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21" s="8">
        <f>IFERROR(
   Working_Sales[[#This Row],[Price_Per_Unit_Decimal_Separator_Fixed]],
   Working_Sales[[#This Row],[Total_Amount_Converted_To_Integer]]/Working_Sales[[#This Row],[Quantity_Converted_To_Integer]]
)</f>
        <v>300</v>
      </c>
      <c r="AE21" t="s">
        <v>107</v>
      </c>
      <c r="AF21" s="2" t="str">
        <f>CLEAN(TRIM(Working_Sales[[#This Row],[Total Amount]]))</f>
        <v>600</v>
      </c>
      <c r="AG21" s="2">
        <f>INT(Working_Sales[[#This Row],[Total_Amount_Whitespace_Removed]])</f>
        <v>600</v>
      </c>
      <c r="AH2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600</v>
      </c>
    </row>
    <row r="22" spans="1:34" x14ac:dyDescent="0.35">
      <c r="A22" t="s">
        <v>108</v>
      </c>
      <c r="B22" s="6" t="str">
        <f>CLEAN(TRIM(Working_Sales[[#This Row],[Transaction ID]]))</f>
        <v>958</v>
      </c>
      <c r="C22" t="s">
        <v>2000</v>
      </c>
      <c r="D22" s="2" t="str">
        <f>CLEAN(TRIM(Working_Sales[[#This Row],[Date]]))</f>
        <v>02-Jun-2023</v>
      </c>
      <c r="E2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45079</v>
      </c>
      <c r="F2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45079</v>
      </c>
      <c r="G2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45079</v>
      </c>
      <c r="H22" t="s">
        <v>2312</v>
      </c>
      <c r="I22" s="2" t="str">
        <f>CLEAN(TRIM(Working_Sales[[#This Row],[Customer ID]]))</f>
        <v>CUST020</v>
      </c>
      <c r="J2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CUST020</v>
      </c>
      <c r="K2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CUST020</v>
      </c>
      <c r="L22" t="s">
        <v>20</v>
      </c>
      <c r="M22" s="4" t="str">
        <f>CLEAN(TRIM(Working_Sales[[#This Row],[Gender]]))</f>
        <v>male</v>
      </c>
      <c r="N22" s="4" t="str" cm="1">
        <f t="array" ref="N22">_xlfn.SWITCH(
   Working_Sales[[#This Row],[Gender_Whitespace_Removed]],
   "m", "Male",
   "f", "Female",
   Working_Sales[[#This Row],[Gender_Whitespace_Removed]]
)</f>
        <v>male</v>
      </c>
      <c r="O22" s="6" t="str">
        <f>PROPER(Working_Sales[[#This Row],[Gender_Abbreviation_Expanded]])</f>
        <v>Male</v>
      </c>
      <c r="P22">
        <v>62</v>
      </c>
      <c r="Q22" s="2" t="str">
        <f>CLEAN(TRIM(Working_Sales[[#This Row],[Age]]))</f>
        <v>62</v>
      </c>
      <c r="R22" s="6">
        <f>INT(SUBSTITUTE(Working_Sales[[#This Row],[Age_Whitespace_Removed]],".",","))</f>
        <v>62</v>
      </c>
      <c r="S22" t="s">
        <v>109</v>
      </c>
      <c r="T22" s="2" t="str">
        <f>CLEAN(TRIM(Working_Sales[[#This Row],[Product Category]]))</f>
        <v>Electronics</v>
      </c>
      <c r="U22" s="6" t="str">
        <f>PROPER(Working_Sales[[#This Row],[Product_Category_Whitespace_Removed]])</f>
        <v>Electronics</v>
      </c>
      <c r="V22" t="s">
        <v>37</v>
      </c>
      <c r="W22" s="2" t="str">
        <f>CLEAN(TRIM(Working_Sales[[#This Row],[Quantity]]))</f>
        <v>2</v>
      </c>
      <c r="X22" s="2">
        <f>INT(Working_Sales[[#This Row],[`]])</f>
        <v>2</v>
      </c>
      <c r="Y22" s="6">
        <f>IFERROR(
   Working_Sales[[#This Row],[Quantity_Converted_To_Integer]],
   Working_Sales[[#This Row],[Total_Amount_Whitespace_Removed]]/Working_Sales[[#This Row],[Price_Per_Unit_Decimal_Separator_Fixed]])</f>
        <v>2</v>
      </c>
      <c r="Z22" t="s">
        <v>30</v>
      </c>
      <c r="AA22" s="2" t="str">
        <f>CLEAN(TRIM(Working_Sales[[#This Row],[Price per Unit]]))</f>
        <v>25</v>
      </c>
      <c r="AB22" s="2">
        <f>INT(
   SUBSTITUTE(Working_Sales[[#This Row],[Price_Per_Unit_Whitespace_Removed]],
   "$",
   ""
   )
)</f>
        <v>25</v>
      </c>
      <c r="AC22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22" s="8">
        <f>IFERROR(
   Working_Sales[[#This Row],[Price_Per_Unit_Decimal_Separator_Fixed]],
   Working_Sales[[#This Row],[Total_Amount_Converted_To_Integer]]/Working_Sales[[#This Row],[Quantity_Converted_To_Integer]]
)</f>
        <v>25</v>
      </c>
      <c r="AE22" t="s">
        <v>15</v>
      </c>
      <c r="AF22" s="2" t="str">
        <f>CLEAN(TRIM(Working_Sales[[#This Row],[Total Amount]]))</f>
        <v>50</v>
      </c>
      <c r="AG22" s="2">
        <f>INT(Working_Sales[[#This Row],[Total_Amount_Whitespace_Removed]])</f>
        <v>50</v>
      </c>
      <c r="AH2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23" spans="1:34" x14ac:dyDescent="0.35">
      <c r="A23" t="s">
        <v>110</v>
      </c>
      <c r="B23" s="6" t="str">
        <f>CLEAN(TRIM(Working_Sales[[#This Row],[Transaction ID]]))</f>
        <v>791</v>
      </c>
      <c r="C23" t="s">
        <v>111</v>
      </c>
      <c r="D23" s="2" t="str">
        <f>CLEAN(TRIM(Working_Sales[[#This Row],[Date]]))</f>
        <v>December 05, 2023</v>
      </c>
      <c r="E23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23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2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45265</v>
      </c>
      <c r="H23" t="s">
        <v>2341</v>
      </c>
      <c r="I23" s="2" t="str">
        <f>CLEAN(TRIM(Working_Sales[[#This Row],[Customer ID]]))</f>
        <v>cust021</v>
      </c>
      <c r="J2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CUST021</v>
      </c>
      <c r="L23" t="s">
        <v>112</v>
      </c>
      <c r="M23" s="4" t="str">
        <f>CLEAN(TRIM(Working_Sales[[#This Row],[Gender]]))</f>
        <v>female</v>
      </c>
      <c r="N23" s="4" t="str" cm="1">
        <f t="array" ref="N23">_xlfn.SWITCH(
   Working_Sales[[#This Row],[Gender_Whitespace_Removed]],
   "m", "Male",
   "f", "Female",
   Working_Sales[[#This Row],[Gender_Whitespace_Removed]]
)</f>
        <v>female</v>
      </c>
      <c r="O23" s="6" t="str">
        <f>PROPER(Working_Sales[[#This Row],[Gender_Abbreviation_Expanded]])</f>
        <v>Female</v>
      </c>
      <c r="P23">
        <v>51</v>
      </c>
      <c r="Q23" s="2" t="str">
        <f>CLEAN(TRIM(Working_Sales[[#This Row],[Age]]))</f>
        <v>51</v>
      </c>
      <c r="R23" s="6">
        <f>INT(SUBSTITUTE(Working_Sales[[#This Row],[Age_Whitespace_Removed]],".",","))</f>
        <v>51</v>
      </c>
      <c r="S23" t="s">
        <v>36</v>
      </c>
      <c r="T23" s="2" t="str">
        <f>CLEAN(TRIM(Working_Sales[[#This Row],[Product Category]]))</f>
        <v>Beauty</v>
      </c>
      <c r="U23" s="6" t="str">
        <f>PROPER(Working_Sales[[#This Row],[Product_Category_Whitespace_Removed]])</f>
        <v>Beauty</v>
      </c>
      <c r="V23" t="s">
        <v>22</v>
      </c>
      <c r="W23" s="2" t="str">
        <f>CLEAN(TRIM(Working_Sales[[#This Row],[Quantity]]))</f>
        <v>1</v>
      </c>
      <c r="X23" s="2">
        <f>INT(Working_Sales[[#This Row],[`]])</f>
        <v>1</v>
      </c>
      <c r="Y23" s="6">
        <f>IFERROR(
   Working_Sales[[#This Row],[Quantity_Converted_To_Integer]],
   Working_Sales[[#This Row],[Total_Amount_Whitespace_Removed]]/Working_Sales[[#This Row],[Price_Per_Unit_Decimal_Separator_Fixed]])</f>
        <v>1</v>
      </c>
      <c r="Z23" t="s">
        <v>30</v>
      </c>
      <c r="AA23" s="2" t="str">
        <f>CLEAN(TRIM(Working_Sales[[#This Row],[Price per Unit]]))</f>
        <v>25</v>
      </c>
      <c r="AB23" s="2">
        <f>INT(
   SUBSTITUTE(Working_Sales[[#This Row],[Price_Per_Unit_Whitespace_Removed]],
   "$",
   ""
   )
)</f>
        <v>25</v>
      </c>
      <c r="AC23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23" s="8">
        <f>IFERROR(
   Working_Sales[[#This Row],[Price_Per_Unit_Decimal_Separator_Fixed]],
   Working_Sales[[#This Row],[Total_Amount_Converted_To_Integer]]/Working_Sales[[#This Row],[Quantity_Converted_To_Integer]]
)</f>
        <v>25</v>
      </c>
      <c r="AE23" t="s">
        <v>30</v>
      </c>
      <c r="AF23" s="2" t="str">
        <f>CLEAN(TRIM(Working_Sales[[#This Row],[Total Amount]]))</f>
        <v>25</v>
      </c>
      <c r="AG23" s="2">
        <f>INT(Working_Sales[[#This Row],[Total_Amount_Whitespace_Removed]])</f>
        <v>25</v>
      </c>
      <c r="AH2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24" spans="1:34" x14ac:dyDescent="0.35">
      <c r="A24" t="s">
        <v>114</v>
      </c>
      <c r="B24" s="6" t="str">
        <f>CLEAN(TRIM(Working_Sales[[#This Row],[Transaction ID]]))</f>
        <v>254</v>
      </c>
      <c r="C24" t="s">
        <v>115</v>
      </c>
      <c r="D24" s="2" t="str">
        <f>CLEAN(TRIM(Working_Sales[[#This Row],[Date]]))</f>
        <v>28/07/2023</v>
      </c>
      <c r="E2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45135</v>
      </c>
      <c r="F2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45135</v>
      </c>
      <c r="G2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45135</v>
      </c>
      <c r="H24" t="s">
        <v>2342</v>
      </c>
      <c r="I24" s="2" t="str">
        <f>CLEAN(TRIM(Working_Sales[[#This Row],[Customer ID]]))</f>
        <v>CUST022</v>
      </c>
      <c r="J2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CUST022</v>
      </c>
      <c r="K2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CUST022</v>
      </c>
      <c r="L24" t="s">
        <v>34</v>
      </c>
      <c r="M24" s="4" t="str">
        <f>CLEAN(TRIM(Working_Sales[[#This Row],[Gender]]))</f>
        <v>Male</v>
      </c>
      <c r="N24" s="4" t="str" cm="1">
        <f t="array" ref="N24">_xlfn.SWITCH(
   Working_Sales[[#This Row],[Gender_Whitespace_Removed]],
   "m", "Male",
   "f", "Female",
   Working_Sales[[#This Row],[Gender_Whitespace_Removed]]
)</f>
        <v>Male</v>
      </c>
      <c r="O24" s="6" t="str">
        <f>PROPER(Working_Sales[[#This Row],[Gender_Abbreviation_Expanded]])</f>
        <v>Male</v>
      </c>
      <c r="P24" t="s">
        <v>116</v>
      </c>
      <c r="Q24" s="2" t="str">
        <f>CLEAN(TRIM(Working_Sales[[#This Row],[Age]]))</f>
        <v>41.0</v>
      </c>
      <c r="R24" s="6">
        <f>INT(SUBSTITUTE(Working_Sales[[#This Row],[Age_Whitespace_Removed]],".",","))</f>
        <v>41</v>
      </c>
      <c r="S24" t="s">
        <v>117</v>
      </c>
      <c r="T24" s="2" t="str">
        <f>CLEAN(TRIM(Working_Sales[[#This Row],[Product Category]]))</f>
        <v>Electronics</v>
      </c>
      <c r="U24" s="6" t="str">
        <f>PROPER(Working_Sales[[#This Row],[Product_Category_Whitespace_Removed]])</f>
        <v>Electronics</v>
      </c>
      <c r="V24" t="s">
        <v>22</v>
      </c>
      <c r="W24" s="2" t="str">
        <f>CLEAN(TRIM(Working_Sales[[#This Row],[Quantity]]))</f>
        <v>1</v>
      </c>
      <c r="X24" s="2">
        <f>INT(Working_Sales[[#This Row],[`]])</f>
        <v>1</v>
      </c>
      <c r="Y24" s="6">
        <f>IFERROR(
   Working_Sales[[#This Row],[Quantity_Converted_To_Integer]],
   Working_Sales[[#This Row],[Total_Amount_Whitespace_Removed]]/Working_Sales[[#This Row],[Price_Per_Unit_Decimal_Separator_Fixed]])</f>
        <v>1</v>
      </c>
      <c r="Z24" t="s">
        <v>57</v>
      </c>
      <c r="AA24" s="2" t="str">
        <f>CLEAN(TRIM(Working_Sales[[#This Row],[Price per Unit]]))</f>
        <v>500</v>
      </c>
      <c r="AB24" s="2">
        <f>INT(
   SUBSTITUTE(Working_Sales[[#This Row],[Price_Per_Unit_Whitespace_Removed]],
   "$",
   ""
   )
)</f>
        <v>500</v>
      </c>
      <c r="AC24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24" s="8">
        <f>IFERROR(
   Working_Sales[[#This Row],[Price_Per_Unit_Decimal_Separator_Fixed]],
   Working_Sales[[#This Row],[Total_Amount_Converted_To_Integer]]/Working_Sales[[#This Row],[Quantity_Converted_To_Integer]]
)</f>
        <v>500</v>
      </c>
      <c r="AE24" t="s">
        <v>57</v>
      </c>
      <c r="AF24" s="2" t="str">
        <f>CLEAN(TRIM(Working_Sales[[#This Row],[Total Amount]]))</f>
        <v>500</v>
      </c>
      <c r="AG24" s="2">
        <f>INT(Working_Sales[[#This Row],[Total_Amount_Whitespace_Removed]])</f>
        <v>500</v>
      </c>
      <c r="AH2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25" spans="1:34" x14ac:dyDescent="0.35">
      <c r="A25" t="s">
        <v>118</v>
      </c>
      <c r="B25" s="6" t="str">
        <f>CLEAN(TRIM(Working_Sales[[#This Row],[Transaction ID]]))</f>
        <v>657</v>
      </c>
      <c r="C25" t="s">
        <v>119</v>
      </c>
      <c r="D25" s="2" t="str">
        <f>CLEAN(TRIM(Working_Sales[[#This Row],[Date]]))</f>
        <v>2023-02-11</v>
      </c>
      <c r="E2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44968</v>
      </c>
      <c r="F2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44968</v>
      </c>
      <c r="G2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44968</v>
      </c>
      <c r="H25" t="s">
        <v>2219</v>
      </c>
      <c r="I25" s="2" t="str">
        <f>CLEAN(TRIM(Working_Sales[[#This Row],[Customer ID]]))</f>
        <v>CUST023</v>
      </c>
      <c r="J2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CUST023</v>
      </c>
      <c r="K2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CUST023</v>
      </c>
      <c r="L25" t="s">
        <v>34</v>
      </c>
      <c r="M25" s="4" t="str">
        <f>CLEAN(TRIM(Working_Sales[[#This Row],[Gender]]))</f>
        <v>Male</v>
      </c>
      <c r="N25" s="4" t="str" cm="1">
        <f t="array" ref="N25">_xlfn.SWITCH(
   Working_Sales[[#This Row],[Gender_Whitespace_Removed]],
   "m", "Male",
   "f", "Female",
   Working_Sales[[#This Row],[Gender_Whitespace_Removed]]
)</f>
        <v>Male</v>
      </c>
      <c r="O25" s="6" t="str">
        <f>PROPER(Working_Sales[[#This Row],[Gender_Abbreviation_Expanded]])</f>
        <v>Male</v>
      </c>
      <c r="P25" t="s">
        <v>120</v>
      </c>
      <c r="Q25" s="2" t="str">
        <f>CLEAN(TRIM(Working_Sales[[#This Row],[Age]]))</f>
        <v>40.0</v>
      </c>
      <c r="R25" s="6">
        <f>INT(SUBSTITUTE(Working_Sales[[#This Row],[Age_Whitespace_Removed]],".",","))</f>
        <v>40</v>
      </c>
      <c r="S25" t="s">
        <v>56</v>
      </c>
      <c r="T25" s="2" t="str">
        <f>CLEAN(TRIM(Working_Sales[[#This Row],[Product Category]]))</f>
        <v>Clothing</v>
      </c>
      <c r="U25" s="6" t="str">
        <f>PROPER(Working_Sales[[#This Row],[Product_Category_Whitespace_Removed]])</f>
        <v>Clothing</v>
      </c>
      <c r="V25" t="s">
        <v>22</v>
      </c>
      <c r="W25" s="2" t="str">
        <f>CLEAN(TRIM(Working_Sales[[#This Row],[Quantity]]))</f>
        <v>1</v>
      </c>
      <c r="X25" s="2">
        <f>INT(Working_Sales[[#This Row],[`]])</f>
        <v>1</v>
      </c>
      <c r="Y25" s="6">
        <f>IFERROR(
   Working_Sales[[#This Row],[Quantity_Converted_To_Integer]],
   Working_Sales[[#This Row],[Total_Amount_Whitespace_Removed]]/Working_Sales[[#This Row],[Price_Per_Unit_Decimal_Separator_Fixed]])</f>
        <v>1</v>
      </c>
      <c r="Z25" t="s">
        <v>49</v>
      </c>
      <c r="AA25" s="2" t="str">
        <f>CLEAN(TRIM(Working_Sales[[#This Row],[Price per Unit]]))</f>
        <v>$25</v>
      </c>
      <c r="AB25" s="2">
        <f>INT(
   SUBSTITUTE(Working_Sales[[#This Row],[Price_Per_Unit_Whitespace_Removed]],
   "$",
   ""
   )
)</f>
        <v>25</v>
      </c>
      <c r="AC25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25" s="8">
        <f>IFERROR(
   Working_Sales[[#This Row],[Price_Per_Unit_Decimal_Separator_Fixed]],
   Working_Sales[[#This Row],[Total_Amount_Converted_To_Integer]]/Working_Sales[[#This Row],[Quantity_Converted_To_Integer]]
)</f>
        <v>25</v>
      </c>
      <c r="AE25" t="s">
        <v>30</v>
      </c>
      <c r="AF25" s="2" t="str">
        <f>CLEAN(TRIM(Working_Sales[[#This Row],[Total Amount]]))</f>
        <v>25</v>
      </c>
      <c r="AG25" s="2">
        <f>INT(Working_Sales[[#This Row],[Total_Amount_Whitespace_Removed]])</f>
        <v>25</v>
      </c>
      <c r="AH2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26" spans="1:34" x14ac:dyDescent="0.35">
      <c r="A26" t="s">
        <v>121</v>
      </c>
      <c r="B26" s="6" t="str">
        <f>CLEAN(TRIM(Working_Sales[[#This Row],[Transaction ID]]))</f>
        <v>803</v>
      </c>
      <c r="C26" t="s">
        <v>122</v>
      </c>
      <c r="D26" s="2" t="str">
        <f>CLEAN(TRIM(Working_Sales[[#This Row],[Date]]))</f>
        <v>22/11/2023</v>
      </c>
      <c r="E2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45252</v>
      </c>
      <c r="F2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45252</v>
      </c>
      <c r="G2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45252</v>
      </c>
      <c r="H26" t="s">
        <v>2343</v>
      </c>
      <c r="I26" s="2" t="str">
        <f>CLEAN(TRIM(Working_Sales[[#This Row],[Customer ID]]))</f>
        <v>Cust024</v>
      </c>
      <c r="J2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CUST024</v>
      </c>
      <c r="L26" t="s">
        <v>34</v>
      </c>
      <c r="M26" s="4" t="str">
        <f>CLEAN(TRIM(Working_Sales[[#This Row],[Gender]]))</f>
        <v>Male</v>
      </c>
      <c r="N26" s="4" t="str" cm="1">
        <f t="array" ref="N26">_xlfn.SWITCH(
   Working_Sales[[#This Row],[Gender_Whitespace_Removed]],
   "m", "Male",
   "f", "Female",
   Working_Sales[[#This Row],[Gender_Whitespace_Removed]]
)</f>
        <v>Male</v>
      </c>
      <c r="O26" s="6" t="str">
        <f>PROPER(Working_Sales[[#This Row],[Gender_Abbreviation_Expanded]])</f>
        <v>Male</v>
      </c>
      <c r="P26">
        <v>39</v>
      </c>
      <c r="Q26" s="2" t="str">
        <f>CLEAN(TRIM(Working_Sales[[#This Row],[Age]]))</f>
        <v>39</v>
      </c>
      <c r="R26" s="6">
        <f>INT(SUBSTITUTE(Working_Sales[[#This Row],[Age_Whitespace_Removed]],".",","))</f>
        <v>39</v>
      </c>
      <c r="S26" t="s">
        <v>124</v>
      </c>
      <c r="T26" s="2" t="str">
        <f>CLEAN(TRIM(Working_Sales[[#This Row],[Product Category]]))</f>
        <v>Clothing</v>
      </c>
      <c r="U26" s="6" t="str">
        <f>PROPER(Working_Sales[[#This Row],[Product_Category_Whitespace_Removed]])</f>
        <v>Clothing</v>
      </c>
      <c r="V26" t="s">
        <v>14</v>
      </c>
      <c r="W26" s="2" t="str">
        <f>CLEAN(TRIM(Working_Sales[[#This Row],[Quantity]]))</f>
        <v>4</v>
      </c>
      <c r="X26" s="2">
        <f>INT(Working_Sales[[#This Row],[`]])</f>
        <v>4</v>
      </c>
      <c r="Y26" s="6">
        <f>IFERROR(
   Working_Sales[[#This Row],[Quantity_Converted_To_Integer]],
   Working_Sales[[#This Row],[Total_Amount_Whitespace_Removed]]/Working_Sales[[#This Row],[Price_Per_Unit_Decimal_Separator_Fixed]])</f>
        <v>4</v>
      </c>
      <c r="Z26" t="s">
        <v>30</v>
      </c>
      <c r="AA26" s="2" t="str">
        <f>CLEAN(TRIM(Working_Sales[[#This Row],[Price per Unit]]))</f>
        <v>25</v>
      </c>
      <c r="AB26" s="2">
        <f>INT(
   SUBSTITUTE(Working_Sales[[#This Row],[Price_Per_Unit_Whitespace_Removed]],
   "$",
   ""
   )
)</f>
        <v>25</v>
      </c>
      <c r="AC26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26" s="8">
        <f>IFERROR(
   Working_Sales[[#This Row],[Price_Per_Unit_Decimal_Separator_Fixed]],
   Working_Sales[[#This Row],[Total_Amount_Converted_To_Integer]]/Working_Sales[[#This Row],[Quantity_Converted_To_Integer]]
)</f>
        <v>25</v>
      </c>
      <c r="AE26" t="s">
        <v>38</v>
      </c>
      <c r="AF26" s="2" t="str">
        <f>CLEAN(TRIM(Working_Sales[[#This Row],[Total Amount]]))</f>
        <v>100</v>
      </c>
      <c r="AG26" s="2">
        <f>INT(Working_Sales[[#This Row],[Total_Amount_Whitespace_Removed]])</f>
        <v>100</v>
      </c>
      <c r="AH2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27" spans="1:34" x14ac:dyDescent="0.35">
      <c r="A27" t="s">
        <v>30</v>
      </c>
      <c r="B27" s="6" t="str">
        <f>CLEAN(TRIM(Working_Sales[[#This Row],[Transaction ID]]))</f>
        <v>25</v>
      </c>
      <c r="C27" t="s">
        <v>125</v>
      </c>
      <c r="D27" s="2" t="str">
        <f>CLEAN(TRIM(Working_Sales[[#This Row],[Date]]))</f>
        <v>December 26, 2023</v>
      </c>
      <c r="E27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27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2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45286</v>
      </c>
      <c r="H27" t="s">
        <v>126</v>
      </c>
      <c r="I27" s="2" t="str">
        <f>CLEAN(TRIM(Working_Sales[[#This Row],[Customer ID]]))</f>
        <v>CUST025</v>
      </c>
      <c r="J2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CUST025</v>
      </c>
      <c r="K2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CUST025</v>
      </c>
      <c r="L27" t="s">
        <v>26</v>
      </c>
      <c r="M27" s="4" t="str">
        <f>CLEAN(TRIM(Working_Sales[[#This Row],[Gender]]))</f>
        <v>Female</v>
      </c>
      <c r="N27" s="4" t="str" cm="1">
        <f t="array" ref="N27">_xlfn.SWITCH(
   Working_Sales[[#This Row],[Gender_Whitespace_Removed]],
   "m", "Male",
   "f", "Female",
   Working_Sales[[#This Row],[Gender_Whitespace_Removed]]
)</f>
        <v>Female</v>
      </c>
      <c r="O27" s="6" t="str">
        <f>PROPER(Working_Sales[[#This Row],[Gender_Abbreviation_Expanded]])</f>
        <v>Female</v>
      </c>
      <c r="P27">
        <v>64</v>
      </c>
      <c r="Q27" s="2" t="str">
        <f>CLEAN(TRIM(Working_Sales[[#This Row],[Age]]))</f>
        <v>64</v>
      </c>
      <c r="R27" s="6">
        <f>INT(SUBSTITUTE(Working_Sales[[#This Row],[Age_Whitespace_Removed]],".",","))</f>
        <v>64</v>
      </c>
      <c r="S27" t="s">
        <v>69</v>
      </c>
      <c r="T27" s="2" t="str">
        <f>CLEAN(TRIM(Working_Sales[[#This Row],[Product Category]]))</f>
        <v>BEAUTY</v>
      </c>
      <c r="U27" s="6" t="str">
        <f>PROPER(Working_Sales[[#This Row],[Product_Category_Whitespace_Removed]])</f>
        <v>Beauty</v>
      </c>
      <c r="V27" t="s">
        <v>22</v>
      </c>
      <c r="W27" s="2" t="str">
        <f>CLEAN(TRIM(Working_Sales[[#This Row],[Quantity]]))</f>
        <v>1</v>
      </c>
      <c r="X27" s="2">
        <f>INT(Working_Sales[[#This Row],[`]])</f>
        <v>1</v>
      </c>
      <c r="Y27" s="6">
        <f>IFERROR(
   Working_Sales[[#This Row],[Quantity_Converted_To_Integer]],
   Working_Sales[[#This Row],[Total_Amount_Whitespace_Removed]]/Working_Sales[[#This Row],[Price_Per_Unit_Decimal_Separator_Fixed]])</f>
        <v>1</v>
      </c>
      <c r="Z27" t="s">
        <v>15</v>
      </c>
      <c r="AA27" s="2" t="str">
        <f>CLEAN(TRIM(Working_Sales[[#This Row],[Price per Unit]]))</f>
        <v>50</v>
      </c>
      <c r="AB27" s="2">
        <f>INT(
   SUBSTITUTE(Working_Sales[[#This Row],[Price_Per_Unit_Whitespace_Removed]],
   "$",
   ""
   )
)</f>
        <v>50</v>
      </c>
      <c r="AC27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27" s="8">
        <f>IFERROR(
   Working_Sales[[#This Row],[Price_Per_Unit_Decimal_Separator_Fixed]],
   Working_Sales[[#This Row],[Total_Amount_Converted_To_Integer]]/Working_Sales[[#This Row],[Quantity_Converted_To_Integer]]
)</f>
        <v>50</v>
      </c>
      <c r="AE27" t="s">
        <v>15</v>
      </c>
      <c r="AF27" s="2" t="str">
        <f>CLEAN(TRIM(Working_Sales[[#This Row],[Total Amount]]))</f>
        <v>50</v>
      </c>
      <c r="AG27" s="2">
        <f>INT(Working_Sales[[#This Row],[Total_Amount_Whitespace_Removed]])</f>
        <v>50</v>
      </c>
      <c r="AH2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28" spans="1:34" x14ac:dyDescent="0.35">
      <c r="A28" t="s">
        <v>127</v>
      </c>
      <c r="B28" s="6" t="str">
        <f>CLEAN(TRIM(Working_Sales[[#This Row],[Transaction ID]]))</f>
        <v>923</v>
      </c>
      <c r="C28" t="s">
        <v>1070</v>
      </c>
      <c r="D28" s="2" t="str">
        <f>CLEAN(TRIM(Working_Sales[[#This Row],[Date]]))</f>
        <v>26/05/2023</v>
      </c>
      <c r="E2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45072</v>
      </c>
      <c r="F2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45072</v>
      </c>
      <c r="G2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45072</v>
      </c>
      <c r="H28" t="s">
        <v>161</v>
      </c>
      <c r="I28" s="2" t="str">
        <f>CLEAN(TRIM(Working_Sales[[#This Row],[Customer ID]]))</f>
        <v>CUST026</v>
      </c>
      <c r="J2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CUST026</v>
      </c>
      <c r="K2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CUST026</v>
      </c>
      <c r="L28" t="s">
        <v>34</v>
      </c>
      <c r="M28" s="4" t="str">
        <f>CLEAN(TRIM(Working_Sales[[#This Row],[Gender]]))</f>
        <v>Male</v>
      </c>
      <c r="N28" s="4" t="str" cm="1">
        <f t="array" ref="N28">_xlfn.SWITCH(
   Working_Sales[[#This Row],[Gender_Whitespace_Removed]],
   "m", "Male",
   "f", "Female",
   Working_Sales[[#This Row],[Gender_Whitespace_Removed]]
)</f>
        <v>Male</v>
      </c>
      <c r="O28" s="6" t="str">
        <f>PROPER(Working_Sales[[#This Row],[Gender_Abbreviation_Expanded]])</f>
        <v>Male</v>
      </c>
      <c r="P28">
        <v>32</v>
      </c>
      <c r="Q28" s="2" t="str">
        <f>CLEAN(TRIM(Working_Sales[[#This Row],[Age]]))</f>
        <v>32</v>
      </c>
      <c r="R28" s="6">
        <f>INT(SUBSTITUTE(Working_Sales[[#This Row],[Age_Whitespace_Removed]],".",","))</f>
        <v>32</v>
      </c>
      <c r="S28" t="s">
        <v>42</v>
      </c>
      <c r="T28" s="2" t="str">
        <f>CLEAN(TRIM(Working_Sales[[#This Row],[Product Category]]))</f>
        <v>Beauty</v>
      </c>
      <c r="U28" s="6" t="str">
        <f>PROPER(Working_Sales[[#This Row],[Product_Category_Whitespace_Removed]])</f>
        <v>Beauty</v>
      </c>
      <c r="W28" s="2" t="str">
        <f>CLEAN(TRIM(Working_Sales[[#This Row],[Quantity]]))</f>
        <v/>
      </c>
      <c r="X28" s="2" t="e">
        <f>INT(Working_Sales[[#This Row],[`]])</f>
        <v>#VALUE!</v>
      </c>
      <c r="Y28" s="6">
        <f>IFERROR(
   Working_Sales[[#This Row],[Quantity_Converted_To_Integer]],
   Working_Sales[[#This Row],[Total_Amount_Whitespace_Removed]]/Working_Sales[[#This Row],[Price_Per_Unit_Decimal_Separator_Fixed]])</f>
        <v>3</v>
      </c>
      <c r="Z28" t="s">
        <v>23</v>
      </c>
      <c r="AA28" s="2" t="str">
        <f>CLEAN(TRIM(Working_Sales[[#This Row],[Price per Unit]]))</f>
        <v>300</v>
      </c>
      <c r="AB28" s="2">
        <f>INT(
   SUBSTITUTE(Working_Sales[[#This Row],[Price_Per_Unit_Whitespace_Removed]],
   "$",
   ""
   )
)</f>
        <v>300</v>
      </c>
      <c r="AC28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28" s="8">
        <f>IFERROR(
   Working_Sales[[#This Row],[Price_Per_Unit_Decimal_Separator_Fixed]],
   Working_Sales[[#This Row],[Total_Amount_Converted_To_Integer]]/Working_Sales[[#This Row],[Quantity_Converted_To_Integer]]
)</f>
        <v>300</v>
      </c>
      <c r="AE28" t="s">
        <v>128</v>
      </c>
      <c r="AF28" s="2" t="str">
        <f>CLEAN(TRIM(Working_Sales[[#This Row],[Total Amount]]))</f>
        <v>900</v>
      </c>
      <c r="AG28" s="2">
        <f>INT(Working_Sales[[#This Row],[Total_Amount_Whitespace_Removed]])</f>
        <v>900</v>
      </c>
      <c r="AH2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29" spans="1:34" x14ac:dyDescent="0.35">
      <c r="A29" t="s">
        <v>129</v>
      </c>
      <c r="B29" s="6" t="str">
        <f>CLEAN(TRIM(Working_Sales[[#This Row],[Transaction ID]]))</f>
        <v>554</v>
      </c>
      <c r="C29" t="s">
        <v>2001</v>
      </c>
      <c r="D29" s="2" t="str">
        <f>CLEAN(TRIM(Working_Sales[[#This Row],[Date]]))</f>
        <v>November 12, 2023</v>
      </c>
      <c r="E29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29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2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45242</v>
      </c>
      <c r="H29" t="s">
        <v>346</v>
      </c>
      <c r="I29" s="2" t="str">
        <f>CLEAN(TRIM(Working_Sales[[#This Row],[Customer ID]]))</f>
        <v>CUST027</v>
      </c>
      <c r="J2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CUST027</v>
      </c>
      <c r="K2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CUST027</v>
      </c>
      <c r="L29" t="s">
        <v>26</v>
      </c>
      <c r="M29" s="4" t="str">
        <f>CLEAN(TRIM(Working_Sales[[#This Row],[Gender]]))</f>
        <v>Female</v>
      </c>
      <c r="N29" s="4" t="str" cm="1">
        <f t="array" ref="N29">_xlfn.SWITCH(
   Working_Sales[[#This Row],[Gender_Whitespace_Removed]],
   "m", "Male",
   "f", "Female",
   Working_Sales[[#This Row],[Gender_Whitespace_Removed]]
)</f>
        <v>Female</v>
      </c>
      <c r="O29" s="6" t="str">
        <f>PROPER(Working_Sales[[#This Row],[Gender_Abbreviation_Expanded]])</f>
        <v>Female</v>
      </c>
      <c r="P29">
        <v>46</v>
      </c>
      <c r="Q29" s="2" t="str">
        <f>CLEAN(TRIM(Working_Sales[[#This Row],[Age]]))</f>
        <v>46</v>
      </c>
      <c r="R29" s="6">
        <f>INT(SUBSTITUTE(Working_Sales[[#This Row],[Age_Whitespace_Removed]],".",","))</f>
        <v>46</v>
      </c>
      <c r="S29" t="s">
        <v>62</v>
      </c>
      <c r="T29" s="2" t="str">
        <f>CLEAN(TRIM(Working_Sales[[#This Row],[Product Category]]))</f>
        <v>beauty</v>
      </c>
      <c r="U29" s="6" t="str">
        <f>PROPER(Working_Sales[[#This Row],[Product_Category_Whitespace_Removed]])</f>
        <v>Beauty</v>
      </c>
      <c r="V29" t="s">
        <v>29</v>
      </c>
      <c r="W29" s="2" t="str">
        <f>CLEAN(TRIM(Working_Sales[[#This Row],[Quantity]]))</f>
        <v>3</v>
      </c>
      <c r="X29" s="2">
        <f>INT(Working_Sales[[#This Row],[`]])</f>
        <v>3</v>
      </c>
      <c r="Y29" s="6">
        <f>IFERROR(
   Working_Sales[[#This Row],[Quantity_Converted_To_Integer]],
   Working_Sales[[#This Row],[Total_Amount_Whitespace_Removed]]/Working_Sales[[#This Row],[Price_Per_Unit_Decimal_Separator_Fixed]])</f>
        <v>3</v>
      </c>
      <c r="Z29" t="s">
        <v>15</v>
      </c>
      <c r="AA29" s="2" t="str">
        <f>CLEAN(TRIM(Working_Sales[[#This Row],[Price per Unit]]))</f>
        <v>50</v>
      </c>
      <c r="AB29" s="2">
        <f>INT(
   SUBSTITUTE(Working_Sales[[#This Row],[Price_Per_Unit_Whitespace_Removed]],
   "$",
   ""
   )
)</f>
        <v>50</v>
      </c>
      <c r="AC29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29" s="8">
        <f>IFERROR(
   Working_Sales[[#This Row],[Price_Per_Unit_Decimal_Separator_Fixed]],
   Working_Sales[[#This Row],[Total_Amount_Converted_To_Integer]]/Working_Sales[[#This Row],[Quantity_Converted_To_Integer]]
)</f>
        <v>50</v>
      </c>
      <c r="AE29" t="s">
        <v>130</v>
      </c>
      <c r="AF29" s="2" t="str">
        <f>CLEAN(TRIM(Working_Sales[[#This Row],[Total Amount]]))</f>
        <v>150</v>
      </c>
      <c r="AG29" s="2">
        <f>INT(Working_Sales[[#This Row],[Total_Amount_Whitespace_Removed]])</f>
        <v>150</v>
      </c>
      <c r="AH2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30" spans="1:34" x14ac:dyDescent="0.35">
      <c r="A30" t="s">
        <v>131</v>
      </c>
      <c r="B30" s="6" t="str">
        <f>CLEAN(TRIM(Working_Sales[[#This Row],[Transaction ID]]))</f>
        <v>309</v>
      </c>
      <c r="C30" t="s">
        <v>245</v>
      </c>
      <c r="D30" s="2" t="str">
        <f>CLEAN(TRIM(Working_Sales[[#This Row],[Date]]))</f>
        <v>12/23/2023</v>
      </c>
      <c r="E30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3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45283</v>
      </c>
      <c r="G3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45283</v>
      </c>
      <c r="H30" t="s">
        <v>2344</v>
      </c>
      <c r="I30" s="2" t="str">
        <f>CLEAN(TRIM(Working_Sales[[#This Row],[Customer ID]]))</f>
        <v>CUST028</v>
      </c>
      <c r="J3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CUST028</v>
      </c>
      <c r="K3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CUST028</v>
      </c>
      <c r="L30" t="s">
        <v>26</v>
      </c>
      <c r="M30" s="4" t="str">
        <f>CLEAN(TRIM(Working_Sales[[#This Row],[Gender]]))</f>
        <v>Female</v>
      </c>
      <c r="N30" s="4" t="str" cm="1">
        <f t="array" ref="N30">_xlfn.SWITCH(
   Working_Sales[[#This Row],[Gender_Whitespace_Removed]],
   "m", "Male",
   "f", "Female",
   Working_Sales[[#This Row],[Gender_Whitespace_Removed]]
)</f>
        <v>Female</v>
      </c>
      <c r="O30" s="6" t="str">
        <f>PROPER(Working_Sales[[#This Row],[Gender_Abbreviation_Expanded]])</f>
        <v>Female</v>
      </c>
      <c r="P30">
        <v>26</v>
      </c>
      <c r="Q30" s="2" t="str">
        <f>CLEAN(TRIM(Working_Sales[[#This Row],[Age]]))</f>
        <v>26</v>
      </c>
      <c r="R30" s="6">
        <f>INT(SUBSTITUTE(Working_Sales[[#This Row],[Age_Whitespace_Removed]],".",","))</f>
        <v>26</v>
      </c>
      <c r="S30" t="s">
        <v>36</v>
      </c>
      <c r="T30" s="2" t="str">
        <f>CLEAN(TRIM(Working_Sales[[#This Row],[Product Category]]))</f>
        <v>Beauty</v>
      </c>
      <c r="U30" s="6" t="str">
        <f>PROPER(Working_Sales[[#This Row],[Product_Category_Whitespace_Removed]])</f>
        <v>Beauty</v>
      </c>
      <c r="V30" t="s">
        <v>22</v>
      </c>
      <c r="W30" s="2" t="str">
        <f>CLEAN(TRIM(Working_Sales[[#This Row],[Quantity]]))</f>
        <v>1</v>
      </c>
      <c r="X30" s="2">
        <f>INT(Working_Sales[[#This Row],[`]])</f>
        <v>1</v>
      </c>
      <c r="Y30" s="6">
        <f>IFERROR(
   Working_Sales[[#This Row],[Quantity_Converted_To_Integer]],
   Working_Sales[[#This Row],[Total_Amount_Whitespace_Removed]]/Working_Sales[[#This Row],[Price_Per_Unit_Decimal_Separator_Fixed]])</f>
        <v>1</v>
      </c>
      <c r="Z30" t="s">
        <v>30</v>
      </c>
      <c r="AA30" s="2" t="str">
        <f>CLEAN(TRIM(Working_Sales[[#This Row],[Price per Unit]]))</f>
        <v>25</v>
      </c>
      <c r="AB30" s="2">
        <f>INT(
   SUBSTITUTE(Working_Sales[[#This Row],[Price_Per_Unit_Whitespace_Removed]],
   "$",
   ""
   )
)</f>
        <v>25</v>
      </c>
      <c r="AC30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30" s="8">
        <f>IFERROR(
   Working_Sales[[#This Row],[Price_Per_Unit_Decimal_Separator_Fixed]],
   Working_Sales[[#This Row],[Total_Amount_Converted_To_Integer]]/Working_Sales[[#This Row],[Quantity_Converted_To_Integer]]
)</f>
        <v>25</v>
      </c>
      <c r="AE30" t="s">
        <v>30</v>
      </c>
      <c r="AF30" s="2" t="str">
        <f>CLEAN(TRIM(Working_Sales[[#This Row],[Total Amount]]))</f>
        <v>25</v>
      </c>
      <c r="AG30" s="2">
        <f>INT(Working_Sales[[#This Row],[Total_Amount_Whitespace_Removed]])</f>
        <v>25</v>
      </c>
      <c r="AH3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31" spans="1:34" x14ac:dyDescent="0.35">
      <c r="A31" t="s">
        <v>135</v>
      </c>
      <c r="B31" s="6" t="str">
        <f>CLEAN(TRIM(Working_Sales[[#This Row],[Transaction ID]]))</f>
        <v>10</v>
      </c>
      <c r="C31" t="s">
        <v>136</v>
      </c>
      <c r="D31" s="2" t="str">
        <f>CLEAN(TRIM(Working_Sales[[#This Row],[Date]]))</f>
        <v>2023-10-07</v>
      </c>
      <c r="E3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45206</v>
      </c>
      <c r="F3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45206</v>
      </c>
      <c r="G3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45206</v>
      </c>
      <c r="H31" t="s">
        <v>2345</v>
      </c>
      <c r="I31" s="2" t="str">
        <f>CLEAN(TRIM(Working_Sales[[#This Row],[Customer ID]]))</f>
        <v>CUST029</v>
      </c>
      <c r="J3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CUST029</v>
      </c>
      <c r="L31" t="s">
        <v>26</v>
      </c>
      <c r="M31" s="4" t="str">
        <f>CLEAN(TRIM(Working_Sales[[#This Row],[Gender]]))</f>
        <v>Female</v>
      </c>
      <c r="N31" s="4" t="str" cm="1">
        <f t="array" ref="N31">_xlfn.SWITCH(
   Working_Sales[[#This Row],[Gender_Whitespace_Removed]],
   "m", "Male",
   "f", "Female",
   Working_Sales[[#This Row],[Gender_Whitespace_Removed]]
)</f>
        <v>Female</v>
      </c>
      <c r="O31" s="6" t="str">
        <f>PROPER(Working_Sales[[#This Row],[Gender_Abbreviation_Expanded]])</f>
        <v>Female</v>
      </c>
      <c r="P31">
        <v>52</v>
      </c>
      <c r="Q31" s="2" t="str">
        <f>CLEAN(TRIM(Working_Sales[[#This Row],[Age]]))</f>
        <v>52</v>
      </c>
      <c r="R31" s="6">
        <f>INT(SUBSTITUTE(Working_Sales[[#This Row],[Age_Whitespace_Removed]],".",","))</f>
        <v>52</v>
      </c>
      <c r="S31" t="s">
        <v>89</v>
      </c>
      <c r="T31" s="2" t="str">
        <f>CLEAN(TRIM(Working_Sales[[#This Row],[Product Category]]))</f>
        <v>CLOTHING</v>
      </c>
      <c r="U31" s="6" t="str">
        <f>PROPER(Working_Sales[[#This Row],[Product_Category_Whitespace_Removed]])</f>
        <v>Clothing</v>
      </c>
      <c r="V31" t="s">
        <v>14</v>
      </c>
      <c r="W31" s="2" t="str">
        <f>CLEAN(TRIM(Working_Sales[[#This Row],[Quantity]]))</f>
        <v>4</v>
      </c>
      <c r="X31" s="2">
        <f>INT(Working_Sales[[#This Row],[`]])</f>
        <v>4</v>
      </c>
      <c r="Y31" s="6">
        <f>IFERROR(
   Working_Sales[[#This Row],[Quantity_Converted_To_Integer]],
   Working_Sales[[#This Row],[Total_Amount_Whitespace_Removed]]/Working_Sales[[#This Row],[Price_Per_Unit_Decimal_Separator_Fixed]])</f>
        <v>4</v>
      </c>
      <c r="Z31" t="s">
        <v>96</v>
      </c>
      <c r="AA31" s="2" t="str">
        <f>CLEAN(TRIM(Working_Sales[[#This Row],[Price per Unit]]))</f>
        <v>$50</v>
      </c>
      <c r="AB31" s="2">
        <f>INT(
   SUBSTITUTE(Working_Sales[[#This Row],[Price_Per_Unit_Whitespace_Removed]],
   "$",
   ""
   )
)</f>
        <v>50</v>
      </c>
      <c r="AC31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31" s="8">
        <f>IFERROR(
   Working_Sales[[#This Row],[Price_Per_Unit_Decimal_Separator_Fixed]],
   Working_Sales[[#This Row],[Total_Amount_Converted_To_Integer]]/Working_Sales[[#This Row],[Quantity_Converted_To_Integer]]
)</f>
        <v>50</v>
      </c>
      <c r="AE31" t="s">
        <v>16</v>
      </c>
      <c r="AF31" s="2" t="str">
        <f>CLEAN(TRIM(Working_Sales[[#This Row],[Total Amount]]))</f>
        <v>200</v>
      </c>
      <c r="AG31" s="2">
        <f>INT(Working_Sales[[#This Row],[Total_Amount_Whitespace_Removed]])</f>
        <v>200</v>
      </c>
      <c r="AH3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32" spans="1:34" x14ac:dyDescent="0.35">
      <c r="A32" t="s">
        <v>138</v>
      </c>
      <c r="B32" s="6" t="str">
        <f>CLEAN(TRIM(Working_Sales[[#This Row],[Transaction ID]]))</f>
        <v>504</v>
      </c>
      <c r="C32" t="s">
        <v>139</v>
      </c>
      <c r="D32" s="2" t="str">
        <f>CLEAN(TRIM(Working_Sales[[#This Row],[Date]]))</f>
        <v>16/05/2023</v>
      </c>
      <c r="E3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45062</v>
      </c>
      <c r="F3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45062</v>
      </c>
      <c r="G3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45062</v>
      </c>
      <c r="H32" t="s">
        <v>2346</v>
      </c>
      <c r="I32" s="2" t="str">
        <f>CLEAN(TRIM(Working_Sales[[#This Row],[Customer ID]]))</f>
        <v>CUST030</v>
      </c>
      <c r="J3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CUST030</v>
      </c>
      <c r="K3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CUST030</v>
      </c>
      <c r="L32" t="s">
        <v>140</v>
      </c>
      <c r="M32" s="4" t="str">
        <f>CLEAN(TRIM(Working_Sales[[#This Row],[Gender]]))</f>
        <v>FEMALE</v>
      </c>
      <c r="N32" s="4" t="str" cm="1">
        <f t="array" ref="N32">_xlfn.SWITCH(
   Working_Sales[[#This Row],[Gender_Whitespace_Removed]],
   "m", "Male",
   "f", "Female",
   Working_Sales[[#This Row],[Gender_Whitespace_Removed]]
)</f>
        <v>FEMALE</v>
      </c>
      <c r="O32" s="6" t="str">
        <f>PROPER(Working_Sales[[#This Row],[Gender_Abbreviation_Expanded]])</f>
        <v>Female</v>
      </c>
      <c r="P32">
        <v>38</v>
      </c>
      <c r="Q32" s="2" t="str">
        <f>CLEAN(TRIM(Working_Sales[[#This Row],[Age]]))</f>
        <v>38</v>
      </c>
      <c r="R32" s="6">
        <f>INT(SUBSTITUTE(Working_Sales[[#This Row],[Age_Whitespace_Removed]],".",","))</f>
        <v>38</v>
      </c>
      <c r="S32" t="s">
        <v>36</v>
      </c>
      <c r="T32" s="2" t="str">
        <f>CLEAN(TRIM(Working_Sales[[#This Row],[Product Category]]))</f>
        <v>Beauty</v>
      </c>
      <c r="U32" s="6" t="str">
        <f>PROPER(Working_Sales[[#This Row],[Product_Category_Whitespace_Removed]])</f>
        <v>Beauty</v>
      </c>
      <c r="V32" t="s">
        <v>29</v>
      </c>
      <c r="W32" s="2" t="str">
        <f>CLEAN(TRIM(Working_Sales[[#This Row],[Quantity]]))</f>
        <v>3</v>
      </c>
      <c r="X32" s="2">
        <f>INT(Working_Sales[[#This Row],[`]])</f>
        <v>3</v>
      </c>
      <c r="Y32" s="6">
        <f>IFERROR(
   Working_Sales[[#This Row],[Quantity_Converted_To_Integer]],
   Working_Sales[[#This Row],[Total_Amount_Whitespace_Removed]]/Working_Sales[[#This Row],[Price_Per_Unit_Decimal_Separator_Fixed]])</f>
        <v>3</v>
      </c>
      <c r="Z32" t="s">
        <v>15</v>
      </c>
      <c r="AA32" s="2" t="str">
        <f>CLEAN(TRIM(Working_Sales[[#This Row],[Price per Unit]]))</f>
        <v>50</v>
      </c>
      <c r="AB32" s="2">
        <f>INT(
   SUBSTITUTE(Working_Sales[[#This Row],[Price_Per_Unit_Whitespace_Removed]],
   "$",
   ""
   )
)</f>
        <v>50</v>
      </c>
      <c r="AC32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32" s="8">
        <f>IFERROR(
   Working_Sales[[#This Row],[Price_Per_Unit_Decimal_Separator_Fixed]],
   Working_Sales[[#This Row],[Total_Amount_Converted_To_Integer]]/Working_Sales[[#This Row],[Quantity_Converted_To_Integer]]
)</f>
        <v>50</v>
      </c>
      <c r="AE32" t="s">
        <v>130</v>
      </c>
      <c r="AF32" s="2" t="str">
        <f>CLEAN(TRIM(Working_Sales[[#This Row],[Total Amount]]))</f>
        <v>150</v>
      </c>
      <c r="AG32" s="2">
        <f>INT(Working_Sales[[#This Row],[Total_Amount_Whitespace_Removed]])</f>
        <v>150</v>
      </c>
      <c r="AH3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33" spans="1:34" x14ac:dyDescent="0.35">
      <c r="A33" t="s">
        <v>142</v>
      </c>
      <c r="B33" s="6" t="str">
        <f>CLEAN(TRIM(Working_Sales[[#This Row],[Transaction ID]]))</f>
        <v>568</v>
      </c>
      <c r="C33" t="s">
        <v>143</v>
      </c>
      <c r="D33" s="2" t="str">
        <f>CLEAN(TRIM(Working_Sales[[#This Row],[Date]]))</f>
        <v>August 27, 2023</v>
      </c>
      <c r="E33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33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3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45165</v>
      </c>
      <c r="H33" t="s">
        <v>2347</v>
      </c>
      <c r="I33" s="2" t="str">
        <f>CLEAN(TRIM(Working_Sales[[#This Row],[Customer ID]]))</f>
        <v>Cust031</v>
      </c>
      <c r="J3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CUST031</v>
      </c>
      <c r="L33" t="s">
        <v>140</v>
      </c>
      <c r="M33" s="4" t="str">
        <f>CLEAN(TRIM(Working_Sales[[#This Row],[Gender]]))</f>
        <v>FEMALE</v>
      </c>
      <c r="N33" s="4" t="str" cm="1">
        <f t="array" ref="N33">_xlfn.SWITCH(
   Working_Sales[[#This Row],[Gender_Whitespace_Removed]],
   "m", "Male",
   "f", "Female",
   Working_Sales[[#This Row],[Gender_Whitespace_Removed]]
)</f>
        <v>FEMALE</v>
      </c>
      <c r="O33" s="6" t="str">
        <f>PROPER(Working_Sales[[#This Row],[Gender_Abbreviation_Expanded]])</f>
        <v>Female</v>
      </c>
      <c r="P33">
        <v>51</v>
      </c>
      <c r="Q33" s="2" t="str">
        <f>CLEAN(TRIM(Working_Sales[[#This Row],[Age]]))</f>
        <v>51</v>
      </c>
      <c r="R33" s="6">
        <f>INT(SUBSTITUTE(Working_Sales[[#This Row],[Age_Whitespace_Removed]],".",","))</f>
        <v>51</v>
      </c>
      <c r="S33" t="s">
        <v>13</v>
      </c>
      <c r="T33" s="2" t="str">
        <f>CLEAN(TRIM(Working_Sales[[#This Row],[Product Category]]))</f>
        <v>Electronics</v>
      </c>
      <c r="U33" s="6" t="str">
        <f>PROPER(Working_Sales[[#This Row],[Product_Category_Whitespace_Removed]])</f>
        <v>Electronics</v>
      </c>
      <c r="V33" t="s">
        <v>22</v>
      </c>
      <c r="W33" s="2" t="str">
        <f>CLEAN(TRIM(Working_Sales[[#This Row],[Quantity]]))</f>
        <v>1</v>
      </c>
      <c r="X33" s="2">
        <f>INT(Working_Sales[[#This Row],[`]])</f>
        <v>1</v>
      </c>
      <c r="Y33" s="6">
        <f>IFERROR(
   Working_Sales[[#This Row],[Quantity_Converted_To_Integer]],
   Working_Sales[[#This Row],[Total_Amount_Whitespace_Removed]]/Working_Sales[[#This Row],[Price_Per_Unit_Decimal_Separator_Fixed]])</f>
        <v>1</v>
      </c>
      <c r="Z33" t="s">
        <v>23</v>
      </c>
      <c r="AA33" s="2" t="str">
        <f>CLEAN(TRIM(Working_Sales[[#This Row],[Price per Unit]]))</f>
        <v>300</v>
      </c>
      <c r="AB33" s="2">
        <f>INT(
   SUBSTITUTE(Working_Sales[[#This Row],[Price_Per_Unit_Whitespace_Removed]],
   "$",
   ""
   )
)</f>
        <v>300</v>
      </c>
      <c r="AC33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33" s="8">
        <f>IFERROR(
   Working_Sales[[#This Row],[Price_Per_Unit_Decimal_Separator_Fixed]],
   Working_Sales[[#This Row],[Total_Amount_Converted_To_Integer]]/Working_Sales[[#This Row],[Quantity_Converted_To_Integer]]
)</f>
        <v>300</v>
      </c>
      <c r="AE33" t="s">
        <v>23</v>
      </c>
      <c r="AF33" s="2" t="str">
        <f>CLEAN(TRIM(Working_Sales[[#This Row],[Total Amount]]))</f>
        <v>300</v>
      </c>
      <c r="AG33" s="2">
        <f>INT(Working_Sales[[#This Row],[Total_Amount_Whitespace_Removed]])</f>
        <v>300</v>
      </c>
      <c r="AH3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34" spans="1:34" x14ac:dyDescent="0.35">
      <c r="A34" t="s">
        <v>144</v>
      </c>
      <c r="B34" s="6" t="str">
        <f>CLEAN(TRIM(Working_Sales[[#This Row],[Transaction ID]]))</f>
        <v>565</v>
      </c>
      <c r="C34" t="s">
        <v>2002</v>
      </c>
      <c r="D34" s="2" t="str">
        <f>CLEAN(TRIM(Working_Sales[[#This Row],[Date]]))</f>
        <v>November 07, 2023</v>
      </c>
      <c r="E34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34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3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45237</v>
      </c>
      <c r="H34" t="s">
        <v>2348</v>
      </c>
      <c r="I34" s="2" t="str">
        <f>CLEAN(TRIM(Working_Sales[[#This Row],[Customer ID]]))</f>
        <v>CUST032</v>
      </c>
      <c r="J3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CUST032</v>
      </c>
      <c r="L34" t="s">
        <v>26</v>
      </c>
      <c r="M34" s="4" t="str">
        <f>CLEAN(TRIM(Working_Sales[[#This Row],[Gender]]))</f>
        <v>Female</v>
      </c>
      <c r="N34" s="4" t="str" cm="1">
        <f t="array" ref="N34">_xlfn.SWITCH(
   Working_Sales[[#This Row],[Gender_Whitespace_Removed]],
   "m", "Male",
   "f", "Female",
   Working_Sales[[#This Row],[Gender_Whitespace_Removed]]
)</f>
        <v>Female</v>
      </c>
      <c r="O34" s="6" t="str">
        <f>PROPER(Working_Sales[[#This Row],[Gender_Abbreviation_Expanded]])</f>
        <v>Female</v>
      </c>
      <c r="P34">
        <v>45</v>
      </c>
      <c r="Q34" s="2" t="str">
        <f>CLEAN(TRIM(Working_Sales[[#This Row],[Age]]))</f>
        <v>45</v>
      </c>
      <c r="R34" s="6">
        <f>INT(SUBSTITUTE(Working_Sales[[#This Row],[Age_Whitespace_Removed]],".",","))</f>
        <v>45</v>
      </c>
      <c r="S34" t="s">
        <v>36</v>
      </c>
      <c r="T34" s="2" t="str">
        <f>CLEAN(TRIM(Working_Sales[[#This Row],[Product Category]]))</f>
        <v>Beauty</v>
      </c>
      <c r="U34" s="6" t="str">
        <f>PROPER(Working_Sales[[#This Row],[Product_Category_Whitespace_Removed]])</f>
        <v>Beauty</v>
      </c>
      <c r="V34" t="s">
        <v>37</v>
      </c>
      <c r="W34" s="2" t="str">
        <f>CLEAN(TRIM(Working_Sales[[#This Row],[Quantity]]))</f>
        <v>2</v>
      </c>
      <c r="X34" s="2">
        <f>INT(Working_Sales[[#This Row],[`]])</f>
        <v>2</v>
      </c>
      <c r="Y34" s="6">
        <f>IFERROR(
   Working_Sales[[#This Row],[Quantity_Converted_To_Integer]],
   Working_Sales[[#This Row],[Total_Amount_Whitespace_Removed]]/Working_Sales[[#This Row],[Price_Per_Unit_Decimal_Separator_Fixed]])</f>
        <v>2</v>
      </c>
      <c r="Z34" t="s">
        <v>147</v>
      </c>
      <c r="AA34" s="2" t="str">
        <f>CLEAN(TRIM(Working_Sales[[#This Row],[Price per Unit]]))</f>
        <v>$30</v>
      </c>
      <c r="AB34" s="2">
        <f>INT(
   SUBSTITUTE(Working_Sales[[#This Row],[Price_Per_Unit_Whitespace_Removed]],
   "$",
   ""
   )
)</f>
        <v>30</v>
      </c>
      <c r="AC34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34" s="8">
        <f>IFERROR(
   Working_Sales[[#This Row],[Price_Per_Unit_Decimal_Separator_Fixed]],
   Working_Sales[[#This Row],[Total_Amount_Converted_To_Integer]]/Working_Sales[[#This Row],[Quantity_Converted_To_Integer]]
)</f>
        <v>30</v>
      </c>
      <c r="AE34" t="s">
        <v>71</v>
      </c>
      <c r="AF34" s="2" t="str">
        <f>CLEAN(TRIM(Working_Sales[[#This Row],[Total Amount]]))</f>
        <v>60</v>
      </c>
      <c r="AG34" s="2">
        <f>INT(Working_Sales[[#This Row],[Total_Amount_Whitespace_Removed]])</f>
        <v>60</v>
      </c>
      <c r="AH3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35" spans="1:34" x14ac:dyDescent="0.35">
      <c r="A35" t="s">
        <v>148</v>
      </c>
      <c r="B35" s="6" t="str">
        <f>CLEAN(TRIM(Working_Sales[[#This Row],[Transaction ID]]))</f>
        <v>165</v>
      </c>
      <c r="C35" t="s">
        <v>2003</v>
      </c>
      <c r="D35" s="2" t="str">
        <f>CLEAN(TRIM(Working_Sales[[#This Row],[Date]]))</f>
        <v>09/14/2023</v>
      </c>
      <c r="E35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3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45183</v>
      </c>
      <c r="G3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45183</v>
      </c>
      <c r="H35" t="s">
        <v>2349</v>
      </c>
      <c r="I35" s="2" t="str">
        <f>CLEAN(TRIM(Working_Sales[[#This Row],[Customer ID]]))</f>
        <v>CUST033</v>
      </c>
      <c r="J3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CUST033</v>
      </c>
      <c r="K3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CUST033</v>
      </c>
      <c r="L35" t="s">
        <v>46</v>
      </c>
      <c r="M35" s="4" t="str">
        <f>CLEAN(TRIM(Working_Sales[[#This Row],[Gender]]))</f>
        <v>F</v>
      </c>
      <c r="N35" s="4" t="str" cm="1">
        <f t="array" ref="N35">_xlfn.SWITCH(
   Working_Sales[[#This Row],[Gender_Whitespace_Removed]],
   "m", "Male",
   "f", "Female",
   Working_Sales[[#This Row],[Gender_Whitespace_Removed]]
)</f>
        <v>Female</v>
      </c>
      <c r="O35" s="6" t="str">
        <f>PROPER(Working_Sales[[#This Row],[Gender_Abbreviation_Expanded]])</f>
        <v>Female</v>
      </c>
      <c r="P35">
        <v>60</v>
      </c>
      <c r="Q35" s="2" t="str">
        <f>CLEAN(TRIM(Working_Sales[[#This Row],[Age]]))</f>
        <v>60</v>
      </c>
      <c r="R35" s="6">
        <f>INT(SUBSTITUTE(Working_Sales[[#This Row],[Age_Whitespace_Removed]],".",","))</f>
        <v>60</v>
      </c>
      <c r="S35" t="s">
        <v>124</v>
      </c>
      <c r="T35" s="2" t="str">
        <f>CLEAN(TRIM(Working_Sales[[#This Row],[Product Category]]))</f>
        <v>Clothing</v>
      </c>
      <c r="U35" s="6" t="str">
        <f>PROPER(Working_Sales[[#This Row],[Product_Category_Whitespace_Removed]])</f>
        <v>Clothing</v>
      </c>
      <c r="V35" t="s">
        <v>14</v>
      </c>
      <c r="W35" s="2" t="str">
        <f>CLEAN(TRIM(Working_Sales[[#This Row],[Quantity]]))</f>
        <v>4</v>
      </c>
      <c r="X35" s="2">
        <f>INT(Working_Sales[[#This Row],[`]])</f>
        <v>4</v>
      </c>
      <c r="Y35" s="6">
        <f>IFERROR(
   Working_Sales[[#This Row],[Quantity_Converted_To_Integer]],
   Working_Sales[[#This Row],[Total_Amount_Whitespace_Removed]]/Working_Sales[[#This Row],[Price_Per_Unit_Decimal_Separator_Fixed]])</f>
        <v>4</v>
      </c>
      <c r="Z35" t="s">
        <v>23</v>
      </c>
      <c r="AA35" s="2" t="str">
        <f>CLEAN(TRIM(Working_Sales[[#This Row],[Price per Unit]]))</f>
        <v>300</v>
      </c>
      <c r="AB35" s="2">
        <f>INT(
   SUBSTITUTE(Working_Sales[[#This Row],[Price_Per_Unit_Whitespace_Removed]],
   "$",
   ""
   )
)</f>
        <v>300</v>
      </c>
      <c r="AC35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35" s="8">
        <f>IFERROR(
   Working_Sales[[#This Row],[Price_Per_Unit_Decimal_Separator_Fixed]],
   Working_Sales[[#This Row],[Total_Amount_Converted_To_Integer]]/Working_Sales[[#This Row],[Quantity_Converted_To_Integer]]
)</f>
        <v>300</v>
      </c>
      <c r="AE35" t="s">
        <v>79</v>
      </c>
      <c r="AF35" s="2" t="str">
        <f>CLEAN(TRIM(Working_Sales[[#This Row],[Total Amount]]))</f>
        <v>1200</v>
      </c>
      <c r="AG35" s="2">
        <f>INT(Working_Sales[[#This Row],[Total_Amount_Whitespace_Removed]])</f>
        <v>1200</v>
      </c>
      <c r="AH3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36" spans="1:34" x14ac:dyDescent="0.35">
      <c r="A36" t="s">
        <v>150</v>
      </c>
      <c r="B36" s="6" t="str">
        <f>CLEAN(TRIM(Working_Sales[[#This Row],[Transaction ID]]))</f>
        <v>61</v>
      </c>
      <c r="C36" t="s">
        <v>151</v>
      </c>
      <c r="D36" s="2" t="str">
        <f>CLEAN(TRIM(Working_Sales[[#This Row],[Date]]))</f>
        <v>April 09, 2023</v>
      </c>
      <c r="E36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36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3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45025</v>
      </c>
      <c r="H36" t="s">
        <v>2350</v>
      </c>
      <c r="I36" s="2" t="str">
        <f>CLEAN(TRIM(Working_Sales[[#This Row],[Customer ID]]))</f>
        <v>cust034</v>
      </c>
      <c r="J3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CUST034</v>
      </c>
      <c r="L36" t="s">
        <v>20</v>
      </c>
      <c r="M36" s="4" t="str">
        <f>CLEAN(TRIM(Working_Sales[[#This Row],[Gender]]))</f>
        <v>male</v>
      </c>
      <c r="N36" s="4" t="str" cm="1">
        <f t="array" ref="N36">_xlfn.SWITCH(
   Working_Sales[[#This Row],[Gender_Whitespace_Removed]],
   "m", "Male",
   "f", "Female",
   Working_Sales[[#This Row],[Gender_Whitespace_Removed]]
)</f>
        <v>male</v>
      </c>
      <c r="O36" s="6" t="str">
        <f>PROPER(Working_Sales[[#This Row],[Gender_Abbreviation_Expanded]])</f>
        <v>Male</v>
      </c>
      <c r="P36">
        <v>21</v>
      </c>
      <c r="Q36" s="2" t="str">
        <f>CLEAN(TRIM(Working_Sales[[#This Row],[Age]]))</f>
        <v>21</v>
      </c>
      <c r="R36" s="6">
        <f>INT(SUBSTITUTE(Working_Sales[[#This Row],[Age_Whitespace_Removed]],".",","))</f>
        <v>21</v>
      </c>
      <c r="S36" t="s">
        <v>36</v>
      </c>
      <c r="T36" s="2" t="str">
        <f>CLEAN(TRIM(Working_Sales[[#This Row],[Product Category]]))</f>
        <v>Beauty</v>
      </c>
      <c r="U36" s="6" t="str">
        <f>PROPER(Working_Sales[[#This Row],[Product_Category_Whitespace_Removed]])</f>
        <v>Beauty</v>
      </c>
      <c r="V36" t="s">
        <v>14</v>
      </c>
      <c r="W36" s="2" t="str">
        <f>CLEAN(TRIM(Working_Sales[[#This Row],[Quantity]]))</f>
        <v>4</v>
      </c>
      <c r="X36" s="2">
        <f>INT(Working_Sales[[#This Row],[`]])</f>
        <v>4</v>
      </c>
      <c r="Y36" s="6">
        <f>IFERROR(
   Working_Sales[[#This Row],[Quantity_Converted_To_Integer]],
   Working_Sales[[#This Row],[Total_Amount_Whitespace_Removed]]/Working_Sales[[#This Row],[Price_Per_Unit_Decimal_Separator_Fixed]])</f>
        <v>4</v>
      </c>
      <c r="Z36" t="s">
        <v>153</v>
      </c>
      <c r="AA36" s="2" t="str">
        <f>CLEAN(TRIM(Working_Sales[[#This Row],[Price per Unit]]))</f>
        <v>50.00</v>
      </c>
      <c r="AB36" s="2" t="e">
        <f>INT(
   SUBSTITUTE(Working_Sales[[#This Row],[Price_Per_Unit_Whitespace_Removed]],
   "$",
   ""
   )
)</f>
        <v>#VALUE!</v>
      </c>
      <c r="AC36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36" s="8">
        <f>IFERROR(
   Working_Sales[[#This Row],[Price_Per_Unit_Decimal_Separator_Fixed]],
   Working_Sales[[#This Row],[Total_Amount_Converted_To_Integer]]/Working_Sales[[#This Row],[Quantity_Converted_To_Integer]]
)</f>
        <v>50</v>
      </c>
      <c r="AE36" t="s">
        <v>16</v>
      </c>
      <c r="AF36" s="2" t="str">
        <f>CLEAN(TRIM(Working_Sales[[#This Row],[Total Amount]]))</f>
        <v>200</v>
      </c>
      <c r="AG36" s="2">
        <f>INT(Working_Sales[[#This Row],[Total_Amount_Whitespace_Removed]])</f>
        <v>200</v>
      </c>
      <c r="AH3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37" spans="1:34" x14ac:dyDescent="0.35">
      <c r="A37" t="s">
        <v>154</v>
      </c>
      <c r="B37" s="6" t="str">
        <f>CLEAN(TRIM(Working_Sales[[#This Row],[Transaction ID]]))</f>
        <v>169</v>
      </c>
      <c r="C37" t="s">
        <v>155</v>
      </c>
      <c r="D37" s="2" t="str">
        <f>CLEAN(TRIM(Working_Sales[[#This Row],[Date]]))</f>
        <v>2023-11-17</v>
      </c>
      <c r="E3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45247</v>
      </c>
      <c r="F3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45247</v>
      </c>
      <c r="G3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45247</v>
      </c>
      <c r="H37" t="s">
        <v>2351</v>
      </c>
      <c r="I37" s="2" t="str">
        <f>CLEAN(TRIM(Working_Sales[[#This Row],[Customer ID]]))</f>
        <v>CUST035</v>
      </c>
      <c r="J3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CUST035</v>
      </c>
      <c r="K3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CUST035</v>
      </c>
      <c r="L37" t="s">
        <v>34</v>
      </c>
      <c r="M37" s="4" t="str">
        <f>CLEAN(TRIM(Working_Sales[[#This Row],[Gender]]))</f>
        <v>Male</v>
      </c>
      <c r="N37" s="4" t="str" cm="1">
        <f t="array" ref="N37">_xlfn.SWITCH(
   Working_Sales[[#This Row],[Gender_Whitespace_Removed]],
   "m", "Male",
   "f", "Female",
   Working_Sales[[#This Row],[Gender_Whitespace_Removed]]
)</f>
        <v>Male</v>
      </c>
      <c r="O37" s="6" t="str">
        <f>PROPER(Working_Sales[[#This Row],[Gender_Abbreviation_Expanded]])</f>
        <v>Male</v>
      </c>
      <c r="P37">
        <v>18</v>
      </c>
      <c r="Q37" s="2" t="str">
        <f>CLEAN(TRIM(Working_Sales[[#This Row],[Age]]))</f>
        <v>18</v>
      </c>
      <c r="R37" s="6">
        <f>INT(SUBSTITUTE(Working_Sales[[#This Row],[Age_Whitespace_Removed]],".",","))</f>
        <v>18</v>
      </c>
      <c r="S37" t="s">
        <v>36</v>
      </c>
      <c r="T37" s="2" t="str">
        <f>CLEAN(TRIM(Working_Sales[[#This Row],[Product Category]]))</f>
        <v>Beauty</v>
      </c>
      <c r="U37" s="6" t="str">
        <f>PROPER(Working_Sales[[#This Row],[Product_Category_Whitespace_Removed]])</f>
        <v>Beauty</v>
      </c>
      <c r="V37" t="s">
        <v>29</v>
      </c>
      <c r="W37" s="2" t="str">
        <f>CLEAN(TRIM(Working_Sales[[#This Row],[Quantity]]))</f>
        <v>3</v>
      </c>
      <c r="X37" s="2">
        <f>INT(Working_Sales[[#This Row],[`]])</f>
        <v>3</v>
      </c>
      <c r="Y37" s="6">
        <f>IFERROR(
   Working_Sales[[#This Row],[Quantity_Converted_To_Integer]],
   Working_Sales[[#This Row],[Total_Amount_Whitespace_Removed]]/Working_Sales[[#This Row],[Price_Per_Unit_Decimal_Separator_Fixed]])</f>
        <v>3</v>
      </c>
      <c r="Z37" t="s">
        <v>57</v>
      </c>
      <c r="AA37" s="2" t="str">
        <f>CLEAN(TRIM(Working_Sales[[#This Row],[Price per Unit]]))</f>
        <v>500</v>
      </c>
      <c r="AB37" s="2">
        <f>INT(
   SUBSTITUTE(Working_Sales[[#This Row],[Price_Per_Unit_Whitespace_Removed]],
   "$",
   ""
   )
)</f>
        <v>500</v>
      </c>
      <c r="AC37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37" s="8">
        <f>IFERROR(
   Working_Sales[[#This Row],[Price_Per_Unit_Decimal_Separator_Fixed]],
   Working_Sales[[#This Row],[Total_Amount_Converted_To_Integer]]/Working_Sales[[#This Row],[Quantity_Converted_To_Integer]]
)</f>
        <v>500</v>
      </c>
      <c r="AE37" t="s">
        <v>85</v>
      </c>
      <c r="AF37" s="2" t="str">
        <f>CLEAN(TRIM(Working_Sales[[#This Row],[Total Amount]]))</f>
        <v>1500</v>
      </c>
      <c r="AG37" s="2">
        <f>INT(Working_Sales[[#This Row],[Total_Amount_Whitespace_Removed]])</f>
        <v>1500</v>
      </c>
      <c r="AH3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38" spans="1:34" x14ac:dyDescent="0.35">
      <c r="A38" t="s">
        <v>158</v>
      </c>
      <c r="B38" s="6" t="str">
        <f>CLEAN(TRIM(Working_Sales[[#This Row],[Transaction ID]]))</f>
        <v>164</v>
      </c>
      <c r="C38" t="s">
        <v>617</v>
      </c>
      <c r="D38" s="2" t="str">
        <f>CLEAN(TRIM(Working_Sales[[#This Row],[Date]]))</f>
        <v>15-May-2023</v>
      </c>
      <c r="E3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45061</v>
      </c>
      <c r="F3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45061</v>
      </c>
      <c r="G3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45061</v>
      </c>
      <c r="H38" t="s">
        <v>2352</v>
      </c>
      <c r="I38" s="2" t="str">
        <f>CLEAN(TRIM(Working_Sales[[#This Row],[Customer ID]]))</f>
        <v>CUST036</v>
      </c>
      <c r="J3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CUST036</v>
      </c>
      <c r="K3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CUST036</v>
      </c>
      <c r="L38" t="s">
        <v>26</v>
      </c>
      <c r="M38" s="4" t="str">
        <f>CLEAN(TRIM(Working_Sales[[#This Row],[Gender]]))</f>
        <v>Female</v>
      </c>
      <c r="N38" s="4" t="str" cm="1">
        <f t="array" ref="N38">_xlfn.SWITCH(
   Working_Sales[[#This Row],[Gender_Whitespace_Removed]],
   "m", "Male",
   "f", "Female",
   Working_Sales[[#This Row],[Gender_Whitespace_Removed]]
)</f>
        <v>Female</v>
      </c>
      <c r="O38" s="6" t="str">
        <f>PROPER(Working_Sales[[#This Row],[Gender_Abbreviation_Expanded]])</f>
        <v>Female</v>
      </c>
      <c r="P38">
        <v>47</v>
      </c>
      <c r="Q38" s="2" t="str">
        <f>CLEAN(TRIM(Working_Sales[[#This Row],[Age]]))</f>
        <v>47</v>
      </c>
      <c r="R38" s="6">
        <f>INT(SUBSTITUTE(Working_Sales[[#This Row],[Age_Whitespace_Removed]],".",","))</f>
        <v>47</v>
      </c>
      <c r="S38" t="s">
        <v>36</v>
      </c>
      <c r="T38" s="2" t="str">
        <f>CLEAN(TRIM(Working_Sales[[#This Row],[Product Category]]))</f>
        <v>Beauty</v>
      </c>
      <c r="U38" s="6" t="str">
        <f>PROPER(Working_Sales[[#This Row],[Product_Category_Whitespace_Removed]])</f>
        <v>Beauty</v>
      </c>
      <c r="V38" t="s">
        <v>29</v>
      </c>
      <c r="W38" s="2" t="str">
        <f>CLEAN(TRIM(Working_Sales[[#This Row],[Quantity]]))</f>
        <v>3</v>
      </c>
      <c r="X38" s="2">
        <f>INT(Working_Sales[[#This Row],[`]])</f>
        <v>3</v>
      </c>
      <c r="Y38" s="6">
        <f>IFERROR(
   Working_Sales[[#This Row],[Quantity_Converted_To_Integer]],
   Working_Sales[[#This Row],[Total_Amount_Whitespace_Removed]]/Working_Sales[[#This Row],[Price_Per_Unit_Decimal_Separator_Fixed]])</f>
        <v>3</v>
      </c>
      <c r="AA38" s="2" t="str">
        <f>CLEAN(TRIM(Working_Sales[[#This Row],[Price per Unit]]))</f>
        <v/>
      </c>
      <c r="AB38" s="2" t="e">
        <f>INT(
   SUBSTITUTE(Working_Sales[[#This Row],[Price_Per_Unit_Whitespace_Removed]],
   "$",
   ""
   )
)</f>
        <v>#VALUE!</v>
      </c>
      <c r="AC38" s="2" t="e">
        <f>INT(
   IFERROR(
      Working_Sales[[#This Row],[Price_Per_Unit_Dollar_Sign_Removed]],
      SUBSTITUTE(
         Working_Sales[[#This Row],[Price_Per_Unit_Whitespace_Removed]],
        ".",
         ","
      )
   )
)</f>
        <v>#VALUE!</v>
      </c>
      <c r="AD38" s="8">
        <f>IFERROR(
   Working_Sales[[#This Row],[Price_Per_Unit_Decimal_Separator_Fixed]],
   Working_Sales[[#This Row],[Total_Amount_Converted_To_Integer]]/Working_Sales[[#This Row],[Quantity_Converted_To_Integer]]
)</f>
        <v>500</v>
      </c>
      <c r="AE38" t="s">
        <v>85</v>
      </c>
      <c r="AF38" s="2" t="str">
        <f>CLEAN(TRIM(Working_Sales[[#This Row],[Total Amount]]))</f>
        <v>1500</v>
      </c>
      <c r="AG38" s="2">
        <f>INT(Working_Sales[[#This Row],[Total_Amount_Whitespace_Removed]])</f>
        <v>1500</v>
      </c>
      <c r="AH3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39" spans="1:34" x14ac:dyDescent="0.35">
      <c r="A39" t="s">
        <v>134</v>
      </c>
      <c r="B39" s="6" t="str">
        <f>CLEAN(TRIM(Working_Sales[[#This Row],[Transaction ID]]))</f>
        <v>26</v>
      </c>
      <c r="C39" t="s">
        <v>136</v>
      </c>
      <c r="D39" s="2" t="str">
        <f>CLEAN(TRIM(Working_Sales[[#This Row],[Date]]))</f>
        <v>2023-10-07</v>
      </c>
      <c r="E3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45206</v>
      </c>
      <c r="F3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45206</v>
      </c>
      <c r="G3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45206</v>
      </c>
      <c r="H39" t="s">
        <v>2353</v>
      </c>
      <c r="I39" s="2" t="str">
        <f>CLEAN(TRIM(Working_Sales[[#This Row],[Customer ID]]))</f>
        <v>CUST037</v>
      </c>
      <c r="J3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CUST037</v>
      </c>
      <c r="L39" t="s">
        <v>26</v>
      </c>
      <c r="M39" s="4" t="str">
        <f>CLEAN(TRIM(Working_Sales[[#This Row],[Gender]]))</f>
        <v>Female</v>
      </c>
      <c r="N39" s="4" t="str" cm="1">
        <f t="array" ref="N39">_xlfn.SWITCH(
   Working_Sales[[#This Row],[Gender_Whitespace_Removed]],
   "m", "Male",
   "f", "Female",
   Working_Sales[[#This Row],[Gender_Whitespace_Removed]]
)</f>
        <v>Female</v>
      </c>
      <c r="O39" s="6" t="str">
        <f>PROPER(Working_Sales[[#This Row],[Gender_Abbreviation_Expanded]])</f>
        <v>Female</v>
      </c>
      <c r="P39">
        <v>28</v>
      </c>
      <c r="Q39" s="2" t="str">
        <f>CLEAN(TRIM(Working_Sales[[#This Row],[Age]]))</f>
        <v>28</v>
      </c>
      <c r="R39" s="6">
        <f>INT(SUBSTITUTE(Working_Sales[[#This Row],[Age_Whitespace_Removed]],".",","))</f>
        <v>28</v>
      </c>
      <c r="S39" t="s">
        <v>13</v>
      </c>
      <c r="T39" s="2" t="str">
        <f>CLEAN(TRIM(Working_Sales[[#This Row],[Product Category]]))</f>
        <v>Electronics</v>
      </c>
      <c r="U39" s="6" t="str">
        <f>PROPER(Working_Sales[[#This Row],[Product_Category_Whitespace_Removed]])</f>
        <v>Electronics</v>
      </c>
      <c r="V39" t="s">
        <v>37</v>
      </c>
      <c r="W39" s="2" t="str">
        <f>CLEAN(TRIM(Working_Sales[[#This Row],[Quantity]]))</f>
        <v>2</v>
      </c>
      <c r="X39" s="2">
        <f>INT(Working_Sales[[#This Row],[`]])</f>
        <v>2</v>
      </c>
      <c r="Y39" s="6">
        <f>IFERROR(
   Working_Sales[[#This Row],[Quantity_Converted_To_Integer]],
   Working_Sales[[#This Row],[Total_Amount_Whitespace_Removed]]/Working_Sales[[#This Row],[Price_Per_Unit_Decimal_Separator_Fixed]])</f>
        <v>2</v>
      </c>
      <c r="Z39" t="s">
        <v>162</v>
      </c>
      <c r="AA39" s="2" t="str">
        <f>CLEAN(TRIM(Working_Sales[[#This Row],[Price per Unit]]))</f>
        <v>$500</v>
      </c>
      <c r="AB39" s="2">
        <f>INT(
   SUBSTITUTE(Working_Sales[[#This Row],[Price_Per_Unit_Whitespace_Removed]],
   "$",
   ""
   )
)</f>
        <v>500</v>
      </c>
      <c r="AC39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39" s="8">
        <f>IFERROR(
   Working_Sales[[#This Row],[Price_Per_Unit_Decimal_Separator_Fixed]],
   Working_Sales[[#This Row],[Total_Amount_Converted_To_Integer]]/Working_Sales[[#This Row],[Quantity_Converted_To_Integer]]
)</f>
        <v>500</v>
      </c>
      <c r="AE39" t="s">
        <v>163</v>
      </c>
      <c r="AF39" s="2" t="str">
        <f>CLEAN(TRIM(Working_Sales[[#This Row],[Total Amount]]))</f>
        <v>1000</v>
      </c>
      <c r="AG39" s="2">
        <f>INT(Working_Sales[[#This Row],[Total_Amount_Whitespace_Removed]])</f>
        <v>1000</v>
      </c>
      <c r="AH3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40" spans="1:34" x14ac:dyDescent="0.35">
      <c r="A40" t="s">
        <v>164</v>
      </c>
      <c r="B40" s="6" t="str">
        <f>CLEAN(TRIM(Working_Sales[[#This Row],[Transaction ID]]))</f>
        <v>217</v>
      </c>
      <c r="C40" t="s">
        <v>165</v>
      </c>
      <c r="D40" s="2" t="str">
        <f>CLEAN(TRIM(Working_Sales[[#This Row],[Date]]))</f>
        <v>13/08/2023</v>
      </c>
      <c r="E4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45151</v>
      </c>
      <c r="F4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45151</v>
      </c>
      <c r="G4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45151</v>
      </c>
      <c r="H40" t="s">
        <v>2354</v>
      </c>
      <c r="I40" s="2" t="str">
        <f>CLEAN(TRIM(Working_Sales[[#This Row],[Customer ID]]))</f>
        <v>cust038</v>
      </c>
      <c r="J4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CUST038</v>
      </c>
      <c r="L40" t="s">
        <v>112</v>
      </c>
      <c r="M40" s="4" t="str">
        <f>CLEAN(TRIM(Working_Sales[[#This Row],[Gender]]))</f>
        <v>female</v>
      </c>
      <c r="N40" s="4" t="str" cm="1">
        <f t="array" ref="N40">_xlfn.SWITCH(
   Working_Sales[[#This Row],[Gender_Whitespace_Removed]],
   "m", "Male",
   "f", "Female",
   Working_Sales[[#This Row],[Gender_Whitespace_Removed]]
)</f>
        <v>female</v>
      </c>
      <c r="O40" s="6" t="str">
        <f>PROPER(Working_Sales[[#This Row],[Gender_Abbreviation_Expanded]])</f>
        <v>Female</v>
      </c>
      <c r="P40">
        <v>35</v>
      </c>
      <c r="Q40" s="2" t="str">
        <f>CLEAN(TRIM(Working_Sales[[#This Row],[Age]]))</f>
        <v>35</v>
      </c>
      <c r="R40" s="6">
        <f>INT(SUBSTITUTE(Working_Sales[[#This Row],[Age_Whitespace_Removed]],".",","))</f>
        <v>35</v>
      </c>
      <c r="S40" t="s">
        <v>117</v>
      </c>
      <c r="T40" s="2" t="str">
        <f>CLEAN(TRIM(Working_Sales[[#This Row],[Product Category]]))</f>
        <v>Electronics</v>
      </c>
      <c r="U40" s="6" t="str">
        <f>PROPER(Working_Sales[[#This Row],[Product_Category_Whitespace_Removed]])</f>
        <v>Electronics</v>
      </c>
      <c r="V40" t="s">
        <v>14</v>
      </c>
      <c r="W40" s="2" t="str">
        <f>CLEAN(TRIM(Working_Sales[[#This Row],[Quantity]]))</f>
        <v>4</v>
      </c>
      <c r="X40" s="2">
        <f>INT(Working_Sales[[#This Row],[`]])</f>
        <v>4</v>
      </c>
      <c r="Y40" s="6">
        <f>IFERROR(
   Working_Sales[[#This Row],[Quantity_Converted_To_Integer]],
   Working_Sales[[#This Row],[Total_Amount_Whitespace_Removed]]/Working_Sales[[#This Row],[Price_Per_Unit_Decimal_Separator_Fixed]])</f>
        <v>4</v>
      </c>
      <c r="Z40" t="s">
        <v>15</v>
      </c>
      <c r="AA40" s="2" t="str">
        <f>CLEAN(TRIM(Working_Sales[[#This Row],[Price per Unit]]))</f>
        <v>50</v>
      </c>
      <c r="AB40" s="2">
        <f>INT(
   SUBSTITUTE(Working_Sales[[#This Row],[Price_Per_Unit_Whitespace_Removed]],
   "$",
   ""
   )
)</f>
        <v>50</v>
      </c>
      <c r="AC40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40" s="8">
        <f>IFERROR(
   Working_Sales[[#This Row],[Price_Per_Unit_Decimal_Separator_Fixed]],
   Working_Sales[[#This Row],[Total_Amount_Converted_To_Integer]]/Working_Sales[[#This Row],[Quantity_Converted_To_Integer]]
)</f>
        <v>50</v>
      </c>
      <c r="AE40" t="s">
        <v>16</v>
      </c>
      <c r="AF40" s="2" t="str">
        <f>CLEAN(TRIM(Working_Sales[[#This Row],[Total Amount]]))</f>
        <v>200</v>
      </c>
      <c r="AG40" s="2">
        <f>INT(Working_Sales[[#This Row],[Total_Amount_Whitespace_Removed]])</f>
        <v>200</v>
      </c>
      <c r="AH4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41" spans="1:34" x14ac:dyDescent="0.35">
      <c r="A41" t="s">
        <v>167</v>
      </c>
      <c r="B41" s="6" t="str">
        <f>CLEAN(TRIM(Working_Sales[[#This Row],[Transaction ID]]))</f>
        <v>285</v>
      </c>
      <c r="C41" t="s">
        <v>168</v>
      </c>
      <c r="D41" s="2" t="str">
        <f>CLEAN(TRIM(Working_Sales[[#This Row],[Date]]))</f>
        <v>15/08/2023</v>
      </c>
      <c r="E4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45153</v>
      </c>
      <c r="F4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45153</v>
      </c>
      <c r="G4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45153</v>
      </c>
      <c r="H41" t="s">
        <v>2355</v>
      </c>
      <c r="I41" s="2" t="str">
        <f>CLEAN(TRIM(Working_Sales[[#This Row],[Customer ID]]))</f>
        <v>CUST039</v>
      </c>
      <c r="J4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CUST039</v>
      </c>
      <c r="K4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CUST039</v>
      </c>
      <c r="L41" t="s">
        <v>26</v>
      </c>
      <c r="M41" s="4" t="str">
        <f>CLEAN(TRIM(Working_Sales[[#This Row],[Gender]]))</f>
        <v>Female</v>
      </c>
      <c r="N41" s="4" t="str" cm="1">
        <f t="array" ref="N41">_xlfn.SWITCH(
   Working_Sales[[#This Row],[Gender_Whitespace_Removed]],
   "m", "Male",
   "f", "Female",
   Working_Sales[[#This Row],[Gender_Whitespace_Removed]]
)</f>
        <v>Female</v>
      </c>
      <c r="O41" s="6" t="str">
        <f>PROPER(Working_Sales[[#This Row],[Gender_Abbreviation_Expanded]])</f>
        <v>Female</v>
      </c>
      <c r="P41">
        <v>31</v>
      </c>
      <c r="Q41" s="2" t="str">
        <f>CLEAN(TRIM(Working_Sales[[#This Row],[Age]]))</f>
        <v>31</v>
      </c>
      <c r="R41" s="6">
        <f>INT(SUBSTITUTE(Working_Sales[[#This Row],[Age_Whitespace_Removed]],".",","))</f>
        <v>31</v>
      </c>
      <c r="S41" t="s">
        <v>13</v>
      </c>
      <c r="T41" s="2" t="str">
        <f>CLEAN(TRIM(Working_Sales[[#This Row],[Product Category]]))</f>
        <v>Electronics</v>
      </c>
      <c r="U41" s="6" t="str">
        <f>PROPER(Working_Sales[[#This Row],[Product_Category_Whitespace_Removed]])</f>
        <v>Electronics</v>
      </c>
      <c r="W41" s="2" t="str">
        <f>CLEAN(TRIM(Working_Sales[[#This Row],[Quantity]]))</f>
        <v/>
      </c>
      <c r="X41" s="2" t="e">
        <f>INT(Working_Sales[[#This Row],[`]])</f>
        <v>#VALUE!</v>
      </c>
      <c r="Y41" s="6">
        <f>IFERROR(
   Working_Sales[[#This Row],[Quantity_Converted_To_Integer]],
   Working_Sales[[#This Row],[Total_Amount_Whitespace_Removed]]/Working_Sales[[#This Row],[Price_Per_Unit_Decimal_Separator_Fixed]])</f>
        <v>1</v>
      </c>
      <c r="Z41" t="s">
        <v>171</v>
      </c>
      <c r="AA41" s="2" t="str">
        <f>CLEAN(TRIM(Working_Sales[[#This Row],[Price per Unit]]))</f>
        <v>25</v>
      </c>
      <c r="AB41" s="2">
        <f>INT(
   SUBSTITUTE(Working_Sales[[#This Row],[Price_Per_Unit_Whitespace_Removed]],
   "$",
   ""
   )
)</f>
        <v>25</v>
      </c>
      <c r="AC41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41" s="8">
        <f>IFERROR(
   Working_Sales[[#This Row],[Price_Per_Unit_Decimal_Separator_Fixed]],
   Working_Sales[[#This Row],[Total_Amount_Converted_To_Integer]]/Working_Sales[[#This Row],[Quantity_Converted_To_Integer]]
)</f>
        <v>25</v>
      </c>
      <c r="AE41" t="s">
        <v>30</v>
      </c>
      <c r="AF41" s="2" t="str">
        <f>CLEAN(TRIM(Working_Sales[[#This Row],[Total Amount]]))</f>
        <v>25</v>
      </c>
      <c r="AG41" s="2">
        <f>INT(Working_Sales[[#This Row],[Total_Amount_Whitespace_Removed]])</f>
        <v>25</v>
      </c>
      <c r="AH4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42" spans="1:34" x14ac:dyDescent="0.35">
      <c r="A42" t="s">
        <v>172</v>
      </c>
      <c r="B42" s="6" t="str">
        <f>CLEAN(TRIM(Working_Sales[[#This Row],[Transaction ID]]))</f>
        <v>596</v>
      </c>
      <c r="C42" t="s">
        <v>394</v>
      </c>
      <c r="D42" s="2" t="str">
        <f>CLEAN(TRIM(Working_Sales[[#This Row],[Date]]))</f>
        <v>February 07, 2023</v>
      </c>
      <c r="E42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42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4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44964</v>
      </c>
      <c r="H42" t="s">
        <v>2356</v>
      </c>
      <c r="I42" s="2" t="str">
        <f>CLEAN(TRIM(Working_Sales[[#This Row],[Customer ID]]))</f>
        <v>CUST-040</v>
      </c>
      <c r="J4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CUST040</v>
      </c>
      <c r="L42" t="s">
        <v>26</v>
      </c>
      <c r="M42" s="4" t="str">
        <f>CLEAN(TRIM(Working_Sales[[#This Row],[Gender]]))</f>
        <v>Female</v>
      </c>
      <c r="N42" s="4" t="str" cm="1">
        <f t="array" ref="N42">_xlfn.SWITCH(
   Working_Sales[[#This Row],[Gender_Whitespace_Removed]],
   "m", "Male",
   "f", "Female",
   Working_Sales[[#This Row],[Gender_Whitespace_Removed]]
)</f>
        <v>Female</v>
      </c>
      <c r="O42" s="6" t="str">
        <f>PROPER(Working_Sales[[#This Row],[Gender_Abbreviation_Expanded]])</f>
        <v>Female</v>
      </c>
      <c r="P42">
        <v>64</v>
      </c>
      <c r="Q42" s="2" t="str">
        <f>CLEAN(TRIM(Working_Sales[[#This Row],[Age]]))</f>
        <v>64</v>
      </c>
      <c r="R42" s="6">
        <f>INT(SUBSTITUTE(Working_Sales[[#This Row],[Age_Whitespace_Removed]],".",","))</f>
        <v>64</v>
      </c>
      <c r="S42" t="s">
        <v>109</v>
      </c>
      <c r="T42" s="2" t="str">
        <f>CLEAN(TRIM(Working_Sales[[#This Row],[Product Category]]))</f>
        <v>Electronics</v>
      </c>
      <c r="U42" s="6" t="str">
        <f>PROPER(Working_Sales[[#This Row],[Product_Category_Whitespace_Removed]])</f>
        <v>Electronics</v>
      </c>
      <c r="V42" t="s">
        <v>22</v>
      </c>
      <c r="W42" s="2" t="str">
        <f>CLEAN(TRIM(Working_Sales[[#This Row],[Quantity]]))</f>
        <v>1</v>
      </c>
      <c r="X42" s="2">
        <f>INT(Working_Sales[[#This Row],[`]])</f>
        <v>1</v>
      </c>
      <c r="Y42" s="6">
        <f>IFERROR(
   Working_Sales[[#This Row],[Quantity_Converted_To_Integer]],
   Working_Sales[[#This Row],[Total_Amount_Whitespace_Removed]]/Working_Sales[[#This Row],[Price_Per_Unit_Decimal_Separator_Fixed]])</f>
        <v>1</v>
      </c>
      <c r="Z42" t="s">
        <v>23</v>
      </c>
      <c r="AA42" s="2" t="str">
        <f>CLEAN(TRIM(Working_Sales[[#This Row],[Price per Unit]]))</f>
        <v>300</v>
      </c>
      <c r="AB42" s="2">
        <f>INT(
   SUBSTITUTE(Working_Sales[[#This Row],[Price_Per_Unit_Whitespace_Removed]],
   "$",
   ""
   )
)</f>
        <v>300</v>
      </c>
      <c r="AC42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42" s="8">
        <f>IFERROR(
   Working_Sales[[#This Row],[Price_Per_Unit_Decimal_Separator_Fixed]],
   Working_Sales[[#This Row],[Total_Amount_Converted_To_Integer]]/Working_Sales[[#This Row],[Quantity_Converted_To_Integer]]
)</f>
        <v>300</v>
      </c>
      <c r="AE42" t="s">
        <v>23</v>
      </c>
      <c r="AF42" s="2" t="str">
        <f>CLEAN(TRIM(Working_Sales[[#This Row],[Total Amount]]))</f>
        <v>300</v>
      </c>
      <c r="AG42" s="2">
        <f>INT(Working_Sales[[#This Row],[Total_Amount_Whitespace_Removed]])</f>
        <v>300</v>
      </c>
      <c r="AH4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43" spans="1:34" x14ac:dyDescent="0.35">
      <c r="A43" t="s">
        <v>174</v>
      </c>
      <c r="B43" s="6" t="str">
        <f>CLEAN(TRIM(Working_Sales[[#This Row],[Transaction ID]]))</f>
        <v>103</v>
      </c>
      <c r="C43" t="s">
        <v>175</v>
      </c>
      <c r="D43" s="2" t="str">
        <f>CLEAN(TRIM(Working_Sales[[#This Row],[Date]]))</f>
        <v>01/17/2023</v>
      </c>
      <c r="E43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4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44943</v>
      </c>
      <c r="G4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44943</v>
      </c>
      <c r="H43" t="s">
        <v>876</v>
      </c>
      <c r="I43" s="2" t="str">
        <f>CLEAN(TRIM(Working_Sales[[#This Row],[Customer ID]]))</f>
        <v>cust041</v>
      </c>
      <c r="J4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CUST041</v>
      </c>
      <c r="L43" t="s">
        <v>26</v>
      </c>
      <c r="M43" s="4" t="str">
        <f>CLEAN(TRIM(Working_Sales[[#This Row],[Gender]]))</f>
        <v>Female</v>
      </c>
      <c r="N43" s="4" t="str" cm="1">
        <f t="array" ref="N43">_xlfn.SWITCH(
   Working_Sales[[#This Row],[Gender_Whitespace_Removed]],
   "m", "Male",
   "f", "Female",
   Working_Sales[[#This Row],[Gender_Whitespace_Removed]]
)</f>
        <v>Female</v>
      </c>
      <c r="O43" s="6" t="str">
        <f>PROPER(Working_Sales[[#This Row],[Gender_Abbreviation_Expanded]])</f>
        <v>Female</v>
      </c>
      <c r="P43">
        <v>59</v>
      </c>
      <c r="Q43" s="2" t="str">
        <f>CLEAN(TRIM(Working_Sales[[#This Row],[Age]]))</f>
        <v>59</v>
      </c>
      <c r="R43" s="6">
        <f>INT(SUBSTITUTE(Working_Sales[[#This Row],[Age_Whitespace_Removed]],".",","))</f>
        <v>59</v>
      </c>
      <c r="S43" t="s">
        <v>56</v>
      </c>
      <c r="T43" s="2" t="str">
        <f>CLEAN(TRIM(Working_Sales[[#This Row],[Product Category]]))</f>
        <v>Clothing</v>
      </c>
      <c r="U43" s="6" t="str">
        <f>PROPER(Working_Sales[[#This Row],[Product_Category_Whitespace_Removed]])</f>
        <v>Clothing</v>
      </c>
      <c r="V43" t="s">
        <v>22</v>
      </c>
      <c r="W43" s="2" t="str">
        <f>CLEAN(TRIM(Working_Sales[[#This Row],[Quantity]]))</f>
        <v>1</v>
      </c>
      <c r="X43" s="2">
        <f>INT(Working_Sales[[#This Row],[`]])</f>
        <v>1</v>
      </c>
      <c r="Y43" s="6">
        <f>IFERROR(
   Working_Sales[[#This Row],[Quantity_Converted_To_Integer]],
   Working_Sales[[#This Row],[Total_Amount_Whitespace_Removed]]/Working_Sales[[#This Row],[Price_Per_Unit_Decimal_Separator_Fixed]])</f>
        <v>1</v>
      </c>
      <c r="Z43" t="s">
        <v>30</v>
      </c>
      <c r="AA43" s="2" t="str">
        <f>CLEAN(TRIM(Working_Sales[[#This Row],[Price per Unit]]))</f>
        <v>25</v>
      </c>
      <c r="AB43" s="2">
        <f>INT(
   SUBSTITUTE(Working_Sales[[#This Row],[Price_Per_Unit_Whitespace_Removed]],
   "$",
   ""
   )
)</f>
        <v>25</v>
      </c>
      <c r="AC43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43" s="8">
        <f>IFERROR(
   Working_Sales[[#This Row],[Price_Per_Unit_Decimal_Separator_Fixed]],
   Working_Sales[[#This Row],[Total_Amount_Converted_To_Integer]]/Working_Sales[[#This Row],[Quantity_Converted_To_Integer]]
)</f>
        <v>25</v>
      </c>
      <c r="AE43" t="s">
        <v>30</v>
      </c>
      <c r="AF43" s="2" t="str">
        <f>CLEAN(TRIM(Working_Sales[[#This Row],[Total Amount]]))</f>
        <v>25</v>
      </c>
      <c r="AG43" s="2">
        <f>INT(Working_Sales[[#This Row],[Total_Amount_Whitespace_Removed]])</f>
        <v>25</v>
      </c>
      <c r="AH4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44" spans="1:34" x14ac:dyDescent="0.35">
      <c r="A44" t="s">
        <v>178</v>
      </c>
      <c r="B44" s="6" t="str">
        <f>CLEAN(TRIM(Working_Sales[[#This Row],[Transaction ID]]))</f>
        <v>610</v>
      </c>
      <c r="C44" t="s">
        <v>179</v>
      </c>
      <c r="D44" s="2" t="str">
        <f>CLEAN(TRIM(Working_Sales[[#This Row],[Date]]))</f>
        <v>2023-01-03</v>
      </c>
      <c r="E4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44929</v>
      </c>
      <c r="F4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44929</v>
      </c>
      <c r="G4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44929</v>
      </c>
      <c r="H44" t="s">
        <v>2357</v>
      </c>
      <c r="I44" s="2" t="str">
        <f>CLEAN(TRIM(Working_Sales[[#This Row],[Customer ID]]))</f>
        <v>CUST042</v>
      </c>
      <c r="J4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CUST042</v>
      </c>
      <c r="K4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CUST042</v>
      </c>
      <c r="L44" t="s">
        <v>26</v>
      </c>
      <c r="M44" s="4" t="str">
        <f>CLEAN(TRIM(Working_Sales[[#This Row],[Gender]]))</f>
        <v>Female</v>
      </c>
      <c r="N44" s="4" t="str" cm="1">
        <f t="array" ref="N44">_xlfn.SWITCH(
   Working_Sales[[#This Row],[Gender_Whitespace_Removed]],
   "m", "Male",
   "f", "Female",
   Working_Sales[[#This Row],[Gender_Whitespace_Removed]]
)</f>
        <v>Female</v>
      </c>
      <c r="O44" s="6" t="str">
        <f>PROPER(Working_Sales[[#This Row],[Gender_Abbreviation_Expanded]])</f>
        <v>Female</v>
      </c>
      <c r="P44">
        <v>26</v>
      </c>
      <c r="Q44" s="2" t="str">
        <f>CLEAN(TRIM(Working_Sales[[#This Row],[Age]]))</f>
        <v>26</v>
      </c>
      <c r="R44" s="6">
        <f>INT(SUBSTITUTE(Working_Sales[[#This Row],[Age_Whitespace_Removed]],".",","))</f>
        <v>26</v>
      </c>
      <c r="S44" t="s">
        <v>36</v>
      </c>
      <c r="T44" s="2" t="str">
        <f>CLEAN(TRIM(Working_Sales[[#This Row],[Product Category]]))</f>
        <v>Beauty</v>
      </c>
      <c r="U44" s="6" t="str">
        <f>PROPER(Working_Sales[[#This Row],[Product_Category_Whitespace_Removed]])</f>
        <v>Beauty</v>
      </c>
      <c r="V44" t="s">
        <v>37</v>
      </c>
      <c r="W44" s="2" t="str">
        <f>CLEAN(TRIM(Working_Sales[[#This Row],[Quantity]]))</f>
        <v>2</v>
      </c>
      <c r="X44" s="2">
        <f>INT(Working_Sales[[#This Row],[`]])</f>
        <v>2</v>
      </c>
      <c r="Y44" s="6">
        <f>IFERROR(
   Working_Sales[[#This Row],[Quantity_Converted_To_Integer]],
   Working_Sales[[#This Row],[Total_Amount_Whitespace_Removed]]/Working_Sales[[#This Row],[Price_Per_Unit_Decimal_Separator_Fixed]])</f>
        <v>2</v>
      </c>
      <c r="Z44" t="s">
        <v>180</v>
      </c>
      <c r="AA44" s="2" t="str">
        <f>CLEAN(TRIM(Working_Sales[[#This Row],[Price per Unit]]))</f>
        <v>300</v>
      </c>
      <c r="AB44" s="2">
        <f>INT(
   SUBSTITUTE(Working_Sales[[#This Row],[Price_Per_Unit_Whitespace_Removed]],
   "$",
   ""
   )
)</f>
        <v>300</v>
      </c>
      <c r="AC44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44" s="8">
        <f>IFERROR(
   Working_Sales[[#This Row],[Price_Per_Unit_Decimal_Separator_Fixed]],
   Working_Sales[[#This Row],[Total_Amount_Converted_To_Integer]]/Working_Sales[[#This Row],[Quantity_Converted_To_Integer]]
)</f>
        <v>300</v>
      </c>
      <c r="AE44" t="s">
        <v>107</v>
      </c>
      <c r="AF44" s="2" t="str">
        <f>CLEAN(TRIM(Working_Sales[[#This Row],[Total Amount]]))</f>
        <v>600</v>
      </c>
      <c r="AG44" s="2">
        <f>INT(Working_Sales[[#This Row],[Total_Amount_Whitespace_Removed]])</f>
        <v>600</v>
      </c>
      <c r="AH4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600</v>
      </c>
    </row>
    <row r="45" spans="1:34" x14ac:dyDescent="0.35">
      <c r="A45" t="s">
        <v>181</v>
      </c>
      <c r="B45" s="6" t="str">
        <f>CLEAN(TRIM(Working_Sales[[#This Row],[Transaction ID]]))</f>
        <v>604</v>
      </c>
      <c r="C45" t="s">
        <v>2004</v>
      </c>
      <c r="D45" s="2" t="str">
        <f>CLEAN(TRIM(Working_Sales[[#This Row],[Date]]))</f>
        <v>September 11, 2023</v>
      </c>
      <c r="E45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45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4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45180</v>
      </c>
      <c r="H45" t="s">
        <v>1639</v>
      </c>
      <c r="I45" s="2" t="str">
        <f>CLEAN(TRIM(Working_Sales[[#This Row],[Customer ID]]))</f>
        <v>cust043</v>
      </c>
      <c r="J4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CUST043</v>
      </c>
      <c r="L45" t="s">
        <v>26</v>
      </c>
      <c r="M45" s="4" t="str">
        <f>CLEAN(TRIM(Working_Sales[[#This Row],[Gender]]))</f>
        <v>Female</v>
      </c>
      <c r="N45" s="4" t="str" cm="1">
        <f t="array" ref="N45">_xlfn.SWITCH(
   Working_Sales[[#This Row],[Gender_Whitespace_Removed]],
   "m", "Male",
   "f", "Female",
   Working_Sales[[#This Row],[Gender_Whitespace_Removed]]
)</f>
        <v>Female</v>
      </c>
      <c r="O45" s="6" t="str">
        <f>PROPER(Working_Sales[[#This Row],[Gender_Abbreviation_Expanded]])</f>
        <v>Female</v>
      </c>
      <c r="P45">
        <v>29</v>
      </c>
      <c r="Q45" s="2" t="str">
        <f>CLEAN(TRIM(Working_Sales[[#This Row],[Age]]))</f>
        <v>29</v>
      </c>
      <c r="R45" s="6">
        <f>INT(SUBSTITUTE(Working_Sales[[#This Row],[Age_Whitespace_Removed]],".",","))</f>
        <v>29</v>
      </c>
      <c r="S45" t="s">
        <v>13</v>
      </c>
      <c r="T45" s="2" t="str">
        <f>CLEAN(TRIM(Working_Sales[[#This Row],[Product Category]]))</f>
        <v>Electronics</v>
      </c>
      <c r="U45" s="6" t="str">
        <f>PROPER(Working_Sales[[#This Row],[Product_Category_Whitespace_Removed]])</f>
        <v>Electronics</v>
      </c>
      <c r="V45" t="s">
        <v>14</v>
      </c>
      <c r="W45" s="2" t="str">
        <f>CLEAN(TRIM(Working_Sales[[#This Row],[Quantity]]))</f>
        <v>4</v>
      </c>
      <c r="X45" s="2">
        <f>INT(Working_Sales[[#This Row],[`]])</f>
        <v>4</v>
      </c>
      <c r="Y45" s="6">
        <f>IFERROR(
   Working_Sales[[#This Row],[Quantity_Converted_To_Integer]],
   Working_Sales[[#This Row],[Total_Amount_Whitespace_Removed]]/Working_Sales[[#This Row],[Price_Per_Unit_Decimal_Separator_Fixed]])</f>
        <v>4</v>
      </c>
      <c r="Z45" t="s">
        <v>15</v>
      </c>
      <c r="AA45" s="2" t="str">
        <f>CLEAN(TRIM(Working_Sales[[#This Row],[Price per Unit]]))</f>
        <v>50</v>
      </c>
      <c r="AB45" s="2">
        <f>INT(
   SUBSTITUTE(Working_Sales[[#This Row],[Price_Per_Unit_Whitespace_Removed]],
   "$",
   ""
   )
)</f>
        <v>50</v>
      </c>
      <c r="AC45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45" s="8">
        <f>IFERROR(
   Working_Sales[[#This Row],[Price_Per_Unit_Decimal_Separator_Fixed]],
   Working_Sales[[#This Row],[Total_Amount_Converted_To_Integer]]/Working_Sales[[#This Row],[Quantity_Converted_To_Integer]]
)</f>
        <v>50</v>
      </c>
      <c r="AE45" t="s">
        <v>16</v>
      </c>
      <c r="AF45" s="2" t="str">
        <f>CLEAN(TRIM(Working_Sales[[#This Row],[Total Amount]]))</f>
        <v>200</v>
      </c>
      <c r="AG45" s="2">
        <f>INT(Working_Sales[[#This Row],[Total_Amount_Whitespace_Removed]])</f>
        <v>200</v>
      </c>
      <c r="AH4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46" spans="1:34" x14ac:dyDescent="0.35">
      <c r="A46" t="s">
        <v>182</v>
      </c>
      <c r="B46" s="6" t="str">
        <f>CLEAN(TRIM(Working_Sales[[#This Row],[Transaction ID]]))</f>
        <v>778</v>
      </c>
      <c r="C46" t="s">
        <v>2005</v>
      </c>
      <c r="D46" s="2" t="str">
        <f>CLEAN(TRIM(Working_Sales[[#This Row],[Date]]))</f>
        <v>18-Nov-2023</v>
      </c>
      <c r="E4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45248</v>
      </c>
      <c r="F4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45248</v>
      </c>
      <c r="G4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45248</v>
      </c>
      <c r="H46" t="s">
        <v>374</v>
      </c>
      <c r="I46" s="2" t="str">
        <f>CLEAN(TRIM(Working_Sales[[#This Row],[Customer ID]]))</f>
        <v>CUST044</v>
      </c>
      <c r="J4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CUST044</v>
      </c>
      <c r="K4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CUST044</v>
      </c>
      <c r="L46" t="s">
        <v>26</v>
      </c>
      <c r="M46" s="4" t="str">
        <f>CLEAN(TRIM(Working_Sales[[#This Row],[Gender]]))</f>
        <v>Female</v>
      </c>
      <c r="N46" s="4" t="str" cm="1">
        <f t="array" ref="N46">_xlfn.SWITCH(
   Working_Sales[[#This Row],[Gender_Whitespace_Removed]],
   "m", "Male",
   "f", "Female",
   Working_Sales[[#This Row],[Gender_Whitespace_Removed]]
)</f>
        <v>Female</v>
      </c>
      <c r="O46" s="6" t="str">
        <f>PROPER(Working_Sales[[#This Row],[Gender_Abbreviation_Expanded]])</f>
        <v>Female</v>
      </c>
      <c r="P46">
        <v>47</v>
      </c>
      <c r="Q46" s="2" t="str">
        <f>CLEAN(TRIM(Working_Sales[[#This Row],[Age]]))</f>
        <v>47</v>
      </c>
      <c r="R46" s="6">
        <f>INT(SUBSTITUTE(Working_Sales[[#This Row],[Age_Whitespace_Removed]],".",","))</f>
        <v>47</v>
      </c>
      <c r="S46" t="s">
        <v>62</v>
      </c>
      <c r="T46" s="2" t="str">
        <f>CLEAN(TRIM(Working_Sales[[#This Row],[Product Category]]))</f>
        <v>beauty</v>
      </c>
      <c r="U46" s="6" t="str">
        <f>PROPER(Working_Sales[[#This Row],[Product_Category_Whitespace_Removed]])</f>
        <v>Beauty</v>
      </c>
      <c r="V46" t="s">
        <v>14</v>
      </c>
      <c r="W46" s="2" t="str">
        <f>CLEAN(TRIM(Working_Sales[[#This Row],[Quantity]]))</f>
        <v>4</v>
      </c>
      <c r="X46" s="2">
        <f>INT(Working_Sales[[#This Row],[`]])</f>
        <v>4</v>
      </c>
      <c r="Y46" s="6">
        <f>IFERROR(
   Working_Sales[[#This Row],[Quantity_Converted_To_Integer]],
   Working_Sales[[#This Row],[Total_Amount_Whitespace_Removed]]/Working_Sales[[#This Row],[Price_Per_Unit_Decimal_Separator_Fixed]])</f>
        <v>4</v>
      </c>
      <c r="Z46" t="s">
        <v>30</v>
      </c>
      <c r="AA46" s="2" t="str">
        <f>CLEAN(TRIM(Working_Sales[[#This Row],[Price per Unit]]))</f>
        <v>25</v>
      </c>
      <c r="AB46" s="2">
        <f>INT(
   SUBSTITUTE(Working_Sales[[#This Row],[Price_Per_Unit_Whitespace_Removed]],
   "$",
   ""
   )
)</f>
        <v>25</v>
      </c>
      <c r="AC46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46" s="8">
        <f>IFERROR(
   Working_Sales[[#This Row],[Price_Per_Unit_Decimal_Separator_Fixed]],
   Working_Sales[[#This Row],[Total_Amount_Converted_To_Integer]]/Working_Sales[[#This Row],[Quantity_Converted_To_Integer]]
)</f>
        <v>25</v>
      </c>
      <c r="AE46" t="s">
        <v>38</v>
      </c>
      <c r="AF46" s="2" t="str">
        <f>CLEAN(TRIM(Working_Sales[[#This Row],[Total Amount]]))</f>
        <v>100</v>
      </c>
      <c r="AG46" s="2">
        <f>INT(Working_Sales[[#This Row],[Total_Amount_Whitespace_Removed]])</f>
        <v>100</v>
      </c>
      <c r="AH4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47" spans="1:34" x14ac:dyDescent="0.35">
      <c r="A47" t="s">
        <v>183</v>
      </c>
      <c r="B47" s="6" t="str">
        <f>CLEAN(TRIM(Working_Sales[[#This Row],[Transaction ID]]))</f>
        <v>583</v>
      </c>
      <c r="C47" t="s">
        <v>2006</v>
      </c>
      <c r="D47" s="2" t="str">
        <f>CLEAN(TRIM(Working_Sales[[#This Row],[Date]]))</f>
        <v>06/21/2023</v>
      </c>
      <c r="E47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4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45098</v>
      </c>
      <c r="G4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45098</v>
      </c>
      <c r="H47" t="s">
        <v>2358</v>
      </c>
      <c r="I47" s="2" t="str">
        <f>CLEAN(TRIM(Working_Sales[[#This Row],[Customer ID]]))</f>
        <v>CUST045</v>
      </c>
      <c r="J4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CUST045</v>
      </c>
      <c r="K4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CUST045</v>
      </c>
      <c r="L47" t="s">
        <v>112</v>
      </c>
      <c r="M47" s="4" t="str">
        <f>CLEAN(TRIM(Working_Sales[[#This Row],[Gender]]))</f>
        <v>female</v>
      </c>
      <c r="N47" s="4" t="str" cm="1">
        <f t="array" ref="N47">_xlfn.SWITCH(
   Working_Sales[[#This Row],[Gender_Whitespace_Removed]],
   "m", "Male",
   "f", "Female",
   Working_Sales[[#This Row],[Gender_Whitespace_Removed]]
)</f>
        <v>female</v>
      </c>
      <c r="O47" s="6" t="str">
        <f>PROPER(Working_Sales[[#This Row],[Gender_Abbreviation_Expanded]])</f>
        <v>Female</v>
      </c>
      <c r="P47">
        <v>24</v>
      </c>
      <c r="Q47" s="2" t="str">
        <f>CLEAN(TRIM(Working_Sales[[#This Row],[Age]]))</f>
        <v>24</v>
      </c>
      <c r="R47" s="6">
        <f>INT(SUBSTITUTE(Working_Sales[[#This Row],[Age_Whitespace_Removed]],".",","))</f>
        <v>24</v>
      </c>
      <c r="S47" t="s">
        <v>48</v>
      </c>
      <c r="T47" s="2" t="str">
        <f>CLEAN(TRIM(Working_Sales[[#This Row],[Product Category]]))</f>
        <v>electronics</v>
      </c>
      <c r="U47" s="6" t="str">
        <f>PROPER(Working_Sales[[#This Row],[Product_Category_Whitespace_Removed]])</f>
        <v>Electronics</v>
      </c>
      <c r="V47" t="s">
        <v>14</v>
      </c>
      <c r="W47" s="2" t="str">
        <f>CLEAN(TRIM(Working_Sales[[#This Row],[Quantity]]))</f>
        <v>4</v>
      </c>
      <c r="X47" s="2">
        <f>INT(Working_Sales[[#This Row],[`]])</f>
        <v>4</v>
      </c>
      <c r="Y47" s="6">
        <f>IFERROR(
   Working_Sales[[#This Row],[Quantity_Converted_To_Integer]],
   Working_Sales[[#This Row],[Total_Amount_Whitespace_Removed]]/Working_Sales[[#This Row],[Price_Per_Unit_Decimal_Separator_Fixed]])</f>
        <v>4</v>
      </c>
      <c r="Z47" t="s">
        <v>171</v>
      </c>
      <c r="AA47" s="2" t="str">
        <f>CLEAN(TRIM(Working_Sales[[#This Row],[Price per Unit]]))</f>
        <v>25</v>
      </c>
      <c r="AB47" s="2">
        <f>INT(
   SUBSTITUTE(Working_Sales[[#This Row],[Price_Per_Unit_Whitespace_Removed]],
   "$",
   ""
   )
)</f>
        <v>25</v>
      </c>
      <c r="AC47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47" s="8">
        <f>IFERROR(
   Working_Sales[[#This Row],[Price_Per_Unit_Decimal_Separator_Fixed]],
   Working_Sales[[#This Row],[Total_Amount_Converted_To_Integer]]/Working_Sales[[#This Row],[Quantity_Converted_To_Integer]]
)</f>
        <v>25</v>
      </c>
      <c r="AE47" t="s">
        <v>38</v>
      </c>
      <c r="AF47" s="2" t="str">
        <f>CLEAN(TRIM(Working_Sales[[#This Row],[Total Amount]]))</f>
        <v>100</v>
      </c>
      <c r="AG47" s="2">
        <f>INT(Working_Sales[[#This Row],[Total_Amount_Whitespace_Removed]])</f>
        <v>100</v>
      </c>
      <c r="AH4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48" spans="1:34" x14ac:dyDescent="0.35">
      <c r="A48" t="s">
        <v>185</v>
      </c>
      <c r="B48" s="6" t="str">
        <f>CLEAN(TRIM(Working_Sales[[#This Row],[Transaction ID]]))</f>
        <v>678</v>
      </c>
      <c r="C48" t="s">
        <v>132</v>
      </c>
      <c r="D48" s="2" t="str">
        <f>CLEAN(TRIM(Working_Sales[[#This Row],[Date]]))</f>
        <v>23-Dec-2023</v>
      </c>
      <c r="E4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45283</v>
      </c>
      <c r="F4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45283</v>
      </c>
      <c r="G4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45283</v>
      </c>
      <c r="H48" t="s">
        <v>2359</v>
      </c>
      <c r="I48" s="2" t="str">
        <f>CLEAN(TRIM(Working_Sales[[#This Row],[Customer ID]]))</f>
        <v>cust046</v>
      </c>
      <c r="J4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CUST046</v>
      </c>
      <c r="L48" t="s">
        <v>26</v>
      </c>
      <c r="M48" s="4" t="str">
        <f>CLEAN(TRIM(Working_Sales[[#This Row],[Gender]]))</f>
        <v>Female</v>
      </c>
      <c r="N48" s="4" t="str" cm="1">
        <f t="array" ref="N48">_xlfn.SWITCH(
   Working_Sales[[#This Row],[Gender_Whitespace_Removed]],
   "m", "Male",
   "f", "Female",
   Working_Sales[[#This Row],[Gender_Whitespace_Removed]]
)</f>
        <v>Female</v>
      </c>
      <c r="O48" s="6" t="str">
        <f>PROPER(Working_Sales[[#This Row],[Gender_Abbreviation_Expanded]])</f>
        <v>Female</v>
      </c>
      <c r="P48">
        <v>60</v>
      </c>
      <c r="Q48" s="2" t="str">
        <f>CLEAN(TRIM(Working_Sales[[#This Row],[Age]]))</f>
        <v>60</v>
      </c>
      <c r="R48" s="6">
        <f>INT(SUBSTITUTE(Working_Sales[[#This Row],[Age_Whitespace_Removed]],".",","))</f>
        <v>60</v>
      </c>
      <c r="S48" t="s">
        <v>48</v>
      </c>
      <c r="T48" s="2" t="str">
        <f>CLEAN(TRIM(Working_Sales[[#This Row],[Product Category]]))</f>
        <v>electronics</v>
      </c>
      <c r="U48" s="6" t="str">
        <f>PROPER(Working_Sales[[#This Row],[Product_Category_Whitespace_Removed]])</f>
        <v>Electronics</v>
      </c>
      <c r="V48" t="s">
        <v>29</v>
      </c>
      <c r="W48" s="2" t="str">
        <f>CLEAN(TRIM(Working_Sales[[#This Row],[Quantity]]))</f>
        <v>3</v>
      </c>
      <c r="X48" s="2">
        <f>INT(Working_Sales[[#This Row],[`]])</f>
        <v>3</v>
      </c>
      <c r="Y48" s="6">
        <f>IFERROR(
   Working_Sales[[#This Row],[Quantity_Converted_To_Integer]],
   Working_Sales[[#This Row],[Total_Amount_Whitespace_Removed]]/Working_Sales[[#This Row],[Price_Per_Unit_Decimal_Separator_Fixed]])</f>
        <v>3</v>
      </c>
      <c r="Z48" t="s">
        <v>186</v>
      </c>
      <c r="AA48" s="2" t="str">
        <f>CLEAN(TRIM(Working_Sales[[#This Row],[Price per Unit]]))</f>
        <v>$300</v>
      </c>
      <c r="AB48" s="2">
        <f>INT(
   SUBSTITUTE(Working_Sales[[#This Row],[Price_Per_Unit_Whitespace_Removed]],
   "$",
   ""
   )
)</f>
        <v>300</v>
      </c>
      <c r="AC48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48" s="8">
        <f>IFERROR(
   Working_Sales[[#This Row],[Price_Per_Unit_Decimal_Separator_Fixed]],
   Working_Sales[[#This Row],[Total_Amount_Converted_To_Integer]]/Working_Sales[[#This Row],[Quantity_Converted_To_Integer]]
)</f>
        <v>300</v>
      </c>
      <c r="AE48" t="s">
        <v>128</v>
      </c>
      <c r="AF48" s="2" t="str">
        <f>CLEAN(TRIM(Working_Sales[[#This Row],[Total Amount]]))</f>
        <v>900</v>
      </c>
      <c r="AG48" s="2">
        <f>INT(Working_Sales[[#This Row],[Total_Amount_Whitespace_Removed]])</f>
        <v>900</v>
      </c>
      <c r="AH4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49" spans="1:34" x14ac:dyDescent="0.35">
      <c r="A49" t="s">
        <v>187</v>
      </c>
      <c r="B49" s="6" t="str">
        <f>CLEAN(TRIM(Working_Sales[[#This Row],[Transaction ID]]))</f>
        <v>126</v>
      </c>
      <c r="C49" t="s">
        <v>188</v>
      </c>
      <c r="D49" s="2" t="str">
        <f>CLEAN(TRIM(Working_Sales[[#This Row],[Date]]))</f>
        <v>2023-10-26</v>
      </c>
      <c r="E4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45225</v>
      </c>
      <c r="F4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45225</v>
      </c>
      <c r="G4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45225</v>
      </c>
      <c r="H49" t="s">
        <v>2360</v>
      </c>
      <c r="I49" s="2" t="str">
        <f>CLEAN(TRIM(Working_Sales[[#This Row],[Customer ID]]))</f>
        <v>CUST047</v>
      </c>
      <c r="J4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CUST047</v>
      </c>
      <c r="K4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CUST047</v>
      </c>
      <c r="L49" t="s">
        <v>112</v>
      </c>
      <c r="M49" s="4" t="str">
        <f>CLEAN(TRIM(Working_Sales[[#This Row],[Gender]]))</f>
        <v>female</v>
      </c>
      <c r="N49" s="4" t="str" cm="1">
        <f t="array" ref="N49">_xlfn.SWITCH(
   Working_Sales[[#This Row],[Gender_Whitespace_Removed]],
   "m", "Male",
   "f", "Female",
   Working_Sales[[#This Row],[Gender_Whitespace_Removed]]
)</f>
        <v>female</v>
      </c>
      <c r="O49" s="6" t="str">
        <f>PROPER(Working_Sales[[#This Row],[Gender_Abbreviation_Expanded]])</f>
        <v>Female</v>
      </c>
      <c r="P49" t="s">
        <v>190</v>
      </c>
      <c r="Q49" s="2" t="str">
        <f>CLEAN(TRIM(Working_Sales[[#This Row],[Age]]))</f>
        <v>28.0</v>
      </c>
      <c r="R49" s="6">
        <f>INT(SUBSTITUTE(Working_Sales[[#This Row],[Age_Whitespace_Removed]],".",","))</f>
        <v>28</v>
      </c>
      <c r="S49" t="s">
        <v>56</v>
      </c>
      <c r="T49" s="2" t="str">
        <f>CLEAN(TRIM(Working_Sales[[#This Row],[Product Category]]))</f>
        <v>Clothing</v>
      </c>
      <c r="U49" s="6" t="str">
        <f>PROPER(Working_Sales[[#This Row],[Product_Category_Whitespace_Removed]])</f>
        <v>Clothing</v>
      </c>
      <c r="V49" t="s">
        <v>29</v>
      </c>
      <c r="W49" s="2" t="str">
        <f>CLEAN(TRIM(Working_Sales[[#This Row],[Quantity]]))</f>
        <v>3</v>
      </c>
      <c r="X49" s="2">
        <f>INT(Working_Sales[[#This Row],[`]])</f>
        <v>3</v>
      </c>
      <c r="Y49" s="6">
        <f>IFERROR(
   Working_Sales[[#This Row],[Quantity_Converted_To_Integer]],
   Working_Sales[[#This Row],[Total_Amount_Whitespace_Removed]]/Working_Sales[[#This Row],[Price_Per_Unit_Decimal_Separator_Fixed]])</f>
        <v>3</v>
      </c>
      <c r="AA49" s="2" t="str">
        <f>CLEAN(TRIM(Working_Sales[[#This Row],[Price per Unit]]))</f>
        <v/>
      </c>
      <c r="AB49" s="2" t="e">
        <f>INT(
   SUBSTITUTE(Working_Sales[[#This Row],[Price_Per_Unit_Whitespace_Removed]],
   "$",
   ""
   )
)</f>
        <v>#VALUE!</v>
      </c>
      <c r="AC49" s="2" t="e">
        <f>INT(
   IFERROR(
      Working_Sales[[#This Row],[Price_Per_Unit_Dollar_Sign_Removed]],
      SUBSTITUTE(
         Working_Sales[[#This Row],[Price_Per_Unit_Whitespace_Removed]],
        ".",
         ","
      )
   )
)</f>
        <v>#VALUE!</v>
      </c>
      <c r="AD49" s="8">
        <f>IFERROR(
   Working_Sales[[#This Row],[Price_Per_Unit_Decimal_Separator_Fixed]],
   Working_Sales[[#This Row],[Total_Amount_Converted_To_Integer]]/Working_Sales[[#This Row],[Quantity_Converted_To_Integer]]
)</f>
        <v>30</v>
      </c>
      <c r="AE49" t="s">
        <v>191</v>
      </c>
      <c r="AF49" s="2" t="str">
        <f>CLEAN(TRIM(Working_Sales[[#This Row],[Total Amount]]))</f>
        <v>90</v>
      </c>
      <c r="AG49" s="2">
        <f>INT(Working_Sales[[#This Row],[Total_Amount_Whitespace_Removed]])</f>
        <v>90</v>
      </c>
      <c r="AH4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50" spans="1:34" x14ac:dyDescent="0.35">
      <c r="A50" t="s">
        <v>192</v>
      </c>
      <c r="B50" s="6" t="str">
        <f>CLEAN(TRIM(Working_Sales[[#This Row],[Transaction ID]]))</f>
        <v>409</v>
      </c>
      <c r="C50" t="s">
        <v>631</v>
      </c>
      <c r="D50" s="2" t="str">
        <f>CLEAN(TRIM(Working_Sales[[#This Row],[Date]]))</f>
        <v>18/12/2023</v>
      </c>
      <c r="E5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45278</v>
      </c>
      <c r="F5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45278</v>
      </c>
      <c r="G5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45278</v>
      </c>
      <c r="H50" t="s">
        <v>2361</v>
      </c>
      <c r="I50" s="2" t="str">
        <f>CLEAN(TRIM(Working_Sales[[#This Row],[Customer ID]]))</f>
        <v>Cust048</v>
      </c>
      <c r="J5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CUST048</v>
      </c>
      <c r="L50" t="s">
        <v>26</v>
      </c>
      <c r="M50" s="4" t="str">
        <f>CLEAN(TRIM(Working_Sales[[#This Row],[Gender]]))</f>
        <v>Female</v>
      </c>
      <c r="N50" s="4" t="str" cm="1">
        <f t="array" ref="N50">_xlfn.SWITCH(
   Working_Sales[[#This Row],[Gender_Whitespace_Removed]],
   "m", "Male",
   "f", "Female",
   Working_Sales[[#This Row],[Gender_Whitespace_Removed]]
)</f>
        <v>Female</v>
      </c>
      <c r="O50" s="6" t="str">
        <f>PROPER(Working_Sales[[#This Row],[Gender_Abbreviation_Expanded]])</f>
        <v>Female</v>
      </c>
      <c r="P50" t="s">
        <v>195</v>
      </c>
      <c r="Q50" s="2" t="str">
        <f>CLEAN(TRIM(Working_Sales[[#This Row],[Age]]))</f>
        <v>21</v>
      </c>
      <c r="R50" s="6">
        <f>INT(SUBSTITUTE(Working_Sales[[#This Row],[Age_Whitespace_Removed]],".",","))</f>
        <v>21</v>
      </c>
      <c r="S50" t="s">
        <v>13</v>
      </c>
      <c r="T50" s="2" t="str">
        <f>CLEAN(TRIM(Working_Sales[[#This Row],[Product Category]]))</f>
        <v>Electronics</v>
      </c>
      <c r="U50" s="6" t="str">
        <f>PROPER(Working_Sales[[#This Row],[Product_Category_Whitespace_Removed]])</f>
        <v>Electronics</v>
      </c>
      <c r="V50" t="s">
        <v>29</v>
      </c>
      <c r="W50" s="2" t="str">
        <f>CLEAN(TRIM(Working_Sales[[#This Row],[Quantity]]))</f>
        <v>3</v>
      </c>
      <c r="X50" s="2">
        <f>INT(Working_Sales[[#This Row],[`]])</f>
        <v>3</v>
      </c>
      <c r="Y50" s="6">
        <f>IFERROR(
   Working_Sales[[#This Row],[Quantity_Converted_To_Integer]],
   Working_Sales[[#This Row],[Total_Amount_Whitespace_Removed]]/Working_Sales[[#This Row],[Price_Per_Unit_Decimal_Separator_Fixed]])</f>
        <v>3</v>
      </c>
      <c r="Z50" t="s">
        <v>23</v>
      </c>
      <c r="AA50" s="2" t="str">
        <f>CLEAN(TRIM(Working_Sales[[#This Row],[Price per Unit]]))</f>
        <v>300</v>
      </c>
      <c r="AB50" s="2">
        <f>INT(
   SUBSTITUTE(Working_Sales[[#This Row],[Price_Per_Unit_Whitespace_Removed]],
   "$",
   ""
   )
)</f>
        <v>300</v>
      </c>
      <c r="AC50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50" s="8">
        <f>IFERROR(
   Working_Sales[[#This Row],[Price_Per_Unit_Decimal_Separator_Fixed]],
   Working_Sales[[#This Row],[Total_Amount_Converted_To_Integer]]/Working_Sales[[#This Row],[Quantity_Converted_To_Integer]]
)</f>
        <v>300</v>
      </c>
      <c r="AE50" t="s">
        <v>128</v>
      </c>
      <c r="AF50" s="2" t="str">
        <f>CLEAN(TRIM(Working_Sales[[#This Row],[Total Amount]]))</f>
        <v>900</v>
      </c>
      <c r="AG50" s="2">
        <f>INT(Working_Sales[[#This Row],[Total_Amount_Whitespace_Removed]])</f>
        <v>900</v>
      </c>
      <c r="AH5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51" spans="1:34" x14ac:dyDescent="0.35">
      <c r="A51" t="s">
        <v>196</v>
      </c>
      <c r="B51" s="6" t="str">
        <f>CLEAN(TRIM(Working_Sales[[#This Row],[Transaction ID]]))</f>
        <v>771</v>
      </c>
      <c r="C51" t="s">
        <v>1600</v>
      </c>
      <c r="D51" s="2" t="str">
        <f>CLEAN(TRIM(Working_Sales[[#This Row],[Date]]))</f>
        <v>13/12/2023</v>
      </c>
      <c r="E5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45273</v>
      </c>
      <c r="F5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45273</v>
      </c>
      <c r="G5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45273</v>
      </c>
      <c r="H51" t="s">
        <v>2362</v>
      </c>
      <c r="I51" s="2" t="str">
        <f>CLEAN(TRIM(Working_Sales[[#This Row],[Customer ID]]))</f>
        <v>CUST-049</v>
      </c>
      <c r="J5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CUST049</v>
      </c>
      <c r="L51" t="s">
        <v>34</v>
      </c>
      <c r="M51" s="4" t="str">
        <f>CLEAN(TRIM(Working_Sales[[#This Row],[Gender]]))</f>
        <v>Male</v>
      </c>
      <c r="N51" s="4" t="str" cm="1">
        <f t="array" ref="N51">_xlfn.SWITCH(
   Working_Sales[[#This Row],[Gender_Whitespace_Removed]],
   "m", "Male",
   "f", "Female",
   Working_Sales[[#This Row],[Gender_Whitespace_Removed]]
)</f>
        <v>Male</v>
      </c>
      <c r="O51" s="6" t="str">
        <f>PROPER(Working_Sales[[#This Row],[Gender_Abbreviation_Expanded]])</f>
        <v>Male</v>
      </c>
      <c r="P51">
        <v>24</v>
      </c>
      <c r="Q51" s="2" t="str">
        <f>CLEAN(TRIM(Working_Sales[[#This Row],[Age]]))</f>
        <v>24</v>
      </c>
      <c r="R51" s="6">
        <f>INT(SUBSTITUTE(Working_Sales[[#This Row],[Age_Whitespace_Removed]],".",","))</f>
        <v>24</v>
      </c>
      <c r="S51" t="s">
        <v>13</v>
      </c>
      <c r="T51" s="2" t="str">
        <f>CLEAN(TRIM(Working_Sales[[#This Row],[Product Category]]))</f>
        <v>Electronics</v>
      </c>
      <c r="U51" s="6" t="str">
        <f>PROPER(Working_Sales[[#This Row],[Product_Category_Whitespace_Removed]])</f>
        <v>Electronics</v>
      </c>
      <c r="V51" t="s">
        <v>37</v>
      </c>
      <c r="W51" s="2" t="str">
        <f>CLEAN(TRIM(Working_Sales[[#This Row],[Quantity]]))</f>
        <v>2</v>
      </c>
      <c r="X51" s="2">
        <f>INT(Working_Sales[[#This Row],[`]])</f>
        <v>2</v>
      </c>
      <c r="Y51" s="6">
        <f>IFERROR(
   Working_Sales[[#This Row],[Quantity_Converted_To_Integer]],
   Working_Sales[[#This Row],[Total_Amount_Whitespace_Removed]]/Working_Sales[[#This Row],[Price_Per_Unit_Decimal_Separator_Fixed]])</f>
        <v>2</v>
      </c>
      <c r="Z51" t="s">
        <v>30</v>
      </c>
      <c r="AA51" s="2" t="str">
        <f>CLEAN(TRIM(Working_Sales[[#This Row],[Price per Unit]]))</f>
        <v>25</v>
      </c>
      <c r="AB51" s="2">
        <f>INT(
   SUBSTITUTE(Working_Sales[[#This Row],[Price_Per_Unit_Whitespace_Removed]],
   "$",
   ""
   )
)</f>
        <v>25</v>
      </c>
      <c r="AC51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51" s="8">
        <f>IFERROR(
   Working_Sales[[#This Row],[Price_Per_Unit_Decimal_Separator_Fixed]],
   Working_Sales[[#This Row],[Total_Amount_Converted_To_Integer]]/Working_Sales[[#This Row],[Quantity_Converted_To_Integer]]
)</f>
        <v>25</v>
      </c>
      <c r="AE51" t="s">
        <v>15</v>
      </c>
      <c r="AF51" s="2" t="str">
        <f>CLEAN(TRIM(Working_Sales[[#This Row],[Total Amount]]))</f>
        <v>50</v>
      </c>
      <c r="AG51" s="2">
        <f>INT(Working_Sales[[#This Row],[Total_Amount_Whitespace_Removed]])</f>
        <v>50</v>
      </c>
      <c r="AH5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52" spans="1:34" x14ac:dyDescent="0.35">
      <c r="A52" t="s">
        <v>197</v>
      </c>
      <c r="B52" s="6" t="str">
        <f>CLEAN(TRIM(Working_Sales[[#This Row],[Transaction ID]]))</f>
        <v>14</v>
      </c>
      <c r="C52" t="s">
        <v>198</v>
      </c>
      <c r="D52" s="2" t="str">
        <f>CLEAN(TRIM(Working_Sales[[#This Row],[Date]]))</f>
        <v>2023-01-17</v>
      </c>
      <c r="E5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44943</v>
      </c>
      <c r="F5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44943</v>
      </c>
      <c r="G5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44943</v>
      </c>
      <c r="H52" t="s">
        <v>2363</v>
      </c>
      <c r="I52" s="2" t="str">
        <f>CLEAN(TRIM(Working_Sales[[#This Row],[Customer ID]]))</f>
        <v>cust050</v>
      </c>
      <c r="J5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CUST050</v>
      </c>
      <c r="L52" t="s">
        <v>34</v>
      </c>
      <c r="M52" s="4" t="str">
        <f>CLEAN(TRIM(Working_Sales[[#This Row],[Gender]]))</f>
        <v>Male</v>
      </c>
      <c r="N52" s="4" t="str" cm="1">
        <f t="array" ref="N52">_xlfn.SWITCH(
   Working_Sales[[#This Row],[Gender_Whitespace_Removed]],
   "m", "Male",
   "f", "Female",
   Working_Sales[[#This Row],[Gender_Whitespace_Removed]]
)</f>
        <v>Male</v>
      </c>
      <c r="O52" s="6" t="str">
        <f>PROPER(Working_Sales[[#This Row],[Gender_Abbreviation_Expanded]])</f>
        <v>Male</v>
      </c>
      <c r="P52">
        <v>64</v>
      </c>
      <c r="Q52" s="2" t="str">
        <f>CLEAN(TRIM(Working_Sales[[#This Row],[Age]]))</f>
        <v>64</v>
      </c>
      <c r="R52" s="6">
        <f>INT(SUBSTITUTE(Working_Sales[[#This Row],[Age_Whitespace_Removed]],".",","))</f>
        <v>64</v>
      </c>
      <c r="S52" t="s">
        <v>124</v>
      </c>
      <c r="T52" s="2" t="str">
        <f>CLEAN(TRIM(Working_Sales[[#This Row],[Product Category]]))</f>
        <v>Clothing</v>
      </c>
      <c r="U52" s="6" t="str">
        <f>PROPER(Working_Sales[[#This Row],[Product_Category_Whitespace_Removed]])</f>
        <v>Clothing</v>
      </c>
      <c r="V52" t="s">
        <v>14</v>
      </c>
      <c r="W52" s="2" t="str">
        <f>CLEAN(TRIM(Working_Sales[[#This Row],[Quantity]]))</f>
        <v>4</v>
      </c>
      <c r="X52" s="2">
        <f>INT(Working_Sales[[#This Row],[`]])</f>
        <v>4</v>
      </c>
      <c r="Y52" s="6">
        <f>IFERROR(
   Working_Sales[[#This Row],[Quantity_Converted_To_Integer]],
   Working_Sales[[#This Row],[Total_Amount_Whitespace_Removed]]/Working_Sales[[#This Row],[Price_Per_Unit_Decimal_Separator_Fixed]])</f>
        <v>4</v>
      </c>
      <c r="Z52" t="s">
        <v>70</v>
      </c>
      <c r="AA52" s="2" t="str">
        <f>CLEAN(TRIM(Working_Sales[[#This Row],[Price per Unit]]))</f>
        <v>30</v>
      </c>
      <c r="AB52" s="2">
        <f>INT(
   SUBSTITUTE(Working_Sales[[#This Row],[Price_Per_Unit_Whitespace_Removed]],
   "$",
   ""
   )
)</f>
        <v>30</v>
      </c>
      <c r="AC52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52" s="8">
        <f>IFERROR(
   Working_Sales[[#This Row],[Price_Per_Unit_Decimal_Separator_Fixed]],
   Working_Sales[[#This Row],[Total_Amount_Converted_To_Integer]]/Working_Sales[[#This Row],[Quantity_Converted_To_Integer]]
)</f>
        <v>30</v>
      </c>
      <c r="AE52" t="s">
        <v>44</v>
      </c>
      <c r="AF52" s="2" t="str">
        <f>CLEAN(TRIM(Working_Sales[[#This Row],[Total Amount]]))</f>
        <v>120</v>
      </c>
      <c r="AG52" s="2">
        <f>INT(Working_Sales[[#This Row],[Total_Amount_Whitespace_Removed]])</f>
        <v>120</v>
      </c>
      <c r="AH5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53" spans="1:34" x14ac:dyDescent="0.35">
      <c r="A53" t="s">
        <v>200</v>
      </c>
      <c r="B53" s="6" t="str">
        <f>CLEAN(TRIM(Working_Sales[[#This Row],[Transaction ID]]))</f>
        <v>814</v>
      </c>
      <c r="C53" t="s">
        <v>1362</v>
      </c>
      <c r="D53" s="2" t="str">
        <f>CLEAN(TRIM(Working_Sales[[#This Row],[Date]]))</f>
        <v>05-Sep-2023</v>
      </c>
      <c r="E5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45174</v>
      </c>
      <c r="F5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45174</v>
      </c>
      <c r="G5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45174</v>
      </c>
      <c r="H53" t="s">
        <v>2364</v>
      </c>
      <c r="I53" s="2" t="str">
        <f>CLEAN(TRIM(Working_Sales[[#This Row],[Customer ID]]))</f>
        <v>cust051</v>
      </c>
      <c r="J5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CUST051</v>
      </c>
      <c r="L53" t="s">
        <v>26</v>
      </c>
      <c r="M53" s="4" t="str">
        <f>CLEAN(TRIM(Working_Sales[[#This Row],[Gender]]))</f>
        <v>Female</v>
      </c>
      <c r="N53" s="4" t="str" cm="1">
        <f t="array" ref="N53">_xlfn.SWITCH(
   Working_Sales[[#This Row],[Gender_Whitespace_Removed]],
   "m", "Male",
   "f", "Female",
   Working_Sales[[#This Row],[Gender_Whitespace_Removed]]
)</f>
        <v>Female</v>
      </c>
      <c r="O53" s="6" t="str">
        <f>PROPER(Working_Sales[[#This Row],[Gender_Abbreviation_Expanded]])</f>
        <v>Female</v>
      </c>
      <c r="P53">
        <v>59</v>
      </c>
      <c r="Q53" s="2" t="str">
        <f>CLEAN(TRIM(Working_Sales[[#This Row],[Age]]))</f>
        <v>59</v>
      </c>
      <c r="R53" s="6">
        <f>INT(SUBSTITUTE(Working_Sales[[#This Row],[Age_Whitespace_Removed]],".",","))</f>
        <v>59</v>
      </c>
      <c r="S53" t="s">
        <v>56</v>
      </c>
      <c r="T53" s="2" t="str">
        <f>CLEAN(TRIM(Working_Sales[[#This Row],[Product Category]]))</f>
        <v>Clothing</v>
      </c>
      <c r="U53" s="6" t="str">
        <f>PROPER(Working_Sales[[#This Row],[Product_Category_Whitespace_Removed]])</f>
        <v>Clothing</v>
      </c>
      <c r="V53" t="s">
        <v>22</v>
      </c>
      <c r="W53" s="2" t="str">
        <f>CLEAN(TRIM(Working_Sales[[#This Row],[Quantity]]))</f>
        <v>1</v>
      </c>
      <c r="X53" s="2">
        <f>INT(Working_Sales[[#This Row],[`]])</f>
        <v>1</v>
      </c>
      <c r="Y53" s="6">
        <f>IFERROR(
   Working_Sales[[#This Row],[Quantity_Converted_To_Integer]],
   Working_Sales[[#This Row],[Total_Amount_Whitespace_Removed]]/Working_Sales[[#This Row],[Price_Per_Unit_Decimal_Separator_Fixed]])</f>
        <v>1</v>
      </c>
      <c r="Z53" t="s">
        <v>84</v>
      </c>
      <c r="AA53" s="2" t="str">
        <f>CLEAN(TRIM(Working_Sales[[#This Row],[Price per Unit]]))</f>
        <v>500.00</v>
      </c>
      <c r="AB53" s="2" t="e">
        <f>INT(
   SUBSTITUTE(Working_Sales[[#This Row],[Price_Per_Unit_Whitespace_Removed]],
   "$",
   ""
   )
)</f>
        <v>#VALUE!</v>
      </c>
      <c r="AC53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53" s="8">
        <f>IFERROR(
   Working_Sales[[#This Row],[Price_Per_Unit_Decimal_Separator_Fixed]],
   Working_Sales[[#This Row],[Total_Amount_Converted_To_Integer]]/Working_Sales[[#This Row],[Quantity_Converted_To_Integer]]
)</f>
        <v>500</v>
      </c>
      <c r="AE53" t="s">
        <v>57</v>
      </c>
      <c r="AF53" s="2" t="str">
        <f>CLEAN(TRIM(Working_Sales[[#This Row],[Total Amount]]))</f>
        <v>500</v>
      </c>
      <c r="AG53" s="2">
        <f>INT(Working_Sales[[#This Row],[Total_Amount_Whitespace_Removed]])</f>
        <v>500</v>
      </c>
      <c r="AH5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54" spans="1:34" x14ac:dyDescent="0.35">
      <c r="A54" t="s">
        <v>201</v>
      </c>
      <c r="B54" s="6" t="str">
        <f>CLEAN(TRIM(Working_Sales[[#This Row],[Transaction ID]]))</f>
        <v>552</v>
      </c>
      <c r="C54" t="s">
        <v>1600</v>
      </c>
      <c r="D54" s="2" t="str">
        <f>CLEAN(TRIM(Working_Sales[[#This Row],[Date]]))</f>
        <v>13/12/2023</v>
      </c>
      <c r="E5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45273</v>
      </c>
      <c r="F5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45273</v>
      </c>
      <c r="G5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45273</v>
      </c>
      <c r="H54" t="s">
        <v>2365</v>
      </c>
      <c r="I54" s="2" t="str">
        <f>CLEAN(TRIM(Working_Sales[[#This Row],[Customer ID]]))</f>
        <v>CUST-052</v>
      </c>
      <c r="J5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CUST052</v>
      </c>
      <c r="L54" t="s">
        <v>26</v>
      </c>
      <c r="M54" s="4" t="str">
        <f>CLEAN(TRIM(Working_Sales[[#This Row],[Gender]]))</f>
        <v>Female</v>
      </c>
      <c r="N54" s="4" t="str" cm="1">
        <f t="array" ref="N54">_xlfn.SWITCH(
   Working_Sales[[#This Row],[Gender_Whitespace_Removed]],
   "m", "Male",
   "f", "Female",
   Working_Sales[[#This Row],[Gender_Whitespace_Removed]]
)</f>
        <v>Female</v>
      </c>
      <c r="O54" s="6" t="str">
        <f>PROPER(Working_Sales[[#This Row],[Gender_Abbreviation_Expanded]])</f>
        <v>Female</v>
      </c>
      <c r="P54">
        <v>49</v>
      </c>
      <c r="Q54" s="2" t="str">
        <f>CLEAN(TRIM(Working_Sales[[#This Row],[Age]]))</f>
        <v>49</v>
      </c>
      <c r="R54" s="6">
        <f>INT(SUBSTITUTE(Working_Sales[[#This Row],[Age_Whitespace_Removed]],".",","))</f>
        <v>49</v>
      </c>
      <c r="S54" t="s">
        <v>13</v>
      </c>
      <c r="T54" s="2" t="str">
        <f>CLEAN(TRIM(Working_Sales[[#This Row],[Product Category]]))</f>
        <v>Electronics</v>
      </c>
      <c r="U54" s="6" t="str">
        <f>PROPER(Working_Sales[[#This Row],[Product_Category_Whitespace_Removed]])</f>
        <v>Electronics</v>
      </c>
      <c r="V54" t="s">
        <v>29</v>
      </c>
      <c r="W54" s="2" t="str">
        <f>CLEAN(TRIM(Working_Sales[[#This Row],[Quantity]]))</f>
        <v>3</v>
      </c>
      <c r="X54" s="2">
        <f>INT(Working_Sales[[#This Row],[`]])</f>
        <v>3</v>
      </c>
      <c r="Y54" s="6">
        <f>IFERROR(
   Working_Sales[[#This Row],[Quantity_Converted_To_Integer]],
   Working_Sales[[#This Row],[Total_Amount_Whitespace_Removed]]/Working_Sales[[#This Row],[Price_Per_Unit_Decimal_Separator_Fixed]])</f>
        <v>3</v>
      </c>
      <c r="Z54" t="s">
        <v>171</v>
      </c>
      <c r="AA54" s="2" t="str">
        <f>CLEAN(TRIM(Working_Sales[[#This Row],[Price per Unit]]))</f>
        <v>25</v>
      </c>
      <c r="AB54" s="2">
        <f>INT(
   SUBSTITUTE(Working_Sales[[#This Row],[Price_Per_Unit_Whitespace_Removed]],
   "$",
   ""
   )
)</f>
        <v>25</v>
      </c>
      <c r="AC54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54" s="8">
        <f>IFERROR(
   Working_Sales[[#This Row],[Price_Per_Unit_Decimal_Separator_Fixed]],
   Working_Sales[[#This Row],[Total_Amount_Converted_To_Integer]]/Working_Sales[[#This Row],[Quantity_Converted_To_Integer]]
)</f>
        <v>25</v>
      </c>
      <c r="AE54" t="s">
        <v>31</v>
      </c>
      <c r="AF54" s="2" t="str">
        <f>CLEAN(TRIM(Working_Sales[[#This Row],[Total Amount]]))</f>
        <v>75</v>
      </c>
      <c r="AG54" s="2">
        <f>INT(Working_Sales[[#This Row],[Total_Amount_Whitespace_Removed]])</f>
        <v>75</v>
      </c>
      <c r="AH5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55" spans="1:34" x14ac:dyDescent="0.35">
      <c r="A55" t="s">
        <v>38</v>
      </c>
      <c r="B55" s="6" t="str">
        <f>CLEAN(TRIM(Working_Sales[[#This Row],[Transaction ID]]))</f>
        <v>100</v>
      </c>
      <c r="C55" t="s">
        <v>2007</v>
      </c>
      <c r="D55" s="2" t="str">
        <f>CLEAN(TRIM(Working_Sales[[#This Row],[Date]]))</f>
        <v>06/16/2023</v>
      </c>
      <c r="E55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5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45093</v>
      </c>
      <c r="G5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45093</v>
      </c>
      <c r="H55" t="s">
        <v>2366</v>
      </c>
      <c r="I55" s="2" t="str">
        <f>CLEAN(TRIM(Working_Sales[[#This Row],[Customer ID]]))</f>
        <v>CUST053</v>
      </c>
      <c r="J5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CUST053</v>
      </c>
      <c r="K5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CUST053</v>
      </c>
      <c r="L55" t="s">
        <v>34</v>
      </c>
      <c r="M55" s="4" t="str">
        <f>CLEAN(TRIM(Working_Sales[[#This Row],[Gender]]))</f>
        <v>Male</v>
      </c>
      <c r="N55" s="4" t="str" cm="1">
        <f t="array" ref="N55">_xlfn.SWITCH(
   Working_Sales[[#This Row],[Gender_Whitespace_Removed]],
   "m", "Male",
   "f", "Female",
   Working_Sales[[#This Row],[Gender_Whitespace_Removed]]
)</f>
        <v>Male</v>
      </c>
      <c r="O55" s="6" t="str">
        <f>PROPER(Working_Sales[[#This Row],[Gender_Abbreviation_Expanded]])</f>
        <v>Male</v>
      </c>
      <c r="P55">
        <v>41</v>
      </c>
      <c r="Q55" s="2" t="str">
        <f>CLEAN(TRIM(Working_Sales[[#This Row],[Age]]))</f>
        <v>41</v>
      </c>
      <c r="R55" s="6">
        <f>INT(SUBSTITUTE(Working_Sales[[#This Row],[Age_Whitespace_Removed]],".",","))</f>
        <v>41</v>
      </c>
      <c r="S55" t="s">
        <v>13</v>
      </c>
      <c r="T55" s="2" t="str">
        <f>CLEAN(TRIM(Working_Sales[[#This Row],[Product Category]]))</f>
        <v>Electronics</v>
      </c>
      <c r="U55" s="6" t="str">
        <f>PROPER(Working_Sales[[#This Row],[Product_Category_Whitespace_Removed]])</f>
        <v>Electronics</v>
      </c>
      <c r="V55" t="s">
        <v>22</v>
      </c>
      <c r="W55" s="2" t="str">
        <f>CLEAN(TRIM(Working_Sales[[#This Row],[Quantity]]))</f>
        <v>1</v>
      </c>
      <c r="X55" s="2">
        <f>INT(Working_Sales[[#This Row],[`]])</f>
        <v>1</v>
      </c>
      <c r="Y55" s="6">
        <f>IFERROR(
   Working_Sales[[#This Row],[Quantity_Converted_To_Integer]],
   Working_Sales[[#This Row],[Total_Amount_Whitespace_Removed]]/Working_Sales[[#This Row],[Price_Per_Unit_Decimal_Separator_Fixed]])</f>
        <v>1</v>
      </c>
      <c r="Z55" t="s">
        <v>147</v>
      </c>
      <c r="AA55" s="2" t="str">
        <f>CLEAN(TRIM(Working_Sales[[#This Row],[Price per Unit]]))</f>
        <v>$30</v>
      </c>
      <c r="AB55" s="2">
        <f>INT(
   SUBSTITUTE(Working_Sales[[#This Row],[Price_Per_Unit_Whitespace_Removed]],
   "$",
   ""
   )
)</f>
        <v>30</v>
      </c>
      <c r="AC55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55" s="8">
        <f>IFERROR(
   Working_Sales[[#This Row],[Price_Per_Unit_Decimal_Separator_Fixed]],
   Working_Sales[[#This Row],[Total_Amount_Converted_To_Integer]]/Working_Sales[[#This Row],[Quantity_Converted_To_Integer]]
)</f>
        <v>30</v>
      </c>
      <c r="AE55" t="s">
        <v>70</v>
      </c>
      <c r="AF55" s="2" t="str">
        <f>CLEAN(TRIM(Working_Sales[[#This Row],[Total Amount]]))</f>
        <v>30</v>
      </c>
      <c r="AG55" s="2">
        <f>INT(Working_Sales[[#This Row],[Total_Amount_Whitespace_Removed]])</f>
        <v>30</v>
      </c>
      <c r="AH5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56" spans="1:34" x14ac:dyDescent="0.35">
      <c r="A56" t="s">
        <v>205</v>
      </c>
      <c r="B56" s="6" t="str">
        <f>CLEAN(TRIM(Working_Sales[[#This Row],[Transaction ID]]))</f>
        <v>588</v>
      </c>
      <c r="C56" t="s">
        <v>997</v>
      </c>
      <c r="D56" s="2" t="str">
        <f>CLEAN(TRIM(Working_Sales[[#This Row],[Date]]))</f>
        <v>26/04/2023</v>
      </c>
      <c r="E5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45042</v>
      </c>
      <c r="F5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45042</v>
      </c>
      <c r="G5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45042</v>
      </c>
      <c r="H56" t="s">
        <v>2367</v>
      </c>
      <c r="I56" s="2" t="str">
        <f>CLEAN(TRIM(Working_Sales[[#This Row],[Customer ID]]))</f>
        <v>CUST054</v>
      </c>
      <c r="J5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CUST054</v>
      </c>
      <c r="K5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CUST054</v>
      </c>
      <c r="L56" t="s">
        <v>34</v>
      </c>
      <c r="M56" s="4" t="str">
        <f>CLEAN(TRIM(Working_Sales[[#This Row],[Gender]]))</f>
        <v>Male</v>
      </c>
      <c r="N56" s="4" t="str" cm="1">
        <f t="array" ref="N56">_xlfn.SWITCH(
   Working_Sales[[#This Row],[Gender_Whitespace_Removed]],
   "m", "Male",
   "f", "Female",
   Working_Sales[[#This Row],[Gender_Whitespace_Removed]]
)</f>
        <v>Male</v>
      </c>
      <c r="O56" s="6" t="str">
        <f>PROPER(Working_Sales[[#This Row],[Gender_Abbreviation_Expanded]])</f>
        <v>Male</v>
      </c>
      <c r="P56">
        <v>38</v>
      </c>
      <c r="Q56" s="2" t="str">
        <f>CLEAN(TRIM(Working_Sales[[#This Row],[Age]]))</f>
        <v>38</v>
      </c>
      <c r="R56" s="6">
        <f>INT(SUBSTITUTE(Working_Sales[[#This Row],[Age_Whitespace_Removed]],".",","))</f>
        <v>38</v>
      </c>
      <c r="S56" t="s">
        <v>13</v>
      </c>
      <c r="T56" s="2" t="str">
        <f>CLEAN(TRIM(Working_Sales[[#This Row],[Product Category]]))</f>
        <v>Electronics</v>
      </c>
      <c r="U56" s="6" t="str">
        <f>PROPER(Working_Sales[[#This Row],[Product_Category_Whitespace_Removed]])</f>
        <v>Electronics</v>
      </c>
      <c r="V56" t="s">
        <v>37</v>
      </c>
      <c r="W56" s="2" t="str">
        <f>CLEAN(TRIM(Working_Sales[[#This Row],[Quantity]]))</f>
        <v>2</v>
      </c>
      <c r="X56" s="2">
        <f>INT(Working_Sales[[#This Row],[`]])</f>
        <v>2</v>
      </c>
      <c r="Y56" s="6">
        <f>IFERROR(
   Working_Sales[[#This Row],[Quantity_Converted_To_Integer]],
   Working_Sales[[#This Row],[Total_Amount_Whitespace_Removed]]/Working_Sales[[#This Row],[Price_Per_Unit_Decimal_Separator_Fixed]])</f>
        <v>2</v>
      </c>
      <c r="Z56" t="s">
        <v>70</v>
      </c>
      <c r="AA56" s="2" t="str">
        <f>CLEAN(TRIM(Working_Sales[[#This Row],[Price per Unit]]))</f>
        <v>30</v>
      </c>
      <c r="AB56" s="2">
        <f>INT(
   SUBSTITUTE(Working_Sales[[#This Row],[Price_Per_Unit_Whitespace_Removed]],
   "$",
   ""
   )
)</f>
        <v>30</v>
      </c>
      <c r="AC56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56" s="8">
        <f>IFERROR(
   Working_Sales[[#This Row],[Price_Per_Unit_Decimal_Separator_Fixed]],
   Working_Sales[[#This Row],[Total_Amount_Converted_To_Integer]]/Working_Sales[[#This Row],[Quantity_Converted_To_Integer]]
)</f>
        <v>30</v>
      </c>
      <c r="AE56" t="s">
        <v>71</v>
      </c>
      <c r="AF56" s="2" t="str">
        <f>CLEAN(TRIM(Working_Sales[[#This Row],[Total Amount]]))</f>
        <v>60</v>
      </c>
      <c r="AG56" s="2">
        <f>INT(Working_Sales[[#This Row],[Total_Amount_Whitespace_Removed]])</f>
        <v>60</v>
      </c>
      <c r="AH5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57" spans="1:34" x14ac:dyDescent="0.35">
      <c r="A57" t="s">
        <v>206</v>
      </c>
      <c r="B57" s="6" t="str">
        <f>CLEAN(TRIM(Working_Sales[[#This Row],[Transaction ID]]))</f>
        <v>455</v>
      </c>
      <c r="C57" t="s">
        <v>207</v>
      </c>
      <c r="D57" s="2" t="str">
        <f>CLEAN(TRIM(Working_Sales[[#This Row],[Date]]))</f>
        <v>2023-07-01</v>
      </c>
      <c r="E5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45108</v>
      </c>
      <c r="F5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45108</v>
      </c>
      <c r="G5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45108</v>
      </c>
      <c r="H57" t="s">
        <v>2348</v>
      </c>
      <c r="I57" s="2" t="str">
        <f>CLEAN(TRIM(Working_Sales[[#This Row],[Customer ID]]))</f>
        <v>CUST032</v>
      </c>
      <c r="J5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CUST032</v>
      </c>
      <c r="L57" t="s">
        <v>34</v>
      </c>
      <c r="M57" s="4" t="str">
        <f>CLEAN(TRIM(Working_Sales[[#This Row],[Gender]]))</f>
        <v>Male</v>
      </c>
      <c r="N57" s="4" t="str" cm="1">
        <f t="array" ref="N57">_xlfn.SWITCH(
   Working_Sales[[#This Row],[Gender_Whitespace_Removed]],
   "m", "Male",
   "f", "Female",
   Working_Sales[[#This Row],[Gender_Whitespace_Removed]]
)</f>
        <v>Male</v>
      </c>
      <c r="O57" s="6" t="str">
        <f>PROPER(Working_Sales[[#This Row],[Gender_Abbreviation_Expanded]])</f>
        <v>Male</v>
      </c>
      <c r="P57">
        <v>31</v>
      </c>
      <c r="Q57" s="2" t="str">
        <f>CLEAN(TRIM(Working_Sales[[#This Row],[Age]]))</f>
        <v>31</v>
      </c>
      <c r="R57" s="6">
        <f>INT(SUBSTITUTE(Working_Sales[[#This Row],[Age_Whitespace_Removed]],".",","))</f>
        <v>31</v>
      </c>
      <c r="S57" t="s">
        <v>117</v>
      </c>
      <c r="T57" s="2" t="str">
        <f>CLEAN(TRIM(Working_Sales[[#This Row],[Product Category]]))</f>
        <v>Electronics</v>
      </c>
      <c r="U57" s="6" t="str">
        <f>PROPER(Working_Sales[[#This Row],[Product_Category_Whitespace_Removed]])</f>
        <v>Electronics</v>
      </c>
      <c r="V57" t="s">
        <v>14</v>
      </c>
      <c r="W57" s="2" t="str">
        <f>CLEAN(TRIM(Working_Sales[[#This Row],[Quantity]]))</f>
        <v>4</v>
      </c>
      <c r="X57" s="2">
        <f>INT(Working_Sales[[#This Row],[`]])</f>
        <v>4</v>
      </c>
      <c r="Y57" s="6">
        <f>IFERROR(
   Working_Sales[[#This Row],[Quantity_Converted_To_Integer]],
   Working_Sales[[#This Row],[Total_Amount_Whitespace_Removed]]/Working_Sales[[#This Row],[Price_Per_Unit_Decimal_Separator_Fixed]])</f>
        <v>4</v>
      </c>
      <c r="Z57" t="s">
        <v>30</v>
      </c>
      <c r="AA57" s="2" t="str">
        <f>CLEAN(TRIM(Working_Sales[[#This Row],[Price per Unit]]))</f>
        <v>25</v>
      </c>
      <c r="AB57" s="2">
        <f>INT(
   SUBSTITUTE(Working_Sales[[#This Row],[Price_Per_Unit_Whitespace_Removed]],
   "$",
   ""
   )
)</f>
        <v>25</v>
      </c>
      <c r="AC57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57" s="8">
        <f>IFERROR(
   Working_Sales[[#This Row],[Price_Per_Unit_Decimal_Separator_Fixed]],
   Working_Sales[[#This Row],[Total_Amount_Converted_To_Integer]]/Working_Sales[[#This Row],[Quantity_Converted_To_Integer]]
)</f>
        <v>25</v>
      </c>
      <c r="AE57" t="s">
        <v>38</v>
      </c>
      <c r="AF57" s="2" t="str">
        <f>CLEAN(TRIM(Working_Sales[[#This Row],[Total Amount]]))</f>
        <v>100</v>
      </c>
      <c r="AG57" s="2">
        <f>INT(Working_Sales[[#This Row],[Total_Amount_Whitespace_Removed]])</f>
        <v>100</v>
      </c>
      <c r="AH5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58" spans="1:34" x14ac:dyDescent="0.35">
      <c r="A58" t="s">
        <v>209</v>
      </c>
      <c r="B58" s="6" t="str">
        <f>CLEAN(TRIM(Working_Sales[[#This Row],[Transaction ID]]))</f>
        <v>996</v>
      </c>
      <c r="C58" t="s">
        <v>210</v>
      </c>
      <c r="D58" s="2" t="str">
        <f>CLEAN(TRIM(Working_Sales[[#This Row],[Date]]))</f>
        <v>2023-05-16</v>
      </c>
      <c r="E5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45062</v>
      </c>
      <c r="F5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45062</v>
      </c>
      <c r="G5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45062</v>
      </c>
      <c r="H58" t="s">
        <v>2368</v>
      </c>
      <c r="I58" s="2" t="str">
        <f>CLEAN(TRIM(Working_Sales[[#This Row],[Customer ID]]))</f>
        <v>CUST055</v>
      </c>
      <c r="J5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CUST055</v>
      </c>
      <c r="K5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CUST055</v>
      </c>
      <c r="L58" t="s">
        <v>34</v>
      </c>
      <c r="M58" s="4" t="str">
        <f>CLEAN(TRIM(Working_Sales[[#This Row],[Gender]]))</f>
        <v>Male</v>
      </c>
      <c r="N58" s="4" t="str" cm="1">
        <f t="array" ref="N58">_xlfn.SWITCH(
   Working_Sales[[#This Row],[Gender_Whitespace_Removed]],
   "m", "Male",
   "f", "Female",
   Working_Sales[[#This Row],[Gender_Whitespace_Removed]]
)</f>
        <v>Male</v>
      </c>
      <c r="O58" s="6" t="str">
        <f>PROPER(Working_Sales[[#This Row],[Gender_Abbreviation_Expanded]])</f>
        <v>Male</v>
      </c>
      <c r="P58">
        <v>62</v>
      </c>
      <c r="Q58" s="2" t="str">
        <f>CLEAN(TRIM(Working_Sales[[#This Row],[Age]]))</f>
        <v>62</v>
      </c>
      <c r="R58" s="6">
        <f>INT(SUBSTITUTE(Working_Sales[[#This Row],[Age_Whitespace_Removed]],".",","))</f>
        <v>62</v>
      </c>
      <c r="S58" t="s">
        <v>56</v>
      </c>
      <c r="T58" s="2" t="str">
        <f>CLEAN(TRIM(Working_Sales[[#This Row],[Product Category]]))</f>
        <v>Clothing</v>
      </c>
      <c r="U58" s="6" t="str">
        <f>PROPER(Working_Sales[[#This Row],[Product_Category_Whitespace_Removed]])</f>
        <v>Clothing</v>
      </c>
      <c r="V58" t="s">
        <v>22</v>
      </c>
      <c r="W58" s="2" t="str">
        <f>CLEAN(TRIM(Working_Sales[[#This Row],[Quantity]]))</f>
        <v>1</v>
      </c>
      <c r="X58" s="2">
        <f>INT(Working_Sales[[#This Row],[`]])</f>
        <v>1</v>
      </c>
      <c r="Y58" s="6">
        <f>IFERROR(
   Working_Sales[[#This Row],[Quantity_Converted_To_Integer]],
   Working_Sales[[#This Row],[Total_Amount_Whitespace_Removed]]/Working_Sales[[#This Row],[Price_Per_Unit_Decimal_Separator_Fixed]])</f>
        <v>1</v>
      </c>
      <c r="Z58" t="s">
        <v>96</v>
      </c>
      <c r="AA58" s="2" t="str">
        <f>CLEAN(TRIM(Working_Sales[[#This Row],[Price per Unit]]))</f>
        <v>$50</v>
      </c>
      <c r="AB58" s="2">
        <f>INT(
   SUBSTITUTE(Working_Sales[[#This Row],[Price_Per_Unit_Whitespace_Removed]],
   "$",
   ""
   )
)</f>
        <v>50</v>
      </c>
      <c r="AC58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58" s="8">
        <f>IFERROR(
   Working_Sales[[#This Row],[Price_Per_Unit_Decimal_Separator_Fixed]],
   Working_Sales[[#This Row],[Total_Amount_Converted_To_Integer]]/Working_Sales[[#This Row],[Quantity_Converted_To_Integer]]
)</f>
        <v>50</v>
      </c>
      <c r="AE58" t="s">
        <v>15</v>
      </c>
      <c r="AF58" s="2" t="str">
        <f>CLEAN(TRIM(Working_Sales[[#This Row],[Total Amount]]))</f>
        <v>50</v>
      </c>
      <c r="AG58" s="2">
        <f>INT(Working_Sales[[#This Row],[Total_Amount_Whitespace_Removed]])</f>
        <v>50</v>
      </c>
      <c r="AH5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59" spans="1:34" x14ac:dyDescent="0.35">
      <c r="A59" t="s">
        <v>211</v>
      </c>
      <c r="B59" s="6" t="str">
        <f>CLEAN(TRIM(Working_Sales[[#This Row],[Transaction ID]]))</f>
        <v>362</v>
      </c>
      <c r="C59" t="s">
        <v>212</v>
      </c>
      <c r="D59" s="2" t="str">
        <f>CLEAN(TRIM(Working_Sales[[#This Row],[Date]]))</f>
        <v>2023-11-27</v>
      </c>
      <c r="E5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45257</v>
      </c>
      <c r="F5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45257</v>
      </c>
      <c r="G5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45257</v>
      </c>
      <c r="H59" t="s">
        <v>2369</v>
      </c>
      <c r="I59" s="2" t="str">
        <f>CLEAN(TRIM(Working_Sales[[#This Row],[Customer ID]]))</f>
        <v>cust056</v>
      </c>
      <c r="J5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CUST056</v>
      </c>
      <c r="L59" t="s">
        <v>34</v>
      </c>
      <c r="M59" s="4" t="str">
        <f>CLEAN(TRIM(Working_Sales[[#This Row],[Gender]]))</f>
        <v>Male</v>
      </c>
      <c r="N59" s="4" t="str" cm="1">
        <f t="array" ref="N59">_xlfn.SWITCH(
   Working_Sales[[#This Row],[Gender_Whitespace_Removed]],
   "m", "Male",
   "f", "Female",
   Working_Sales[[#This Row],[Gender_Whitespace_Removed]]
)</f>
        <v>Male</v>
      </c>
      <c r="O59" s="6" t="str">
        <f>PROPER(Working_Sales[[#This Row],[Gender_Abbreviation_Expanded]])</f>
        <v>Male</v>
      </c>
      <c r="P59">
        <v>50</v>
      </c>
      <c r="Q59" s="2" t="str">
        <f>CLEAN(TRIM(Working_Sales[[#This Row],[Age]]))</f>
        <v>50</v>
      </c>
      <c r="R59" s="6">
        <f>INT(SUBSTITUTE(Working_Sales[[#This Row],[Age_Whitespace_Removed]],".",","))</f>
        <v>50</v>
      </c>
      <c r="S59" t="s">
        <v>56</v>
      </c>
      <c r="T59" s="2" t="str">
        <f>CLEAN(TRIM(Working_Sales[[#This Row],[Product Category]]))</f>
        <v>Clothing</v>
      </c>
      <c r="U59" s="6" t="str">
        <f>PROPER(Working_Sales[[#This Row],[Product_Category_Whitespace_Removed]])</f>
        <v>Clothing</v>
      </c>
      <c r="V59" t="s">
        <v>22</v>
      </c>
      <c r="W59" s="2" t="str">
        <f>CLEAN(TRIM(Working_Sales[[#This Row],[Quantity]]))</f>
        <v>1</v>
      </c>
      <c r="X59" s="2">
        <f>INT(Working_Sales[[#This Row],[`]])</f>
        <v>1</v>
      </c>
      <c r="Y59" s="6">
        <f>IFERROR(
   Working_Sales[[#This Row],[Quantity_Converted_To_Integer]],
   Working_Sales[[#This Row],[Total_Amount_Whitespace_Removed]]/Working_Sales[[#This Row],[Price_Per_Unit_Decimal_Separator_Fixed]])</f>
        <v>1</v>
      </c>
      <c r="Z59" t="s">
        <v>171</v>
      </c>
      <c r="AA59" s="2" t="str">
        <f>CLEAN(TRIM(Working_Sales[[#This Row],[Price per Unit]]))</f>
        <v>25</v>
      </c>
      <c r="AB59" s="2">
        <f>INT(
   SUBSTITUTE(Working_Sales[[#This Row],[Price_Per_Unit_Whitespace_Removed]],
   "$",
   ""
   )
)</f>
        <v>25</v>
      </c>
      <c r="AC59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59" s="8">
        <f>IFERROR(
   Working_Sales[[#This Row],[Price_Per_Unit_Decimal_Separator_Fixed]],
   Working_Sales[[#This Row],[Total_Amount_Converted_To_Integer]]/Working_Sales[[#This Row],[Quantity_Converted_To_Integer]]
)</f>
        <v>25</v>
      </c>
      <c r="AE59" t="s">
        <v>30</v>
      </c>
      <c r="AF59" s="2" t="str">
        <f>CLEAN(TRIM(Working_Sales[[#This Row],[Total Amount]]))</f>
        <v>25</v>
      </c>
      <c r="AG59" s="2">
        <f>INT(Working_Sales[[#This Row],[Total_Amount_Whitespace_Removed]])</f>
        <v>25</v>
      </c>
      <c r="AH5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60" spans="1:34" x14ac:dyDescent="0.35">
      <c r="A60" t="s">
        <v>213</v>
      </c>
      <c r="B60" s="6" t="str">
        <f>CLEAN(TRIM(Working_Sales[[#This Row],[Transaction ID]]))</f>
        <v>114</v>
      </c>
      <c r="C60" t="s">
        <v>214</v>
      </c>
      <c r="D60" s="2" t="str">
        <f>CLEAN(TRIM(Working_Sales[[#This Row],[Date]]))</f>
        <v>2023-07-22</v>
      </c>
      <c r="E6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45129</v>
      </c>
      <c r="F6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45129</v>
      </c>
      <c r="G6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45129</v>
      </c>
      <c r="H60" t="s">
        <v>2370</v>
      </c>
      <c r="I60" s="2" t="str">
        <f>CLEAN(TRIM(Working_Sales[[#This Row],[Customer ID]]))</f>
        <v>CUST057</v>
      </c>
      <c r="J6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CUST057</v>
      </c>
      <c r="K6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CUST057</v>
      </c>
      <c r="L60" t="s">
        <v>26</v>
      </c>
      <c r="M60" s="4" t="str">
        <f>CLEAN(TRIM(Working_Sales[[#This Row],[Gender]]))</f>
        <v>Female</v>
      </c>
      <c r="N60" s="4" t="str" cm="1">
        <f t="array" ref="N60">_xlfn.SWITCH(
   Working_Sales[[#This Row],[Gender_Whitespace_Removed]],
   "m", "Male",
   "f", "Female",
   Working_Sales[[#This Row],[Gender_Whitespace_Removed]]
)</f>
        <v>Female</v>
      </c>
      <c r="O60" s="6" t="str">
        <f>PROPER(Working_Sales[[#This Row],[Gender_Abbreviation_Expanded]])</f>
        <v>Female</v>
      </c>
      <c r="P60">
        <v>22</v>
      </c>
      <c r="Q60" s="2" t="str">
        <f>CLEAN(TRIM(Working_Sales[[#This Row],[Age]]))</f>
        <v>22</v>
      </c>
      <c r="R60" s="6">
        <f>INT(SUBSTITUTE(Working_Sales[[#This Row],[Age_Whitespace_Removed]],".",","))</f>
        <v>22</v>
      </c>
      <c r="S60" t="s">
        <v>36</v>
      </c>
      <c r="T60" s="2" t="str">
        <f>CLEAN(TRIM(Working_Sales[[#This Row],[Product Category]]))</f>
        <v>Beauty</v>
      </c>
      <c r="U60" s="6" t="str">
        <f>PROPER(Working_Sales[[#This Row],[Product_Category_Whitespace_Removed]])</f>
        <v>Beauty</v>
      </c>
      <c r="V60" t="s">
        <v>14</v>
      </c>
      <c r="W60" s="2" t="str">
        <f>CLEAN(TRIM(Working_Sales[[#This Row],[Quantity]]))</f>
        <v>4</v>
      </c>
      <c r="X60" s="2">
        <f>INT(Working_Sales[[#This Row],[`]])</f>
        <v>4</v>
      </c>
      <c r="Y60" s="6">
        <f>IFERROR(
   Working_Sales[[#This Row],[Quantity_Converted_To_Integer]],
   Working_Sales[[#This Row],[Total_Amount_Whitespace_Removed]]/Working_Sales[[#This Row],[Price_Per_Unit_Decimal_Separator_Fixed]])</f>
        <v>4</v>
      </c>
      <c r="Z60" t="s">
        <v>30</v>
      </c>
      <c r="AA60" s="2" t="str">
        <f>CLEAN(TRIM(Working_Sales[[#This Row],[Price per Unit]]))</f>
        <v>25</v>
      </c>
      <c r="AB60" s="2">
        <f>INT(
   SUBSTITUTE(Working_Sales[[#This Row],[Price_Per_Unit_Whitespace_Removed]],
   "$",
   ""
   )
)</f>
        <v>25</v>
      </c>
      <c r="AC60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60" s="8">
        <f>IFERROR(
   Working_Sales[[#This Row],[Price_Per_Unit_Decimal_Separator_Fixed]],
   Working_Sales[[#This Row],[Total_Amount_Converted_To_Integer]]/Working_Sales[[#This Row],[Quantity_Converted_To_Integer]]
)</f>
        <v>25</v>
      </c>
      <c r="AE60" t="s">
        <v>38</v>
      </c>
      <c r="AF60" s="2" t="str">
        <f>CLEAN(TRIM(Working_Sales[[#This Row],[Total Amount]]))</f>
        <v>100</v>
      </c>
      <c r="AG60" s="2">
        <f>INT(Working_Sales[[#This Row],[Total_Amount_Whitespace_Removed]])</f>
        <v>100</v>
      </c>
      <c r="AH6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61" spans="1:34" x14ac:dyDescent="0.35">
      <c r="A61" t="s">
        <v>217</v>
      </c>
      <c r="B61" s="6" t="str">
        <f>CLEAN(TRIM(Working_Sales[[#This Row],[Transaction ID]]))</f>
        <v>865</v>
      </c>
      <c r="C61" t="s">
        <v>218</v>
      </c>
      <c r="D61" s="2" t="str">
        <f>CLEAN(TRIM(Working_Sales[[#This Row],[Date]]))</f>
        <v>2023-12-21</v>
      </c>
      <c r="E6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45281</v>
      </c>
      <c r="F6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45281</v>
      </c>
      <c r="G6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45281</v>
      </c>
      <c r="H61" t="s">
        <v>2371</v>
      </c>
      <c r="I61" s="2" t="str">
        <f>CLEAN(TRIM(Working_Sales[[#This Row],[Customer ID]]))</f>
        <v>CUST006</v>
      </c>
      <c r="J6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CUST006</v>
      </c>
      <c r="K6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CUST006</v>
      </c>
      <c r="L61" t="s">
        <v>140</v>
      </c>
      <c r="M61" s="4" t="str">
        <f>CLEAN(TRIM(Working_Sales[[#This Row],[Gender]]))</f>
        <v>FEMALE</v>
      </c>
      <c r="N61" s="4" t="str" cm="1">
        <f t="array" ref="N61">_xlfn.SWITCH(
   Working_Sales[[#This Row],[Gender_Whitespace_Removed]],
   "m", "Male",
   "f", "Female",
   Working_Sales[[#This Row],[Gender_Whitespace_Removed]]
)</f>
        <v>FEMALE</v>
      </c>
      <c r="O61" s="6" t="str">
        <f>PROPER(Working_Sales[[#This Row],[Gender_Abbreviation_Expanded]])</f>
        <v>Female</v>
      </c>
      <c r="P61">
        <v>42</v>
      </c>
      <c r="Q61" s="2" t="str">
        <f>CLEAN(TRIM(Working_Sales[[#This Row],[Age]]))</f>
        <v>42</v>
      </c>
      <c r="R61" s="6">
        <f>INT(SUBSTITUTE(Working_Sales[[#This Row],[Age_Whitespace_Removed]],".",","))</f>
        <v>42</v>
      </c>
      <c r="S61" t="s">
        <v>56</v>
      </c>
      <c r="T61" s="2" t="str">
        <f>CLEAN(TRIM(Working_Sales[[#This Row],[Product Category]]))</f>
        <v>Clothing</v>
      </c>
      <c r="U61" s="6" t="str">
        <f>PROPER(Working_Sales[[#This Row],[Product_Category_Whitespace_Removed]])</f>
        <v>Clothing</v>
      </c>
      <c r="V61" t="s">
        <v>22</v>
      </c>
      <c r="W61" s="2" t="str">
        <f>CLEAN(TRIM(Working_Sales[[#This Row],[Quantity]]))</f>
        <v>1</v>
      </c>
      <c r="X61" s="2">
        <f>INT(Working_Sales[[#This Row],[`]])</f>
        <v>1</v>
      </c>
      <c r="Y61" s="6">
        <f>IFERROR(
   Working_Sales[[#This Row],[Quantity_Converted_To_Integer]],
   Working_Sales[[#This Row],[Total_Amount_Whitespace_Removed]]/Working_Sales[[#This Row],[Price_Per_Unit_Decimal_Separator_Fixed]])</f>
        <v>1</v>
      </c>
      <c r="Z61" t="s">
        <v>23</v>
      </c>
      <c r="AA61" s="2" t="str">
        <f>CLEAN(TRIM(Working_Sales[[#This Row],[Price per Unit]]))</f>
        <v>300</v>
      </c>
      <c r="AB61" s="2">
        <f>INT(
   SUBSTITUTE(Working_Sales[[#This Row],[Price_Per_Unit_Whitespace_Removed]],
   "$",
   ""
   )
)</f>
        <v>300</v>
      </c>
      <c r="AC61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61" s="8">
        <f>IFERROR(
   Working_Sales[[#This Row],[Price_Per_Unit_Decimal_Separator_Fixed]],
   Working_Sales[[#This Row],[Total_Amount_Converted_To_Integer]]/Working_Sales[[#This Row],[Quantity_Converted_To_Integer]]
)</f>
        <v>300</v>
      </c>
      <c r="AE61" t="s">
        <v>23</v>
      </c>
      <c r="AF61" s="2" t="str">
        <f>CLEAN(TRIM(Working_Sales[[#This Row],[Total Amount]]))</f>
        <v>300</v>
      </c>
      <c r="AG61" s="2">
        <f>INT(Working_Sales[[#This Row],[Total_Amount_Whitespace_Removed]])</f>
        <v>300</v>
      </c>
      <c r="AH6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62" spans="1:34" x14ac:dyDescent="0.35">
      <c r="A62" t="s">
        <v>219</v>
      </c>
      <c r="B62" s="6" t="str">
        <f>CLEAN(TRIM(Working_Sales[[#This Row],[Transaction ID]]))</f>
        <v>95</v>
      </c>
      <c r="C62" t="s">
        <v>220</v>
      </c>
      <c r="D62" s="2" t="str">
        <f>CLEAN(TRIM(Working_Sales[[#This Row],[Date]]))</f>
        <v>2023-11-24</v>
      </c>
      <c r="E6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45254</v>
      </c>
      <c r="F6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45254</v>
      </c>
      <c r="G6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45254</v>
      </c>
      <c r="H62" t="s">
        <v>2372</v>
      </c>
      <c r="I62" s="2" t="str">
        <f>CLEAN(TRIM(Working_Sales[[#This Row],[Customer ID]]))</f>
        <v>cust058</v>
      </c>
      <c r="J6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CUST058</v>
      </c>
      <c r="L62" t="s">
        <v>26</v>
      </c>
      <c r="M62" s="4" t="str">
        <f>CLEAN(TRIM(Working_Sales[[#This Row],[Gender]]))</f>
        <v>Female</v>
      </c>
      <c r="N62" s="4" t="str" cm="1">
        <f t="array" ref="N62">_xlfn.SWITCH(
   Working_Sales[[#This Row],[Gender_Whitespace_Removed]],
   "m", "Male",
   "f", "Female",
   Working_Sales[[#This Row],[Gender_Whitespace_Removed]]
)</f>
        <v>Female</v>
      </c>
      <c r="O62" s="6" t="str">
        <f>PROPER(Working_Sales[[#This Row],[Gender_Abbreviation_Expanded]])</f>
        <v>Female</v>
      </c>
      <c r="P62">
        <v>32</v>
      </c>
      <c r="Q62" s="2" t="str">
        <f>CLEAN(TRIM(Working_Sales[[#This Row],[Age]]))</f>
        <v>32</v>
      </c>
      <c r="R62" s="6">
        <f>INT(SUBSTITUTE(Working_Sales[[#This Row],[Age_Whitespace_Removed]],".",","))</f>
        <v>32</v>
      </c>
      <c r="S62" t="s">
        <v>56</v>
      </c>
      <c r="T62" s="2" t="str">
        <f>CLEAN(TRIM(Working_Sales[[#This Row],[Product Category]]))</f>
        <v>Clothing</v>
      </c>
      <c r="U62" s="6" t="str">
        <f>PROPER(Working_Sales[[#This Row],[Product_Category_Whitespace_Removed]])</f>
        <v>Clothing</v>
      </c>
      <c r="V62" t="s">
        <v>37</v>
      </c>
      <c r="W62" s="2" t="str">
        <f>CLEAN(TRIM(Working_Sales[[#This Row],[Quantity]]))</f>
        <v>2</v>
      </c>
      <c r="X62" s="2">
        <f>INT(Working_Sales[[#This Row],[`]])</f>
        <v>2</v>
      </c>
      <c r="Y62" s="6">
        <f>IFERROR(
   Working_Sales[[#This Row],[Quantity_Converted_To_Integer]],
   Working_Sales[[#This Row],[Total_Amount_Whitespace_Removed]]/Working_Sales[[#This Row],[Price_Per_Unit_Decimal_Separator_Fixed]])</f>
        <v>2</v>
      </c>
      <c r="Z62" t="s">
        <v>70</v>
      </c>
      <c r="AA62" s="2" t="str">
        <f>CLEAN(TRIM(Working_Sales[[#This Row],[Price per Unit]]))</f>
        <v>30</v>
      </c>
      <c r="AB62" s="2">
        <f>INT(
   SUBSTITUTE(Working_Sales[[#This Row],[Price_Per_Unit_Whitespace_Removed]],
   "$",
   ""
   )
)</f>
        <v>30</v>
      </c>
      <c r="AC62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62" s="8">
        <f>IFERROR(
   Working_Sales[[#This Row],[Price_Per_Unit_Decimal_Separator_Fixed]],
   Working_Sales[[#This Row],[Total_Amount_Converted_To_Integer]]/Working_Sales[[#This Row],[Quantity_Converted_To_Integer]]
)</f>
        <v>30</v>
      </c>
      <c r="AE62" t="s">
        <v>71</v>
      </c>
      <c r="AF62" s="2" t="str">
        <f>CLEAN(TRIM(Working_Sales[[#This Row],[Total Amount]]))</f>
        <v>60</v>
      </c>
      <c r="AG62" s="2">
        <f>INT(Working_Sales[[#This Row],[Total_Amount_Whitespace_Removed]])</f>
        <v>60</v>
      </c>
      <c r="AH6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63" spans="1:34" x14ac:dyDescent="0.35">
      <c r="A63" t="s">
        <v>222</v>
      </c>
      <c r="B63" s="6" t="str">
        <f>CLEAN(TRIM(Working_Sales[[#This Row],[Transaction ID]]))</f>
        <v>929</v>
      </c>
      <c r="C63" t="s">
        <v>223</v>
      </c>
      <c r="D63" s="2" t="str">
        <f>CLEAN(TRIM(Working_Sales[[#This Row],[Date]]))</f>
        <v>01/27/2023</v>
      </c>
      <c r="E63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6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44953</v>
      </c>
      <c r="G6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44953</v>
      </c>
      <c r="H63" t="s">
        <v>2373</v>
      </c>
      <c r="I63" s="2" t="str">
        <f>CLEAN(TRIM(Working_Sales[[#This Row],[Customer ID]]))</f>
        <v>CUST-059</v>
      </c>
      <c r="J6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CUST059</v>
      </c>
      <c r="L63" t="s">
        <v>26</v>
      </c>
      <c r="M63" s="4" t="str">
        <f>CLEAN(TRIM(Working_Sales[[#This Row],[Gender]]))</f>
        <v>Female</v>
      </c>
      <c r="N63" s="4" t="str" cm="1">
        <f t="array" ref="N63">_xlfn.SWITCH(
   Working_Sales[[#This Row],[Gender_Whitespace_Removed]],
   "m", "Male",
   "f", "Female",
   Working_Sales[[#This Row],[Gender_Whitespace_Removed]]
)</f>
        <v>Female</v>
      </c>
      <c r="O63" s="6" t="str">
        <f>PROPER(Working_Sales[[#This Row],[Gender_Abbreviation_Expanded]])</f>
        <v>Female</v>
      </c>
      <c r="P63">
        <v>23</v>
      </c>
      <c r="Q63" s="2" t="str">
        <f>CLEAN(TRIM(Working_Sales[[#This Row],[Age]]))</f>
        <v>23</v>
      </c>
      <c r="R63" s="6">
        <f>INT(SUBSTITUTE(Working_Sales[[#This Row],[Age_Whitespace_Removed]],".",","))</f>
        <v>23</v>
      </c>
      <c r="S63" t="s">
        <v>36</v>
      </c>
      <c r="T63" s="2" t="str">
        <f>CLEAN(TRIM(Working_Sales[[#This Row],[Product Category]]))</f>
        <v>Beauty</v>
      </c>
      <c r="U63" s="6" t="str">
        <f>PROPER(Working_Sales[[#This Row],[Product_Category_Whitespace_Removed]])</f>
        <v>Beauty</v>
      </c>
      <c r="V63" t="s">
        <v>29</v>
      </c>
      <c r="W63" s="2" t="str">
        <f>CLEAN(TRIM(Working_Sales[[#This Row],[Quantity]]))</f>
        <v>3</v>
      </c>
      <c r="X63" s="2">
        <f>INT(Working_Sales[[#This Row],[`]])</f>
        <v>3</v>
      </c>
      <c r="Y63" s="6">
        <f>IFERROR(
   Working_Sales[[#This Row],[Quantity_Converted_To_Integer]],
   Working_Sales[[#This Row],[Total_Amount_Whitespace_Removed]]/Working_Sales[[#This Row],[Price_Per_Unit_Decimal_Separator_Fixed]])</f>
        <v>3</v>
      </c>
      <c r="Z63" t="s">
        <v>30</v>
      </c>
      <c r="AA63" s="2" t="str">
        <f>CLEAN(TRIM(Working_Sales[[#This Row],[Price per Unit]]))</f>
        <v>25</v>
      </c>
      <c r="AB63" s="2">
        <f>INT(
   SUBSTITUTE(Working_Sales[[#This Row],[Price_Per_Unit_Whitespace_Removed]],
   "$",
   ""
   )
)</f>
        <v>25</v>
      </c>
      <c r="AC63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63" s="8">
        <f>IFERROR(
   Working_Sales[[#This Row],[Price_Per_Unit_Decimal_Separator_Fixed]],
   Working_Sales[[#This Row],[Total_Amount_Converted_To_Integer]]/Working_Sales[[#This Row],[Quantity_Converted_To_Integer]]
)</f>
        <v>25</v>
      </c>
      <c r="AE63" t="s">
        <v>31</v>
      </c>
      <c r="AF63" s="2" t="str">
        <f>CLEAN(TRIM(Working_Sales[[#This Row],[Total Amount]]))</f>
        <v>75</v>
      </c>
      <c r="AG63" s="2">
        <f>INT(Working_Sales[[#This Row],[Total_Amount_Whitespace_Removed]])</f>
        <v>75</v>
      </c>
      <c r="AH6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64" spans="1:34" x14ac:dyDescent="0.35">
      <c r="A64" t="s">
        <v>224</v>
      </c>
      <c r="B64" s="6" t="str">
        <f>CLEAN(TRIM(Working_Sales[[#This Row],[Transaction ID]]))</f>
        <v>452</v>
      </c>
      <c r="C64" t="s">
        <v>2008</v>
      </c>
      <c r="D64" s="2" t="str">
        <f>CLEAN(TRIM(Working_Sales[[#This Row],[Date]]))</f>
        <v>08-May-2023</v>
      </c>
      <c r="E6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45054</v>
      </c>
      <c r="F6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45054</v>
      </c>
      <c r="G6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45054</v>
      </c>
      <c r="H64" t="s">
        <v>2374</v>
      </c>
      <c r="I64" s="2" t="str">
        <f>CLEAN(TRIM(Working_Sales[[#This Row],[Customer ID]]))</f>
        <v>cust060</v>
      </c>
      <c r="J6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CUST060</v>
      </c>
      <c r="L64" t="s">
        <v>140</v>
      </c>
      <c r="M64" s="4" t="str">
        <f>CLEAN(TRIM(Working_Sales[[#This Row],[Gender]]))</f>
        <v>FEMALE</v>
      </c>
      <c r="N64" s="4" t="str" cm="1">
        <f t="array" ref="N64">_xlfn.SWITCH(
   Working_Sales[[#This Row],[Gender_Whitespace_Removed]],
   "m", "Male",
   "f", "Female",
   Working_Sales[[#This Row],[Gender_Whitespace_Removed]]
)</f>
        <v>FEMALE</v>
      </c>
      <c r="O64" s="6" t="str">
        <f>PROPER(Working_Sales[[#This Row],[Gender_Abbreviation_Expanded]])</f>
        <v>Female</v>
      </c>
      <c r="P64">
        <v>48</v>
      </c>
      <c r="Q64" s="2" t="str">
        <f>CLEAN(TRIM(Working_Sales[[#This Row],[Age]]))</f>
        <v>48</v>
      </c>
      <c r="R64" s="6">
        <f>INT(SUBSTITUTE(Working_Sales[[#This Row],[Age_Whitespace_Removed]],".",","))</f>
        <v>48</v>
      </c>
      <c r="S64" t="s">
        <v>56</v>
      </c>
      <c r="T64" s="2" t="str">
        <f>CLEAN(TRIM(Working_Sales[[#This Row],[Product Category]]))</f>
        <v>Clothing</v>
      </c>
      <c r="U64" s="6" t="str">
        <f>PROPER(Working_Sales[[#This Row],[Product_Category_Whitespace_Removed]])</f>
        <v>Clothing</v>
      </c>
      <c r="V64" t="s">
        <v>29</v>
      </c>
      <c r="W64" s="2" t="str">
        <f>CLEAN(TRIM(Working_Sales[[#This Row],[Quantity]]))</f>
        <v>3</v>
      </c>
      <c r="X64" s="2">
        <f>INT(Working_Sales[[#This Row],[`]])</f>
        <v>3</v>
      </c>
      <c r="Y64" s="6">
        <f>IFERROR(
   Working_Sales[[#This Row],[Quantity_Converted_To_Integer]],
   Working_Sales[[#This Row],[Total_Amount_Whitespace_Removed]]/Working_Sales[[#This Row],[Price_Per_Unit_Decimal_Separator_Fixed]])</f>
        <v>3</v>
      </c>
      <c r="Z64" t="s">
        <v>57</v>
      </c>
      <c r="AA64" s="2" t="str">
        <f>CLEAN(TRIM(Working_Sales[[#This Row],[Price per Unit]]))</f>
        <v>500</v>
      </c>
      <c r="AB64" s="2">
        <f>INT(
   SUBSTITUTE(Working_Sales[[#This Row],[Price_Per_Unit_Whitespace_Removed]],
   "$",
   ""
   )
)</f>
        <v>500</v>
      </c>
      <c r="AC64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64" s="8">
        <f>IFERROR(
   Working_Sales[[#This Row],[Price_Per_Unit_Decimal_Separator_Fixed]],
   Working_Sales[[#This Row],[Total_Amount_Converted_To_Integer]]/Working_Sales[[#This Row],[Quantity_Converted_To_Integer]]
)</f>
        <v>500</v>
      </c>
      <c r="AE64" t="s">
        <v>85</v>
      </c>
      <c r="AF64" s="2" t="str">
        <f>CLEAN(TRIM(Working_Sales[[#This Row],[Total Amount]]))</f>
        <v>1500</v>
      </c>
      <c r="AG64" s="2">
        <f>INT(Working_Sales[[#This Row],[Total_Amount_Whitespace_Removed]])</f>
        <v>1500</v>
      </c>
      <c r="AH6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65" spans="1:34" x14ac:dyDescent="0.35">
      <c r="A65" t="s">
        <v>227</v>
      </c>
      <c r="B65" s="6" t="str">
        <f>CLEAN(TRIM(Working_Sales[[#This Row],[Transaction ID]]))</f>
        <v>468</v>
      </c>
      <c r="C65" t="s">
        <v>2009</v>
      </c>
      <c r="D65" s="2" t="str">
        <f>CLEAN(TRIM(Working_Sales[[#This Row],[Date]]))</f>
        <v>09-Dec-2023</v>
      </c>
      <c r="E6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45269</v>
      </c>
      <c r="F6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45269</v>
      </c>
      <c r="G6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45269</v>
      </c>
      <c r="H65" t="s">
        <v>2375</v>
      </c>
      <c r="I65" s="2" t="str">
        <f>CLEAN(TRIM(Working_Sales[[#This Row],[Customer ID]]))</f>
        <v>CUST061</v>
      </c>
      <c r="J6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CUST061</v>
      </c>
      <c r="K6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CUST061</v>
      </c>
      <c r="L65" t="s">
        <v>34</v>
      </c>
      <c r="M65" s="4" t="str">
        <f>CLEAN(TRIM(Working_Sales[[#This Row],[Gender]]))</f>
        <v>Male</v>
      </c>
      <c r="N65" s="4" t="str" cm="1">
        <f t="array" ref="N65">_xlfn.SWITCH(
   Working_Sales[[#This Row],[Gender_Whitespace_Removed]],
   "m", "Male",
   "f", "Female",
   Working_Sales[[#This Row],[Gender_Whitespace_Removed]]
)</f>
        <v>Male</v>
      </c>
      <c r="O65" s="6" t="str">
        <f>PROPER(Working_Sales[[#This Row],[Gender_Abbreviation_Expanded]])</f>
        <v>Male</v>
      </c>
      <c r="P65">
        <v>40</v>
      </c>
      <c r="Q65" s="2" t="str">
        <f>CLEAN(TRIM(Working_Sales[[#This Row],[Age]]))</f>
        <v>40</v>
      </c>
      <c r="R65" s="6">
        <f>INT(SUBSTITUTE(Working_Sales[[#This Row],[Age_Whitespace_Removed]],".",","))</f>
        <v>40</v>
      </c>
      <c r="S65" t="s">
        <v>13</v>
      </c>
      <c r="T65" s="2" t="str">
        <f>CLEAN(TRIM(Working_Sales[[#This Row],[Product Category]]))</f>
        <v>Electronics</v>
      </c>
      <c r="U65" s="6" t="str">
        <f>PROPER(Working_Sales[[#This Row],[Product_Category_Whitespace_Removed]])</f>
        <v>Electronics</v>
      </c>
      <c r="V65" t="s">
        <v>22</v>
      </c>
      <c r="W65" s="2" t="str">
        <f>CLEAN(TRIM(Working_Sales[[#This Row],[Quantity]]))</f>
        <v>1</v>
      </c>
      <c r="X65" s="2">
        <f>INT(Working_Sales[[#This Row],[`]])</f>
        <v>1</v>
      </c>
      <c r="Y65" s="6">
        <f>IFERROR(
   Working_Sales[[#This Row],[Quantity_Converted_To_Integer]],
   Working_Sales[[#This Row],[Total_Amount_Whitespace_Removed]]/Working_Sales[[#This Row],[Price_Per_Unit_Decimal_Separator_Fixed]])</f>
        <v>1</v>
      </c>
      <c r="Z65" t="s">
        <v>171</v>
      </c>
      <c r="AA65" s="2" t="str">
        <f>CLEAN(TRIM(Working_Sales[[#This Row],[Price per Unit]]))</f>
        <v>25</v>
      </c>
      <c r="AB65" s="2">
        <f>INT(
   SUBSTITUTE(Working_Sales[[#This Row],[Price_Per_Unit_Whitespace_Removed]],
   "$",
   ""
   )
)</f>
        <v>25</v>
      </c>
      <c r="AC65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65" s="8">
        <f>IFERROR(
   Working_Sales[[#This Row],[Price_Per_Unit_Decimal_Separator_Fixed]],
   Working_Sales[[#This Row],[Total_Amount_Converted_To_Integer]]/Working_Sales[[#This Row],[Quantity_Converted_To_Integer]]
)</f>
        <v>25</v>
      </c>
      <c r="AE65" t="s">
        <v>30</v>
      </c>
      <c r="AF65" s="2" t="str">
        <f>CLEAN(TRIM(Working_Sales[[#This Row],[Total Amount]]))</f>
        <v>25</v>
      </c>
      <c r="AG65" s="2">
        <f>INT(Working_Sales[[#This Row],[Total_Amount_Whitespace_Removed]])</f>
        <v>25</v>
      </c>
      <c r="AH6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66" spans="1:34" x14ac:dyDescent="0.35">
      <c r="A66" t="s">
        <v>229</v>
      </c>
      <c r="B66" s="6" t="str">
        <f>CLEAN(TRIM(Working_Sales[[#This Row],[Transaction ID]]))</f>
        <v>420</v>
      </c>
      <c r="C66" t="s">
        <v>230</v>
      </c>
      <c r="D66" s="2" t="str">
        <f>CLEAN(TRIM(Working_Sales[[#This Row],[Date]]))</f>
        <v>2023-01-23</v>
      </c>
      <c r="E6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44949</v>
      </c>
      <c r="F6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44949</v>
      </c>
      <c r="G6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44949</v>
      </c>
      <c r="H66" t="s">
        <v>2376</v>
      </c>
      <c r="I66" s="2" t="str">
        <f>CLEAN(TRIM(Working_Sales[[#This Row],[Customer ID]]))</f>
        <v>cust062</v>
      </c>
      <c r="J6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CUST062</v>
      </c>
      <c r="L66" t="s">
        <v>140</v>
      </c>
      <c r="M66" s="4" t="str">
        <f>CLEAN(TRIM(Working_Sales[[#This Row],[Gender]]))</f>
        <v>FEMALE</v>
      </c>
      <c r="N66" s="4" t="str" cm="1">
        <f t="array" ref="N66">_xlfn.SWITCH(
   Working_Sales[[#This Row],[Gender_Whitespace_Removed]],
   "m", "Male",
   "f", "Female",
   Working_Sales[[#This Row],[Gender_Whitespace_Removed]]
)</f>
        <v>FEMALE</v>
      </c>
      <c r="O66" s="6" t="str">
        <f>PROPER(Working_Sales[[#This Row],[Gender_Abbreviation_Expanded]])</f>
        <v>Female</v>
      </c>
      <c r="P66">
        <v>22</v>
      </c>
      <c r="Q66" s="2" t="str">
        <f>CLEAN(TRIM(Working_Sales[[#This Row],[Age]]))</f>
        <v>22</v>
      </c>
      <c r="R66" s="6">
        <f>INT(SUBSTITUTE(Working_Sales[[#This Row],[Age_Whitespace_Removed]],".",","))</f>
        <v>22</v>
      </c>
      <c r="S66" t="s">
        <v>56</v>
      </c>
      <c r="T66" s="2" t="str">
        <f>CLEAN(TRIM(Working_Sales[[#This Row],[Product Category]]))</f>
        <v>Clothing</v>
      </c>
      <c r="U66" s="6" t="str">
        <f>PROPER(Working_Sales[[#This Row],[Product_Category_Whitespace_Removed]])</f>
        <v>Clothing</v>
      </c>
      <c r="V66" t="s">
        <v>14</v>
      </c>
      <c r="W66" s="2" t="str">
        <f>CLEAN(TRIM(Working_Sales[[#This Row],[Quantity]]))</f>
        <v>4</v>
      </c>
      <c r="X66" s="2">
        <f>INT(Working_Sales[[#This Row],[`]])</f>
        <v>4</v>
      </c>
      <c r="Y66" s="6">
        <f>IFERROR(
   Working_Sales[[#This Row],[Quantity_Converted_To_Integer]],
   Working_Sales[[#This Row],[Total_Amount_Whitespace_Removed]]/Working_Sales[[#This Row],[Price_Per_Unit_Decimal_Separator_Fixed]])</f>
        <v>4</v>
      </c>
      <c r="Z66" t="s">
        <v>57</v>
      </c>
      <c r="AA66" s="2" t="str">
        <f>CLEAN(TRIM(Working_Sales[[#This Row],[Price per Unit]]))</f>
        <v>500</v>
      </c>
      <c r="AB66" s="2">
        <f>INT(
   SUBSTITUTE(Working_Sales[[#This Row],[Price_Per_Unit_Whitespace_Removed]],
   "$",
   ""
   )
)</f>
        <v>500</v>
      </c>
      <c r="AC66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66" s="8">
        <f>IFERROR(
   Working_Sales[[#This Row],[Price_Per_Unit_Decimal_Separator_Fixed]],
   Working_Sales[[#This Row],[Total_Amount_Converted_To_Integer]]/Working_Sales[[#This Row],[Quantity_Converted_To_Integer]]
)</f>
        <v>500</v>
      </c>
      <c r="AE66" t="s">
        <v>232</v>
      </c>
      <c r="AF66" s="2" t="str">
        <f>CLEAN(TRIM(Working_Sales[[#This Row],[Total Amount]]))</f>
        <v>2000</v>
      </c>
      <c r="AG66" s="2">
        <f>INT(Working_Sales[[#This Row],[Total_Amount_Whitespace_Removed]])</f>
        <v>2000</v>
      </c>
      <c r="AH6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67" spans="1:34" x14ac:dyDescent="0.35">
      <c r="A67" t="s">
        <v>233</v>
      </c>
      <c r="B67" s="6" t="str">
        <f>CLEAN(TRIM(Working_Sales[[#This Row],[Transaction ID]]))</f>
        <v>795</v>
      </c>
      <c r="C67" t="s">
        <v>234</v>
      </c>
      <c r="D67" s="2" t="str">
        <f>CLEAN(TRIM(Working_Sales[[#This Row],[Date]]))</f>
        <v>2023-11-28</v>
      </c>
      <c r="E6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45258</v>
      </c>
      <c r="F6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45258</v>
      </c>
      <c r="G6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45258</v>
      </c>
      <c r="H67" t="s">
        <v>2377</v>
      </c>
      <c r="I67" s="2" t="str">
        <f>CLEAN(TRIM(Working_Sales[[#This Row],[Customer ID]]))</f>
        <v>cust063</v>
      </c>
      <c r="J6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CUST063</v>
      </c>
      <c r="L67" t="s">
        <v>34</v>
      </c>
      <c r="M67" s="4" t="str">
        <f>CLEAN(TRIM(Working_Sales[[#This Row],[Gender]]))</f>
        <v>Male</v>
      </c>
      <c r="N67" s="4" t="str" cm="1">
        <f t="array" ref="N67">_xlfn.SWITCH(
   Working_Sales[[#This Row],[Gender_Whitespace_Removed]],
   "m", "Male",
   "f", "Female",
   Working_Sales[[#This Row],[Gender_Whitespace_Removed]]
)</f>
        <v>Male</v>
      </c>
      <c r="O67" s="6" t="str">
        <f>PROPER(Working_Sales[[#This Row],[Gender_Abbreviation_Expanded]])</f>
        <v>Male</v>
      </c>
      <c r="P67">
        <v>57</v>
      </c>
      <c r="Q67" s="2" t="str">
        <f>CLEAN(TRIM(Working_Sales[[#This Row],[Age]]))</f>
        <v>57</v>
      </c>
      <c r="R67" s="6">
        <f>INT(SUBSTITUTE(Working_Sales[[#This Row],[Age_Whitespace_Removed]],".",","))</f>
        <v>57</v>
      </c>
      <c r="S67" t="s">
        <v>109</v>
      </c>
      <c r="T67" s="2" t="str">
        <f>CLEAN(TRIM(Working_Sales[[#This Row],[Product Category]]))</f>
        <v>Electronics</v>
      </c>
      <c r="U67" s="6" t="str">
        <f>PROPER(Working_Sales[[#This Row],[Product_Category_Whitespace_Removed]])</f>
        <v>Electronics</v>
      </c>
      <c r="V67" t="s">
        <v>22</v>
      </c>
      <c r="W67" s="2" t="str">
        <f>CLEAN(TRIM(Working_Sales[[#This Row],[Quantity]]))</f>
        <v>1</v>
      </c>
      <c r="X67" s="2">
        <f>INT(Working_Sales[[#This Row],[`]])</f>
        <v>1</v>
      </c>
      <c r="Y67" s="6">
        <f>IFERROR(
   Working_Sales[[#This Row],[Quantity_Converted_To_Integer]],
   Working_Sales[[#This Row],[Total_Amount_Whitespace_Removed]]/Working_Sales[[#This Row],[Price_Per_Unit_Decimal_Separator_Fixed]])</f>
        <v>1</v>
      </c>
      <c r="Z67" t="s">
        <v>23</v>
      </c>
      <c r="AA67" s="2" t="str">
        <f>CLEAN(TRIM(Working_Sales[[#This Row],[Price per Unit]]))</f>
        <v>300</v>
      </c>
      <c r="AB67" s="2">
        <f>INT(
   SUBSTITUTE(Working_Sales[[#This Row],[Price_Per_Unit_Whitespace_Removed]],
   "$",
   ""
   )
)</f>
        <v>300</v>
      </c>
      <c r="AC67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67" s="8">
        <f>IFERROR(
   Working_Sales[[#This Row],[Price_Per_Unit_Decimal_Separator_Fixed]],
   Working_Sales[[#This Row],[Total_Amount_Converted_To_Integer]]/Working_Sales[[#This Row],[Quantity_Converted_To_Integer]]
)</f>
        <v>300</v>
      </c>
      <c r="AE67" t="s">
        <v>23</v>
      </c>
      <c r="AF67" s="2" t="str">
        <f>CLEAN(TRIM(Working_Sales[[#This Row],[Total Amount]]))</f>
        <v>300</v>
      </c>
      <c r="AG67" s="2">
        <f>INT(Working_Sales[[#This Row],[Total_Amount_Whitespace_Removed]])</f>
        <v>300</v>
      </c>
      <c r="AH6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68" spans="1:34" x14ac:dyDescent="0.35">
      <c r="A68" t="s">
        <v>236</v>
      </c>
      <c r="B68" s="6" t="str">
        <f>CLEAN(TRIM(Working_Sales[[#This Row],[Transaction ID]]))</f>
        <v>454</v>
      </c>
      <c r="C68" t="s">
        <v>237</v>
      </c>
      <c r="D68" s="2" t="str">
        <f>CLEAN(TRIM(Working_Sales[[#This Row],[Date]]))</f>
        <v>2023-02-22</v>
      </c>
      <c r="E6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44979</v>
      </c>
      <c r="F6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44979</v>
      </c>
      <c r="G6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44979</v>
      </c>
      <c r="H68" t="s">
        <v>2378</v>
      </c>
      <c r="I68" s="2" t="str">
        <f>CLEAN(TRIM(Working_Sales[[#This Row],[Customer ID]]))</f>
        <v>CUST064</v>
      </c>
      <c r="J6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CUST064</v>
      </c>
      <c r="K6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CUST064</v>
      </c>
      <c r="L68" t="s">
        <v>26</v>
      </c>
      <c r="M68" s="4" t="str">
        <f>CLEAN(TRIM(Working_Sales[[#This Row],[Gender]]))</f>
        <v>Female</v>
      </c>
      <c r="N68" s="4" t="str" cm="1">
        <f t="array" ref="N68">_xlfn.SWITCH(
   Working_Sales[[#This Row],[Gender_Whitespace_Removed]],
   "m", "Male",
   "f", "Female",
   Working_Sales[[#This Row],[Gender_Whitespace_Removed]]
)</f>
        <v>Female</v>
      </c>
      <c r="O68" s="6" t="str">
        <f>PROPER(Working_Sales[[#This Row],[Gender_Abbreviation_Expanded]])</f>
        <v>Female</v>
      </c>
      <c r="P68" t="s">
        <v>239</v>
      </c>
      <c r="Q68" s="2" t="str">
        <f>CLEAN(TRIM(Working_Sales[[#This Row],[Age]]))</f>
        <v>46</v>
      </c>
      <c r="R68" s="6">
        <f>INT(SUBSTITUTE(Working_Sales[[#This Row],[Age_Whitespace_Removed]],".",","))</f>
        <v>46</v>
      </c>
      <c r="S68" t="s">
        <v>36</v>
      </c>
      <c r="T68" s="2" t="str">
        <f>CLEAN(TRIM(Working_Sales[[#This Row],[Product Category]]))</f>
        <v>Beauty</v>
      </c>
      <c r="U68" s="6" t="str">
        <f>PROPER(Working_Sales[[#This Row],[Product_Category_Whitespace_Removed]])</f>
        <v>Beauty</v>
      </c>
      <c r="V68" t="s">
        <v>22</v>
      </c>
      <c r="W68" s="2" t="str">
        <f>CLEAN(TRIM(Working_Sales[[#This Row],[Quantity]]))</f>
        <v>1</v>
      </c>
      <c r="X68" s="2">
        <f>INT(Working_Sales[[#This Row],[`]])</f>
        <v>1</v>
      </c>
      <c r="Y68" s="6">
        <f>IFERROR(
   Working_Sales[[#This Row],[Quantity_Converted_To_Integer]],
   Working_Sales[[#This Row],[Total_Amount_Whitespace_Removed]]/Working_Sales[[#This Row],[Price_Per_Unit_Decimal_Separator_Fixed]])</f>
        <v>1</v>
      </c>
      <c r="Z68" t="s">
        <v>30</v>
      </c>
      <c r="AA68" s="2" t="str">
        <f>CLEAN(TRIM(Working_Sales[[#This Row],[Price per Unit]]))</f>
        <v>25</v>
      </c>
      <c r="AB68" s="2">
        <f>INT(
   SUBSTITUTE(Working_Sales[[#This Row],[Price_Per_Unit_Whitespace_Removed]],
   "$",
   ""
   )
)</f>
        <v>25</v>
      </c>
      <c r="AC68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68" s="8">
        <f>IFERROR(
   Working_Sales[[#This Row],[Price_Per_Unit_Decimal_Separator_Fixed]],
   Working_Sales[[#This Row],[Total_Amount_Converted_To_Integer]]/Working_Sales[[#This Row],[Quantity_Converted_To_Integer]]
)</f>
        <v>25</v>
      </c>
      <c r="AE68" t="s">
        <v>30</v>
      </c>
      <c r="AF68" s="2" t="str">
        <f>CLEAN(TRIM(Working_Sales[[#This Row],[Total Amount]]))</f>
        <v>25</v>
      </c>
      <c r="AG68" s="2">
        <f>INT(Working_Sales[[#This Row],[Total_Amount_Whitespace_Removed]])</f>
        <v>25</v>
      </c>
      <c r="AH6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69" spans="1:34" x14ac:dyDescent="0.35">
      <c r="A69" t="s">
        <v>240</v>
      </c>
      <c r="B69" s="6" t="str">
        <f>CLEAN(TRIM(Working_Sales[[#This Row],[Transaction ID]]))</f>
        <v>882</v>
      </c>
      <c r="C69" t="s">
        <v>241</v>
      </c>
      <c r="D69" s="2" t="str">
        <f>CLEAN(TRIM(Working_Sales[[#This Row],[Date]]))</f>
        <v>2023-06-06</v>
      </c>
      <c r="E6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45083</v>
      </c>
      <c r="F6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45083</v>
      </c>
      <c r="G6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45083</v>
      </c>
      <c r="H69" t="s">
        <v>2379</v>
      </c>
      <c r="I69" s="2" t="str">
        <f>CLEAN(TRIM(Working_Sales[[#This Row],[Customer ID]]))</f>
        <v>Cust065</v>
      </c>
      <c r="J6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CUST065</v>
      </c>
      <c r="L69" t="s">
        <v>140</v>
      </c>
      <c r="M69" s="4" t="str">
        <f>CLEAN(TRIM(Working_Sales[[#This Row],[Gender]]))</f>
        <v>FEMALE</v>
      </c>
      <c r="N69" s="4" t="str" cm="1">
        <f t="array" ref="N69">_xlfn.SWITCH(
   Working_Sales[[#This Row],[Gender_Whitespace_Removed]],
   "m", "Male",
   "f", "Female",
   Working_Sales[[#This Row],[Gender_Whitespace_Removed]]
)</f>
        <v>FEMALE</v>
      </c>
      <c r="O69" s="6" t="str">
        <f>PROPER(Working_Sales[[#This Row],[Gender_Abbreviation_Expanded]])</f>
        <v>Female</v>
      </c>
      <c r="P69">
        <v>64</v>
      </c>
      <c r="Q69" s="2" t="str">
        <f>CLEAN(TRIM(Working_Sales[[#This Row],[Age]]))</f>
        <v>64</v>
      </c>
      <c r="R69" s="6">
        <f>INT(SUBSTITUTE(Working_Sales[[#This Row],[Age_Whitespace_Removed]],".",","))</f>
        <v>64</v>
      </c>
      <c r="S69" t="s">
        <v>13</v>
      </c>
      <c r="T69" s="2" t="str">
        <f>CLEAN(TRIM(Working_Sales[[#This Row],[Product Category]]))</f>
        <v>Electronics</v>
      </c>
      <c r="U69" s="6" t="str">
        <f>PROPER(Working_Sales[[#This Row],[Product_Category_Whitespace_Removed]])</f>
        <v>Electronics</v>
      </c>
      <c r="V69" t="s">
        <v>37</v>
      </c>
      <c r="W69" s="2" t="str">
        <f>CLEAN(TRIM(Working_Sales[[#This Row],[Quantity]]))</f>
        <v>2</v>
      </c>
      <c r="X69" s="2">
        <f>INT(Working_Sales[[#This Row],[`]])</f>
        <v>2</v>
      </c>
      <c r="Y69" s="6">
        <f>IFERROR(
   Working_Sales[[#This Row],[Quantity_Converted_To_Integer]],
   Working_Sales[[#This Row],[Total_Amount_Whitespace_Removed]]/Working_Sales[[#This Row],[Price_Per_Unit_Decimal_Separator_Fixed]])</f>
        <v>2</v>
      </c>
      <c r="Z69" t="s">
        <v>30</v>
      </c>
      <c r="AA69" s="2" t="str">
        <f>CLEAN(TRIM(Working_Sales[[#This Row],[Price per Unit]]))</f>
        <v>25</v>
      </c>
      <c r="AB69" s="2">
        <f>INT(
   SUBSTITUTE(Working_Sales[[#This Row],[Price_Per_Unit_Whitespace_Removed]],
   "$",
   ""
   )
)</f>
        <v>25</v>
      </c>
      <c r="AC69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69" s="8">
        <f>IFERROR(
   Working_Sales[[#This Row],[Price_Per_Unit_Decimal_Separator_Fixed]],
   Working_Sales[[#This Row],[Total_Amount_Converted_To_Integer]]/Working_Sales[[#This Row],[Quantity_Converted_To_Integer]]
)</f>
        <v>25</v>
      </c>
      <c r="AE69" t="s">
        <v>15</v>
      </c>
      <c r="AF69" s="2" t="str">
        <f>CLEAN(TRIM(Working_Sales[[#This Row],[Total Amount]]))</f>
        <v>50</v>
      </c>
      <c r="AG69" s="2">
        <f>INT(Working_Sales[[#This Row],[Total_Amount_Whitespace_Removed]])</f>
        <v>50</v>
      </c>
      <c r="AH6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70" spans="1:34" x14ac:dyDescent="0.35">
      <c r="A70" t="s">
        <v>242</v>
      </c>
      <c r="B70" s="6" t="str">
        <f>CLEAN(TRIM(Working_Sales[[#This Row],[Transaction ID]]))</f>
        <v>750</v>
      </c>
      <c r="C70" t="s">
        <v>243</v>
      </c>
      <c r="D70" s="2" t="str">
        <f>CLEAN(TRIM(Working_Sales[[#This Row],[Date]]))</f>
        <v>2023-03-06</v>
      </c>
      <c r="E7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44991</v>
      </c>
      <c r="F7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44991</v>
      </c>
      <c r="G7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44991</v>
      </c>
      <c r="H70" t="s">
        <v>2380</v>
      </c>
      <c r="I70" s="2" t="str">
        <f>CLEAN(TRIM(Working_Sales[[#This Row],[Customer ID]]))</f>
        <v>CUST015</v>
      </c>
      <c r="J7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CUST015</v>
      </c>
      <c r="L70" t="s">
        <v>26</v>
      </c>
      <c r="M70" s="4" t="str">
        <f>CLEAN(TRIM(Working_Sales[[#This Row],[Gender]]))</f>
        <v>Female</v>
      </c>
      <c r="N70" s="4" t="str" cm="1">
        <f t="array" ref="N70">_xlfn.SWITCH(
   Working_Sales[[#This Row],[Gender_Whitespace_Removed]],
   "m", "Male",
   "f", "Female",
   Working_Sales[[#This Row],[Gender_Whitespace_Removed]]
)</f>
        <v>Female</v>
      </c>
      <c r="O70" s="6" t="str">
        <f>PROPER(Working_Sales[[#This Row],[Gender_Abbreviation_Expanded]])</f>
        <v>Female</v>
      </c>
      <c r="P70">
        <v>35</v>
      </c>
      <c r="Q70" s="2" t="str">
        <f>CLEAN(TRIM(Working_Sales[[#This Row],[Age]]))</f>
        <v>35</v>
      </c>
      <c r="R70" s="6">
        <f>INT(SUBSTITUTE(Working_Sales[[#This Row],[Age_Whitespace_Removed]],".",","))</f>
        <v>35</v>
      </c>
      <c r="S70" t="s">
        <v>56</v>
      </c>
      <c r="T70" s="2" t="str">
        <f>CLEAN(TRIM(Working_Sales[[#This Row],[Product Category]]))</f>
        <v>Clothing</v>
      </c>
      <c r="U70" s="6" t="str">
        <f>PROPER(Working_Sales[[#This Row],[Product_Category_Whitespace_Removed]])</f>
        <v>Clothing</v>
      </c>
      <c r="V70" t="s">
        <v>29</v>
      </c>
      <c r="W70" s="2" t="str">
        <f>CLEAN(TRIM(Working_Sales[[#This Row],[Quantity]]))</f>
        <v>3</v>
      </c>
      <c r="X70" s="2">
        <f>INT(Working_Sales[[#This Row],[`]])</f>
        <v>3</v>
      </c>
      <c r="Y70" s="6">
        <f>IFERROR(
   Working_Sales[[#This Row],[Quantity_Converted_To_Integer]],
   Working_Sales[[#This Row],[Total_Amount_Whitespace_Removed]]/Working_Sales[[#This Row],[Price_Per_Unit_Decimal_Separator_Fixed]])</f>
        <v>3</v>
      </c>
      <c r="Z70" t="s">
        <v>171</v>
      </c>
      <c r="AA70" s="2" t="str">
        <f>CLEAN(TRIM(Working_Sales[[#This Row],[Price per Unit]]))</f>
        <v>25</v>
      </c>
      <c r="AB70" s="2">
        <f>INT(
   SUBSTITUTE(Working_Sales[[#This Row],[Price_Per_Unit_Whitespace_Removed]],
   "$",
   ""
   )
)</f>
        <v>25</v>
      </c>
      <c r="AC70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70" s="8">
        <f>IFERROR(
   Working_Sales[[#This Row],[Price_Per_Unit_Decimal_Separator_Fixed]],
   Working_Sales[[#This Row],[Total_Amount_Converted_To_Integer]]/Working_Sales[[#This Row],[Quantity_Converted_To_Integer]]
)</f>
        <v>25</v>
      </c>
      <c r="AE70" t="s">
        <v>31</v>
      </c>
      <c r="AF70" s="2" t="str">
        <f>CLEAN(TRIM(Working_Sales[[#This Row],[Total Amount]]))</f>
        <v>75</v>
      </c>
      <c r="AG70" s="2">
        <f>INT(Working_Sales[[#This Row],[Total_Amount_Whitespace_Removed]])</f>
        <v>75</v>
      </c>
      <c r="AH7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71" spans="1:34" x14ac:dyDescent="0.35">
      <c r="A71" t="s">
        <v>244</v>
      </c>
      <c r="B71" s="6" t="str">
        <f>CLEAN(TRIM(Working_Sales[[#This Row],[Transaction ID]]))</f>
        <v>602</v>
      </c>
      <c r="C71" t="s">
        <v>245</v>
      </c>
      <c r="D71" s="2" t="str">
        <f>CLEAN(TRIM(Working_Sales[[#This Row],[Date]]))</f>
        <v>12/23/2023</v>
      </c>
      <c r="E71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7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45283</v>
      </c>
      <c r="G7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45283</v>
      </c>
      <c r="H71" t="s">
        <v>2381</v>
      </c>
      <c r="I71" s="2" t="str">
        <f>CLEAN(TRIM(Working_Sales[[#This Row],[Customer ID]]))</f>
        <v>CUST-066</v>
      </c>
      <c r="J7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CUST066</v>
      </c>
      <c r="L71" t="s">
        <v>26</v>
      </c>
      <c r="M71" s="4" t="str">
        <f>CLEAN(TRIM(Working_Sales[[#This Row],[Gender]]))</f>
        <v>Female</v>
      </c>
      <c r="N71" s="4" t="str" cm="1">
        <f t="array" ref="N71">_xlfn.SWITCH(
   Working_Sales[[#This Row],[Gender_Whitespace_Removed]],
   "m", "Male",
   "f", "Female",
   Working_Sales[[#This Row],[Gender_Whitespace_Removed]]
)</f>
        <v>Female</v>
      </c>
      <c r="O71" s="6" t="str">
        <f>PROPER(Working_Sales[[#This Row],[Gender_Abbreviation_Expanded]])</f>
        <v>Female</v>
      </c>
      <c r="P71">
        <v>20</v>
      </c>
      <c r="Q71" s="2" t="str">
        <f>CLEAN(TRIM(Working_Sales[[#This Row],[Age]]))</f>
        <v>20</v>
      </c>
      <c r="R71" s="6">
        <f>INT(SUBSTITUTE(Working_Sales[[#This Row],[Age_Whitespace_Removed]],".",","))</f>
        <v>20</v>
      </c>
      <c r="S71" t="s">
        <v>13</v>
      </c>
      <c r="T71" s="2" t="str">
        <f>CLEAN(TRIM(Working_Sales[[#This Row],[Product Category]]))</f>
        <v>Electronics</v>
      </c>
      <c r="U71" s="6" t="str">
        <f>PROPER(Working_Sales[[#This Row],[Product_Category_Whitespace_Removed]])</f>
        <v>Electronics</v>
      </c>
      <c r="V71" t="s">
        <v>22</v>
      </c>
      <c r="W71" s="2" t="str">
        <f>CLEAN(TRIM(Working_Sales[[#This Row],[Quantity]]))</f>
        <v>1</v>
      </c>
      <c r="X71" s="2">
        <f>INT(Working_Sales[[#This Row],[`]])</f>
        <v>1</v>
      </c>
      <c r="Y71" s="6">
        <f>IFERROR(
   Working_Sales[[#This Row],[Quantity_Converted_To_Integer]],
   Working_Sales[[#This Row],[Total_Amount_Whitespace_Removed]]/Working_Sales[[#This Row],[Price_Per_Unit_Decimal_Separator_Fixed]])</f>
        <v>1</v>
      </c>
      <c r="Z71" t="s">
        <v>23</v>
      </c>
      <c r="AA71" s="2" t="str">
        <f>CLEAN(TRIM(Working_Sales[[#This Row],[Price per Unit]]))</f>
        <v>300</v>
      </c>
      <c r="AB71" s="2">
        <f>INT(
   SUBSTITUTE(Working_Sales[[#This Row],[Price_Per_Unit_Whitespace_Removed]],
   "$",
   ""
   )
)</f>
        <v>300</v>
      </c>
      <c r="AC71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71" s="8">
        <f>IFERROR(
   Working_Sales[[#This Row],[Price_Per_Unit_Decimal_Separator_Fixed]],
   Working_Sales[[#This Row],[Total_Amount_Converted_To_Integer]]/Working_Sales[[#This Row],[Quantity_Converted_To_Integer]]
)</f>
        <v>300</v>
      </c>
      <c r="AE71" t="s">
        <v>23</v>
      </c>
      <c r="AF71" s="2" t="str">
        <f>CLEAN(TRIM(Working_Sales[[#This Row],[Total Amount]]))</f>
        <v>300</v>
      </c>
      <c r="AG71" s="2">
        <f>INT(Working_Sales[[#This Row],[Total_Amount_Whitespace_Removed]])</f>
        <v>300</v>
      </c>
      <c r="AH7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72" spans="1:34" x14ac:dyDescent="0.35">
      <c r="A72" t="s">
        <v>247</v>
      </c>
      <c r="B72" s="6" t="str">
        <f>CLEAN(TRIM(Working_Sales[[#This Row],[Transaction ID]]))</f>
        <v>931</v>
      </c>
      <c r="C72" t="s">
        <v>248</v>
      </c>
      <c r="D72" s="2" t="str">
        <f>CLEAN(TRIM(Working_Sales[[#This Row],[Date]]))</f>
        <v>2023-09-02</v>
      </c>
      <c r="E7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45171</v>
      </c>
      <c r="F7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45171</v>
      </c>
      <c r="G7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45171</v>
      </c>
      <c r="H72" t="s">
        <v>2382</v>
      </c>
      <c r="I72" s="2" t="str">
        <f>CLEAN(TRIM(Working_Sales[[#This Row],[Customer ID]]))</f>
        <v>CUST067</v>
      </c>
      <c r="J7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CUST067</v>
      </c>
      <c r="L72" t="s">
        <v>20</v>
      </c>
      <c r="M72" s="4" t="str">
        <f>CLEAN(TRIM(Working_Sales[[#This Row],[Gender]]))</f>
        <v>male</v>
      </c>
      <c r="N72" s="4" t="str" cm="1">
        <f t="array" ref="N72">_xlfn.SWITCH(
   Working_Sales[[#This Row],[Gender_Whitespace_Removed]],
   "m", "Male",
   "f", "Female",
   Working_Sales[[#This Row],[Gender_Whitespace_Removed]]
)</f>
        <v>male</v>
      </c>
      <c r="O72" s="6" t="str">
        <f>PROPER(Working_Sales[[#This Row],[Gender_Abbreviation_Expanded]])</f>
        <v>Male</v>
      </c>
      <c r="P72">
        <v>30</v>
      </c>
      <c r="Q72" s="2" t="str">
        <f>CLEAN(TRIM(Working_Sales[[#This Row],[Age]]))</f>
        <v>30</v>
      </c>
      <c r="R72" s="6">
        <f>INT(SUBSTITUTE(Working_Sales[[#This Row],[Age_Whitespace_Removed]],".",","))</f>
        <v>30</v>
      </c>
      <c r="S72" t="s">
        <v>36</v>
      </c>
      <c r="T72" s="2" t="str">
        <f>CLEAN(TRIM(Working_Sales[[#This Row],[Product Category]]))</f>
        <v>Beauty</v>
      </c>
      <c r="U72" s="6" t="str">
        <f>PROPER(Working_Sales[[#This Row],[Product_Category_Whitespace_Removed]])</f>
        <v>Beauty</v>
      </c>
      <c r="V72" t="s">
        <v>14</v>
      </c>
      <c r="W72" s="2" t="str">
        <f>CLEAN(TRIM(Working_Sales[[#This Row],[Quantity]]))</f>
        <v>4</v>
      </c>
      <c r="X72" s="2">
        <f>INT(Working_Sales[[#This Row],[`]])</f>
        <v>4</v>
      </c>
      <c r="Y72" s="6">
        <f>IFERROR(
   Working_Sales[[#This Row],[Quantity_Converted_To_Integer]],
   Working_Sales[[#This Row],[Total_Amount_Whitespace_Removed]]/Working_Sales[[#This Row],[Price_Per_Unit_Decimal_Separator_Fixed]])</f>
        <v>4</v>
      </c>
      <c r="Z72" t="s">
        <v>70</v>
      </c>
      <c r="AA72" s="2" t="str">
        <f>CLEAN(TRIM(Working_Sales[[#This Row],[Price per Unit]]))</f>
        <v>30</v>
      </c>
      <c r="AB72" s="2">
        <f>INT(
   SUBSTITUTE(Working_Sales[[#This Row],[Price_Per_Unit_Whitespace_Removed]],
   "$",
   ""
   )
)</f>
        <v>30</v>
      </c>
      <c r="AC72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72" s="8">
        <f>IFERROR(
   Working_Sales[[#This Row],[Price_Per_Unit_Decimal_Separator_Fixed]],
   Working_Sales[[#This Row],[Total_Amount_Converted_To_Integer]]/Working_Sales[[#This Row],[Quantity_Converted_To_Integer]]
)</f>
        <v>30</v>
      </c>
      <c r="AE72" t="s">
        <v>44</v>
      </c>
      <c r="AF72" s="2" t="str">
        <f>CLEAN(TRIM(Working_Sales[[#This Row],[Total Amount]]))</f>
        <v>120</v>
      </c>
      <c r="AG72" s="2">
        <f>INT(Working_Sales[[#This Row],[Total_Amount_Whitespace_Removed]])</f>
        <v>120</v>
      </c>
      <c r="AH7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73" spans="1:34" x14ac:dyDescent="0.35">
      <c r="A73" t="s">
        <v>249</v>
      </c>
      <c r="B73" s="6" t="str">
        <f>CLEAN(TRIM(Working_Sales[[#This Row],[Transaction ID]]))</f>
        <v>673</v>
      </c>
      <c r="C73" t="s">
        <v>250</v>
      </c>
      <c r="D73" s="2" t="str">
        <f>CLEAN(TRIM(Working_Sales[[#This Row],[Date]]))</f>
        <v>February 01, 2023</v>
      </c>
      <c r="E73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73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7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44958</v>
      </c>
      <c r="H73" t="s">
        <v>2383</v>
      </c>
      <c r="I73" s="2" t="str">
        <f>CLEAN(TRIM(Working_Sales[[#This Row],[Customer ID]]))</f>
        <v>cust068</v>
      </c>
      <c r="J7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CUST068</v>
      </c>
      <c r="L73" t="s">
        <v>26</v>
      </c>
      <c r="M73" s="4" t="str">
        <f>CLEAN(TRIM(Working_Sales[[#This Row],[Gender]]))</f>
        <v>Female</v>
      </c>
      <c r="N73" s="4" t="str" cm="1">
        <f t="array" ref="N73">_xlfn.SWITCH(
   Working_Sales[[#This Row],[Gender_Whitespace_Removed]],
   "m", "Male",
   "f", "Female",
   Working_Sales[[#This Row],[Gender_Whitespace_Removed]]
)</f>
        <v>Female</v>
      </c>
      <c r="O73" s="6" t="str">
        <f>PROPER(Working_Sales[[#This Row],[Gender_Abbreviation_Expanded]])</f>
        <v>Female</v>
      </c>
      <c r="P73" t="s">
        <v>251</v>
      </c>
      <c r="Q73" s="2" t="str">
        <f>CLEAN(TRIM(Working_Sales[[#This Row],[Age]]))</f>
        <v>43.0</v>
      </c>
      <c r="R73" s="6">
        <f>INT(SUBSTITUTE(Working_Sales[[#This Row],[Age_Whitespace_Removed]],".",","))</f>
        <v>43</v>
      </c>
      <c r="S73" t="s">
        <v>56</v>
      </c>
      <c r="T73" s="2" t="str">
        <f>CLEAN(TRIM(Working_Sales[[#This Row],[Product Category]]))</f>
        <v>Clothing</v>
      </c>
      <c r="U73" s="6" t="str">
        <f>PROPER(Working_Sales[[#This Row],[Product_Category_Whitespace_Removed]])</f>
        <v>Clothing</v>
      </c>
      <c r="V73" t="s">
        <v>29</v>
      </c>
      <c r="W73" s="2" t="str">
        <f>CLEAN(TRIM(Working_Sales[[#This Row],[Quantity]]))</f>
        <v>3</v>
      </c>
      <c r="X73" s="2">
        <f>INT(Working_Sales[[#This Row],[`]])</f>
        <v>3</v>
      </c>
      <c r="Y73" s="6">
        <f>IFERROR(
   Working_Sales[[#This Row],[Quantity_Converted_To_Integer]],
   Working_Sales[[#This Row],[Total_Amount_Whitespace_Removed]]/Working_Sales[[#This Row],[Price_Per_Unit_Decimal_Separator_Fixed]])</f>
        <v>3</v>
      </c>
      <c r="Z73" t="s">
        <v>57</v>
      </c>
      <c r="AA73" s="2" t="str">
        <f>CLEAN(TRIM(Working_Sales[[#This Row],[Price per Unit]]))</f>
        <v>500</v>
      </c>
      <c r="AB73" s="2">
        <f>INT(
   SUBSTITUTE(Working_Sales[[#This Row],[Price_Per_Unit_Whitespace_Removed]],
   "$",
   ""
   )
)</f>
        <v>500</v>
      </c>
      <c r="AC73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73" s="8">
        <f>IFERROR(
   Working_Sales[[#This Row],[Price_Per_Unit_Decimal_Separator_Fixed]],
   Working_Sales[[#This Row],[Total_Amount_Converted_To_Integer]]/Working_Sales[[#This Row],[Quantity_Converted_To_Integer]]
)</f>
        <v>500</v>
      </c>
      <c r="AE73" t="s">
        <v>85</v>
      </c>
      <c r="AF73" s="2" t="str">
        <f>CLEAN(TRIM(Working_Sales[[#This Row],[Total Amount]]))</f>
        <v>1500</v>
      </c>
      <c r="AG73" s="2">
        <f>INT(Working_Sales[[#This Row],[Total_Amount_Whitespace_Removed]])</f>
        <v>1500</v>
      </c>
      <c r="AH7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74" spans="1:34" x14ac:dyDescent="0.35">
      <c r="A74" t="s">
        <v>98</v>
      </c>
      <c r="B74" s="6" t="str">
        <f>CLEAN(TRIM(Working_Sales[[#This Row],[Transaction ID]]))</f>
        <v>35</v>
      </c>
      <c r="C74" t="s">
        <v>252</v>
      </c>
      <c r="D74" s="2" t="str">
        <f>CLEAN(TRIM(Working_Sales[[#This Row],[Date]]))</f>
        <v>2023-08-05</v>
      </c>
      <c r="E7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45143</v>
      </c>
      <c r="F7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45143</v>
      </c>
      <c r="G7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45143</v>
      </c>
      <c r="H74" t="s">
        <v>2384</v>
      </c>
      <c r="I74" s="2" t="str">
        <f>CLEAN(TRIM(Working_Sales[[#This Row],[Customer ID]]))</f>
        <v>Cust026</v>
      </c>
      <c r="J7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CUST026</v>
      </c>
      <c r="L74" t="s">
        <v>26</v>
      </c>
      <c r="M74" s="4" t="str">
        <f>CLEAN(TRIM(Working_Sales[[#This Row],[Gender]]))</f>
        <v>Female</v>
      </c>
      <c r="N74" s="4" t="str" cm="1">
        <f t="array" ref="N74">_xlfn.SWITCH(
   Working_Sales[[#This Row],[Gender_Whitespace_Removed]],
   "m", "Male",
   "f", "Female",
   Working_Sales[[#This Row],[Gender_Whitespace_Removed]]
)</f>
        <v>Female</v>
      </c>
      <c r="O74" s="6" t="str">
        <f>PROPER(Working_Sales[[#This Row],[Gender_Abbreviation_Expanded]])</f>
        <v>Female</v>
      </c>
      <c r="P74">
        <v>58</v>
      </c>
      <c r="Q74" s="2" t="str">
        <f>CLEAN(TRIM(Working_Sales[[#This Row],[Age]]))</f>
        <v>58</v>
      </c>
      <c r="R74" s="6">
        <f>INT(SUBSTITUTE(Working_Sales[[#This Row],[Age_Whitespace_Removed]],".",","))</f>
        <v>58</v>
      </c>
      <c r="S74" t="s">
        <v>42</v>
      </c>
      <c r="T74" s="2" t="str">
        <f>CLEAN(TRIM(Working_Sales[[#This Row],[Product Category]]))</f>
        <v>Beauty</v>
      </c>
      <c r="U74" s="6" t="str">
        <f>PROPER(Working_Sales[[#This Row],[Product_Category_Whitespace_Removed]])</f>
        <v>Beauty</v>
      </c>
      <c r="V74" t="s">
        <v>29</v>
      </c>
      <c r="W74" s="2" t="str">
        <f>CLEAN(TRIM(Working_Sales[[#This Row],[Quantity]]))</f>
        <v>3</v>
      </c>
      <c r="X74" s="2">
        <f>INT(Working_Sales[[#This Row],[`]])</f>
        <v>3</v>
      </c>
      <c r="Y74" s="6">
        <f>IFERROR(
   Working_Sales[[#This Row],[Quantity_Converted_To_Integer]],
   Working_Sales[[#This Row],[Total_Amount_Whitespace_Removed]]/Working_Sales[[#This Row],[Price_Per_Unit_Decimal_Separator_Fixed]])</f>
        <v>3</v>
      </c>
      <c r="Z74" t="s">
        <v>180</v>
      </c>
      <c r="AA74" s="2" t="str">
        <f>CLEAN(TRIM(Working_Sales[[#This Row],[Price per Unit]]))</f>
        <v>300</v>
      </c>
      <c r="AB74" s="2">
        <f>INT(
   SUBSTITUTE(Working_Sales[[#This Row],[Price_Per_Unit_Whitespace_Removed]],
   "$",
   ""
   )
)</f>
        <v>300</v>
      </c>
      <c r="AC74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74" s="8">
        <f>IFERROR(
   Working_Sales[[#This Row],[Price_Per_Unit_Decimal_Separator_Fixed]],
   Working_Sales[[#This Row],[Total_Amount_Converted_To_Integer]]/Working_Sales[[#This Row],[Quantity_Converted_To_Integer]]
)</f>
        <v>300</v>
      </c>
      <c r="AE74" t="s">
        <v>128</v>
      </c>
      <c r="AF74" s="2" t="str">
        <f>CLEAN(TRIM(Working_Sales[[#This Row],[Total Amount]]))</f>
        <v>900</v>
      </c>
      <c r="AG74" s="2">
        <f>INT(Working_Sales[[#This Row],[Total_Amount_Whitespace_Removed]])</f>
        <v>900</v>
      </c>
      <c r="AH7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75" spans="1:34" x14ac:dyDescent="0.35">
      <c r="A75" t="s">
        <v>35</v>
      </c>
      <c r="B75" s="6" t="str">
        <f>CLEAN(TRIM(Working_Sales[[#This Row],[Transaction ID]]))</f>
        <v>54</v>
      </c>
      <c r="C75" t="s">
        <v>254</v>
      </c>
      <c r="D75" s="2" t="str">
        <f>CLEAN(TRIM(Working_Sales[[#This Row],[Date]]))</f>
        <v>February 10, 2023</v>
      </c>
      <c r="E75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75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7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44967</v>
      </c>
      <c r="H75" t="s">
        <v>1962</v>
      </c>
      <c r="I75" s="2" t="str">
        <f>CLEAN(TRIM(Working_Sales[[#This Row],[Customer ID]]))</f>
        <v>CUST069</v>
      </c>
      <c r="J7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CUST069</v>
      </c>
      <c r="K7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CUST069</v>
      </c>
      <c r="L75" t="s">
        <v>112</v>
      </c>
      <c r="M75" s="4" t="str">
        <f>CLEAN(TRIM(Working_Sales[[#This Row],[Gender]]))</f>
        <v>female</v>
      </c>
      <c r="N75" s="4" t="str" cm="1">
        <f t="array" ref="N75">_xlfn.SWITCH(
   Working_Sales[[#This Row],[Gender_Whitespace_Removed]],
   "m", "Male",
   "f", "Female",
   Working_Sales[[#This Row],[Gender_Whitespace_Removed]]
)</f>
        <v>female</v>
      </c>
      <c r="O75" s="6" t="str">
        <f>PROPER(Working_Sales[[#This Row],[Gender_Abbreviation_Expanded]])</f>
        <v>Female</v>
      </c>
      <c r="P75">
        <v>38</v>
      </c>
      <c r="Q75" s="2" t="str">
        <f>CLEAN(TRIM(Working_Sales[[#This Row],[Age]]))</f>
        <v>38</v>
      </c>
      <c r="R75" s="6">
        <f>INT(SUBSTITUTE(Working_Sales[[#This Row],[Age_Whitespace_Removed]],".",","))</f>
        <v>38</v>
      </c>
      <c r="S75" t="s">
        <v>13</v>
      </c>
      <c r="T75" s="2" t="str">
        <f>CLEAN(TRIM(Working_Sales[[#This Row],[Product Category]]))</f>
        <v>Electronics</v>
      </c>
      <c r="U75" s="6" t="str">
        <f>PROPER(Working_Sales[[#This Row],[Product_Category_Whitespace_Removed]])</f>
        <v>Electronics</v>
      </c>
      <c r="V75" t="s">
        <v>29</v>
      </c>
      <c r="W75" s="2" t="str">
        <f>CLEAN(TRIM(Working_Sales[[#This Row],[Quantity]]))</f>
        <v>3</v>
      </c>
      <c r="X75" s="2">
        <f>INT(Working_Sales[[#This Row],[`]])</f>
        <v>3</v>
      </c>
      <c r="Y75" s="6">
        <f>IFERROR(
   Working_Sales[[#This Row],[Quantity_Converted_To_Integer]],
   Working_Sales[[#This Row],[Total_Amount_Whitespace_Removed]]/Working_Sales[[#This Row],[Price_Per_Unit_Decimal_Separator_Fixed]])</f>
        <v>3</v>
      </c>
      <c r="Z75" t="s">
        <v>57</v>
      </c>
      <c r="AA75" s="2" t="str">
        <f>CLEAN(TRIM(Working_Sales[[#This Row],[Price per Unit]]))</f>
        <v>500</v>
      </c>
      <c r="AB75" s="2">
        <f>INT(
   SUBSTITUTE(Working_Sales[[#This Row],[Price_Per_Unit_Whitespace_Removed]],
   "$",
   ""
   )
)</f>
        <v>500</v>
      </c>
      <c r="AC75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75" s="8">
        <f>IFERROR(
   Working_Sales[[#This Row],[Price_Per_Unit_Decimal_Separator_Fixed]],
   Working_Sales[[#This Row],[Total_Amount_Converted_To_Integer]]/Working_Sales[[#This Row],[Quantity_Converted_To_Integer]]
)</f>
        <v>500</v>
      </c>
      <c r="AE75" t="s">
        <v>85</v>
      </c>
      <c r="AF75" s="2" t="str">
        <f>CLEAN(TRIM(Working_Sales[[#This Row],[Total Amount]]))</f>
        <v>1500</v>
      </c>
      <c r="AG75" s="2">
        <f>INT(Working_Sales[[#This Row],[Total_Amount_Whitespace_Removed]])</f>
        <v>1500</v>
      </c>
      <c r="AH7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76" spans="1:34" x14ac:dyDescent="0.35">
      <c r="A76" t="s">
        <v>256</v>
      </c>
      <c r="B76" s="6" t="str">
        <f>CLEAN(TRIM(Working_Sales[[#This Row],[Transaction ID]]))</f>
        <v>327</v>
      </c>
      <c r="C76" t="s">
        <v>257</v>
      </c>
      <c r="D76" s="2" t="str">
        <f>CLEAN(TRIM(Working_Sales[[#This Row],[Date]]))</f>
        <v>2023-09-29</v>
      </c>
      <c r="E7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45198</v>
      </c>
      <c r="F7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45198</v>
      </c>
      <c r="G7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45198</v>
      </c>
      <c r="H76" t="s">
        <v>2377</v>
      </c>
      <c r="I76" s="2" t="str">
        <f>CLEAN(TRIM(Working_Sales[[#This Row],[Customer ID]]))</f>
        <v>cust063</v>
      </c>
      <c r="J7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CUST063</v>
      </c>
      <c r="L76" t="s">
        <v>34</v>
      </c>
      <c r="M76" s="4" t="str">
        <f>CLEAN(TRIM(Working_Sales[[#This Row],[Gender]]))</f>
        <v>Male</v>
      </c>
      <c r="N76" s="4" t="str" cm="1">
        <f t="array" ref="N76">_xlfn.SWITCH(
   Working_Sales[[#This Row],[Gender_Whitespace_Removed]],
   "m", "Male",
   "f", "Female",
   Working_Sales[[#This Row],[Gender_Whitespace_Removed]]
)</f>
        <v>Male</v>
      </c>
      <c r="O76" s="6" t="str">
        <f>PROPER(Working_Sales[[#This Row],[Gender_Abbreviation_Expanded]])</f>
        <v>Male</v>
      </c>
      <c r="P76">
        <v>57</v>
      </c>
      <c r="Q76" s="2" t="str">
        <f>CLEAN(TRIM(Working_Sales[[#This Row],[Age]]))</f>
        <v>57</v>
      </c>
      <c r="R76" s="6">
        <f>INT(SUBSTITUTE(Working_Sales[[#This Row],[Age_Whitespace_Removed]],".",","))</f>
        <v>57</v>
      </c>
      <c r="S76" t="s">
        <v>99</v>
      </c>
      <c r="T76" s="2" t="str">
        <f>CLEAN(TRIM(Working_Sales[[#This Row],[Product Category]]))</f>
        <v>ELECTRONICS</v>
      </c>
      <c r="U76" s="6" t="str">
        <f>PROPER(Working_Sales[[#This Row],[Product_Category_Whitespace_Removed]])</f>
        <v>Electronics</v>
      </c>
      <c r="V76" t="s">
        <v>29</v>
      </c>
      <c r="W76" s="2" t="str">
        <f>CLEAN(TRIM(Working_Sales[[#This Row],[Quantity]]))</f>
        <v>3</v>
      </c>
      <c r="X76" s="2">
        <f>INT(Working_Sales[[#This Row],[`]])</f>
        <v>3</v>
      </c>
      <c r="Y76" s="6">
        <f>IFERROR(
   Working_Sales[[#This Row],[Quantity_Converted_To_Integer]],
   Working_Sales[[#This Row],[Total_Amount_Whitespace_Removed]]/Working_Sales[[#This Row],[Price_Per_Unit_Decimal_Separator_Fixed]])</f>
        <v>3</v>
      </c>
      <c r="Z76" t="s">
        <v>15</v>
      </c>
      <c r="AA76" s="2" t="str">
        <f>CLEAN(TRIM(Working_Sales[[#This Row],[Price per Unit]]))</f>
        <v>50</v>
      </c>
      <c r="AB76" s="2">
        <f>INT(
   SUBSTITUTE(Working_Sales[[#This Row],[Price_Per_Unit_Whitespace_Removed]],
   "$",
   ""
   )
)</f>
        <v>50</v>
      </c>
      <c r="AC76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76" s="8">
        <f>IFERROR(
   Working_Sales[[#This Row],[Price_Per_Unit_Decimal_Separator_Fixed]],
   Working_Sales[[#This Row],[Total_Amount_Converted_To_Integer]]/Working_Sales[[#This Row],[Quantity_Converted_To_Integer]]
)</f>
        <v>50</v>
      </c>
      <c r="AE76" t="s">
        <v>130</v>
      </c>
      <c r="AF76" s="2" t="str">
        <f>CLEAN(TRIM(Working_Sales[[#This Row],[Total Amount]]))</f>
        <v>150</v>
      </c>
      <c r="AG76" s="2">
        <f>INT(Working_Sales[[#This Row],[Total_Amount_Whitespace_Removed]])</f>
        <v>150</v>
      </c>
      <c r="AH7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77" spans="1:34" x14ac:dyDescent="0.35">
      <c r="A77" t="s">
        <v>259</v>
      </c>
      <c r="B77" s="6" t="str">
        <f>CLEAN(TRIM(Working_Sales[[#This Row],[Transaction ID]]))</f>
        <v>846</v>
      </c>
      <c r="C77" t="s">
        <v>911</v>
      </c>
      <c r="D77" s="2" t="str">
        <f>CLEAN(TRIM(Working_Sales[[#This Row],[Date]]))</f>
        <v>09/22/2023</v>
      </c>
      <c r="E77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7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45191</v>
      </c>
      <c r="G7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45191</v>
      </c>
      <c r="H77" t="s">
        <v>2385</v>
      </c>
      <c r="I77" s="2" t="str">
        <f>CLEAN(TRIM(Working_Sales[[#This Row],[Customer ID]]))</f>
        <v>CUST070</v>
      </c>
      <c r="J7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CUST070</v>
      </c>
      <c r="K7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CUST070</v>
      </c>
      <c r="L77" t="s">
        <v>34</v>
      </c>
      <c r="M77" s="4" t="str">
        <f>CLEAN(TRIM(Working_Sales[[#This Row],[Gender]]))</f>
        <v>Male</v>
      </c>
      <c r="N77" s="4" t="str" cm="1">
        <f t="array" ref="N77">_xlfn.SWITCH(
   Working_Sales[[#This Row],[Gender_Whitespace_Removed]],
   "m", "Male",
   "f", "Female",
   Working_Sales[[#This Row],[Gender_Whitespace_Removed]]
)</f>
        <v>Male</v>
      </c>
      <c r="O77" s="6" t="str">
        <f>PROPER(Working_Sales[[#This Row],[Gender_Abbreviation_Expanded]])</f>
        <v>Male</v>
      </c>
      <c r="P77">
        <v>42</v>
      </c>
      <c r="Q77" s="2" t="str">
        <f>CLEAN(TRIM(Working_Sales[[#This Row],[Age]]))</f>
        <v>42</v>
      </c>
      <c r="R77" s="6">
        <f>INT(SUBSTITUTE(Working_Sales[[#This Row],[Age_Whitespace_Removed]],".",","))</f>
        <v>42</v>
      </c>
      <c r="S77" t="s">
        <v>62</v>
      </c>
      <c r="T77" s="2" t="str">
        <f>CLEAN(TRIM(Working_Sales[[#This Row],[Product Category]]))</f>
        <v>beauty</v>
      </c>
      <c r="U77" s="6" t="str">
        <f>PROPER(Working_Sales[[#This Row],[Product_Category_Whitespace_Removed]])</f>
        <v>Beauty</v>
      </c>
      <c r="V77" t="s">
        <v>22</v>
      </c>
      <c r="W77" s="2" t="str">
        <f>CLEAN(TRIM(Working_Sales[[#This Row],[Quantity]]))</f>
        <v>1</v>
      </c>
      <c r="X77" s="2">
        <f>INT(Working_Sales[[#This Row],[`]])</f>
        <v>1</v>
      </c>
      <c r="Y77" s="6">
        <f>IFERROR(
   Working_Sales[[#This Row],[Quantity_Converted_To_Integer]],
   Working_Sales[[#This Row],[Total_Amount_Whitespace_Removed]]/Working_Sales[[#This Row],[Price_Per_Unit_Decimal_Separator_Fixed]])</f>
        <v>1</v>
      </c>
      <c r="Z77" t="s">
        <v>75</v>
      </c>
      <c r="AA77" s="2" t="str">
        <f>CLEAN(TRIM(Working_Sales[[#This Row],[Price per Unit]]))</f>
        <v>50</v>
      </c>
      <c r="AB77" s="2">
        <f>INT(
   SUBSTITUTE(Working_Sales[[#This Row],[Price_Per_Unit_Whitespace_Removed]],
   "$",
   ""
   )
)</f>
        <v>50</v>
      </c>
      <c r="AC77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77" s="8">
        <f>IFERROR(
   Working_Sales[[#This Row],[Price_Per_Unit_Decimal_Separator_Fixed]],
   Working_Sales[[#This Row],[Total_Amount_Converted_To_Integer]]/Working_Sales[[#This Row],[Quantity_Converted_To_Integer]]
)</f>
        <v>50</v>
      </c>
      <c r="AE77" t="s">
        <v>15</v>
      </c>
      <c r="AF77" s="2" t="str">
        <f>CLEAN(TRIM(Working_Sales[[#This Row],[Total Amount]]))</f>
        <v>50</v>
      </c>
      <c r="AG77" s="2">
        <f>INT(Working_Sales[[#This Row],[Total_Amount_Whitespace_Removed]])</f>
        <v>50</v>
      </c>
      <c r="AH7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78" spans="1:34" x14ac:dyDescent="0.35">
      <c r="A78" t="s">
        <v>260</v>
      </c>
      <c r="B78" s="6" t="str">
        <f>CLEAN(TRIM(Working_Sales[[#This Row],[Transaction ID]]))</f>
        <v>559</v>
      </c>
      <c r="C78" t="s">
        <v>2010</v>
      </c>
      <c r="D78" s="2" t="str">
        <f>CLEAN(TRIM(Working_Sales[[#This Row],[Date]]))</f>
        <v>January 01, 2023</v>
      </c>
      <c r="E78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78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7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44927</v>
      </c>
      <c r="H78" t="s">
        <v>2386</v>
      </c>
      <c r="I78" s="2" t="str">
        <f>CLEAN(TRIM(Working_Sales[[#This Row],[Customer ID]]))</f>
        <v>CUST-071</v>
      </c>
      <c r="J7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CUST071</v>
      </c>
      <c r="L78" t="s">
        <v>26</v>
      </c>
      <c r="M78" s="4" t="str">
        <f>CLEAN(TRIM(Working_Sales[[#This Row],[Gender]]))</f>
        <v>Female</v>
      </c>
      <c r="N78" s="4" t="str" cm="1">
        <f t="array" ref="N78">_xlfn.SWITCH(
   Working_Sales[[#This Row],[Gender_Whitespace_Removed]],
   "m", "Male",
   "f", "Female",
   Working_Sales[[#This Row],[Gender_Whitespace_Removed]]
)</f>
        <v>Female</v>
      </c>
      <c r="O78" s="6" t="str">
        <f>PROPER(Working_Sales[[#This Row],[Gender_Abbreviation_Expanded]])</f>
        <v>Female</v>
      </c>
      <c r="P78">
        <v>40</v>
      </c>
      <c r="Q78" s="2" t="str">
        <f>CLEAN(TRIM(Working_Sales[[#This Row],[Age]]))</f>
        <v>40</v>
      </c>
      <c r="R78" s="6">
        <f>INT(SUBSTITUTE(Working_Sales[[#This Row],[Age_Whitespace_Removed]],".",","))</f>
        <v>40</v>
      </c>
      <c r="S78" t="s">
        <v>56</v>
      </c>
      <c r="T78" s="2" t="str">
        <f>CLEAN(TRIM(Working_Sales[[#This Row],[Product Category]]))</f>
        <v>Clothing</v>
      </c>
      <c r="U78" s="6" t="str">
        <f>PROPER(Working_Sales[[#This Row],[Product_Category_Whitespace_Removed]])</f>
        <v>Clothing</v>
      </c>
      <c r="V78" t="s">
        <v>14</v>
      </c>
      <c r="W78" s="2" t="str">
        <f>CLEAN(TRIM(Working_Sales[[#This Row],[Quantity]]))</f>
        <v>4</v>
      </c>
      <c r="X78" s="2">
        <f>INT(Working_Sales[[#This Row],[`]])</f>
        <v>4</v>
      </c>
      <c r="Y78" s="6">
        <f>IFERROR(
   Working_Sales[[#This Row],[Quantity_Converted_To_Integer]],
   Working_Sales[[#This Row],[Total_Amount_Whitespace_Removed]]/Working_Sales[[#This Row],[Price_Per_Unit_Decimal_Separator_Fixed]])</f>
        <v>4</v>
      </c>
      <c r="Z78" t="s">
        <v>23</v>
      </c>
      <c r="AA78" s="2" t="str">
        <f>CLEAN(TRIM(Working_Sales[[#This Row],[Price per Unit]]))</f>
        <v>300</v>
      </c>
      <c r="AB78" s="2">
        <f>INT(
   SUBSTITUTE(Working_Sales[[#This Row],[Price_Per_Unit_Whitespace_Removed]],
   "$",
   ""
   )
)</f>
        <v>300</v>
      </c>
      <c r="AC78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78" s="8">
        <f>IFERROR(
   Working_Sales[[#This Row],[Price_Per_Unit_Decimal_Separator_Fixed]],
   Working_Sales[[#This Row],[Total_Amount_Converted_To_Integer]]/Working_Sales[[#This Row],[Quantity_Converted_To_Integer]]
)</f>
        <v>300</v>
      </c>
      <c r="AE78" t="s">
        <v>79</v>
      </c>
      <c r="AF78" s="2" t="str">
        <f>CLEAN(TRIM(Working_Sales[[#This Row],[Total Amount]]))</f>
        <v>1200</v>
      </c>
      <c r="AG78" s="2">
        <f>INT(Working_Sales[[#This Row],[Total_Amount_Whitespace_Removed]])</f>
        <v>1200</v>
      </c>
      <c r="AH7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79" spans="1:34" x14ac:dyDescent="0.35">
      <c r="A79" t="s">
        <v>262</v>
      </c>
      <c r="B79" s="6" t="str">
        <f>CLEAN(TRIM(Working_Sales[[#This Row],[Transaction ID]]))</f>
        <v>548</v>
      </c>
      <c r="C79" t="s">
        <v>263</v>
      </c>
      <c r="D79" s="2" t="str">
        <f>CLEAN(TRIM(Working_Sales[[#This Row],[Date]]))</f>
        <v>2023-04-09</v>
      </c>
      <c r="E7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45025</v>
      </c>
      <c r="F7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45025</v>
      </c>
      <c r="G7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45025</v>
      </c>
      <c r="H79" t="s">
        <v>2387</v>
      </c>
      <c r="I79" s="2" t="str">
        <f>CLEAN(TRIM(Working_Sales[[#This Row],[Customer ID]]))</f>
        <v>CUST-072</v>
      </c>
      <c r="J7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CUST072</v>
      </c>
      <c r="L79" t="s">
        <v>26</v>
      </c>
      <c r="M79" s="4" t="str">
        <f>CLEAN(TRIM(Working_Sales[[#This Row],[Gender]]))</f>
        <v>Female</v>
      </c>
      <c r="N79" s="4" t="str" cm="1">
        <f t="array" ref="N79">_xlfn.SWITCH(
   Working_Sales[[#This Row],[Gender_Whitespace_Removed]],
   "m", "Male",
   "f", "Female",
   Working_Sales[[#This Row],[Gender_Whitespace_Removed]]
)</f>
        <v>Female</v>
      </c>
      <c r="O79" s="6" t="str">
        <f>PROPER(Working_Sales[[#This Row],[Gender_Abbreviation_Expanded]])</f>
        <v>Female</v>
      </c>
      <c r="P79">
        <v>51</v>
      </c>
      <c r="Q79" s="2" t="str">
        <f>CLEAN(TRIM(Working_Sales[[#This Row],[Age]]))</f>
        <v>51</v>
      </c>
      <c r="R79" s="6">
        <f>INT(SUBSTITUTE(Working_Sales[[#This Row],[Age_Whitespace_Removed]],".",","))</f>
        <v>51</v>
      </c>
      <c r="S79" t="s">
        <v>56</v>
      </c>
      <c r="T79" s="2" t="str">
        <f>CLEAN(TRIM(Working_Sales[[#This Row],[Product Category]]))</f>
        <v>Clothing</v>
      </c>
      <c r="U79" s="6" t="str">
        <f>PROPER(Working_Sales[[#This Row],[Product_Category_Whitespace_Removed]])</f>
        <v>Clothing</v>
      </c>
      <c r="V79" t="s">
        <v>37</v>
      </c>
      <c r="W79" s="2" t="str">
        <f>CLEAN(TRIM(Working_Sales[[#This Row],[Quantity]]))</f>
        <v>2</v>
      </c>
      <c r="X79" s="2">
        <f>INT(Working_Sales[[#This Row],[`]])</f>
        <v>2</v>
      </c>
      <c r="Y79" s="6">
        <f>IFERROR(
   Working_Sales[[#This Row],[Quantity_Converted_To_Integer]],
   Working_Sales[[#This Row],[Total_Amount_Whitespace_Removed]]/Working_Sales[[#This Row],[Price_Per_Unit_Decimal_Separator_Fixed]])</f>
        <v>2</v>
      </c>
      <c r="Z79" t="s">
        <v>70</v>
      </c>
      <c r="AA79" s="2" t="str">
        <f>CLEAN(TRIM(Working_Sales[[#This Row],[Price per Unit]]))</f>
        <v>30</v>
      </c>
      <c r="AB79" s="2">
        <f>INT(
   SUBSTITUTE(Working_Sales[[#This Row],[Price_Per_Unit_Whitespace_Removed]],
   "$",
   ""
   )
)</f>
        <v>30</v>
      </c>
      <c r="AC79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79" s="8">
        <f>IFERROR(
   Working_Sales[[#This Row],[Price_Per_Unit_Decimal_Separator_Fixed]],
   Working_Sales[[#This Row],[Total_Amount_Converted_To_Integer]]/Working_Sales[[#This Row],[Quantity_Converted_To_Integer]]
)</f>
        <v>30</v>
      </c>
      <c r="AE79" t="s">
        <v>71</v>
      </c>
      <c r="AF79" s="2" t="str">
        <f>CLEAN(TRIM(Working_Sales[[#This Row],[Total Amount]]))</f>
        <v>60</v>
      </c>
      <c r="AG79" s="2">
        <f>INT(Working_Sales[[#This Row],[Total_Amount_Whitespace_Removed]])</f>
        <v>60</v>
      </c>
      <c r="AH7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80" spans="1:34" x14ac:dyDescent="0.35">
      <c r="A80" t="s">
        <v>264</v>
      </c>
      <c r="B80" s="6" t="str">
        <f>CLEAN(TRIM(Working_Sales[[#This Row],[Transaction ID]]))</f>
        <v>599</v>
      </c>
      <c r="C80" t="s">
        <v>265</v>
      </c>
      <c r="D80" s="2" t="str">
        <f>CLEAN(TRIM(Working_Sales[[#This Row],[Date]]))</f>
        <v>2023-11-19</v>
      </c>
      <c r="E8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45249</v>
      </c>
      <c r="F8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45249</v>
      </c>
      <c r="G8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45249</v>
      </c>
      <c r="H80" t="s">
        <v>2388</v>
      </c>
      <c r="I80" s="2" t="str">
        <f>CLEAN(TRIM(Working_Sales[[#This Row],[Customer ID]]))</f>
        <v>CUST-073</v>
      </c>
      <c r="J8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CUST073</v>
      </c>
      <c r="L80" t="s">
        <v>26</v>
      </c>
      <c r="M80" s="4" t="str">
        <f>CLEAN(TRIM(Working_Sales[[#This Row],[Gender]]))</f>
        <v>Female</v>
      </c>
      <c r="N80" s="4" t="str" cm="1">
        <f t="array" ref="N80">_xlfn.SWITCH(
   Working_Sales[[#This Row],[Gender_Whitespace_Removed]],
   "m", "Male",
   "f", "Female",
   Working_Sales[[#This Row],[Gender_Whitespace_Removed]]
)</f>
        <v>Female</v>
      </c>
      <c r="O80" s="6" t="str">
        <f>PROPER(Working_Sales[[#This Row],[Gender_Abbreviation_Expanded]])</f>
        <v>Female</v>
      </c>
      <c r="P80">
        <v>28</v>
      </c>
      <c r="Q80" s="2" t="str">
        <f>CLEAN(TRIM(Working_Sales[[#This Row],[Age]]))</f>
        <v>28</v>
      </c>
      <c r="R80" s="6">
        <f>INT(SUBSTITUTE(Working_Sales[[#This Row],[Age_Whitespace_Removed]],".",","))</f>
        <v>28</v>
      </c>
      <c r="S80" t="s">
        <v>36</v>
      </c>
      <c r="T80" s="2" t="str">
        <f>CLEAN(TRIM(Working_Sales[[#This Row],[Product Category]]))</f>
        <v>Beauty</v>
      </c>
      <c r="U80" s="6" t="str">
        <f>PROPER(Working_Sales[[#This Row],[Product_Category_Whitespace_Removed]])</f>
        <v>Beauty</v>
      </c>
      <c r="V80" t="s">
        <v>37</v>
      </c>
      <c r="W80" s="2" t="str">
        <f>CLEAN(TRIM(Working_Sales[[#This Row],[Quantity]]))</f>
        <v>2</v>
      </c>
      <c r="X80" s="2">
        <f>INT(Working_Sales[[#This Row],[`]])</f>
        <v>2</v>
      </c>
      <c r="Y80" s="6">
        <f>IFERROR(
   Working_Sales[[#This Row],[Quantity_Converted_To_Integer]],
   Working_Sales[[#This Row],[Total_Amount_Whitespace_Removed]]/Working_Sales[[#This Row],[Price_Per_Unit_Decimal_Separator_Fixed]])</f>
        <v>2</v>
      </c>
      <c r="Z80" t="s">
        <v>15</v>
      </c>
      <c r="AA80" s="2" t="str">
        <f>CLEAN(TRIM(Working_Sales[[#This Row],[Price per Unit]]))</f>
        <v>50</v>
      </c>
      <c r="AB80" s="2">
        <f>INT(
   SUBSTITUTE(Working_Sales[[#This Row],[Price_Per_Unit_Whitespace_Removed]],
   "$",
   ""
   )
)</f>
        <v>50</v>
      </c>
      <c r="AC80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80" s="8">
        <f>IFERROR(
   Working_Sales[[#This Row],[Price_Per_Unit_Decimal_Separator_Fixed]],
   Working_Sales[[#This Row],[Total_Amount_Converted_To_Integer]]/Working_Sales[[#This Row],[Quantity_Converted_To_Integer]]
)</f>
        <v>50</v>
      </c>
      <c r="AE80" t="s">
        <v>38</v>
      </c>
      <c r="AF80" s="2" t="str">
        <f>CLEAN(TRIM(Working_Sales[[#This Row],[Total Amount]]))</f>
        <v>100</v>
      </c>
      <c r="AG80" s="2">
        <f>INT(Working_Sales[[#This Row],[Total_Amount_Whitespace_Removed]])</f>
        <v>100</v>
      </c>
      <c r="AH8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81" spans="1:34" x14ac:dyDescent="0.35">
      <c r="A81" t="s">
        <v>266</v>
      </c>
      <c r="B81" s="6" t="str">
        <f>CLEAN(TRIM(Working_Sales[[#This Row],[Transaction ID]]))</f>
        <v>543</v>
      </c>
      <c r="C81" t="s">
        <v>267</v>
      </c>
      <c r="D81" s="2" t="str">
        <f>CLEAN(TRIM(Working_Sales[[#This Row],[Date]]))</f>
        <v>2023-07-26</v>
      </c>
      <c r="E8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45133</v>
      </c>
      <c r="F8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45133</v>
      </c>
      <c r="G8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45133</v>
      </c>
      <c r="H81" t="s">
        <v>2389</v>
      </c>
      <c r="I81" s="2" t="str">
        <f>CLEAN(TRIM(Working_Sales[[#This Row],[Customer ID]]))</f>
        <v>cust074</v>
      </c>
      <c r="J8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CUST074</v>
      </c>
      <c r="L81" t="s">
        <v>268</v>
      </c>
      <c r="M81" s="4" t="str">
        <f>CLEAN(TRIM(Working_Sales[[#This Row],[Gender]]))</f>
        <v>M</v>
      </c>
      <c r="N81" s="4" t="str" cm="1">
        <f t="array" ref="N81">_xlfn.SWITCH(
   Working_Sales[[#This Row],[Gender_Whitespace_Removed]],
   "m", "Male",
   "f", "Female",
   Working_Sales[[#This Row],[Gender_Whitespace_Removed]]
)</f>
        <v>Male</v>
      </c>
      <c r="O81" s="6" t="str">
        <f>PROPER(Working_Sales[[#This Row],[Gender_Abbreviation_Expanded]])</f>
        <v>Male</v>
      </c>
      <c r="P81">
        <v>49</v>
      </c>
      <c r="Q81" s="2" t="str">
        <f>CLEAN(TRIM(Working_Sales[[#This Row],[Age]]))</f>
        <v>49</v>
      </c>
      <c r="R81" s="6">
        <f>INT(SUBSTITUTE(Working_Sales[[#This Row],[Age_Whitespace_Removed]],".",","))</f>
        <v>49</v>
      </c>
      <c r="S81" t="s">
        <v>62</v>
      </c>
      <c r="T81" s="2" t="str">
        <f>CLEAN(TRIM(Working_Sales[[#This Row],[Product Category]]))</f>
        <v>beauty</v>
      </c>
      <c r="U81" s="6" t="str">
        <f>PROPER(Working_Sales[[#This Row],[Product_Category_Whitespace_Removed]])</f>
        <v>Beauty</v>
      </c>
      <c r="V81" t="s">
        <v>37</v>
      </c>
      <c r="W81" s="2" t="str">
        <f>CLEAN(TRIM(Working_Sales[[#This Row],[Quantity]]))</f>
        <v>2</v>
      </c>
      <c r="X81" s="2">
        <f>INT(Working_Sales[[#This Row],[`]])</f>
        <v>2</v>
      </c>
      <c r="Y81" s="6">
        <f>IFERROR(
   Working_Sales[[#This Row],[Quantity_Converted_To_Integer]],
   Working_Sales[[#This Row],[Total_Amount_Whitespace_Removed]]/Working_Sales[[#This Row],[Price_Per_Unit_Decimal_Separator_Fixed]])</f>
        <v>2</v>
      </c>
      <c r="Z81" t="s">
        <v>23</v>
      </c>
      <c r="AA81" s="2" t="str">
        <f>CLEAN(TRIM(Working_Sales[[#This Row],[Price per Unit]]))</f>
        <v>300</v>
      </c>
      <c r="AB81" s="2">
        <f>INT(
   SUBSTITUTE(Working_Sales[[#This Row],[Price_Per_Unit_Whitespace_Removed]],
   "$",
   ""
   )
)</f>
        <v>300</v>
      </c>
      <c r="AC81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81" s="8">
        <f>IFERROR(
   Working_Sales[[#This Row],[Price_Per_Unit_Decimal_Separator_Fixed]],
   Working_Sales[[#This Row],[Total_Amount_Converted_To_Integer]]/Working_Sales[[#This Row],[Quantity_Converted_To_Integer]]
)</f>
        <v>300</v>
      </c>
      <c r="AE81" t="s">
        <v>107</v>
      </c>
      <c r="AF81" s="2" t="str">
        <f>CLEAN(TRIM(Working_Sales[[#This Row],[Total Amount]]))</f>
        <v>600</v>
      </c>
      <c r="AG81" s="2">
        <f>INT(Working_Sales[[#This Row],[Total_Amount_Whitespace_Removed]])</f>
        <v>600</v>
      </c>
      <c r="AH8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600</v>
      </c>
    </row>
    <row r="82" spans="1:34" x14ac:dyDescent="0.35">
      <c r="A82" t="s">
        <v>269</v>
      </c>
      <c r="B82" s="6" t="str">
        <f>CLEAN(TRIM(Working_Sales[[#This Row],[Transaction ID]]))</f>
        <v>331</v>
      </c>
      <c r="C82" t="s">
        <v>2011</v>
      </c>
      <c r="D82" s="2" t="str">
        <f>CLEAN(TRIM(Working_Sales[[#This Row],[Date]]))</f>
        <v>February 11, 2023</v>
      </c>
      <c r="E82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82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8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44968</v>
      </c>
      <c r="H82" t="s">
        <v>2390</v>
      </c>
      <c r="I82" s="2" t="str">
        <f>CLEAN(TRIM(Working_Sales[[#This Row],[Customer ID]]))</f>
        <v>cust075</v>
      </c>
      <c r="J8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CUST075</v>
      </c>
      <c r="L82" t="s">
        <v>34</v>
      </c>
      <c r="M82" s="4" t="str">
        <f>CLEAN(TRIM(Working_Sales[[#This Row],[Gender]]))</f>
        <v>Male</v>
      </c>
      <c r="N82" s="4" t="str" cm="1">
        <f t="array" ref="N82">_xlfn.SWITCH(
   Working_Sales[[#This Row],[Gender_Whitespace_Removed]],
   "m", "Male",
   "f", "Female",
   Working_Sales[[#This Row],[Gender_Whitespace_Removed]]
)</f>
        <v>Male</v>
      </c>
      <c r="O82" s="6" t="str">
        <f>PROPER(Working_Sales[[#This Row],[Gender_Abbreviation_Expanded]])</f>
        <v>Male</v>
      </c>
      <c r="P82">
        <v>28</v>
      </c>
      <c r="Q82" s="2" t="str">
        <f>CLEAN(TRIM(Working_Sales[[#This Row],[Age]]))</f>
        <v>28</v>
      </c>
      <c r="R82" s="6">
        <f>INT(SUBSTITUTE(Working_Sales[[#This Row],[Age_Whitespace_Removed]],".",","))</f>
        <v>28</v>
      </c>
      <c r="S82" t="s">
        <v>13</v>
      </c>
      <c r="T82" s="2" t="str">
        <f>CLEAN(TRIM(Working_Sales[[#This Row],[Product Category]]))</f>
        <v>Electronics</v>
      </c>
      <c r="U82" s="6" t="str">
        <f>PROPER(Working_Sales[[#This Row],[Product_Category_Whitespace_Removed]])</f>
        <v>Electronics</v>
      </c>
      <c r="V82" t="s">
        <v>29</v>
      </c>
      <c r="W82" s="2" t="str">
        <f>CLEAN(TRIM(Working_Sales[[#This Row],[Quantity]]))</f>
        <v>3</v>
      </c>
      <c r="X82" s="2">
        <f>INT(Working_Sales[[#This Row],[`]])</f>
        <v>3</v>
      </c>
      <c r="Y82" s="6">
        <f>IFERROR(
   Working_Sales[[#This Row],[Quantity_Converted_To_Integer]],
   Working_Sales[[#This Row],[Total_Amount_Whitespace_Removed]]/Working_Sales[[#This Row],[Price_Per_Unit_Decimal_Separator_Fixed]])</f>
        <v>3</v>
      </c>
      <c r="Z82" t="s">
        <v>70</v>
      </c>
      <c r="AA82" s="2" t="str">
        <f>CLEAN(TRIM(Working_Sales[[#This Row],[Price per Unit]]))</f>
        <v>30</v>
      </c>
      <c r="AB82" s="2">
        <f>INT(
   SUBSTITUTE(Working_Sales[[#This Row],[Price_Per_Unit_Whitespace_Removed]],
   "$",
   ""
   )
)</f>
        <v>30</v>
      </c>
      <c r="AC82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82" s="8">
        <f>IFERROR(
   Working_Sales[[#This Row],[Price_Per_Unit_Decimal_Separator_Fixed]],
   Working_Sales[[#This Row],[Total_Amount_Converted_To_Integer]]/Working_Sales[[#This Row],[Quantity_Converted_To_Integer]]
)</f>
        <v>30</v>
      </c>
      <c r="AE82" t="s">
        <v>191</v>
      </c>
      <c r="AF82" s="2" t="str">
        <f>CLEAN(TRIM(Working_Sales[[#This Row],[Total Amount]]))</f>
        <v>90</v>
      </c>
      <c r="AG82" s="2">
        <f>INT(Working_Sales[[#This Row],[Total_Amount_Whitespace_Removed]])</f>
        <v>90</v>
      </c>
      <c r="AH8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83" spans="1:34" x14ac:dyDescent="0.35">
      <c r="A83" t="s">
        <v>271</v>
      </c>
      <c r="B83" s="6" t="str">
        <f>CLEAN(TRIM(Working_Sales[[#This Row],[Transaction ID]]))</f>
        <v>432</v>
      </c>
      <c r="C83" t="s">
        <v>1971</v>
      </c>
      <c r="D83" s="2" t="str">
        <f>CLEAN(TRIM(Working_Sales[[#This Row],[Date]]))</f>
        <v>2023-01-05</v>
      </c>
      <c r="E8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44931</v>
      </c>
      <c r="F8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44931</v>
      </c>
      <c r="G8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44931</v>
      </c>
      <c r="H83" t="s">
        <v>2391</v>
      </c>
      <c r="I83" s="2" t="str">
        <f>CLEAN(TRIM(Working_Sales[[#This Row],[Customer ID]]))</f>
        <v>cust076</v>
      </c>
      <c r="J8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CUST076</v>
      </c>
      <c r="L83" t="s">
        <v>140</v>
      </c>
      <c r="M83" s="4" t="str">
        <f>CLEAN(TRIM(Working_Sales[[#This Row],[Gender]]))</f>
        <v>FEMALE</v>
      </c>
      <c r="N83" s="4" t="str" cm="1">
        <f t="array" ref="N83">_xlfn.SWITCH(
   Working_Sales[[#This Row],[Gender_Whitespace_Removed]],
   "m", "Male",
   "f", "Female",
   Working_Sales[[#This Row],[Gender_Whitespace_Removed]]
)</f>
        <v>FEMALE</v>
      </c>
      <c r="O83" s="6" t="str">
        <f>PROPER(Working_Sales[[#This Row],[Gender_Abbreviation_Expanded]])</f>
        <v>Female</v>
      </c>
      <c r="P83">
        <v>60</v>
      </c>
      <c r="Q83" s="2" t="str">
        <f>CLEAN(TRIM(Working_Sales[[#This Row],[Age]]))</f>
        <v>60</v>
      </c>
      <c r="R83" s="6">
        <f>INT(SUBSTITUTE(Working_Sales[[#This Row],[Age_Whitespace_Removed]],".",","))</f>
        <v>60</v>
      </c>
      <c r="S83" t="s">
        <v>99</v>
      </c>
      <c r="T83" s="2" t="str">
        <f>CLEAN(TRIM(Working_Sales[[#This Row],[Product Category]]))</f>
        <v>ELECTRONICS</v>
      </c>
      <c r="U83" s="6" t="str">
        <f>PROPER(Working_Sales[[#This Row],[Product_Category_Whitespace_Removed]])</f>
        <v>Electronics</v>
      </c>
      <c r="V83" t="s">
        <v>37</v>
      </c>
      <c r="W83" s="2" t="str">
        <f>CLEAN(TRIM(Working_Sales[[#This Row],[Quantity]]))</f>
        <v>2</v>
      </c>
      <c r="X83" s="2">
        <f>INT(Working_Sales[[#This Row],[`]])</f>
        <v>2</v>
      </c>
      <c r="Y83" s="6">
        <f>IFERROR(
   Working_Sales[[#This Row],[Quantity_Converted_To_Integer]],
   Working_Sales[[#This Row],[Total_Amount_Whitespace_Removed]]/Working_Sales[[#This Row],[Price_Per_Unit_Decimal_Separator_Fixed]])</f>
        <v>2</v>
      </c>
      <c r="Z83" t="s">
        <v>57</v>
      </c>
      <c r="AA83" s="2" t="str">
        <f>CLEAN(TRIM(Working_Sales[[#This Row],[Price per Unit]]))</f>
        <v>500</v>
      </c>
      <c r="AB83" s="2">
        <f>INT(
   SUBSTITUTE(Working_Sales[[#This Row],[Price_Per_Unit_Whitespace_Removed]],
   "$",
   ""
   )
)</f>
        <v>500</v>
      </c>
      <c r="AC83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83" s="8">
        <f>IFERROR(
   Working_Sales[[#This Row],[Price_Per_Unit_Decimal_Separator_Fixed]],
   Working_Sales[[#This Row],[Total_Amount_Converted_To_Integer]]/Working_Sales[[#This Row],[Quantity_Converted_To_Integer]]
)</f>
        <v>500</v>
      </c>
      <c r="AE83" t="s">
        <v>163</v>
      </c>
      <c r="AF83" s="2" t="str">
        <f>CLEAN(TRIM(Working_Sales[[#This Row],[Total Amount]]))</f>
        <v>1000</v>
      </c>
      <c r="AG83" s="2">
        <f>INT(Working_Sales[[#This Row],[Total_Amount_Whitespace_Removed]])</f>
        <v>1000</v>
      </c>
      <c r="AH8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84" spans="1:34" x14ac:dyDescent="0.35">
      <c r="A84" t="s">
        <v>273</v>
      </c>
      <c r="B84" s="6" t="str">
        <f>CLEAN(TRIM(Working_Sales[[#This Row],[Transaction ID]]))</f>
        <v>910</v>
      </c>
      <c r="C84" t="s">
        <v>2012</v>
      </c>
      <c r="D84" s="2" t="str">
        <f>CLEAN(TRIM(Working_Sales[[#This Row],[Date]]))</f>
        <v>06-Mar-2023</v>
      </c>
      <c r="E8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44991</v>
      </c>
      <c r="F8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44991</v>
      </c>
      <c r="G8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44991</v>
      </c>
      <c r="H84" t="s">
        <v>2392</v>
      </c>
      <c r="I84" s="2" t="str">
        <f>CLEAN(TRIM(Working_Sales[[#This Row],[Customer ID]]))</f>
        <v>cust077</v>
      </c>
      <c r="J8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CUST077</v>
      </c>
      <c r="L84" t="s">
        <v>26</v>
      </c>
      <c r="M84" s="4" t="str">
        <f>CLEAN(TRIM(Working_Sales[[#This Row],[Gender]]))</f>
        <v>Female</v>
      </c>
      <c r="N84" s="4" t="str" cm="1">
        <f t="array" ref="N84">_xlfn.SWITCH(
   Working_Sales[[#This Row],[Gender_Whitespace_Removed]],
   "m", "Male",
   "f", "Female",
   Working_Sales[[#This Row],[Gender_Whitespace_Removed]]
)</f>
        <v>Female</v>
      </c>
      <c r="O84" s="6" t="str">
        <f>PROPER(Working_Sales[[#This Row],[Gender_Abbreviation_Expanded]])</f>
        <v>Female</v>
      </c>
      <c r="P84">
        <v>20</v>
      </c>
      <c r="Q84" s="2" t="str">
        <f>CLEAN(TRIM(Working_Sales[[#This Row],[Age]]))</f>
        <v>20</v>
      </c>
      <c r="R84" s="6">
        <f>INT(SUBSTITUTE(Working_Sales[[#This Row],[Age_Whitespace_Removed]],".",","))</f>
        <v>20</v>
      </c>
      <c r="S84" t="s">
        <v>36</v>
      </c>
      <c r="T84" s="2" t="str">
        <f>CLEAN(TRIM(Working_Sales[[#This Row],[Product Category]]))</f>
        <v>Beauty</v>
      </c>
      <c r="U84" s="6" t="str">
        <f>PROPER(Working_Sales[[#This Row],[Product_Category_Whitespace_Removed]])</f>
        <v>Beauty</v>
      </c>
      <c r="V84" t="s">
        <v>29</v>
      </c>
      <c r="W84" s="2" t="str">
        <f>CLEAN(TRIM(Working_Sales[[#This Row],[Quantity]]))</f>
        <v>3</v>
      </c>
      <c r="X84" s="2">
        <f>INT(Working_Sales[[#This Row],[`]])</f>
        <v>3</v>
      </c>
      <c r="Y84" s="6">
        <f>IFERROR(
   Working_Sales[[#This Row],[Quantity_Converted_To_Integer]],
   Working_Sales[[#This Row],[Total_Amount_Whitespace_Removed]]/Working_Sales[[#This Row],[Price_Per_Unit_Decimal_Separator_Fixed]])</f>
        <v>3</v>
      </c>
      <c r="Z84" t="s">
        <v>15</v>
      </c>
      <c r="AA84" s="2" t="str">
        <f>CLEAN(TRIM(Working_Sales[[#This Row],[Price per Unit]]))</f>
        <v>50</v>
      </c>
      <c r="AB84" s="2">
        <f>INT(
   SUBSTITUTE(Working_Sales[[#This Row],[Price_Per_Unit_Whitespace_Removed]],
   "$",
   ""
   )
)</f>
        <v>50</v>
      </c>
      <c r="AC84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84" s="8">
        <f>IFERROR(
   Working_Sales[[#This Row],[Price_Per_Unit_Decimal_Separator_Fixed]],
   Working_Sales[[#This Row],[Total_Amount_Converted_To_Integer]]/Working_Sales[[#This Row],[Quantity_Converted_To_Integer]]
)</f>
        <v>50</v>
      </c>
      <c r="AE84" t="s">
        <v>130</v>
      </c>
      <c r="AF84" s="2" t="str">
        <f>CLEAN(TRIM(Working_Sales[[#This Row],[Total Amount]]))</f>
        <v>150</v>
      </c>
      <c r="AG84" s="2">
        <f>INT(Working_Sales[[#This Row],[Total_Amount_Whitespace_Removed]])</f>
        <v>150</v>
      </c>
      <c r="AH8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85" spans="1:34" x14ac:dyDescent="0.35">
      <c r="A85" t="s">
        <v>274</v>
      </c>
      <c r="B85" s="6" t="str">
        <f>CLEAN(TRIM(Working_Sales[[#This Row],[Transaction ID]]))</f>
        <v>325</v>
      </c>
      <c r="C85" t="s">
        <v>248</v>
      </c>
      <c r="D85" s="2" t="str">
        <f>CLEAN(TRIM(Working_Sales[[#This Row],[Date]]))</f>
        <v>2023-09-02</v>
      </c>
      <c r="E8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45171</v>
      </c>
      <c r="F8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45171</v>
      </c>
      <c r="G8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45171</v>
      </c>
      <c r="H85" t="s">
        <v>2393</v>
      </c>
      <c r="I85" s="2" t="str">
        <f>CLEAN(TRIM(Working_Sales[[#This Row],[Customer ID]]))</f>
        <v>CUST078</v>
      </c>
      <c r="J8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CUST078</v>
      </c>
      <c r="K8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CUST078</v>
      </c>
      <c r="L85" t="s">
        <v>26</v>
      </c>
      <c r="M85" s="4" t="str">
        <f>CLEAN(TRIM(Working_Sales[[#This Row],[Gender]]))</f>
        <v>Female</v>
      </c>
      <c r="N85" s="4" t="str" cm="1">
        <f t="array" ref="N85">_xlfn.SWITCH(
   Working_Sales[[#This Row],[Gender_Whitespace_Removed]],
   "m", "Male",
   "f", "Female",
   Working_Sales[[#This Row],[Gender_Whitespace_Removed]]
)</f>
        <v>Female</v>
      </c>
      <c r="O85" s="6" t="str">
        <f>PROPER(Working_Sales[[#This Row],[Gender_Abbreviation_Expanded]])</f>
        <v>Female</v>
      </c>
      <c r="P85">
        <v>52</v>
      </c>
      <c r="Q85" s="2" t="str">
        <f>CLEAN(TRIM(Working_Sales[[#This Row],[Age]]))</f>
        <v>52</v>
      </c>
      <c r="R85" s="6">
        <f>INT(SUBSTITUTE(Working_Sales[[#This Row],[Age_Whitespace_Removed]],".",","))</f>
        <v>52</v>
      </c>
      <c r="S85" t="s">
        <v>48</v>
      </c>
      <c r="T85" s="2" t="str">
        <f>CLEAN(TRIM(Working_Sales[[#This Row],[Product Category]]))</f>
        <v>electronics</v>
      </c>
      <c r="U85" s="6" t="str">
        <f>PROPER(Working_Sales[[#This Row],[Product_Category_Whitespace_Removed]])</f>
        <v>Electronics</v>
      </c>
      <c r="V85" t="s">
        <v>37</v>
      </c>
      <c r="W85" s="2" t="str">
        <f>CLEAN(TRIM(Working_Sales[[#This Row],[Quantity]]))</f>
        <v>2</v>
      </c>
      <c r="X85" s="2">
        <f>INT(Working_Sales[[#This Row],[`]])</f>
        <v>2</v>
      </c>
      <c r="Y85" s="6">
        <f>IFERROR(
   Working_Sales[[#This Row],[Quantity_Converted_To_Integer]],
   Working_Sales[[#This Row],[Total_Amount_Whitespace_Removed]]/Working_Sales[[#This Row],[Price_Per_Unit_Decimal_Separator_Fixed]])</f>
        <v>2</v>
      </c>
      <c r="Z85" t="s">
        <v>30</v>
      </c>
      <c r="AA85" s="2" t="str">
        <f>CLEAN(TRIM(Working_Sales[[#This Row],[Price per Unit]]))</f>
        <v>25</v>
      </c>
      <c r="AB85" s="2">
        <f>INT(
   SUBSTITUTE(Working_Sales[[#This Row],[Price_Per_Unit_Whitespace_Removed]],
   "$",
   ""
   )
)</f>
        <v>25</v>
      </c>
      <c r="AC85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85" s="8">
        <f>IFERROR(
   Working_Sales[[#This Row],[Price_Per_Unit_Decimal_Separator_Fixed]],
   Working_Sales[[#This Row],[Total_Amount_Converted_To_Integer]]/Working_Sales[[#This Row],[Quantity_Converted_To_Integer]]
)</f>
        <v>25</v>
      </c>
      <c r="AE85" t="s">
        <v>15</v>
      </c>
      <c r="AF85" s="2" t="str">
        <f>CLEAN(TRIM(Working_Sales[[#This Row],[Total Amount]]))</f>
        <v>50</v>
      </c>
      <c r="AG85" s="2">
        <f>INT(Working_Sales[[#This Row],[Total_Amount_Whitespace_Removed]])</f>
        <v>50</v>
      </c>
      <c r="AH8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86" spans="1:34" x14ac:dyDescent="0.35">
      <c r="A86" t="s">
        <v>275</v>
      </c>
      <c r="B86" s="6" t="str">
        <f>CLEAN(TRIM(Working_Sales[[#This Row],[Transaction ID]]))</f>
        <v>658</v>
      </c>
      <c r="C86" t="s">
        <v>1366</v>
      </c>
      <c r="D86" s="2" t="str">
        <f>CLEAN(TRIM(Working_Sales[[#This Row],[Date]]))</f>
        <v>12-Mar-2023</v>
      </c>
      <c r="E8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44997</v>
      </c>
      <c r="F8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44997</v>
      </c>
      <c r="G8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44997</v>
      </c>
      <c r="H86" t="s">
        <v>2394</v>
      </c>
      <c r="I86" s="2" t="str">
        <f>CLEAN(TRIM(Working_Sales[[#This Row],[Customer ID]]))</f>
        <v>cust079</v>
      </c>
      <c r="J8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CUST079</v>
      </c>
      <c r="L86" t="s">
        <v>268</v>
      </c>
      <c r="M86" s="4" t="str">
        <f>CLEAN(TRIM(Working_Sales[[#This Row],[Gender]]))</f>
        <v>M</v>
      </c>
      <c r="N86" s="4" t="str" cm="1">
        <f t="array" ref="N86">_xlfn.SWITCH(
   Working_Sales[[#This Row],[Gender_Whitespace_Removed]],
   "m", "Male",
   "f", "Female",
   Working_Sales[[#This Row],[Gender_Whitespace_Removed]]
)</f>
        <v>Male</v>
      </c>
      <c r="O86" s="6" t="str">
        <f>PROPER(Working_Sales[[#This Row],[Gender_Abbreviation_Expanded]])</f>
        <v>Male</v>
      </c>
      <c r="P86" t="s">
        <v>276</v>
      </c>
      <c r="Q86" s="2" t="str">
        <f>CLEAN(TRIM(Working_Sales[[#This Row],[Age]]))</f>
        <v>59.0</v>
      </c>
      <c r="R86" s="6">
        <f>INT(SUBSTITUTE(Working_Sales[[#This Row],[Age_Whitespace_Removed]],".",","))</f>
        <v>59</v>
      </c>
      <c r="S86" t="s">
        <v>56</v>
      </c>
      <c r="T86" s="2" t="str">
        <f>CLEAN(TRIM(Working_Sales[[#This Row],[Product Category]]))</f>
        <v>Clothing</v>
      </c>
      <c r="U86" s="6" t="str">
        <f>PROPER(Working_Sales[[#This Row],[Product_Category_Whitespace_Removed]])</f>
        <v>Clothing</v>
      </c>
      <c r="V86" t="s">
        <v>22</v>
      </c>
      <c r="W86" s="2" t="str">
        <f>CLEAN(TRIM(Working_Sales[[#This Row],[Quantity]]))</f>
        <v>1</v>
      </c>
      <c r="X86" s="2">
        <f>INT(Working_Sales[[#This Row],[`]])</f>
        <v>1</v>
      </c>
      <c r="Y86" s="6">
        <f>IFERROR(
   Working_Sales[[#This Row],[Quantity_Converted_To_Integer]],
   Working_Sales[[#This Row],[Total_Amount_Whitespace_Removed]]/Working_Sales[[#This Row],[Price_Per_Unit_Decimal_Separator_Fixed]])</f>
        <v>1</v>
      </c>
      <c r="Z86" t="s">
        <v>30</v>
      </c>
      <c r="AA86" s="2" t="str">
        <f>CLEAN(TRIM(Working_Sales[[#This Row],[Price per Unit]]))</f>
        <v>25</v>
      </c>
      <c r="AB86" s="2">
        <f>INT(
   SUBSTITUTE(Working_Sales[[#This Row],[Price_Per_Unit_Whitespace_Removed]],
   "$",
   ""
   )
)</f>
        <v>25</v>
      </c>
      <c r="AC86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86" s="8">
        <f>IFERROR(
   Working_Sales[[#This Row],[Price_Per_Unit_Decimal_Separator_Fixed]],
   Working_Sales[[#This Row],[Total_Amount_Converted_To_Integer]]/Working_Sales[[#This Row],[Quantity_Converted_To_Integer]]
)</f>
        <v>25</v>
      </c>
      <c r="AE86" t="s">
        <v>30</v>
      </c>
      <c r="AF86" s="2" t="str">
        <f>CLEAN(TRIM(Working_Sales[[#This Row],[Total Amount]]))</f>
        <v>25</v>
      </c>
      <c r="AG86" s="2">
        <f>INT(Working_Sales[[#This Row],[Total_Amount_Whitespace_Removed]])</f>
        <v>25</v>
      </c>
      <c r="AH8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87" spans="1:34" x14ac:dyDescent="0.35">
      <c r="A87" t="s">
        <v>277</v>
      </c>
      <c r="B87" s="6" t="str">
        <f>CLEAN(TRIM(Working_Sales[[#This Row],[Transaction ID]]))</f>
        <v>486</v>
      </c>
      <c r="C87" t="s">
        <v>151</v>
      </c>
      <c r="D87" s="2" t="str">
        <f>CLEAN(TRIM(Working_Sales[[#This Row],[Date]]))</f>
        <v>April 09, 2023</v>
      </c>
      <c r="E87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87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8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45025</v>
      </c>
      <c r="H87" t="s">
        <v>2395</v>
      </c>
      <c r="I87" s="2" t="str">
        <f>CLEAN(TRIM(Working_Sales[[#This Row],[Customer ID]]))</f>
        <v>cust080</v>
      </c>
      <c r="J8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CUST080</v>
      </c>
      <c r="L87" t="s">
        <v>26</v>
      </c>
      <c r="M87" s="4" t="str">
        <f>CLEAN(TRIM(Working_Sales[[#This Row],[Gender]]))</f>
        <v>Female</v>
      </c>
      <c r="N87" s="4" t="str" cm="1">
        <f t="array" ref="N87">_xlfn.SWITCH(
   Working_Sales[[#This Row],[Gender_Whitespace_Removed]],
   "m", "Male",
   "f", "Female",
   Working_Sales[[#This Row],[Gender_Whitespace_Removed]]
)</f>
        <v>Female</v>
      </c>
      <c r="O87" s="6" t="str">
        <f>PROPER(Working_Sales[[#This Row],[Gender_Abbreviation_Expanded]])</f>
        <v>Female</v>
      </c>
      <c r="P87">
        <v>35</v>
      </c>
      <c r="Q87" s="2" t="str">
        <f>CLEAN(TRIM(Working_Sales[[#This Row],[Age]]))</f>
        <v>35</v>
      </c>
      <c r="R87" s="6">
        <f>INT(SUBSTITUTE(Working_Sales[[#This Row],[Age_Whitespace_Removed]],".",","))</f>
        <v>35</v>
      </c>
      <c r="S87" t="s">
        <v>117</v>
      </c>
      <c r="T87" s="2" t="str">
        <f>CLEAN(TRIM(Working_Sales[[#This Row],[Product Category]]))</f>
        <v>Electronics</v>
      </c>
      <c r="U87" s="6" t="str">
        <f>PROPER(Working_Sales[[#This Row],[Product_Category_Whitespace_Removed]])</f>
        <v>Electronics</v>
      </c>
      <c r="V87" t="s">
        <v>22</v>
      </c>
      <c r="W87" s="2" t="str">
        <f>CLEAN(TRIM(Working_Sales[[#This Row],[Quantity]]))</f>
        <v>1</v>
      </c>
      <c r="X87" s="2">
        <f>INT(Working_Sales[[#This Row],[`]])</f>
        <v>1</v>
      </c>
      <c r="Y87" s="6">
        <f>IFERROR(
   Working_Sales[[#This Row],[Quantity_Converted_To_Integer]],
   Working_Sales[[#This Row],[Total_Amount_Whitespace_Removed]]/Working_Sales[[#This Row],[Price_Per_Unit_Decimal_Separator_Fixed]])</f>
        <v>1</v>
      </c>
      <c r="Z87" t="s">
        <v>30</v>
      </c>
      <c r="AA87" s="2" t="str">
        <f>CLEAN(TRIM(Working_Sales[[#This Row],[Price per Unit]]))</f>
        <v>25</v>
      </c>
      <c r="AB87" s="2">
        <f>INT(
   SUBSTITUTE(Working_Sales[[#This Row],[Price_Per_Unit_Whitespace_Removed]],
   "$",
   ""
   )
)</f>
        <v>25</v>
      </c>
      <c r="AC87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87" s="8">
        <f>IFERROR(
   Working_Sales[[#This Row],[Price_Per_Unit_Decimal_Separator_Fixed]],
   Working_Sales[[#This Row],[Total_Amount_Converted_To_Integer]]/Working_Sales[[#This Row],[Quantity_Converted_To_Integer]]
)</f>
        <v>25</v>
      </c>
      <c r="AE87" t="s">
        <v>30</v>
      </c>
      <c r="AF87" s="2" t="str">
        <f>CLEAN(TRIM(Working_Sales[[#This Row],[Total Amount]]))</f>
        <v>25</v>
      </c>
      <c r="AG87" s="2">
        <f>INT(Working_Sales[[#This Row],[Total_Amount_Whitespace_Removed]])</f>
        <v>25</v>
      </c>
      <c r="AH8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88" spans="1:34" x14ac:dyDescent="0.35">
      <c r="A88" t="s">
        <v>279</v>
      </c>
      <c r="B88" s="6" t="str">
        <f>CLEAN(TRIM(Working_Sales[[#This Row],[Transaction ID]]))</f>
        <v>421</v>
      </c>
      <c r="C88" t="s">
        <v>1246</v>
      </c>
      <c r="D88" s="2" t="str">
        <f>CLEAN(TRIM(Working_Sales[[#This Row],[Date]]))</f>
        <v>2023-01-02</v>
      </c>
      <c r="E8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44928</v>
      </c>
      <c r="F8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44928</v>
      </c>
      <c r="G8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44928</v>
      </c>
      <c r="H88" t="s">
        <v>575</v>
      </c>
      <c r="I88" s="2" t="str">
        <f>CLEAN(TRIM(Working_Sales[[#This Row],[Customer ID]]))</f>
        <v>CUST081</v>
      </c>
      <c r="J8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CUST081</v>
      </c>
      <c r="K8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CUST081</v>
      </c>
      <c r="L88" t="s">
        <v>26</v>
      </c>
      <c r="M88" s="4" t="str">
        <f>CLEAN(TRIM(Working_Sales[[#This Row],[Gender]]))</f>
        <v>Female</v>
      </c>
      <c r="N88" s="4" t="str" cm="1">
        <f t="array" ref="N88">_xlfn.SWITCH(
   Working_Sales[[#This Row],[Gender_Whitespace_Removed]],
   "m", "Male",
   "f", "Female",
   Working_Sales[[#This Row],[Gender_Whitespace_Removed]]
)</f>
        <v>Female</v>
      </c>
      <c r="O88" s="6" t="str">
        <f>PROPER(Working_Sales[[#This Row],[Gender_Abbreviation_Expanded]])</f>
        <v>Female</v>
      </c>
      <c r="P88">
        <v>37</v>
      </c>
      <c r="Q88" s="2" t="str">
        <f>CLEAN(TRIM(Working_Sales[[#This Row],[Age]]))</f>
        <v>37</v>
      </c>
      <c r="R88" s="6">
        <f>INT(SUBSTITUTE(Working_Sales[[#This Row],[Age_Whitespace_Removed]],".",","))</f>
        <v>37</v>
      </c>
      <c r="S88" t="s">
        <v>56</v>
      </c>
      <c r="T88" s="2" t="str">
        <f>CLEAN(TRIM(Working_Sales[[#This Row],[Product Category]]))</f>
        <v>Clothing</v>
      </c>
      <c r="U88" s="6" t="str">
        <f>PROPER(Working_Sales[[#This Row],[Product_Category_Whitespace_Removed]])</f>
        <v>Clothing</v>
      </c>
      <c r="V88" t="s">
        <v>29</v>
      </c>
      <c r="W88" s="2" t="str">
        <f>CLEAN(TRIM(Working_Sales[[#This Row],[Quantity]]))</f>
        <v>3</v>
      </c>
      <c r="X88" s="2">
        <f>INT(Working_Sales[[#This Row],[`]])</f>
        <v>3</v>
      </c>
      <c r="Y88" s="6">
        <f>IFERROR(
   Working_Sales[[#This Row],[Quantity_Converted_To_Integer]],
   Working_Sales[[#This Row],[Total_Amount_Whitespace_Removed]]/Working_Sales[[#This Row],[Price_Per_Unit_Decimal_Separator_Fixed]])</f>
        <v>3</v>
      </c>
      <c r="Z88" t="s">
        <v>282</v>
      </c>
      <c r="AA88" s="2" t="str">
        <f>CLEAN(TRIM(Working_Sales[[#This Row],[Price per Unit]]))</f>
        <v>500</v>
      </c>
      <c r="AB88" s="2">
        <f>INT(
   SUBSTITUTE(Working_Sales[[#This Row],[Price_Per_Unit_Whitespace_Removed]],
   "$",
   ""
   )
)</f>
        <v>500</v>
      </c>
      <c r="AC88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88" s="8">
        <f>IFERROR(
   Working_Sales[[#This Row],[Price_Per_Unit_Decimal_Separator_Fixed]],
   Working_Sales[[#This Row],[Total_Amount_Converted_To_Integer]]/Working_Sales[[#This Row],[Quantity_Converted_To_Integer]]
)</f>
        <v>500</v>
      </c>
      <c r="AE88" t="s">
        <v>85</v>
      </c>
      <c r="AF88" s="2" t="str">
        <f>CLEAN(TRIM(Working_Sales[[#This Row],[Total Amount]]))</f>
        <v>1500</v>
      </c>
      <c r="AG88" s="2">
        <f>INT(Working_Sales[[#This Row],[Total_Amount_Whitespace_Removed]])</f>
        <v>1500</v>
      </c>
      <c r="AH8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89" spans="1:34" x14ac:dyDescent="0.35">
      <c r="A89" t="s">
        <v>283</v>
      </c>
      <c r="B89" s="6" t="str">
        <f>CLEAN(TRIM(Working_Sales[[#This Row],[Transaction ID]]))</f>
        <v>652</v>
      </c>
      <c r="C89" t="s">
        <v>284</v>
      </c>
      <c r="D89" s="2" t="str">
        <f>CLEAN(TRIM(Working_Sales[[#This Row],[Date]]))</f>
        <v>2023-05-01</v>
      </c>
      <c r="E8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45047</v>
      </c>
      <c r="F8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45047</v>
      </c>
      <c r="G8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45047</v>
      </c>
      <c r="H89" t="s">
        <v>2396</v>
      </c>
      <c r="I89" s="2" t="str">
        <f>CLEAN(TRIM(Working_Sales[[#This Row],[Customer ID]]))</f>
        <v>CUST082</v>
      </c>
      <c r="J8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CUST082</v>
      </c>
      <c r="K8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CUST082</v>
      </c>
      <c r="L89" t="s">
        <v>26</v>
      </c>
      <c r="M89" s="4" t="str">
        <f>CLEAN(TRIM(Working_Sales[[#This Row],[Gender]]))</f>
        <v>Female</v>
      </c>
      <c r="N89" s="4" t="str" cm="1">
        <f t="array" ref="N89">_xlfn.SWITCH(
   Working_Sales[[#This Row],[Gender_Whitespace_Removed]],
   "m", "Male",
   "f", "Female",
   Working_Sales[[#This Row],[Gender_Whitespace_Removed]]
)</f>
        <v>Female</v>
      </c>
      <c r="O89" s="6" t="str">
        <f>PROPER(Working_Sales[[#This Row],[Gender_Abbreviation_Expanded]])</f>
        <v>Female</v>
      </c>
      <c r="P89">
        <v>34</v>
      </c>
      <c r="Q89" s="2" t="str">
        <f>CLEAN(TRIM(Working_Sales[[#This Row],[Age]]))</f>
        <v>34</v>
      </c>
      <c r="R89" s="6">
        <f>INT(SUBSTITUTE(Working_Sales[[#This Row],[Age_Whitespace_Removed]],".",","))</f>
        <v>34</v>
      </c>
      <c r="S89" t="s">
        <v>36</v>
      </c>
      <c r="T89" s="2" t="str">
        <f>CLEAN(TRIM(Working_Sales[[#This Row],[Product Category]]))</f>
        <v>Beauty</v>
      </c>
      <c r="U89" s="6" t="str">
        <f>PROPER(Working_Sales[[#This Row],[Product_Category_Whitespace_Removed]])</f>
        <v>Beauty</v>
      </c>
      <c r="V89" t="s">
        <v>37</v>
      </c>
      <c r="W89" s="2" t="str">
        <f>CLEAN(TRIM(Working_Sales[[#This Row],[Quantity]]))</f>
        <v>2</v>
      </c>
      <c r="X89" s="2">
        <f>INT(Working_Sales[[#This Row],[`]])</f>
        <v>2</v>
      </c>
      <c r="Y89" s="6">
        <f>IFERROR(
   Working_Sales[[#This Row],[Quantity_Converted_To_Integer]],
   Working_Sales[[#This Row],[Total_Amount_Whitespace_Removed]]/Working_Sales[[#This Row],[Price_Per_Unit_Decimal_Separator_Fixed]])</f>
        <v>2</v>
      </c>
      <c r="Z89" t="s">
        <v>15</v>
      </c>
      <c r="AA89" s="2" t="str">
        <f>CLEAN(TRIM(Working_Sales[[#This Row],[Price per Unit]]))</f>
        <v>50</v>
      </c>
      <c r="AB89" s="2">
        <f>INT(
   SUBSTITUTE(Working_Sales[[#This Row],[Price_Per_Unit_Whitespace_Removed]],
   "$",
   ""
   )
)</f>
        <v>50</v>
      </c>
      <c r="AC89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89" s="8">
        <f>IFERROR(
   Working_Sales[[#This Row],[Price_Per_Unit_Decimal_Separator_Fixed]],
   Working_Sales[[#This Row],[Total_Amount_Converted_To_Integer]]/Working_Sales[[#This Row],[Quantity_Converted_To_Integer]]
)</f>
        <v>50</v>
      </c>
      <c r="AE89" t="s">
        <v>38</v>
      </c>
      <c r="AF89" s="2" t="str">
        <f>CLEAN(TRIM(Working_Sales[[#This Row],[Total Amount]]))</f>
        <v>100</v>
      </c>
      <c r="AG89" s="2">
        <f>INT(Working_Sales[[#This Row],[Total_Amount_Whitespace_Removed]])</f>
        <v>100</v>
      </c>
      <c r="AH8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90" spans="1:34" x14ac:dyDescent="0.35">
      <c r="A90" t="s">
        <v>286</v>
      </c>
      <c r="B90" s="6" t="str">
        <f>CLEAN(TRIM(Working_Sales[[#This Row],[Transaction ID]]))</f>
        <v>431</v>
      </c>
      <c r="C90" t="s">
        <v>287</v>
      </c>
      <c r="D90" s="2" t="str">
        <f>CLEAN(TRIM(Working_Sales[[#This Row],[Date]]))</f>
        <v>2023-10-15</v>
      </c>
      <c r="E9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45214</v>
      </c>
      <c r="F9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45214</v>
      </c>
      <c r="G9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45214</v>
      </c>
      <c r="H90" t="s">
        <v>2397</v>
      </c>
      <c r="I90" s="2" t="str">
        <f>CLEAN(TRIM(Working_Sales[[#This Row],[Customer ID]]))</f>
        <v>cust040</v>
      </c>
      <c r="J9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CUST040</v>
      </c>
      <c r="L90" t="s">
        <v>34</v>
      </c>
      <c r="M90" s="4" t="str">
        <f>CLEAN(TRIM(Working_Sales[[#This Row],[Gender]]))</f>
        <v>Male</v>
      </c>
      <c r="N90" s="4" t="str" cm="1">
        <f t="array" ref="N90">_xlfn.SWITCH(
   Working_Sales[[#This Row],[Gender_Whitespace_Removed]],
   "m", "Male",
   "f", "Female",
   Working_Sales[[#This Row],[Gender_Whitespace_Removed]]
)</f>
        <v>Male</v>
      </c>
      <c r="O90" s="6" t="str">
        <f>PROPER(Working_Sales[[#This Row],[Gender_Abbreviation_Expanded]])</f>
        <v>Male</v>
      </c>
      <c r="P90">
        <v>63</v>
      </c>
      <c r="Q90" s="2" t="str">
        <f>CLEAN(TRIM(Working_Sales[[#This Row],[Age]]))</f>
        <v>63</v>
      </c>
      <c r="R90" s="6">
        <f>INT(SUBSTITUTE(Working_Sales[[#This Row],[Age_Whitespace_Removed]],".",","))</f>
        <v>63</v>
      </c>
      <c r="S90" t="s">
        <v>13</v>
      </c>
      <c r="T90" s="2" t="str">
        <f>CLEAN(TRIM(Working_Sales[[#This Row],[Product Category]]))</f>
        <v>Electronics</v>
      </c>
      <c r="U90" s="6" t="str">
        <f>PROPER(Working_Sales[[#This Row],[Product_Category_Whitespace_Removed]])</f>
        <v>Electronics</v>
      </c>
      <c r="V90" t="s">
        <v>14</v>
      </c>
      <c r="W90" s="2" t="str">
        <f>CLEAN(TRIM(Working_Sales[[#This Row],[Quantity]]))</f>
        <v>4</v>
      </c>
      <c r="X90" s="2">
        <f>INT(Working_Sales[[#This Row],[`]])</f>
        <v>4</v>
      </c>
      <c r="Y90" s="6">
        <f>IFERROR(
   Working_Sales[[#This Row],[Quantity_Converted_To_Integer]],
   Working_Sales[[#This Row],[Total_Amount_Whitespace_Removed]]/Working_Sales[[#This Row],[Price_Per_Unit_Decimal_Separator_Fixed]])</f>
        <v>4</v>
      </c>
      <c r="Z90" t="s">
        <v>288</v>
      </c>
      <c r="AA90" s="2" t="str">
        <f>CLEAN(TRIM(Working_Sales[[#This Row],[Price per Unit]]))</f>
        <v>300.00</v>
      </c>
      <c r="AB90" s="2" t="e">
        <f>INT(
   SUBSTITUTE(Working_Sales[[#This Row],[Price_Per_Unit_Whitespace_Removed]],
   "$",
   ""
   )
)</f>
        <v>#VALUE!</v>
      </c>
      <c r="AC90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90" s="8">
        <f>IFERROR(
   Working_Sales[[#This Row],[Price_Per_Unit_Decimal_Separator_Fixed]],
   Working_Sales[[#This Row],[Total_Amount_Converted_To_Integer]]/Working_Sales[[#This Row],[Quantity_Converted_To_Integer]]
)</f>
        <v>300</v>
      </c>
      <c r="AE90" t="s">
        <v>79</v>
      </c>
      <c r="AF90" s="2" t="str">
        <f>CLEAN(TRIM(Working_Sales[[#This Row],[Total Amount]]))</f>
        <v>1200</v>
      </c>
      <c r="AG90" s="2">
        <f>INT(Working_Sales[[#This Row],[Total_Amount_Whitespace_Removed]])</f>
        <v>1200</v>
      </c>
      <c r="AH9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91" spans="1:34" x14ac:dyDescent="0.35">
      <c r="A91" t="s">
        <v>289</v>
      </c>
      <c r="B91" s="6" t="str">
        <f>CLEAN(TRIM(Working_Sales[[#This Row],[Transaction ID]]))</f>
        <v>278</v>
      </c>
      <c r="C91" t="s">
        <v>290</v>
      </c>
      <c r="D91" s="2" t="str">
        <f>CLEAN(TRIM(Working_Sales[[#This Row],[Date]]))</f>
        <v>13/03/2023</v>
      </c>
      <c r="E9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44998</v>
      </c>
      <c r="F9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44998</v>
      </c>
      <c r="G9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44998</v>
      </c>
      <c r="H91" t="s">
        <v>2398</v>
      </c>
      <c r="I91" s="2" t="str">
        <f>CLEAN(TRIM(Working_Sales[[#This Row],[Customer ID]]))</f>
        <v>CUST083</v>
      </c>
      <c r="J9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CUST083</v>
      </c>
      <c r="K9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CUST083</v>
      </c>
      <c r="L91" t="s">
        <v>26</v>
      </c>
      <c r="M91" s="4" t="str">
        <f>CLEAN(TRIM(Working_Sales[[#This Row],[Gender]]))</f>
        <v>Female</v>
      </c>
      <c r="N91" s="4" t="str" cm="1">
        <f t="array" ref="N91">_xlfn.SWITCH(
   Working_Sales[[#This Row],[Gender_Whitespace_Removed]],
   "m", "Male",
   "f", "Female",
   Working_Sales[[#This Row],[Gender_Whitespace_Removed]]
)</f>
        <v>Female</v>
      </c>
      <c r="O91" s="6" t="str">
        <f>PROPER(Working_Sales[[#This Row],[Gender_Abbreviation_Expanded]])</f>
        <v>Female</v>
      </c>
      <c r="P91">
        <v>37</v>
      </c>
      <c r="Q91" s="2" t="str">
        <f>CLEAN(TRIM(Working_Sales[[#This Row],[Age]]))</f>
        <v>37</v>
      </c>
      <c r="R91" s="6">
        <f>INT(SUBSTITUTE(Working_Sales[[#This Row],[Age_Whitespace_Removed]],".",","))</f>
        <v>37</v>
      </c>
      <c r="S91" t="s">
        <v>56</v>
      </c>
      <c r="T91" s="2" t="str">
        <f>CLEAN(TRIM(Working_Sales[[#This Row],[Product Category]]))</f>
        <v>Clothing</v>
      </c>
      <c r="U91" s="6" t="str">
        <f>PROPER(Working_Sales[[#This Row],[Product_Category_Whitespace_Removed]])</f>
        <v>Clothing</v>
      </c>
      <c r="V91" t="s">
        <v>14</v>
      </c>
      <c r="W91" s="2" t="str">
        <f>CLEAN(TRIM(Working_Sales[[#This Row],[Quantity]]))</f>
        <v>4</v>
      </c>
      <c r="X91" s="2">
        <f>INT(Working_Sales[[#This Row],[`]])</f>
        <v>4</v>
      </c>
      <c r="Y91" s="6">
        <f>IFERROR(
   Working_Sales[[#This Row],[Quantity_Converted_To_Integer]],
   Working_Sales[[#This Row],[Total_Amount_Whitespace_Removed]]/Working_Sales[[#This Row],[Price_Per_Unit_Decimal_Separator_Fixed]])</f>
        <v>4</v>
      </c>
      <c r="Z91" t="s">
        <v>30</v>
      </c>
      <c r="AA91" s="2" t="str">
        <f>CLEAN(TRIM(Working_Sales[[#This Row],[Price per Unit]]))</f>
        <v>25</v>
      </c>
      <c r="AB91" s="2">
        <f>INT(
   SUBSTITUTE(Working_Sales[[#This Row],[Price_Per_Unit_Whitespace_Removed]],
   "$",
   ""
   )
)</f>
        <v>25</v>
      </c>
      <c r="AC91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91" s="8">
        <f>IFERROR(
   Working_Sales[[#This Row],[Price_Per_Unit_Decimal_Separator_Fixed]],
   Working_Sales[[#This Row],[Total_Amount_Converted_To_Integer]]/Working_Sales[[#This Row],[Quantity_Converted_To_Integer]]
)</f>
        <v>25</v>
      </c>
      <c r="AE91" t="s">
        <v>38</v>
      </c>
      <c r="AF91" s="2" t="str">
        <f>CLEAN(TRIM(Working_Sales[[#This Row],[Total Amount]]))</f>
        <v>100</v>
      </c>
      <c r="AG91" s="2">
        <f>INT(Working_Sales[[#This Row],[Total_Amount_Whitespace_Removed]])</f>
        <v>100</v>
      </c>
      <c r="AH9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92" spans="1:34" x14ac:dyDescent="0.35">
      <c r="A92" t="s">
        <v>292</v>
      </c>
      <c r="B92" s="6" t="str">
        <f>CLEAN(TRIM(Working_Sales[[#This Row],[Transaction ID]]))</f>
        <v>737</v>
      </c>
      <c r="C92" t="s">
        <v>293</v>
      </c>
      <c r="D92" s="2" t="str">
        <f>CLEAN(TRIM(Working_Sales[[#This Row],[Date]]))</f>
        <v>29/06/2023</v>
      </c>
      <c r="E9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45106</v>
      </c>
      <c r="F9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45106</v>
      </c>
      <c r="G9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45106</v>
      </c>
      <c r="H92" t="s">
        <v>2399</v>
      </c>
      <c r="I92" s="2" t="str">
        <f>CLEAN(TRIM(Working_Sales[[#This Row],[Customer ID]]))</f>
        <v>Cust084</v>
      </c>
      <c r="J9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CUST084</v>
      </c>
      <c r="L92" t="s">
        <v>26</v>
      </c>
      <c r="M92" s="4" t="str">
        <f>CLEAN(TRIM(Working_Sales[[#This Row],[Gender]]))</f>
        <v>Female</v>
      </c>
      <c r="N92" s="4" t="str" cm="1">
        <f t="array" ref="N92">_xlfn.SWITCH(
   Working_Sales[[#This Row],[Gender_Whitespace_Removed]],
   "m", "Male",
   "f", "Female",
   Working_Sales[[#This Row],[Gender_Whitespace_Removed]]
)</f>
        <v>Female</v>
      </c>
      <c r="O92" s="6" t="str">
        <f>PROPER(Working_Sales[[#This Row],[Gender_Abbreviation_Expanded]])</f>
        <v>Female</v>
      </c>
      <c r="P92">
        <v>33</v>
      </c>
      <c r="Q92" s="2" t="str">
        <f>CLEAN(TRIM(Working_Sales[[#This Row],[Age]]))</f>
        <v>33</v>
      </c>
      <c r="R92" s="6">
        <f>INT(SUBSTITUTE(Working_Sales[[#This Row],[Age_Whitespace_Removed]],".",","))</f>
        <v>33</v>
      </c>
      <c r="S92" t="s">
        <v>56</v>
      </c>
      <c r="T92" s="2" t="str">
        <f>CLEAN(TRIM(Working_Sales[[#This Row],[Product Category]]))</f>
        <v>Clothing</v>
      </c>
      <c r="U92" s="6" t="str">
        <f>PROPER(Working_Sales[[#This Row],[Product_Category_Whitespace_Removed]])</f>
        <v>Clothing</v>
      </c>
      <c r="V92" t="s">
        <v>22</v>
      </c>
      <c r="W92" s="2" t="str">
        <f>CLEAN(TRIM(Working_Sales[[#This Row],[Quantity]]))</f>
        <v>1</v>
      </c>
      <c r="X92" s="2">
        <f>INT(Working_Sales[[#This Row],[`]])</f>
        <v>1</v>
      </c>
      <c r="Y92" s="6">
        <f>IFERROR(
   Working_Sales[[#This Row],[Quantity_Converted_To_Integer]],
   Working_Sales[[#This Row],[Total_Amount_Whitespace_Removed]]/Working_Sales[[#This Row],[Price_Per_Unit_Decimal_Separator_Fixed]])</f>
        <v>1</v>
      </c>
      <c r="Z92" t="s">
        <v>15</v>
      </c>
      <c r="AA92" s="2" t="str">
        <f>CLEAN(TRIM(Working_Sales[[#This Row],[Price per Unit]]))</f>
        <v>50</v>
      </c>
      <c r="AB92" s="2">
        <f>INT(
   SUBSTITUTE(Working_Sales[[#This Row],[Price_Per_Unit_Whitespace_Removed]],
   "$",
   ""
   )
)</f>
        <v>50</v>
      </c>
      <c r="AC92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92" s="8">
        <f>IFERROR(
   Working_Sales[[#This Row],[Price_Per_Unit_Decimal_Separator_Fixed]],
   Working_Sales[[#This Row],[Total_Amount_Converted_To_Integer]]/Working_Sales[[#This Row],[Quantity_Converted_To_Integer]]
)</f>
        <v>50</v>
      </c>
      <c r="AE92" t="s">
        <v>15</v>
      </c>
      <c r="AF92" s="2" t="str">
        <f>CLEAN(TRIM(Working_Sales[[#This Row],[Total Amount]]))</f>
        <v>50</v>
      </c>
      <c r="AG92" s="2">
        <f>INT(Working_Sales[[#This Row],[Total_Amount_Whitespace_Removed]])</f>
        <v>50</v>
      </c>
      <c r="AH9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93" spans="1:34" x14ac:dyDescent="0.35">
      <c r="A93" t="s">
        <v>295</v>
      </c>
      <c r="B93" s="6" t="str">
        <f>CLEAN(TRIM(Working_Sales[[#This Row],[Transaction ID]]))</f>
        <v>977</v>
      </c>
      <c r="C93" t="s">
        <v>296</v>
      </c>
      <c r="D93" s="2" t="str">
        <f>CLEAN(TRIM(Working_Sales[[#This Row],[Date]]))</f>
        <v>2023-02-08</v>
      </c>
      <c r="E9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44965</v>
      </c>
      <c r="F9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44965</v>
      </c>
      <c r="G9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44965</v>
      </c>
      <c r="H93" t="s">
        <v>1349</v>
      </c>
      <c r="I93" s="2" t="str">
        <f>CLEAN(TRIM(Working_Sales[[#This Row],[Customer ID]]))</f>
        <v>CUST085</v>
      </c>
      <c r="J9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CUST085</v>
      </c>
      <c r="K9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CUST085</v>
      </c>
      <c r="L93" t="s">
        <v>26</v>
      </c>
      <c r="M93" s="4" t="str">
        <f>CLEAN(TRIM(Working_Sales[[#This Row],[Gender]]))</f>
        <v>Female</v>
      </c>
      <c r="N93" s="4" t="str" cm="1">
        <f t="array" ref="N93">_xlfn.SWITCH(
   Working_Sales[[#This Row],[Gender_Whitespace_Removed]],
   "m", "Male",
   "f", "Female",
   Working_Sales[[#This Row],[Gender_Whitespace_Removed]]
)</f>
        <v>Female</v>
      </c>
      <c r="O93" s="6" t="str">
        <f>PROPER(Working_Sales[[#This Row],[Gender_Abbreviation_Expanded]])</f>
        <v>Female</v>
      </c>
      <c r="P93">
        <v>35</v>
      </c>
      <c r="Q93" s="2" t="str">
        <f>CLEAN(TRIM(Working_Sales[[#This Row],[Age]]))</f>
        <v>35</v>
      </c>
      <c r="R93" s="6">
        <f>INT(SUBSTITUTE(Working_Sales[[#This Row],[Age_Whitespace_Removed]],".",","))</f>
        <v>35</v>
      </c>
      <c r="S93" t="s">
        <v>48</v>
      </c>
      <c r="T93" s="2" t="str">
        <f>CLEAN(TRIM(Working_Sales[[#This Row],[Product Category]]))</f>
        <v>electronics</v>
      </c>
      <c r="U93" s="6" t="str">
        <f>PROPER(Working_Sales[[#This Row],[Product_Category_Whitespace_Removed]])</f>
        <v>Electronics</v>
      </c>
      <c r="V93" t="s">
        <v>29</v>
      </c>
      <c r="W93" s="2" t="str">
        <f>CLEAN(TRIM(Working_Sales[[#This Row],[Quantity]]))</f>
        <v>3</v>
      </c>
      <c r="X93" s="2">
        <f>INT(Working_Sales[[#This Row],[`]])</f>
        <v>3</v>
      </c>
      <c r="Y93" s="6">
        <f>IFERROR(
   Working_Sales[[#This Row],[Quantity_Converted_To_Integer]],
   Working_Sales[[#This Row],[Total_Amount_Whitespace_Removed]]/Working_Sales[[#This Row],[Price_Per_Unit_Decimal_Separator_Fixed]])</f>
        <v>3</v>
      </c>
      <c r="Z93" t="s">
        <v>171</v>
      </c>
      <c r="AA93" s="2" t="str">
        <f>CLEAN(TRIM(Working_Sales[[#This Row],[Price per Unit]]))</f>
        <v>25</v>
      </c>
      <c r="AB93" s="2">
        <f>INT(
   SUBSTITUTE(Working_Sales[[#This Row],[Price_Per_Unit_Whitespace_Removed]],
   "$",
   ""
   )
)</f>
        <v>25</v>
      </c>
      <c r="AC93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93" s="8">
        <f>IFERROR(
   Working_Sales[[#This Row],[Price_Per_Unit_Decimal_Separator_Fixed]],
   Working_Sales[[#This Row],[Total_Amount_Converted_To_Integer]]/Working_Sales[[#This Row],[Quantity_Converted_To_Integer]]
)</f>
        <v>25</v>
      </c>
      <c r="AE93" t="s">
        <v>31</v>
      </c>
      <c r="AF93" s="2" t="str">
        <f>CLEAN(TRIM(Working_Sales[[#This Row],[Total Amount]]))</f>
        <v>75</v>
      </c>
      <c r="AG93" s="2">
        <f>INT(Working_Sales[[#This Row],[Total_Amount_Whitespace_Removed]])</f>
        <v>75</v>
      </c>
      <c r="AH9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94" spans="1:34" x14ac:dyDescent="0.35">
      <c r="A94" t="s">
        <v>297</v>
      </c>
      <c r="B94" s="6" t="str">
        <f>CLEAN(TRIM(Working_Sales[[#This Row],[Transaction ID]]))</f>
        <v>735</v>
      </c>
      <c r="C94" t="s">
        <v>2013</v>
      </c>
      <c r="D94" s="2" t="str">
        <f>CLEAN(TRIM(Working_Sales[[#This Row],[Date]]))</f>
        <v>04-Oct-2023</v>
      </c>
      <c r="E9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45203</v>
      </c>
      <c r="F9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45203</v>
      </c>
      <c r="G9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45203</v>
      </c>
      <c r="H94" t="s">
        <v>2400</v>
      </c>
      <c r="I94" s="2" t="str">
        <f>CLEAN(TRIM(Working_Sales[[#This Row],[Customer ID]]))</f>
        <v>cust086</v>
      </c>
      <c r="J9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CUST086</v>
      </c>
      <c r="L94" t="s">
        <v>26</v>
      </c>
      <c r="M94" s="4" t="str">
        <f>CLEAN(TRIM(Working_Sales[[#This Row],[Gender]]))</f>
        <v>Female</v>
      </c>
      <c r="N94" s="4" t="str" cm="1">
        <f t="array" ref="N94">_xlfn.SWITCH(
   Working_Sales[[#This Row],[Gender_Whitespace_Removed]],
   "m", "Male",
   "f", "Female",
   Working_Sales[[#This Row],[Gender_Whitespace_Removed]]
)</f>
        <v>Female</v>
      </c>
      <c r="O94" s="6" t="str">
        <f>PROPER(Working_Sales[[#This Row],[Gender_Abbreviation_Expanded]])</f>
        <v>Female</v>
      </c>
      <c r="P94">
        <v>64</v>
      </c>
      <c r="Q94" s="2" t="str">
        <f>CLEAN(TRIM(Working_Sales[[#This Row],[Age]]))</f>
        <v>64</v>
      </c>
      <c r="R94" s="6">
        <f>INT(SUBSTITUTE(Working_Sales[[#This Row],[Age_Whitespace_Removed]],".",","))</f>
        <v>64</v>
      </c>
      <c r="S94" t="s">
        <v>124</v>
      </c>
      <c r="T94" s="2" t="str">
        <f>CLEAN(TRIM(Working_Sales[[#This Row],[Product Category]]))</f>
        <v>Clothing</v>
      </c>
      <c r="U94" s="6" t="str">
        <f>PROPER(Working_Sales[[#This Row],[Product_Category_Whitespace_Removed]])</f>
        <v>Clothing</v>
      </c>
      <c r="V94" t="s">
        <v>14</v>
      </c>
      <c r="W94" s="2" t="str">
        <f>CLEAN(TRIM(Working_Sales[[#This Row],[Quantity]]))</f>
        <v>4</v>
      </c>
      <c r="X94" s="2">
        <f>INT(Working_Sales[[#This Row],[`]])</f>
        <v>4</v>
      </c>
      <c r="Y94" s="6">
        <f>IFERROR(
   Working_Sales[[#This Row],[Quantity_Converted_To_Integer]],
   Working_Sales[[#This Row],[Total_Amount_Whitespace_Removed]]/Working_Sales[[#This Row],[Price_Per_Unit_Decimal_Separator_Fixed]])</f>
        <v>4</v>
      </c>
      <c r="Z94" t="s">
        <v>57</v>
      </c>
      <c r="AA94" s="2" t="str">
        <f>CLEAN(TRIM(Working_Sales[[#This Row],[Price per Unit]]))</f>
        <v>500</v>
      </c>
      <c r="AB94" s="2">
        <f>INT(
   SUBSTITUTE(Working_Sales[[#This Row],[Price_Per_Unit_Whitespace_Removed]],
   "$",
   ""
   )
)</f>
        <v>500</v>
      </c>
      <c r="AC94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94" s="8">
        <f>IFERROR(
   Working_Sales[[#This Row],[Price_Per_Unit_Decimal_Separator_Fixed]],
   Working_Sales[[#This Row],[Total_Amount_Converted_To_Integer]]/Working_Sales[[#This Row],[Quantity_Converted_To_Integer]]
)</f>
        <v>500</v>
      </c>
      <c r="AE94" t="s">
        <v>232</v>
      </c>
      <c r="AF94" s="2" t="str">
        <f>CLEAN(TRIM(Working_Sales[[#This Row],[Total Amount]]))</f>
        <v>2000</v>
      </c>
      <c r="AG94" s="2">
        <f>INT(Working_Sales[[#This Row],[Total_Amount_Whitespace_Removed]])</f>
        <v>2000</v>
      </c>
      <c r="AH9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95" spans="1:34" x14ac:dyDescent="0.35">
      <c r="A95" t="s">
        <v>298</v>
      </c>
      <c r="B95" s="6" t="str">
        <f>CLEAN(TRIM(Working_Sales[[#This Row],[Transaction ID]]))</f>
        <v>730</v>
      </c>
      <c r="C95" t="s">
        <v>1777</v>
      </c>
      <c r="D95" s="2" t="str">
        <f>CLEAN(TRIM(Working_Sales[[#This Row],[Date]]))</f>
        <v>August 04, 2023</v>
      </c>
      <c r="E95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95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9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45142</v>
      </c>
      <c r="H95" t="s">
        <v>2401</v>
      </c>
      <c r="I95" s="2" t="str">
        <f>CLEAN(TRIM(Working_Sales[[#This Row],[Customer ID]]))</f>
        <v>CUST-087</v>
      </c>
      <c r="J9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CUST087</v>
      </c>
      <c r="L95" t="s">
        <v>26</v>
      </c>
      <c r="M95" s="4" t="str">
        <f>CLEAN(TRIM(Working_Sales[[#This Row],[Gender]]))</f>
        <v>Female</v>
      </c>
      <c r="N95" s="4" t="str" cm="1">
        <f t="array" ref="N95">_xlfn.SWITCH(
   Working_Sales[[#This Row],[Gender_Whitespace_Removed]],
   "m", "Male",
   "f", "Female",
   Working_Sales[[#This Row],[Gender_Whitespace_Removed]]
)</f>
        <v>Female</v>
      </c>
      <c r="O95" s="6" t="str">
        <f>PROPER(Working_Sales[[#This Row],[Gender_Abbreviation_Expanded]])</f>
        <v>Female</v>
      </c>
      <c r="P95">
        <v>36</v>
      </c>
      <c r="Q95" s="2" t="str">
        <f>CLEAN(TRIM(Working_Sales[[#This Row],[Age]]))</f>
        <v>36</v>
      </c>
      <c r="R95" s="6">
        <f>INT(SUBSTITUTE(Working_Sales[[#This Row],[Age_Whitespace_Removed]],".",","))</f>
        <v>36</v>
      </c>
      <c r="S95" t="s">
        <v>56</v>
      </c>
      <c r="T95" s="2" t="str">
        <f>CLEAN(TRIM(Working_Sales[[#This Row],[Product Category]]))</f>
        <v>Clothing</v>
      </c>
      <c r="U95" s="6" t="str">
        <f>PROPER(Working_Sales[[#This Row],[Product_Category_Whitespace_Removed]])</f>
        <v>Clothing</v>
      </c>
      <c r="V95" t="s">
        <v>37</v>
      </c>
      <c r="W95" s="2" t="str">
        <f>CLEAN(TRIM(Working_Sales[[#This Row],[Quantity]]))</f>
        <v>2</v>
      </c>
      <c r="X95" s="2">
        <f>INT(Working_Sales[[#This Row],[`]])</f>
        <v>2</v>
      </c>
      <c r="Y95" s="6">
        <f>IFERROR(
   Working_Sales[[#This Row],[Quantity_Converted_To_Integer]],
   Working_Sales[[#This Row],[Total_Amount_Whitespace_Removed]]/Working_Sales[[#This Row],[Price_Per_Unit_Decimal_Separator_Fixed]])</f>
        <v>2</v>
      </c>
      <c r="Z95" t="s">
        <v>49</v>
      </c>
      <c r="AA95" s="2" t="str">
        <f>CLEAN(TRIM(Working_Sales[[#This Row],[Price per Unit]]))</f>
        <v>$25</v>
      </c>
      <c r="AB95" s="2">
        <f>INT(
   SUBSTITUTE(Working_Sales[[#This Row],[Price_Per_Unit_Whitespace_Removed]],
   "$",
   ""
   )
)</f>
        <v>25</v>
      </c>
      <c r="AC95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95" s="8">
        <f>IFERROR(
   Working_Sales[[#This Row],[Price_Per_Unit_Decimal_Separator_Fixed]],
   Working_Sales[[#This Row],[Total_Amount_Converted_To_Integer]]/Working_Sales[[#This Row],[Quantity_Converted_To_Integer]]
)</f>
        <v>25</v>
      </c>
      <c r="AE95" t="s">
        <v>15</v>
      </c>
      <c r="AF95" s="2" t="str">
        <f>CLEAN(TRIM(Working_Sales[[#This Row],[Total Amount]]))</f>
        <v>50</v>
      </c>
      <c r="AG95" s="2">
        <f>INT(Working_Sales[[#This Row],[Total_Amount_Whitespace_Removed]])</f>
        <v>50</v>
      </c>
      <c r="AH9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96" spans="1:34" x14ac:dyDescent="0.35">
      <c r="A96" t="s">
        <v>301</v>
      </c>
      <c r="B96" s="6" t="str">
        <f>CLEAN(TRIM(Working_Sales[[#This Row],[Transaction ID]]))</f>
        <v>570</v>
      </c>
      <c r="C96" t="s">
        <v>10</v>
      </c>
      <c r="D96" s="2" t="str">
        <f>CLEAN(TRIM(Working_Sales[[#This Row],[Date]]))</f>
        <v>08/15/2023</v>
      </c>
      <c r="E96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9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45153</v>
      </c>
      <c r="G9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45153</v>
      </c>
      <c r="H96" t="s">
        <v>2402</v>
      </c>
      <c r="I96" s="2" t="str">
        <f>CLEAN(TRIM(Working_Sales[[#This Row],[Customer ID]]))</f>
        <v>CUST088</v>
      </c>
      <c r="J9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CUST088</v>
      </c>
      <c r="L96" t="s">
        <v>34</v>
      </c>
      <c r="M96" s="4" t="str">
        <f>CLEAN(TRIM(Working_Sales[[#This Row],[Gender]]))</f>
        <v>Male</v>
      </c>
      <c r="N96" s="4" t="str" cm="1">
        <f t="array" ref="N96">_xlfn.SWITCH(
   Working_Sales[[#This Row],[Gender_Whitespace_Removed]],
   "m", "Male",
   "f", "Female",
   Working_Sales[[#This Row],[Gender_Whitespace_Removed]]
)</f>
        <v>Male</v>
      </c>
      <c r="O96" s="6" t="str">
        <f>PROPER(Working_Sales[[#This Row],[Gender_Abbreviation_Expanded]])</f>
        <v>Male</v>
      </c>
      <c r="P96">
        <v>49</v>
      </c>
      <c r="Q96" s="2" t="str">
        <f>CLEAN(TRIM(Working_Sales[[#This Row],[Age]]))</f>
        <v>49</v>
      </c>
      <c r="R96" s="6">
        <f>INT(SUBSTITUTE(Working_Sales[[#This Row],[Age_Whitespace_Removed]],".",","))</f>
        <v>49</v>
      </c>
      <c r="S96" t="s">
        <v>56</v>
      </c>
      <c r="T96" s="2" t="str">
        <f>CLEAN(TRIM(Working_Sales[[#This Row],[Product Category]]))</f>
        <v>Clothing</v>
      </c>
      <c r="U96" s="6" t="str">
        <f>PROPER(Working_Sales[[#This Row],[Product_Category_Whitespace_Removed]])</f>
        <v>Clothing</v>
      </c>
      <c r="V96" t="s">
        <v>22</v>
      </c>
      <c r="W96" s="2" t="str">
        <f>CLEAN(TRIM(Working_Sales[[#This Row],[Quantity]]))</f>
        <v>1</v>
      </c>
      <c r="X96" s="2">
        <f>INT(Working_Sales[[#This Row],[`]])</f>
        <v>1</v>
      </c>
      <c r="Y96" s="6">
        <f>IFERROR(
   Working_Sales[[#This Row],[Quantity_Converted_To_Integer]],
   Working_Sales[[#This Row],[Total_Amount_Whitespace_Removed]]/Working_Sales[[#This Row],[Price_Per_Unit_Decimal_Separator_Fixed]])</f>
        <v>1</v>
      </c>
      <c r="Z96" t="s">
        <v>57</v>
      </c>
      <c r="AA96" s="2" t="str">
        <f>CLEAN(TRIM(Working_Sales[[#This Row],[Price per Unit]]))</f>
        <v>500</v>
      </c>
      <c r="AB96" s="2">
        <f>INT(
   SUBSTITUTE(Working_Sales[[#This Row],[Price_Per_Unit_Whitespace_Removed]],
   "$",
   ""
   )
)</f>
        <v>500</v>
      </c>
      <c r="AC96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96" s="8">
        <f>IFERROR(
   Working_Sales[[#This Row],[Price_Per_Unit_Decimal_Separator_Fixed]],
   Working_Sales[[#This Row],[Total_Amount_Converted_To_Integer]]/Working_Sales[[#This Row],[Quantity_Converted_To_Integer]]
)</f>
        <v>500</v>
      </c>
      <c r="AE96" t="s">
        <v>57</v>
      </c>
      <c r="AF96" s="2" t="str">
        <f>CLEAN(TRIM(Working_Sales[[#This Row],[Total Amount]]))</f>
        <v>500</v>
      </c>
      <c r="AG96" s="2">
        <f>INT(Working_Sales[[#This Row],[Total_Amount_Whitespace_Removed]])</f>
        <v>500</v>
      </c>
      <c r="AH9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97" spans="1:34" x14ac:dyDescent="0.35">
      <c r="A97" t="s">
        <v>302</v>
      </c>
      <c r="B97" s="6" t="str">
        <f>CLEAN(TRIM(Working_Sales[[#This Row],[Transaction ID]]))</f>
        <v>410</v>
      </c>
      <c r="C97" t="s">
        <v>303</v>
      </c>
      <c r="D97" s="2" t="str">
        <f>CLEAN(TRIM(Working_Sales[[#This Row],[Date]]))</f>
        <v>2023-11-21</v>
      </c>
      <c r="E9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45251</v>
      </c>
      <c r="F9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45251</v>
      </c>
      <c r="G9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45251</v>
      </c>
      <c r="H97" t="s">
        <v>2403</v>
      </c>
      <c r="I97" s="2" t="str">
        <f>CLEAN(TRIM(Working_Sales[[#This Row],[Customer ID]]))</f>
        <v>cust089</v>
      </c>
      <c r="J9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CUST089</v>
      </c>
      <c r="L97" t="s">
        <v>140</v>
      </c>
      <c r="M97" s="4" t="str">
        <f>CLEAN(TRIM(Working_Sales[[#This Row],[Gender]]))</f>
        <v>FEMALE</v>
      </c>
      <c r="N97" s="4" t="str" cm="1">
        <f t="array" ref="N97">_xlfn.SWITCH(
   Working_Sales[[#This Row],[Gender_Whitespace_Removed]],
   "m", "Male",
   "f", "Female",
   Working_Sales[[#This Row],[Gender_Whitespace_Removed]]
)</f>
        <v>FEMALE</v>
      </c>
      <c r="O97" s="6" t="str">
        <f>PROPER(Working_Sales[[#This Row],[Gender_Abbreviation_Expanded]])</f>
        <v>Female</v>
      </c>
      <c r="P97">
        <v>29</v>
      </c>
      <c r="Q97" s="2" t="str">
        <f>CLEAN(TRIM(Working_Sales[[#This Row],[Age]]))</f>
        <v>29</v>
      </c>
      <c r="R97" s="6">
        <f>INT(SUBSTITUTE(Working_Sales[[#This Row],[Age_Whitespace_Removed]],".",","))</f>
        <v>29</v>
      </c>
      <c r="S97" t="s">
        <v>56</v>
      </c>
      <c r="T97" s="2" t="str">
        <f>CLEAN(TRIM(Working_Sales[[#This Row],[Product Category]]))</f>
        <v>Clothing</v>
      </c>
      <c r="U97" s="6" t="str">
        <f>PROPER(Working_Sales[[#This Row],[Product_Category_Whitespace_Removed]])</f>
        <v>Clothing</v>
      </c>
      <c r="V97" t="s">
        <v>37</v>
      </c>
      <c r="W97" s="2" t="str">
        <f>CLEAN(TRIM(Working_Sales[[#This Row],[Quantity]]))</f>
        <v>2</v>
      </c>
      <c r="X97" s="2">
        <f>INT(Working_Sales[[#This Row],[`]])</f>
        <v>2</v>
      </c>
      <c r="Y97" s="6">
        <f>IFERROR(
   Working_Sales[[#This Row],[Quantity_Converted_To_Integer]],
   Working_Sales[[#This Row],[Total_Amount_Whitespace_Removed]]/Working_Sales[[#This Row],[Price_Per_Unit_Decimal_Separator_Fixed]])</f>
        <v>2</v>
      </c>
      <c r="Z97" t="s">
        <v>96</v>
      </c>
      <c r="AA97" s="2" t="str">
        <f>CLEAN(TRIM(Working_Sales[[#This Row],[Price per Unit]]))</f>
        <v>$50</v>
      </c>
      <c r="AB97" s="2">
        <f>INT(
   SUBSTITUTE(Working_Sales[[#This Row],[Price_Per_Unit_Whitespace_Removed]],
   "$",
   ""
   )
)</f>
        <v>50</v>
      </c>
      <c r="AC97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97" s="8">
        <f>IFERROR(
   Working_Sales[[#This Row],[Price_Per_Unit_Decimal_Separator_Fixed]],
   Working_Sales[[#This Row],[Total_Amount_Converted_To_Integer]]/Working_Sales[[#This Row],[Quantity_Converted_To_Integer]]
)</f>
        <v>50</v>
      </c>
      <c r="AE97" t="s">
        <v>38</v>
      </c>
      <c r="AF97" s="2" t="str">
        <f>CLEAN(TRIM(Working_Sales[[#This Row],[Total Amount]]))</f>
        <v>100</v>
      </c>
      <c r="AG97" s="2">
        <f>INT(Working_Sales[[#This Row],[Total_Amount_Whitespace_Removed]])</f>
        <v>100</v>
      </c>
      <c r="AH9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98" spans="1:34" x14ac:dyDescent="0.35">
      <c r="A98" t="s">
        <v>305</v>
      </c>
      <c r="B98" s="6" t="str">
        <f>CLEAN(TRIM(Working_Sales[[#This Row],[Transaction ID]]))</f>
        <v>622</v>
      </c>
      <c r="C98" t="s">
        <v>306</v>
      </c>
      <c r="D98" s="2" t="str">
        <f>CLEAN(TRIM(Working_Sales[[#This Row],[Date]]))</f>
        <v>2023-08-22</v>
      </c>
      <c r="E9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45160</v>
      </c>
      <c r="F9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45160</v>
      </c>
      <c r="G9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45160</v>
      </c>
      <c r="H98" t="s">
        <v>2404</v>
      </c>
      <c r="I98" s="2" t="str">
        <f>CLEAN(TRIM(Working_Sales[[#This Row],[Customer ID]]))</f>
        <v>cust090</v>
      </c>
      <c r="J9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CUST090</v>
      </c>
      <c r="L98" t="s">
        <v>140</v>
      </c>
      <c r="M98" s="4" t="str">
        <f>CLEAN(TRIM(Working_Sales[[#This Row],[Gender]]))</f>
        <v>FEMALE</v>
      </c>
      <c r="N98" s="4" t="str" cm="1">
        <f t="array" ref="N98">_xlfn.SWITCH(
   Working_Sales[[#This Row],[Gender_Whitespace_Removed]],
   "m", "Male",
   "f", "Female",
   Working_Sales[[#This Row],[Gender_Whitespace_Removed]]
)</f>
        <v>FEMALE</v>
      </c>
      <c r="O98" s="6" t="str">
        <f>PROPER(Working_Sales[[#This Row],[Gender_Abbreviation_Expanded]])</f>
        <v>Female</v>
      </c>
      <c r="P98">
        <v>49</v>
      </c>
      <c r="Q98" s="2" t="str">
        <f>CLEAN(TRIM(Working_Sales[[#This Row],[Age]]))</f>
        <v>49</v>
      </c>
      <c r="R98" s="6">
        <f>INT(SUBSTITUTE(Working_Sales[[#This Row],[Age_Whitespace_Removed]],".",","))</f>
        <v>49</v>
      </c>
      <c r="S98" t="s">
        <v>36</v>
      </c>
      <c r="T98" s="2" t="str">
        <f>CLEAN(TRIM(Working_Sales[[#This Row],[Product Category]]))</f>
        <v>Beauty</v>
      </c>
      <c r="U98" s="6" t="str">
        <f>PROPER(Working_Sales[[#This Row],[Product_Category_Whitespace_Removed]])</f>
        <v>Beauty</v>
      </c>
      <c r="V98" t="s">
        <v>29</v>
      </c>
      <c r="W98" s="2" t="str">
        <f>CLEAN(TRIM(Working_Sales[[#This Row],[Quantity]]))</f>
        <v>3</v>
      </c>
      <c r="X98" s="2">
        <f>INT(Working_Sales[[#This Row],[`]])</f>
        <v>3</v>
      </c>
      <c r="Y98" s="6">
        <f>IFERROR(
   Working_Sales[[#This Row],[Quantity_Converted_To_Integer]],
   Working_Sales[[#This Row],[Total_Amount_Whitespace_Removed]]/Working_Sales[[#This Row],[Price_Per_Unit_Decimal_Separator_Fixed]])</f>
        <v>3</v>
      </c>
      <c r="Z98" t="s">
        <v>30</v>
      </c>
      <c r="AA98" s="2" t="str">
        <f>CLEAN(TRIM(Working_Sales[[#This Row],[Price per Unit]]))</f>
        <v>25</v>
      </c>
      <c r="AB98" s="2">
        <f>INT(
   SUBSTITUTE(Working_Sales[[#This Row],[Price_Per_Unit_Whitespace_Removed]],
   "$",
   ""
   )
)</f>
        <v>25</v>
      </c>
      <c r="AC98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98" s="8">
        <f>IFERROR(
   Working_Sales[[#This Row],[Price_Per_Unit_Decimal_Separator_Fixed]],
   Working_Sales[[#This Row],[Total_Amount_Converted_To_Integer]]/Working_Sales[[#This Row],[Quantity_Converted_To_Integer]]
)</f>
        <v>25</v>
      </c>
      <c r="AE98" t="s">
        <v>31</v>
      </c>
      <c r="AF98" s="2" t="str">
        <f>CLEAN(TRIM(Working_Sales[[#This Row],[Total Amount]]))</f>
        <v>75</v>
      </c>
      <c r="AG98" s="2">
        <f>INT(Working_Sales[[#This Row],[Total_Amount_Whitespace_Removed]])</f>
        <v>75</v>
      </c>
      <c r="AH9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99" spans="1:34" x14ac:dyDescent="0.35">
      <c r="A99" t="s">
        <v>307</v>
      </c>
      <c r="B99" s="6" t="str">
        <f>CLEAN(TRIM(Working_Sales[[#This Row],[Transaction ID]]))</f>
        <v>723</v>
      </c>
      <c r="C99" t="s">
        <v>2014</v>
      </c>
      <c r="D99" s="2" t="str">
        <f>CLEAN(TRIM(Working_Sales[[#This Row],[Date]]))</f>
        <v>06/17/2023</v>
      </c>
      <c r="E99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9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45094</v>
      </c>
      <c r="G9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45094</v>
      </c>
      <c r="H99" t="s">
        <v>2254</v>
      </c>
      <c r="I99" s="2" t="str">
        <f>CLEAN(TRIM(Working_Sales[[#This Row],[Customer ID]]))</f>
        <v>CUST091</v>
      </c>
      <c r="J9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CUST091</v>
      </c>
      <c r="K9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CUST091</v>
      </c>
      <c r="L99" t="s">
        <v>26</v>
      </c>
      <c r="M99" s="4" t="str">
        <f>CLEAN(TRIM(Working_Sales[[#This Row],[Gender]]))</f>
        <v>Female</v>
      </c>
      <c r="N99" s="4" t="str" cm="1">
        <f t="array" ref="N99">_xlfn.SWITCH(
   Working_Sales[[#This Row],[Gender_Whitespace_Removed]],
   "m", "Male",
   "f", "Female",
   Working_Sales[[#This Row],[Gender_Whitespace_Removed]]
)</f>
        <v>Female</v>
      </c>
      <c r="O99" s="6" t="str">
        <f>PROPER(Working_Sales[[#This Row],[Gender_Abbreviation_Expanded]])</f>
        <v>Female</v>
      </c>
      <c r="P99" t="s">
        <v>308</v>
      </c>
      <c r="Q99" s="2" t="str">
        <f>CLEAN(TRIM(Working_Sales[[#This Row],[Age]]))</f>
        <v>54.0</v>
      </c>
      <c r="R99" s="6">
        <f>INT(SUBSTITUTE(Working_Sales[[#This Row],[Age_Whitespace_Removed]],".",","))</f>
        <v>54</v>
      </c>
      <c r="S99" t="s">
        <v>69</v>
      </c>
      <c r="T99" s="2" t="str">
        <f>CLEAN(TRIM(Working_Sales[[#This Row],[Product Category]]))</f>
        <v>BEAUTY</v>
      </c>
      <c r="U99" s="6" t="str">
        <f>PROPER(Working_Sales[[#This Row],[Product_Category_Whitespace_Removed]])</f>
        <v>Beauty</v>
      </c>
      <c r="V99" t="s">
        <v>14</v>
      </c>
      <c r="W99" s="2" t="str">
        <f>CLEAN(TRIM(Working_Sales[[#This Row],[Quantity]]))</f>
        <v>4</v>
      </c>
      <c r="X99" s="2">
        <f>INT(Working_Sales[[#This Row],[`]])</f>
        <v>4</v>
      </c>
      <c r="Y99" s="6">
        <f>IFERROR(
   Working_Sales[[#This Row],[Quantity_Converted_To_Integer]],
   Working_Sales[[#This Row],[Total_Amount_Whitespace_Removed]]/Working_Sales[[#This Row],[Price_Per_Unit_Decimal_Separator_Fixed]])</f>
        <v>4</v>
      </c>
      <c r="Z99" t="s">
        <v>15</v>
      </c>
      <c r="AA99" s="2" t="str">
        <f>CLEAN(TRIM(Working_Sales[[#This Row],[Price per Unit]]))</f>
        <v>50</v>
      </c>
      <c r="AB99" s="2">
        <f>INT(
   SUBSTITUTE(Working_Sales[[#This Row],[Price_Per_Unit_Whitespace_Removed]],
   "$",
   ""
   )
)</f>
        <v>50</v>
      </c>
      <c r="AC99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99" s="8">
        <f>IFERROR(
   Working_Sales[[#This Row],[Price_Per_Unit_Decimal_Separator_Fixed]],
   Working_Sales[[#This Row],[Total_Amount_Converted_To_Integer]]/Working_Sales[[#This Row],[Quantity_Converted_To_Integer]]
)</f>
        <v>50</v>
      </c>
      <c r="AE99" t="s">
        <v>16</v>
      </c>
      <c r="AF99" s="2" t="str">
        <f>CLEAN(TRIM(Working_Sales[[#This Row],[Total Amount]]))</f>
        <v>200</v>
      </c>
      <c r="AG99" s="2">
        <f>INT(Working_Sales[[#This Row],[Total_Amount_Whitespace_Removed]])</f>
        <v>200</v>
      </c>
      <c r="AH9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100" spans="1:34" x14ac:dyDescent="0.35">
      <c r="A100" t="s">
        <v>309</v>
      </c>
      <c r="B100" s="6" t="str">
        <f>CLEAN(TRIM(Working_Sales[[#This Row],[Transaction ID]]))</f>
        <v>109</v>
      </c>
      <c r="C100" t="s">
        <v>310</v>
      </c>
      <c r="D100" s="2" t="str">
        <f>CLEAN(TRIM(Working_Sales[[#This Row],[Date]]))</f>
        <v>18/10/2023</v>
      </c>
      <c r="E10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45217</v>
      </c>
      <c r="F10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45217</v>
      </c>
      <c r="G10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45217</v>
      </c>
      <c r="H100" t="s">
        <v>2405</v>
      </c>
      <c r="I100" s="2" t="str">
        <f>CLEAN(TRIM(Working_Sales[[#This Row],[Customer ID]]))</f>
        <v>CUST092</v>
      </c>
      <c r="J10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CUST092</v>
      </c>
      <c r="K10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CUST092</v>
      </c>
      <c r="L100" t="s">
        <v>140</v>
      </c>
      <c r="M100" s="4" t="str">
        <f>CLEAN(TRIM(Working_Sales[[#This Row],[Gender]]))</f>
        <v>FEMALE</v>
      </c>
      <c r="N100" s="4" t="str" cm="1">
        <f t="array" ref="N100">_xlfn.SWITCH(
   Working_Sales[[#This Row],[Gender_Whitespace_Removed]],
   "m", "Male",
   "f", "Female",
   Working_Sales[[#This Row],[Gender_Whitespace_Removed]]
)</f>
        <v>FEMALE</v>
      </c>
      <c r="O100" s="6" t="str">
        <f>PROPER(Working_Sales[[#This Row],[Gender_Abbreviation_Expanded]])</f>
        <v>Female</v>
      </c>
      <c r="P100">
        <v>34</v>
      </c>
      <c r="Q100" s="2" t="str">
        <f>CLEAN(TRIM(Working_Sales[[#This Row],[Age]]))</f>
        <v>34</v>
      </c>
      <c r="R100" s="6">
        <f>INT(SUBSTITUTE(Working_Sales[[#This Row],[Age_Whitespace_Removed]],".",","))</f>
        <v>34</v>
      </c>
      <c r="S100" t="s">
        <v>13</v>
      </c>
      <c r="T100" s="2" t="str">
        <f>CLEAN(TRIM(Working_Sales[[#This Row],[Product Category]]))</f>
        <v>Electronics</v>
      </c>
      <c r="U100" s="6" t="str">
        <f>PROPER(Working_Sales[[#This Row],[Product_Category_Whitespace_Removed]])</f>
        <v>Electronics</v>
      </c>
      <c r="V100" t="s">
        <v>14</v>
      </c>
      <c r="W100" s="2" t="str">
        <f>CLEAN(TRIM(Working_Sales[[#This Row],[Quantity]]))</f>
        <v>4</v>
      </c>
      <c r="X100" s="2">
        <f>INT(Working_Sales[[#This Row],[`]])</f>
        <v>4</v>
      </c>
      <c r="Y100" s="6">
        <f>IFERROR(
   Working_Sales[[#This Row],[Quantity_Converted_To_Integer]],
   Working_Sales[[#This Row],[Total_Amount_Whitespace_Removed]]/Working_Sales[[#This Row],[Price_Per_Unit_Decimal_Separator_Fixed]])</f>
        <v>4</v>
      </c>
      <c r="Z100" t="s">
        <v>57</v>
      </c>
      <c r="AA100" s="2" t="str">
        <f>CLEAN(TRIM(Working_Sales[[#This Row],[Price per Unit]]))</f>
        <v>500</v>
      </c>
      <c r="AB100" s="2">
        <f>INT(
   SUBSTITUTE(Working_Sales[[#This Row],[Price_Per_Unit_Whitespace_Removed]],
   "$",
   ""
   )
)</f>
        <v>500</v>
      </c>
      <c r="AC100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100" s="8">
        <f>IFERROR(
   Working_Sales[[#This Row],[Price_Per_Unit_Decimal_Separator_Fixed]],
   Working_Sales[[#This Row],[Total_Amount_Converted_To_Integer]]/Working_Sales[[#This Row],[Quantity_Converted_To_Integer]]
)</f>
        <v>500</v>
      </c>
      <c r="AE100" t="s">
        <v>232</v>
      </c>
      <c r="AF100" s="2" t="str">
        <f>CLEAN(TRIM(Working_Sales[[#This Row],[Total Amount]]))</f>
        <v>2000</v>
      </c>
      <c r="AG100" s="2">
        <f>INT(Working_Sales[[#This Row],[Total_Amount_Whitespace_Removed]])</f>
        <v>2000</v>
      </c>
      <c r="AH10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101" spans="1:34" x14ac:dyDescent="0.35">
      <c r="A101" t="s">
        <v>312</v>
      </c>
      <c r="B101" s="6" t="str">
        <f>CLEAN(TRIM(Working_Sales[[#This Row],[Transaction ID]]))</f>
        <v>717</v>
      </c>
      <c r="C101" t="s">
        <v>313</v>
      </c>
      <c r="D101" s="2" t="str">
        <f>CLEAN(TRIM(Working_Sales[[#This Row],[Date]]))</f>
        <v>2023-03-11</v>
      </c>
      <c r="E10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44996</v>
      </c>
      <c r="F10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44996</v>
      </c>
      <c r="G10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44996</v>
      </c>
      <c r="H101" t="s">
        <v>2406</v>
      </c>
      <c r="I101" s="2" t="str">
        <f>CLEAN(TRIM(Working_Sales[[#This Row],[Customer ID]]))</f>
        <v>CUST093</v>
      </c>
      <c r="J10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CUST093</v>
      </c>
      <c r="K10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CUST093</v>
      </c>
      <c r="L101" t="s">
        <v>268</v>
      </c>
      <c r="M101" s="4" t="str">
        <f>CLEAN(TRIM(Working_Sales[[#This Row],[Gender]]))</f>
        <v>M</v>
      </c>
      <c r="N101" s="4" t="str" cm="1">
        <f t="array" ref="N101">_xlfn.SWITCH(
   Working_Sales[[#This Row],[Gender_Whitespace_Removed]],
   "m", "Male",
   "f", "Female",
   Working_Sales[[#This Row],[Gender_Whitespace_Removed]]
)</f>
        <v>Male</v>
      </c>
      <c r="O101" s="6" t="str">
        <f>PROPER(Working_Sales[[#This Row],[Gender_Abbreviation_Expanded]])</f>
        <v>Male</v>
      </c>
      <c r="P101">
        <v>57</v>
      </c>
      <c r="Q101" s="2" t="str">
        <f>CLEAN(TRIM(Working_Sales[[#This Row],[Age]]))</f>
        <v>57</v>
      </c>
      <c r="R101" s="6">
        <f>INT(SUBSTITUTE(Working_Sales[[#This Row],[Age_Whitespace_Removed]],".",","))</f>
        <v>57</v>
      </c>
      <c r="S101" t="s">
        <v>56</v>
      </c>
      <c r="T101" s="2" t="str">
        <f>CLEAN(TRIM(Working_Sales[[#This Row],[Product Category]]))</f>
        <v>Clothing</v>
      </c>
      <c r="U101" s="6" t="str">
        <f>PROPER(Working_Sales[[#This Row],[Product_Category_Whitespace_Removed]])</f>
        <v>Clothing</v>
      </c>
      <c r="V101" t="s">
        <v>22</v>
      </c>
      <c r="W101" s="2" t="str">
        <f>CLEAN(TRIM(Working_Sales[[#This Row],[Quantity]]))</f>
        <v>1</v>
      </c>
      <c r="X101" s="2">
        <f>INT(Working_Sales[[#This Row],[`]])</f>
        <v>1</v>
      </c>
      <c r="Y101" s="6">
        <f>IFERROR(
   Working_Sales[[#This Row],[Quantity_Converted_To_Integer]],
   Working_Sales[[#This Row],[Total_Amount_Whitespace_Removed]]/Working_Sales[[#This Row],[Price_Per_Unit_Decimal_Separator_Fixed]])</f>
        <v>1</v>
      </c>
      <c r="Z101" t="s">
        <v>57</v>
      </c>
      <c r="AA101" s="2" t="str">
        <f>CLEAN(TRIM(Working_Sales[[#This Row],[Price per Unit]]))</f>
        <v>500</v>
      </c>
      <c r="AB101" s="2">
        <f>INT(
   SUBSTITUTE(Working_Sales[[#This Row],[Price_Per_Unit_Whitespace_Removed]],
   "$",
   ""
   )
)</f>
        <v>500</v>
      </c>
      <c r="AC101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101" s="8">
        <f>IFERROR(
   Working_Sales[[#This Row],[Price_Per_Unit_Decimal_Separator_Fixed]],
   Working_Sales[[#This Row],[Total_Amount_Converted_To_Integer]]/Working_Sales[[#This Row],[Quantity_Converted_To_Integer]]
)</f>
        <v>500</v>
      </c>
      <c r="AE101" t="s">
        <v>57</v>
      </c>
      <c r="AF101" s="2" t="str">
        <f>CLEAN(TRIM(Working_Sales[[#This Row],[Total Amount]]))</f>
        <v>500</v>
      </c>
      <c r="AG101" s="2">
        <f>INT(Working_Sales[[#This Row],[Total_Amount_Whitespace_Removed]])</f>
        <v>500</v>
      </c>
      <c r="AH10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102" spans="1:34" x14ac:dyDescent="0.35">
      <c r="A102" t="s">
        <v>314</v>
      </c>
      <c r="B102" s="6" t="str">
        <f>CLEAN(TRIM(Working_Sales[[#This Row],[Transaction ID]]))</f>
        <v>911</v>
      </c>
      <c r="C102" t="s">
        <v>315</v>
      </c>
      <c r="D102" s="2" t="str">
        <f>CLEAN(TRIM(Working_Sales[[#This Row],[Date]]))</f>
        <v>21/05/2023</v>
      </c>
      <c r="E10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45067</v>
      </c>
      <c r="F10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45067</v>
      </c>
      <c r="G10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45067</v>
      </c>
      <c r="H102" t="s">
        <v>2407</v>
      </c>
      <c r="I102" s="2" t="str">
        <f>CLEAN(TRIM(Working_Sales[[#This Row],[Customer ID]]))</f>
        <v>CUST094</v>
      </c>
      <c r="J10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0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CUST094</v>
      </c>
      <c r="L102" t="s">
        <v>34</v>
      </c>
      <c r="M102" s="4" t="str">
        <f>CLEAN(TRIM(Working_Sales[[#This Row],[Gender]]))</f>
        <v>Male</v>
      </c>
      <c r="N102" s="4" t="str" cm="1">
        <f t="array" ref="N102">_xlfn.SWITCH(
   Working_Sales[[#This Row],[Gender_Whitespace_Removed]],
   "m", "Male",
   "f", "Female",
   Working_Sales[[#This Row],[Gender_Whitespace_Removed]]
)</f>
        <v>Male</v>
      </c>
      <c r="O102" s="6" t="str">
        <f>PROPER(Working_Sales[[#This Row],[Gender_Abbreviation_Expanded]])</f>
        <v>Male</v>
      </c>
      <c r="P102" t="s">
        <v>316</v>
      </c>
      <c r="Q102" s="2" t="str">
        <f>CLEAN(TRIM(Working_Sales[[#This Row],[Age]]))</f>
        <v>42.0</v>
      </c>
      <c r="R102" s="6">
        <f>INT(SUBSTITUTE(Working_Sales[[#This Row],[Age_Whitespace_Removed]],".",","))</f>
        <v>42</v>
      </c>
      <c r="S102" t="s">
        <v>13</v>
      </c>
      <c r="T102" s="2" t="str">
        <f>CLEAN(TRIM(Working_Sales[[#This Row],[Product Category]]))</f>
        <v>Electronics</v>
      </c>
      <c r="U102" s="6" t="str">
        <f>PROPER(Working_Sales[[#This Row],[Product_Category_Whitespace_Removed]])</f>
        <v>Electronics</v>
      </c>
      <c r="V102" t="s">
        <v>29</v>
      </c>
      <c r="W102" s="2" t="str">
        <f>CLEAN(TRIM(Working_Sales[[#This Row],[Quantity]]))</f>
        <v>3</v>
      </c>
      <c r="X102" s="2">
        <f>INT(Working_Sales[[#This Row],[`]])</f>
        <v>3</v>
      </c>
      <c r="Y102" s="6">
        <f>IFERROR(
   Working_Sales[[#This Row],[Quantity_Converted_To_Integer]],
   Working_Sales[[#This Row],[Total_Amount_Whitespace_Removed]]/Working_Sales[[#This Row],[Price_Per_Unit_Decimal_Separator_Fixed]])</f>
        <v>3</v>
      </c>
      <c r="Z102" t="s">
        <v>288</v>
      </c>
      <c r="AA102" s="2" t="str">
        <f>CLEAN(TRIM(Working_Sales[[#This Row],[Price per Unit]]))</f>
        <v>300.00</v>
      </c>
      <c r="AB102" s="2" t="e">
        <f>INT(
   SUBSTITUTE(Working_Sales[[#This Row],[Price_Per_Unit_Whitespace_Removed]],
   "$",
   ""
   )
)</f>
        <v>#VALUE!</v>
      </c>
      <c r="AC102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102" s="8">
        <f>IFERROR(
   Working_Sales[[#This Row],[Price_Per_Unit_Decimal_Separator_Fixed]],
   Working_Sales[[#This Row],[Total_Amount_Converted_To_Integer]]/Working_Sales[[#This Row],[Quantity_Converted_To_Integer]]
)</f>
        <v>300</v>
      </c>
      <c r="AE102" t="s">
        <v>128</v>
      </c>
      <c r="AF102" s="2" t="str">
        <f>CLEAN(TRIM(Working_Sales[[#This Row],[Total Amount]]))</f>
        <v>900</v>
      </c>
      <c r="AG102" s="2">
        <f>INT(Working_Sales[[#This Row],[Total_Amount_Whitespace_Removed]])</f>
        <v>900</v>
      </c>
      <c r="AH10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103" spans="1:34" x14ac:dyDescent="0.35">
      <c r="A103" t="s">
        <v>317</v>
      </c>
      <c r="B103" s="6" t="str">
        <f>CLEAN(TRIM(Working_Sales[[#This Row],[Transaction ID]]))</f>
        <v>906</v>
      </c>
      <c r="C103" t="s">
        <v>2015</v>
      </c>
      <c r="D103" s="2" t="str">
        <f>CLEAN(TRIM(Working_Sales[[#This Row],[Date]]))</f>
        <v>04-Jun-2023</v>
      </c>
      <c r="E10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45081</v>
      </c>
      <c r="F10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45081</v>
      </c>
      <c r="G10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45081</v>
      </c>
      <c r="H103" t="s">
        <v>2408</v>
      </c>
      <c r="I103" s="2" t="str">
        <f>CLEAN(TRIM(Working_Sales[[#This Row],[Customer ID]]))</f>
        <v>CUST095</v>
      </c>
      <c r="J10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CUST095</v>
      </c>
      <c r="K10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CUST095</v>
      </c>
      <c r="L103" t="s">
        <v>112</v>
      </c>
      <c r="M103" s="4" t="str">
        <f>CLEAN(TRIM(Working_Sales[[#This Row],[Gender]]))</f>
        <v>female</v>
      </c>
      <c r="N103" s="4" t="str" cm="1">
        <f t="array" ref="N103">_xlfn.SWITCH(
   Working_Sales[[#This Row],[Gender_Whitespace_Removed]],
   "m", "Male",
   "f", "Female",
   Working_Sales[[#This Row],[Gender_Whitespace_Removed]]
)</f>
        <v>female</v>
      </c>
      <c r="O103" s="6" t="str">
        <f>PROPER(Working_Sales[[#This Row],[Gender_Abbreviation_Expanded]])</f>
        <v>Female</v>
      </c>
      <c r="P103">
        <v>20</v>
      </c>
      <c r="Q103" s="2" t="str">
        <f>CLEAN(TRIM(Working_Sales[[#This Row],[Age]]))</f>
        <v>20</v>
      </c>
      <c r="R103" s="6">
        <f>INT(SUBSTITUTE(Working_Sales[[#This Row],[Age_Whitespace_Removed]],".",","))</f>
        <v>20</v>
      </c>
      <c r="S103" t="s">
        <v>28</v>
      </c>
      <c r="T103" s="2" t="str">
        <f>CLEAN(TRIM(Working_Sales[[#This Row],[Product Category]]))</f>
        <v>clothing</v>
      </c>
      <c r="U103" s="6" t="str">
        <f>PROPER(Working_Sales[[#This Row],[Product_Category_Whitespace_Removed]])</f>
        <v>Clothing</v>
      </c>
      <c r="W103" s="2" t="str">
        <f>CLEAN(TRIM(Working_Sales[[#This Row],[Quantity]]))</f>
        <v/>
      </c>
      <c r="X103" s="2" t="e">
        <f>INT(Working_Sales[[#This Row],[`]])</f>
        <v>#VALUE!</v>
      </c>
      <c r="Y103" s="6">
        <f>IFERROR(
   Working_Sales[[#This Row],[Quantity_Converted_To_Integer]],
   Working_Sales[[#This Row],[Total_Amount_Whitespace_Removed]]/Working_Sales[[#This Row],[Price_Per_Unit_Decimal_Separator_Fixed]])</f>
        <v>1</v>
      </c>
      <c r="Z103" t="s">
        <v>15</v>
      </c>
      <c r="AA103" s="2" t="str">
        <f>CLEAN(TRIM(Working_Sales[[#This Row],[Price per Unit]]))</f>
        <v>50</v>
      </c>
      <c r="AB103" s="2">
        <f>INT(
   SUBSTITUTE(Working_Sales[[#This Row],[Price_Per_Unit_Whitespace_Removed]],
   "$",
   ""
   )
)</f>
        <v>50</v>
      </c>
      <c r="AC103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103" s="8">
        <f>IFERROR(
   Working_Sales[[#This Row],[Price_Per_Unit_Decimal_Separator_Fixed]],
   Working_Sales[[#This Row],[Total_Amount_Converted_To_Integer]]/Working_Sales[[#This Row],[Quantity_Converted_To_Integer]]
)</f>
        <v>50</v>
      </c>
      <c r="AE103" t="s">
        <v>15</v>
      </c>
      <c r="AF103" s="2" t="str">
        <f>CLEAN(TRIM(Working_Sales[[#This Row],[Total Amount]]))</f>
        <v>50</v>
      </c>
      <c r="AG103" s="2">
        <f>INT(Working_Sales[[#This Row],[Total_Amount_Whitespace_Removed]])</f>
        <v>50</v>
      </c>
      <c r="AH10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104" spans="1:34" x14ac:dyDescent="0.35">
      <c r="A104" t="s">
        <v>318</v>
      </c>
      <c r="B104" s="6" t="str">
        <f>CLEAN(TRIM(Working_Sales[[#This Row],[Transaction ID]]))</f>
        <v>975</v>
      </c>
      <c r="C104" t="s">
        <v>319</v>
      </c>
      <c r="D104" s="2" t="str">
        <f>CLEAN(TRIM(Working_Sales[[#This Row],[Date]]))</f>
        <v>2023-03-30</v>
      </c>
      <c r="E10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45015</v>
      </c>
      <c r="F10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45015</v>
      </c>
      <c r="G10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45015</v>
      </c>
      <c r="H104" t="s">
        <v>2409</v>
      </c>
      <c r="I104" s="2" t="str">
        <f>CLEAN(TRIM(Working_Sales[[#This Row],[Customer ID]]))</f>
        <v>Cust046</v>
      </c>
      <c r="J10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0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CUST046</v>
      </c>
      <c r="L104" t="s">
        <v>26</v>
      </c>
      <c r="M104" s="4" t="str">
        <f>CLEAN(TRIM(Working_Sales[[#This Row],[Gender]]))</f>
        <v>Female</v>
      </c>
      <c r="N104" s="4" t="str" cm="1">
        <f t="array" ref="N104">_xlfn.SWITCH(
   Working_Sales[[#This Row],[Gender_Whitespace_Removed]],
   "m", "Male",
   "f", "Female",
   Working_Sales[[#This Row],[Gender_Whitespace_Removed]]
)</f>
        <v>Female</v>
      </c>
      <c r="O104" s="6" t="str">
        <f>PROPER(Working_Sales[[#This Row],[Gender_Abbreviation_Expanded]])</f>
        <v>Female</v>
      </c>
      <c r="P104" t="s">
        <v>320</v>
      </c>
      <c r="Q104" s="2" t="str">
        <f>CLEAN(TRIM(Working_Sales[[#This Row],[Age]]))</f>
        <v>56.0</v>
      </c>
      <c r="R104" s="6">
        <f>INT(SUBSTITUTE(Working_Sales[[#This Row],[Age_Whitespace_Removed]],".",","))</f>
        <v>56</v>
      </c>
      <c r="S104" t="s">
        <v>56</v>
      </c>
      <c r="T104" s="2" t="str">
        <f>CLEAN(TRIM(Working_Sales[[#This Row],[Product Category]]))</f>
        <v>Clothing</v>
      </c>
      <c r="U104" s="6" t="str">
        <f>PROPER(Working_Sales[[#This Row],[Product_Category_Whitespace_Removed]])</f>
        <v>Clothing</v>
      </c>
      <c r="V104" t="s">
        <v>14</v>
      </c>
      <c r="W104" s="2" t="str">
        <f>CLEAN(TRIM(Working_Sales[[#This Row],[Quantity]]))</f>
        <v>4</v>
      </c>
      <c r="X104" s="2">
        <f>INT(Working_Sales[[#This Row],[`]])</f>
        <v>4</v>
      </c>
      <c r="Y104" s="6">
        <f>IFERROR(
   Working_Sales[[#This Row],[Quantity_Converted_To_Integer]],
   Working_Sales[[#This Row],[Total_Amount_Whitespace_Removed]]/Working_Sales[[#This Row],[Price_Per_Unit_Decimal_Separator_Fixed]])</f>
        <v>4</v>
      </c>
      <c r="Z104" t="s">
        <v>15</v>
      </c>
      <c r="AA104" s="2" t="str">
        <f>CLEAN(TRIM(Working_Sales[[#This Row],[Price per Unit]]))</f>
        <v>50</v>
      </c>
      <c r="AB104" s="2">
        <f>INT(
   SUBSTITUTE(Working_Sales[[#This Row],[Price_Per_Unit_Whitespace_Removed]],
   "$",
   ""
   )
)</f>
        <v>50</v>
      </c>
      <c r="AC104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104" s="8">
        <f>IFERROR(
   Working_Sales[[#This Row],[Price_Per_Unit_Decimal_Separator_Fixed]],
   Working_Sales[[#This Row],[Total_Amount_Converted_To_Integer]]/Working_Sales[[#This Row],[Quantity_Converted_To_Integer]]
)</f>
        <v>50</v>
      </c>
      <c r="AE104" t="s">
        <v>16</v>
      </c>
      <c r="AF104" s="2" t="str">
        <f>CLEAN(TRIM(Working_Sales[[#This Row],[Total Amount]]))</f>
        <v>200</v>
      </c>
      <c r="AG104" s="2">
        <f>INT(Working_Sales[[#This Row],[Total_Amount_Whitespace_Removed]])</f>
        <v>200</v>
      </c>
      <c r="AH10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105" spans="1:34" x14ac:dyDescent="0.35">
      <c r="A105" t="s">
        <v>321</v>
      </c>
      <c r="B105" s="6" t="str">
        <f>CLEAN(TRIM(Working_Sales[[#This Row],[Transaction ID]]))</f>
        <v>710</v>
      </c>
      <c r="C105" t="s">
        <v>322</v>
      </c>
      <c r="D105" s="2" t="str">
        <f>CLEAN(TRIM(Working_Sales[[#This Row],[Date]]))</f>
        <v>2023-10-31</v>
      </c>
      <c r="E10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45230</v>
      </c>
      <c r="F10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45230</v>
      </c>
      <c r="G10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45230</v>
      </c>
      <c r="H105" t="s">
        <v>2410</v>
      </c>
      <c r="I105" s="2" t="str">
        <f>CLEAN(TRIM(Working_Sales[[#This Row],[Customer ID]]))</f>
        <v>Cust096</v>
      </c>
      <c r="J10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0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CUST096</v>
      </c>
      <c r="L105" t="s">
        <v>140</v>
      </c>
      <c r="M105" s="4" t="str">
        <f>CLEAN(TRIM(Working_Sales[[#This Row],[Gender]]))</f>
        <v>FEMALE</v>
      </c>
      <c r="N105" s="4" t="str" cm="1">
        <f t="array" ref="N105">_xlfn.SWITCH(
   Working_Sales[[#This Row],[Gender_Whitespace_Removed]],
   "m", "Male",
   "f", "Female",
   Working_Sales[[#This Row],[Gender_Whitespace_Removed]]
)</f>
        <v>FEMALE</v>
      </c>
      <c r="O105" s="6" t="str">
        <f>PROPER(Working_Sales[[#This Row],[Gender_Abbreviation_Expanded]])</f>
        <v>Female</v>
      </c>
      <c r="P105">
        <v>26</v>
      </c>
      <c r="Q105" s="2" t="str">
        <f>CLEAN(TRIM(Working_Sales[[#This Row],[Age]]))</f>
        <v>26</v>
      </c>
      <c r="R105" s="6">
        <f>INT(SUBSTITUTE(Working_Sales[[#This Row],[Age_Whitespace_Removed]],".",","))</f>
        <v>26</v>
      </c>
      <c r="S105" t="s">
        <v>99</v>
      </c>
      <c r="T105" s="2" t="str">
        <f>CLEAN(TRIM(Working_Sales[[#This Row],[Product Category]]))</f>
        <v>ELECTRONICS</v>
      </c>
      <c r="U105" s="6" t="str">
        <f>PROPER(Working_Sales[[#This Row],[Product_Category_Whitespace_Removed]])</f>
        <v>Electronics</v>
      </c>
      <c r="V105" t="s">
        <v>29</v>
      </c>
      <c r="W105" s="2" t="str">
        <f>CLEAN(TRIM(Working_Sales[[#This Row],[Quantity]]))</f>
        <v>3</v>
      </c>
      <c r="X105" s="2">
        <f>INT(Working_Sales[[#This Row],[`]])</f>
        <v>3</v>
      </c>
      <c r="Y105" s="6">
        <f>IFERROR(
   Working_Sales[[#This Row],[Quantity_Converted_To_Integer]],
   Working_Sales[[#This Row],[Total_Amount_Whitespace_Removed]]/Working_Sales[[#This Row],[Price_Per_Unit_Decimal_Separator_Fixed]])</f>
        <v>3</v>
      </c>
      <c r="Z105" t="s">
        <v>57</v>
      </c>
      <c r="AA105" s="2" t="str">
        <f>CLEAN(TRIM(Working_Sales[[#This Row],[Price per Unit]]))</f>
        <v>500</v>
      </c>
      <c r="AB105" s="2">
        <f>INT(
   SUBSTITUTE(Working_Sales[[#This Row],[Price_Per_Unit_Whitespace_Removed]],
   "$",
   ""
   )
)</f>
        <v>500</v>
      </c>
      <c r="AC105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105" s="8">
        <f>IFERROR(
   Working_Sales[[#This Row],[Price_Per_Unit_Decimal_Separator_Fixed]],
   Working_Sales[[#This Row],[Total_Amount_Converted_To_Integer]]/Working_Sales[[#This Row],[Quantity_Converted_To_Integer]]
)</f>
        <v>500</v>
      </c>
      <c r="AE105" t="s">
        <v>85</v>
      </c>
      <c r="AF105" s="2" t="str">
        <f>CLEAN(TRIM(Working_Sales[[#This Row],[Total Amount]]))</f>
        <v>1500</v>
      </c>
      <c r="AG105" s="2">
        <f>INT(Working_Sales[[#This Row],[Total_Amount_Whitespace_Removed]])</f>
        <v>1500</v>
      </c>
      <c r="AH10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106" spans="1:34" x14ac:dyDescent="0.35">
      <c r="A106" t="s">
        <v>323</v>
      </c>
      <c r="B106" s="6" t="str">
        <f>CLEAN(TRIM(Working_Sales[[#This Row],[Transaction ID]]))</f>
        <v>233</v>
      </c>
      <c r="C106" t="s">
        <v>324</v>
      </c>
      <c r="D106" s="2" t="str">
        <f>CLEAN(TRIM(Working_Sales[[#This Row],[Date]]))</f>
        <v>29/12/2023</v>
      </c>
      <c r="E10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45289</v>
      </c>
      <c r="F10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45289</v>
      </c>
      <c r="G10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45289</v>
      </c>
      <c r="H106" t="s">
        <v>2411</v>
      </c>
      <c r="I106" s="2" t="str">
        <f>CLEAN(TRIM(Working_Sales[[#This Row],[Customer ID]]))</f>
        <v>cust004</v>
      </c>
      <c r="J10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0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CUST004</v>
      </c>
      <c r="L106" t="s">
        <v>26</v>
      </c>
      <c r="M106" s="4" t="str">
        <f>CLEAN(TRIM(Working_Sales[[#This Row],[Gender]]))</f>
        <v>Female</v>
      </c>
      <c r="N106" s="4" t="str" cm="1">
        <f t="array" ref="N106">_xlfn.SWITCH(
   Working_Sales[[#This Row],[Gender_Whitespace_Removed]],
   "m", "Male",
   "f", "Female",
   Working_Sales[[#This Row],[Gender_Whitespace_Removed]]
)</f>
        <v>Female</v>
      </c>
      <c r="O106" s="6" t="str">
        <f>PROPER(Working_Sales[[#This Row],[Gender_Abbreviation_Expanded]])</f>
        <v>Female</v>
      </c>
      <c r="P106">
        <v>51</v>
      </c>
      <c r="Q106" s="2" t="str">
        <f>CLEAN(TRIM(Working_Sales[[#This Row],[Age]]))</f>
        <v>51</v>
      </c>
      <c r="R106" s="6">
        <f>INT(SUBSTITUTE(Working_Sales[[#This Row],[Age_Whitespace_Removed]],".",","))</f>
        <v>51</v>
      </c>
      <c r="S106" t="s">
        <v>36</v>
      </c>
      <c r="T106" s="2" t="str">
        <f>CLEAN(TRIM(Working_Sales[[#This Row],[Product Category]]))</f>
        <v>Beauty</v>
      </c>
      <c r="U106" s="6" t="str">
        <f>PROPER(Working_Sales[[#This Row],[Product_Category_Whitespace_Removed]])</f>
        <v>Beauty</v>
      </c>
      <c r="V106" t="s">
        <v>37</v>
      </c>
      <c r="W106" s="2" t="str">
        <f>CLEAN(TRIM(Working_Sales[[#This Row],[Quantity]]))</f>
        <v>2</v>
      </c>
      <c r="X106" s="2">
        <f>INT(Working_Sales[[#This Row],[`]])</f>
        <v>2</v>
      </c>
      <c r="Y106" s="6">
        <f>IFERROR(
   Working_Sales[[#This Row],[Quantity_Converted_To_Integer]],
   Working_Sales[[#This Row],[Total_Amount_Whitespace_Removed]]/Working_Sales[[#This Row],[Price_Per_Unit_Decimal_Separator_Fixed]])</f>
        <v>2</v>
      </c>
      <c r="Z106" t="s">
        <v>23</v>
      </c>
      <c r="AA106" s="2" t="str">
        <f>CLEAN(TRIM(Working_Sales[[#This Row],[Price per Unit]]))</f>
        <v>300</v>
      </c>
      <c r="AB106" s="2">
        <f>INT(
   SUBSTITUTE(Working_Sales[[#This Row],[Price_Per_Unit_Whitespace_Removed]],
   "$",
   ""
   )
)</f>
        <v>300</v>
      </c>
      <c r="AC106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106" s="8">
        <f>IFERROR(
   Working_Sales[[#This Row],[Price_Per_Unit_Decimal_Separator_Fixed]],
   Working_Sales[[#This Row],[Total_Amount_Converted_To_Integer]]/Working_Sales[[#This Row],[Quantity_Converted_To_Integer]]
)</f>
        <v>300</v>
      </c>
      <c r="AE106" t="s">
        <v>107</v>
      </c>
      <c r="AF106" s="2" t="str">
        <f>CLEAN(TRIM(Working_Sales[[#This Row],[Total Amount]]))</f>
        <v>600</v>
      </c>
      <c r="AG106" s="2">
        <f>INT(Working_Sales[[#This Row],[Total_Amount_Whitespace_Removed]])</f>
        <v>600</v>
      </c>
      <c r="AH10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600</v>
      </c>
    </row>
    <row r="107" spans="1:34" x14ac:dyDescent="0.35">
      <c r="A107" t="s">
        <v>326</v>
      </c>
      <c r="B107" s="6" t="str">
        <f>CLEAN(TRIM(Working_Sales[[#This Row],[Transaction ID]]))</f>
        <v>611</v>
      </c>
      <c r="C107" t="s">
        <v>327</v>
      </c>
      <c r="D107" s="2" t="str">
        <f>CLEAN(TRIM(Working_Sales[[#This Row],[Date]]))</f>
        <v>02/24/2023</v>
      </c>
      <c r="E107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10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44981</v>
      </c>
      <c r="G10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44981</v>
      </c>
      <c r="H107" t="s">
        <v>2412</v>
      </c>
      <c r="I107" s="2" t="str">
        <f>CLEAN(TRIM(Working_Sales[[#This Row],[Customer ID]]))</f>
        <v>cust097</v>
      </c>
      <c r="J10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0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CUST097</v>
      </c>
      <c r="L107" t="s">
        <v>34</v>
      </c>
      <c r="M107" s="4" t="str">
        <f>CLEAN(TRIM(Working_Sales[[#This Row],[Gender]]))</f>
        <v>Male</v>
      </c>
      <c r="N107" s="4" t="str" cm="1">
        <f t="array" ref="N107">_xlfn.SWITCH(
   Working_Sales[[#This Row],[Gender_Whitespace_Removed]],
   "m", "Male",
   "f", "Female",
   Working_Sales[[#This Row],[Gender_Whitespace_Removed]]
)</f>
        <v>Male</v>
      </c>
      <c r="O107" s="6" t="str">
        <f>PROPER(Working_Sales[[#This Row],[Gender_Abbreviation_Expanded]])</f>
        <v>Male</v>
      </c>
      <c r="P107">
        <v>51</v>
      </c>
      <c r="Q107" s="2" t="str">
        <f>CLEAN(TRIM(Working_Sales[[#This Row],[Age]]))</f>
        <v>51</v>
      </c>
      <c r="R107" s="6">
        <f>INT(SUBSTITUTE(Working_Sales[[#This Row],[Age_Whitespace_Removed]],".",","))</f>
        <v>51</v>
      </c>
      <c r="S107" t="s">
        <v>62</v>
      </c>
      <c r="T107" s="2" t="str">
        <f>CLEAN(TRIM(Working_Sales[[#This Row],[Product Category]]))</f>
        <v>beauty</v>
      </c>
      <c r="U107" s="6" t="str">
        <f>PROPER(Working_Sales[[#This Row],[Product_Category_Whitespace_Removed]])</f>
        <v>Beauty</v>
      </c>
      <c r="V107" t="s">
        <v>29</v>
      </c>
      <c r="W107" s="2" t="str">
        <f>CLEAN(TRIM(Working_Sales[[#This Row],[Quantity]]))</f>
        <v>3</v>
      </c>
      <c r="X107" s="2">
        <f>INT(Working_Sales[[#This Row],[`]])</f>
        <v>3</v>
      </c>
      <c r="Y107" s="6">
        <f>IFERROR(
   Working_Sales[[#This Row],[Quantity_Converted_To_Integer]],
   Working_Sales[[#This Row],[Total_Amount_Whitespace_Removed]]/Working_Sales[[#This Row],[Price_Per_Unit_Decimal_Separator_Fixed]])</f>
        <v>3</v>
      </c>
      <c r="Z107" t="s">
        <v>57</v>
      </c>
      <c r="AA107" s="2" t="str">
        <f>CLEAN(TRIM(Working_Sales[[#This Row],[Price per Unit]]))</f>
        <v>500</v>
      </c>
      <c r="AB107" s="2">
        <f>INT(
   SUBSTITUTE(Working_Sales[[#This Row],[Price_Per_Unit_Whitespace_Removed]],
   "$",
   ""
   )
)</f>
        <v>500</v>
      </c>
      <c r="AC107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107" s="8">
        <f>IFERROR(
   Working_Sales[[#This Row],[Price_Per_Unit_Decimal_Separator_Fixed]],
   Working_Sales[[#This Row],[Total_Amount_Converted_To_Integer]]/Working_Sales[[#This Row],[Quantity_Converted_To_Integer]]
)</f>
        <v>500</v>
      </c>
      <c r="AE107" t="s">
        <v>85</v>
      </c>
      <c r="AF107" s="2" t="str">
        <f>CLEAN(TRIM(Working_Sales[[#This Row],[Total Amount]]))</f>
        <v>1500</v>
      </c>
      <c r="AG107" s="2">
        <f>INT(Working_Sales[[#This Row],[Total_Amount_Whitespace_Removed]])</f>
        <v>1500</v>
      </c>
      <c r="AH10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108" spans="1:34" x14ac:dyDescent="0.35">
      <c r="A108" t="s">
        <v>328</v>
      </c>
      <c r="B108" s="6" t="str">
        <f>CLEAN(TRIM(Working_Sales[[#This Row],[Transaction ID]]))</f>
        <v>154</v>
      </c>
      <c r="C108" t="s">
        <v>2016</v>
      </c>
      <c r="D108" s="2" t="str">
        <f>CLEAN(TRIM(Working_Sales[[#This Row],[Date]]))</f>
        <v>02-Oct-2023</v>
      </c>
      <c r="E10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45201</v>
      </c>
      <c r="F10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45201</v>
      </c>
      <c r="G10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45201</v>
      </c>
      <c r="H108" t="s">
        <v>2413</v>
      </c>
      <c r="I108" s="2" t="str">
        <f>CLEAN(TRIM(Working_Sales[[#This Row],[Customer ID]]))</f>
        <v>CUST098</v>
      </c>
      <c r="J10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0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CUST098</v>
      </c>
      <c r="L108" t="s">
        <v>34</v>
      </c>
      <c r="M108" s="4" t="str">
        <f>CLEAN(TRIM(Working_Sales[[#This Row],[Gender]]))</f>
        <v>Male</v>
      </c>
      <c r="N108" s="4" t="str" cm="1">
        <f t="array" ref="N108">_xlfn.SWITCH(
   Working_Sales[[#This Row],[Gender_Whitespace_Removed]],
   "m", "Male",
   "f", "Female",
   Working_Sales[[#This Row],[Gender_Whitespace_Removed]]
)</f>
        <v>Male</v>
      </c>
      <c r="O108" s="6" t="str">
        <f>PROPER(Working_Sales[[#This Row],[Gender_Abbreviation_Expanded]])</f>
        <v>Male</v>
      </c>
      <c r="P108">
        <v>51</v>
      </c>
      <c r="Q108" s="2" t="str">
        <f>CLEAN(TRIM(Working_Sales[[#This Row],[Age]]))</f>
        <v>51</v>
      </c>
      <c r="R108" s="6">
        <f>INT(SUBSTITUTE(Working_Sales[[#This Row],[Age_Whitespace_Removed]],".",","))</f>
        <v>51</v>
      </c>
      <c r="S108" t="s">
        <v>13</v>
      </c>
      <c r="T108" s="2" t="str">
        <f>CLEAN(TRIM(Working_Sales[[#This Row],[Product Category]]))</f>
        <v>Electronics</v>
      </c>
      <c r="U108" s="6" t="str">
        <f>PROPER(Working_Sales[[#This Row],[Product_Category_Whitespace_Removed]])</f>
        <v>Electronics</v>
      </c>
      <c r="V108" t="s">
        <v>29</v>
      </c>
      <c r="W108" s="2" t="str">
        <f>CLEAN(TRIM(Working_Sales[[#This Row],[Quantity]]))</f>
        <v>3</v>
      </c>
      <c r="X108" s="2">
        <f>INT(Working_Sales[[#This Row],[`]])</f>
        <v>3</v>
      </c>
      <c r="Y108" s="6">
        <f>IFERROR(
   Working_Sales[[#This Row],[Quantity_Converted_To_Integer]],
   Working_Sales[[#This Row],[Total_Amount_Whitespace_Removed]]/Working_Sales[[#This Row],[Price_Per_Unit_Decimal_Separator_Fixed]])</f>
        <v>3</v>
      </c>
      <c r="AA108" s="2" t="str">
        <f>CLEAN(TRIM(Working_Sales[[#This Row],[Price per Unit]]))</f>
        <v/>
      </c>
      <c r="AB108" s="2" t="e">
        <f>INT(
   SUBSTITUTE(Working_Sales[[#This Row],[Price_Per_Unit_Whitespace_Removed]],
   "$",
   ""
   )
)</f>
        <v>#VALUE!</v>
      </c>
      <c r="AC108" s="2" t="e">
        <f>INT(
   IFERROR(
      Working_Sales[[#This Row],[Price_Per_Unit_Dollar_Sign_Removed]],
      SUBSTITUTE(
         Working_Sales[[#This Row],[Price_Per_Unit_Whitespace_Removed]],
        ".",
         ","
      )
   )
)</f>
        <v>#VALUE!</v>
      </c>
      <c r="AD108" s="8">
        <f>IFERROR(
   Working_Sales[[#This Row],[Price_Per_Unit_Decimal_Separator_Fixed]],
   Working_Sales[[#This Row],[Total_Amount_Converted_To_Integer]]/Working_Sales[[#This Row],[Quantity_Converted_To_Integer]]
)</f>
        <v>300</v>
      </c>
      <c r="AE108" t="s">
        <v>128</v>
      </c>
      <c r="AF108" s="2" t="str">
        <f>CLEAN(TRIM(Working_Sales[[#This Row],[Total Amount]]))</f>
        <v>900</v>
      </c>
      <c r="AG108" s="2">
        <f>INT(Working_Sales[[#This Row],[Total_Amount_Whitespace_Removed]])</f>
        <v>900</v>
      </c>
      <c r="AH10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109" spans="1:34" x14ac:dyDescent="0.35">
      <c r="A109" t="s">
        <v>330</v>
      </c>
      <c r="B109" s="6" t="str">
        <f>CLEAN(TRIM(Working_Sales[[#This Row],[Transaction ID]]))</f>
        <v>141</v>
      </c>
      <c r="C109" t="s">
        <v>2017</v>
      </c>
      <c r="D109" s="2" t="str">
        <f>CLEAN(TRIM(Working_Sales[[#This Row],[Date]]))</f>
        <v>02-Nov-2023</v>
      </c>
      <c r="E10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45232</v>
      </c>
      <c r="F10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45232</v>
      </c>
      <c r="G10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45232</v>
      </c>
      <c r="H109" t="s">
        <v>2414</v>
      </c>
      <c r="I109" s="2" t="str">
        <f>CLEAN(TRIM(Working_Sales[[#This Row],[Customer ID]]))</f>
        <v>cust099</v>
      </c>
      <c r="J10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0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CUST099</v>
      </c>
      <c r="L109" t="s">
        <v>26</v>
      </c>
      <c r="M109" s="4" t="str">
        <f>CLEAN(TRIM(Working_Sales[[#This Row],[Gender]]))</f>
        <v>Female</v>
      </c>
      <c r="N109" s="4" t="str" cm="1">
        <f t="array" ref="N109">_xlfn.SWITCH(
   Working_Sales[[#This Row],[Gender_Whitespace_Removed]],
   "m", "Male",
   "f", "Female",
   Working_Sales[[#This Row],[Gender_Whitespace_Removed]]
)</f>
        <v>Female</v>
      </c>
      <c r="O109" s="6" t="str">
        <f>PROPER(Working_Sales[[#This Row],[Gender_Abbreviation_Expanded]])</f>
        <v>Female</v>
      </c>
      <c r="P109">
        <v>22</v>
      </c>
      <c r="Q109" s="2" t="str">
        <f>CLEAN(TRIM(Working_Sales[[#This Row],[Age]]))</f>
        <v>22</v>
      </c>
      <c r="R109" s="6">
        <f>INT(SUBSTITUTE(Working_Sales[[#This Row],[Age_Whitespace_Removed]],".",","))</f>
        <v>22</v>
      </c>
      <c r="S109" t="s">
        <v>13</v>
      </c>
      <c r="T109" s="2" t="str">
        <f>CLEAN(TRIM(Working_Sales[[#This Row],[Product Category]]))</f>
        <v>Electronics</v>
      </c>
      <c r="U109" s="6" t="str">
        <f>PROPER(Working_Sales[[#This Row],[Product_Category_Whitespace_Removed]])</f>
        <v>Electronics</v>
      </c>
      <c r="V109" t="s">
        <v>22</v>
      </c>
      <c r="W109" s="2" t="str">
        <f>CLEAN(TRIM(Working_Sales[[#This Row],[Quantity]]))</f>
        <v>1</v>
      </c>
      <c r="X109" s="2">
        <f>INT(Working_Sales[[#This Row],[`]])</f>
        <v>1</v>
      </c>
      <c r="Y109" s="6">
        <f>IFERROR(
   Working_Sales[[#This Row],[Quantity_Converted_To_Integer]],
   Working_Sales[[#This Row],[Total_Amount_Whitespace_Removed]]/Working_Sales[[#This Row],[Price_Per_Unit_Decimal_Separator_Fixed]])</f>
        <v>1</v>
      </c>
      <c r="Z109" t="s">
        <v>153</v>
      </c>
      <c r="AA109" s="2" t="str">
        <f>CLEAN(TRIM(Working_Sales[[#This Row],[Price per Unit]]))</f>
        <v>50.00</v>
      </c>
      <c r="AB109" s="2" t="e">
        <f>INT(
   SUBSTITUTE(Working_Sales[[#This Row],[Price_Per_Unit_Whitespace_Removed]],
   "$",
   ""
   )
)</f>
        <v>#VALUE!</v>
      </c>
      <c r="AC109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109" s="8">
        <f>IFERROR(
   Working_Sales[[#This Row],[Price_Per_Unit_Decimal_Separator_Fixed]],
   Working_Sales[[#This Row],[Total_Amount_Converted_To_Integer]]/Working_Sales[[#This Row],[Quantity_Converted_To_Integer]]
)</f>
        <v>50</v>
      </c>
      <c r="AE109" t="s">
        <v>15</v>
      </c>
      <c r="AF109" s="2" t="str">
        <f>CLEAN(TRIM(Working_Sales[[#This Row],[Total Amount]]))</f>
        <v>50</v>
      </c>
      <c r="AG109" s="2">
        <f>INT(Working_Sales[[#This Row],[Total_Amount_Whitespace_Removed]])</f>
        <v>50</v>
      </c>
      <c r="AH10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110" spans="1:34" x14ac:dyDescent="0.35">
      <c r="A110" t="s">
        <v>332</v>
      </c>
      <c r="B110" s="6" t="str">
        <f>CLEAN(TRIM(Working_Sales[[#This Row],[Transaction ID]]))</f>
        <v>238</v>
      </c>
      <c r="C110" t="s">
        <v>198</v>
      </c>
      <c r="D110" s="2" t="str">
        <f>CLEAN(TRIM(Working_Sales[[#This Row],[Date]]))</f>
        <v>2023-01-17</v>
      </c>
      <c r="E11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44943</v>
      </c>
      <c r="F11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44943</v>
      </c>
      <c r="G11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44943</v>
      </c>
      <c r="H110" t="s">
        <v>2415</v>
      </c>
      <c r="I110" s="2" t="str">
        <f>CLEAN(TRIM(Working_Sales[[#This Row],[Customer ID]]))</f>
        <v>Cust090</v>
      </c>
      <c r="J11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1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CUST090</v>
      </c>
      <c r="L110" t="s">
        <v>26</v>
      </c>
      <c r="M110" s="4" t="str">
        <f>CLEAN(TRIM(Working_Sales[[#This Row],[Gender]]))</f>
        <v>Female</v>
      </c>
      <c r="N110" s="4" t="str" cm="1">
        <f t="array" ref="N110">_xlfn.SWITCH(
   Working_Sales[[#This Row],[Gender_Whitespace_Removed]],
   "m", "Male",
   "f", "Female",
   Working_Sales[[#This Row],[Gender_Whitespace_Removed]]
)</f>
        <v>Female</v>
      </c>
      <c r="O110" s="6" t="str">
        <f>PROPER(Working_Sales[[#This Row],[Gender_Abbreviation_Expanded]])</f>
        <v>Female</v>
      </c>
      <c r="P110" t="s">
        <v>334</v>
      </c>
      <c r="Q110" s="2" t="str">
        <f>CLEAN(TRIM(Working_Sales[[#This Row],[Age]]))</f>
        <v>39.0</v>
      </c>
      <c r="R110" s="6">
        <f>INT(SUBSTITUTE(Working_Sales[[#This Row],[Age_Whitespace_Removed]],".",","))</f>
        <v>39</v>
      </c>
      <c r="S110" t="s">
        <v>36</v>
      </c>
      <c r="T110" s="2" t="str">
        <f>CLEAN(TRIM(Working_Sales[[#This Row],[Product Category]]))</f>
        <v>Beauty</v>
      </c>
      <c r="U110" s="6" t="str">
        <f>PROPER(Working_Sales[[#This Row],[Product_Category_Whitespace_Removed]])</f>
        <v>Beauty</v>
      </c>
      <c r="V110" t="s">
        <v>22</v>
      </c>
      <c r="W110" s="2" t="str">
        <f>CLEAN(TRIM(Working_Sales[[#This Row],[Quantity]]))</f>
        <v>1</v>
      </c>
      <c r="X110" s="2">
        <f>INT(Working_Sales[[#This Row],[`]])</f>
        <v>1</v>
      </c>
      <c r="Y110" s="6">
        <f>IFERROR(
   Working_Sales[[#This Row],[Quantity_Converted_To_Integer]],
   Working_Sales[[#This Row],[Total_Amount_Whitespace_Removed]]/Working_Sales[[#This Row],[Price_Per_Unit_Decimal_Separator_Fixed]])</f>
        <v>1</v>
      </c>
      <c r="Z110" t="s">
        <v>57</v>
      </c>
      <c r="AA110" s="2" t="str">
        <f>CLEAN(TRIM(Working_Sales[[#This Row],[Price per Unit]]))</f>
        <v>500</v>
      </c>
      <c r="AB110" s="2">
        <f>INT(
   SUBSTITUTE(Working_Sales[[#This Row],[Price_Per_Unit_Whitespace_Removed]],
   "$",
   ""
   )
)</f>
        <v>500</v>
      </c>
      <c r="AC110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110" s="8">
        <f>IFERROR(
   Working_Sales[[#This Row],[Price_Per_Unit_Decimal_Separator_Fixed]],
   Working_Sales[[#This Row],[Total_Amount_Converted_To_Integer]]/Working_Sales[[#This Row],[Quantity_Converted_To_Integer]]
)</f>
        <v>500</v>
      </c>
      <c r="AE110" t="s">
        <v>57</v>
      </c>
      <c r="AF110" s="2" t="str">
        <f>CLEAN(TRIM(Working_Sales[[#This Row],[Total Amount]]))</f>
        <v>500</v>
      </c>
      <c r="AG110" s="2">
        <f>INT(Working_Sales[[#This Row],[Total_Amount_Whitespace_Removed]])</f>
        <v>500</v>
      </c>
      <c r="AH11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111" spans="1:34" x14ac:dyDescent="0.35">
      <c r="A111" t="s">
        <v>335</v>
      </c>
      <c r="B111" s="6" t="str">
        <f>CLEAN(TRIM(Working_Sales[[#This Row],[Transaction ID]]))</f>
        <v>598</v>
      </c>
      <c r="C111" t="s">
        <v>336</v>
      </c>
      <c r="D111" s="2" t="str">
        <f>CLEAN(TRIM(Working_Sales[[#This Row],[Date]]))</f>
        <v>2023-08-01</v>
      </c>
      <c r="E11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45139</v>
      </c>
      <c r="F11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45139</v>
      </c>
      <c r="G11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45139</v>
      </c>
      <c r="H111" t="s">
        <v>2416</v>
      </c>
      <c r="I111" s="2" t="str">
        <f>CLEAN(TRIM(Working_Sales[[#This Row],[Customer ID]]))</f>
        <v>CUST030</v>
      </c>
      <c r="J11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CUST030</v>
      </c>
      <c r="K11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CUST030</v>
      </c>
      <c r="L111" t="s">
        <v>20</v>
      </c>
      <c r="M111" s="4" t="str">
        <f>CLEAN(TRIM(Working_Sales[[#This Row],[Gender]]))</f>
        <v>male</v>
      </c>
      <c r="N111" s="4" t="str" cm="1">
        <f t="array" ref="N111">_xlfn.SWITCH(
   Working_Sales[[#This Row],[Gender_Whitespace_Removed]],
   "m", "Male",
   "f", "Female",
   Working_Sales[[#This Row],[Gender_Whitespace_Removed]]
)</f>
        <v>male</v>
      </c>
      <c r="O111" s="6" t="str">
        <f>PROPER(Working_Sales[[#This Row],[Gender_Abbreviation_Expanded]])</f>
        <v>Male</v>
      </c>
      <c r="P111">
        <v>37</v>
      </c>
      <c r="Q111" s="2" t="str">
        <f>CLEAN(TRIM(Working_Sales[[#This Row],[Age]]))</f>
        <v>37</v>
      </c>
      <c r="R111" s="6">
        <f>INT(SUBSTITUTE(Working_Sales[[#This Row],[Age_Whitespace_Removed]],".",","))</f>
        <v>37</v>
      </c>
      <c r="S111" t="s">
        <v>36</v>
      </c>
      <c r="T111" s="2" t="str">
        <f>CLEAN(TRIM(Working_Sales[[#This Row],[Product Category]]))</f>
        <v>Beauty</v>
      </c>
      <c r="U111" s="6" t="str">
        <f>PROPER(Working_Sales[[#This Row],[Product_Category_Whitespace_Removed]])</f>
        <v>Beauty</v>
      </c>
      <c r="V111" t="s">
        <v>14</v>
      </c>
      <c r="W111" s="2" t="str">
        <f>CLEAN(TRIM(Working_Sales[[#This Row],[Quantity]]))</f>
        <v>4</v>
      </c>
      <c r="X111" s="2">
        <f>INT(Working_Sales[[#This Row],[`]])</f>
        <v>4</v>
      </c>
      <c r="Y111" s="6">
        <f>IFERROR(
   Working_Sales[[#This Row],[Quantity_Converted_To_Integer]],
   Working_Sales[[#This Row],[Total_Amount_Whitespace_Removed]]/Working_Sales[[#This Row],[Price_Per_Unit_Decimal_Separator_Fixed]])</f>
        <v>4</v>
      </c>
      <c r="Z111" t="s">
        <v>147</v>
      </c>
      <c r="AA111" s="2" t="str">
        <f>CLEAN(TRIM(Working_Sales[[#This Row],[Price per Unit]]))</f>
        <v>$30</v>
      </c>
      <c r="AB111" s="2">
        <f>INT(
   SUBSTITUTE(Working_Sales[[#This Row],[Price_Per_Unit_Whitespace_Removed]],
   "$",
   ""
   )
)</f>
        <v>30</v>
      </c>
      <c r="AC111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111" s="8">
        <f>IFERROR(
   Working_Sales[[#This Row],[Price_Per_Unit_Decimal_Separator_Fixed]],
   Working_Sales[[#This Row],[Total_Amount_Converted_To_Integer]]/Working_Sales[[#This Row],[Quantity_Converted_To_Integer]]
)</f>
        <v>30</v>
      </c>
      <c r="AE111" t="s">
        <v>44</v>
      </c>
      <c r="AF111" s="2" t="str">
        <f>CLEAN(TRIM(Working_Sales[[#This Row],[Total Amount]]))</f>
        <v>120</v>
      </c>
      <c r="AG111" s="2">
        <f>INT(Working_Sales[[#This Row],[Total_Amount_Whitespace_Removed]])</f>
        <v>120</v>
      </c>
      <c r="AH11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112" spans="1:34" x14ac:dyDescent="0.35">
      <c r="A112" t="s">
        <v>337</v>
      </c>
      <c r="B112" s="6" t="str">
        <f>CLEAN(TRIM(Working_Sales[[#This Row],[Transaction ID]]))</f>
        <v>935</v>
      </c>
      <c r="C112" t="s">
        <v>2018</v>
      </c>
      <c r="D112" s="2" t="str">
        <f>CLEAN(TRIM(Working_Sales[[#This Row],[Date]]))</f>
        <v>09-Sep-2023</v>
      </c>
      <c r="E11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45178</v>
      </c>
      <c r="F11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45178</v>
      </c>
      <c r="G11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45178</v>
      </c>
      <c r="H112" t="s">
        <v>2351</v>
      </c>
      <c r="I112" s="2" t="str">
        <f>CLEAN(TRIM(Working_Sales[[#This Row],[Customer ID]]))</f>
        <v>CUST035</v>
      </c>
      <c r="J11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CUST035</v>
      </c>
      <c r="K11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CUST035</v>
      </c>
      <c r="L112" t="s">
        <v>26</v>
      </c>
      <c r="M112" s="4" t="str">
        <f>CLEAN(TRIM(Working_Sales[[#This Row],[Gender]]))</f>
        <v>Female</v>
      </c>
      <c r="N112" s="4" t="str" cm="1">
        <f t="array" ref="N112">_xlfn.SWITCH(
   Working_Sales[[#This Row],[Gender_Whitespace_Removed]],
   "m", "Male",
   "f", "Female",
   Working_Sales[[#This Row],[Gender_Whitespace_Removed]]
)</f>
        <v>Female</v>
      </c>
      <c r="O112" s="6" t="str">
        <f>PROPER(Working_Sales[[#This Row],[Gender_Abbreviation_Expanded]])</f>
        <v>Female</v>
      </c>
      <c r="P112">
        <v>34</v>
      </c>
      <c r="Q112" s="2" t="str">
        <f>CLEAN(TRIM(Working_Sales[[#This Row],[Age]]))</f>
        <v>34</v>
      </c>
      <c r="R112" s="6">
        <f>INT(SUBSTITUTE(Working_Sales[[#This Row],[Age_Whitespace_Removed]],".",","))</f>
        <v>34</v>
      </c>
      <c r="S112" t="s">
        <v>69</v>
      </c>
      <c r="T112" s="2" t="str">
        <f>CLEAN(TRIM(Working_Sales[[#This Row],[Product Category]]))</f>
        <v>BEAUTY</v>
      </c>
      <c r="U112" s="6" t="str">
        <f>PROPER(Working_Sales[[#This Row],[Product_Category_Whitespace_Removed]])</f>
        <v>Beauty</v>
      </c>
      <c r="V112" t="s">
        <v>22</v>
      </c>
      <c r="W112" s="2" t="str">
        <f>CLEAN(TRIM(Working_Sales[[#This Row],[Quantity]]))</f>
        <v>1</v>
      </c>
      <c r="X112" s="2">
        <f>INT(Working_Sales[[#This Row],[`]])</f>
        <v>1</v>
      </c>
      <c r="Y112" s="6">
        <f>IFERROR(
   Working_Sales[[#This Row],[Quantity_Converted_To_Integer]],
   Working_Sales[[#This Row],[Total_Amount_Whitespace_Removed]]/Working_Sales[[#This Row],[Price_Per_Unit_Decimal_Separator_Fixed]])</f>
        <v>1</v>
      </c>
      <c r="Z112" t="s">
        <v>15</v>
      </c>
      <c r="AA112" s="2" t="str">
        <f>CLEAN(TRIM(Working_Sales[[#This Row],[Price per Unit]]))</f>
        <v>50</v>
      </c>
      <c r="AB112" s="2">
        <f>INT(
   SUBSTITUTE(Working_Sales[[#This Row],[Price_Per_Unit_Whitespace_Removed]],
   "$",
   ""
   )
)</f>
        <v>50</v>
      </c>
      <c r="AC112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112" s="8">
        <f>IFERROR(
   Working_Sales[[#This Row],[Price_Per_Unit_Decimal_Separator_Fixed]],
   Working_Sales[[#This Row],[Total_Amount_Converted_To_Integer]]/Working_Sales[[#This Row],[Quantity_Converted_To_Integer]]
)</f>
        <v>50</v>
      </c>
      <c r="AE112" t="s">
        <v>15</v>
      </c>
      <c r="AF112" s="2" t="str">
        <f>CLEAN(TRIM(Working_Sales[[#This Row],[Total Amount]]))</f>
        <v>50</v>
      </c>
      <c r="AG112" s="2">
        <f>INT(Working_Sales[[#This Row],[Total_Amount_Whitespace_Removed]])</f>
        <v>50</v>
      </c>
      <c r="AH11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113" spans="1:34" x14ac:dyDescent="0.35">
      <c r="A113" t="s">
        <v>338</v>
      </c>
      <c r="B113" s="6" t="str">
        <f>CLEAN(TRIM(Working_Sales[[#This Row],[Transaction ID]]))</f>
        <v>306</v>
      </c>
      <c r="C113" t="s">
        <v>339</v>
      </c>
      <c r="D113" s="2" t="str">
        <f>CLEAN(TRIM(Working_Sales[[#This Row],[Date]]))</f>
        <v>2023-08-21</v>
      </c>
      <c r="E11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45159</v>
      </c>
      <c r="F11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45159</v>
      </c>
      <c r="G11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45159</v>
      </c>
      <c r="H113" t="s">
        <v>2417</v>
      </c>
      <c r="I113" s="2" t="str">
        <f>CLEAN(TRIM(Working_Sales[[#This Row],[Customer ID]]))</f>
        <v>CUST100</v>
      </c>
      <c r="J11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1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CUST100</v>
      </c>
      <c r="L113" t="s">
        <v>20</v>
      </c>
      <c r="M113" s="4" t="str">
        <f>CLEAN(TRIM(Working_Sales[[#This Row],[Gender]]))</f>
        <v>male</v>
      </c>
      <c r="N113" s="4" t="str" cm="1">
        <f t="array" ref="N113">_xlfn.SWITCH(
   Working_Sales[[#This Row],[Gender_Whitespace_Removed]],
   "m", "Male",
   "f", "Female",
   Working_Sales[[#This Row],[Gender_Whitespace_Removed]]
)</f>
        <v>male</v>
      </c>
      <c r="O113" s="6" t="str">
        <f>PROPER(Working_Sales[[#This Row],[Gender_Abbreviation_Expanded]])</f>
        <v>Male</v>
      </c>
      <c r="P113">
        <v>54</v>
      </c>
      <c r="Q113" s="2" t="str">
        <f>CLEAN(TRIM(Working_Sales[[#This Row],[Age]]))</f>
        <v>54</v>
      </c>
      <c r="R113" s="6">
        <f>INT(SUBSTITUTE(Working_Sales[[#This Row],[Age_Whitespace_Removed]],".",","))</f>
        <v>54</v>
      </c>
      <c r="S113" t="s">
        <v>109</v>
      </c>
      <c r="T113" s="2" t="str">
        <f>CLEAN(TRIM(Working_Sales[[#This Row],[Product Category]]))</f>
        <v>Electronics</v>
      </c>
      <c r="U113" s="6" t="str">
        <f>PROPER(Working_Sales[[#This Row],[Product_Category_Whitespace_Removed]])</f>
        <v>Electronics</v>
      </c>
      <c r="W113" s="2" t="str">
        <f>CLEAN(TRIM(Working_Sales[[#This Row],[Quantity]]))</f>
        <v/>
      </c>
      <c r="X113" s="2" t="e">
        <f>INT(Working_Sales[[#This Row],[`]])</f>
        <v>#VALUE!</v>
      </c>
      <c r="Y113" s="6">
        <f>IFERROR(
   Working_Sales[[#This Row],[Quantity_Converted_To_Integer]],
   Working_Sales[[#This Row],[Total_Amount_Whitespace_Removed]]/Working_Sales[[#This Row],[Price_Per_Unit_Decimal_Separator_Fixed]])</f>
        <v>1</v>
      </c>
      <c r="Z113" t="s">
        <v>15</v>
      </c>
      <c r="AA113" s="2" t="str">
        <f>CLEAN(TRIM(Working_Sales[[#This Row],[Price per Unit]]))</f>
        <v>50</v>
      </c>
      <c r="AB113" s="2">
        <f>INT(
   SUBSTITUTE(Working_Sales[[#This Row],[Price_Per_Unit_Whitespace_Removed]],
   "$",
   ""
   )
)</f>
        <v>50</v>
      </c>
      <c r="AC113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113" s="8">
        <f>IFERROR(
   Working_Sales[[#This Row],[Price_Per_Unit_Decimal_Separator_Fixed]],
   Working_Sales[[#This Row],[Total_Amount_Converted_To_Integer]]/Working_Sales[[#This Row],[Quantity_Converted_To_Integer]]
)</f>
        <v>50</v>
      </c>
      <c r="AE113" t="s">
        <v>15</v>
      </c>
      <c r="AF113" s="2" t="str">
        <f>CLEAN(TRIM(Working_Sales[[#This Row],[Total Amount]]))</f>
        <v>50</v>
      </c>
      <c r="AG113" s="2">
        <f>INT(Working_Sales[[#This Row],[Total_Amount_Whitespace_Removed]])</f>
        <v>50</v>
      </c>
      <c r="AH11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114" spans="1:34" x14ac:dyDescent="0.35">
      <c r="A114" t="s">
        <v>341</v>
      </c>
      <c r="B114" s="6" t="str">
        <f>CLEAN(TRIM(Working_Sales[[#This Row],[Transaction ID]]))</f>
        <v>907</v>
      </c>
      <c r="C114" t="s">
        <v>2019</v>
      </c>
      <c r="D114" s="2" t="str">
        <f>CLEAN(TRIM(Working_Sales[[#This Row],[Date]]))</f>
        <v>08-Jan-2023</v>
      </c>
      <c r="E11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44934</v>
      </c>
      <c r="F11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44934</v>
      </c>
      <c r="G11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44934</v>
      </c>
      <c r="H114" t="s">
        <v>2418</v>
      </c>
      <c r="I114" s="2" t="str">
        <f>CLEAN(TRIM(Working_Sales[[#This Row],[Customer ID]]))</f>
        <v>Cust101</v>
      </c>
      <c r="J11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1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CUST101</v>
      </c>
      <c r="L114" t="s">
        <v>26</v>
      </c>
      <c r="M114" s="4" t="str">
        <f>CLEAN(TRIM(Working_Sales[[#This Row],[Gender]]))</f>
        <v>Female</v>
      </c>
      <c r="N114" s="4" t="str" cm="1">
        <f t="array" ref="N114">_xlfn.SWITCH(
   Working_Sales[[#This Row],[Gender_Whitespace_Removed]],
   "m", "Male",
   "f", "Female",
   Working_Sales[[#This Row],[Gender_Whitespace_Removed]]
)</f>
        <v>Female</v>
      </c>
      <c r="O114" s="6" t="str">
        <f>PROPER(Working_Sales[[#This Row],[Gender_Abbreviation_Expanded]])</f>
        <v>Female</v>
      </c>
      <c r="P114" t="s">
        <v>342</v>
      </c>
      <c r="Q114" s="2" t="str">
        <f>CLEAN(TRIM(Working_Sales[[#This Row],[Age]]))</f>
        <v>45.0</v>
      </c>
      <c r="R114" s="6">
        <f>INT(SUBSTITUTE(Working_Sales[[#This Row],[Age_Whitespace_Removed]],".",","))</f>
        <v>45</v>
      </c>
      <c r="S114" t="s">
        <v>13</v>
      </c>
      <c r="T114" s="2" t="str">
        <f>CLEAN(TRIM(Working_Sales[[#This Row],[Product Category]]))</f>
        <v>Electronics</v>
      </c>
      <c r="U114" s="6" t="str">
        <f>PROPER(Working_Sales[[#This Row],[Product_Category_Whitespace_Removed]])</f>
        <v>Electronics</v>
      </c>
      <c r="V114" t="s">
        <v>22</v>
      </c>
      <c r="W114" s="2" t="str">
        <f>CLEAN(TRIM(Working_Sales[[#This Row],[Quantity]]))</f>
        <v>1</v>
      </c>
      <c r="X114" s="2">
        <f>INT(Working_Sales[[#This Row],[`]])</f>
        <v>1</v>
      </c>
      <c r="Y114" s="6">
        <f>IFERROR(
   Working_Sales[[#This Row],[Quantity_Converted_To_Integer]],
   Working_Sales[[#This Row],[Total_Amount_Whitespace_Removed]]/Working_Sales[[#This Row],[Price_Per_Unit_Decimal_Separator_Fixed]])</f>
        <v>1</v>
      </c>
      <c r="AA114" s="2" t="str">
        <f>CLEAN(TRIM(Working_Sales[[#This Row],[Price per Unit]]))</f>
        <v/>
      </c>
      <c r="AB114" s="2" t="e">
        <f>INT(
   SUBSTITUTE(Working_Sales[[#This Row],[Price_Per_Unit_Whitespace_Removed]],
   "$",
   ""
   )
)</f>
        <v>#VALUE!</v>
      </c>
      <c r="AC114" s="2" t="e">
        <f>INT(
   IFERROR(
      Working_Sales[[#This Row],[Price_Per_Unit_Dollar_Sign_Removed]],
      SUBSTITUTE(
         Working_Sales[[#This Row],[Price_Per_Unit_Whitespace_Removed]],
        ".",
         ","
      )
   )
)</f>
        <v>#VALUE!</v>
      </c>
      <c r="AD114" s="8">
        <f>IFERROR(
   Working_Sales[[#This Row],[Price_Per_Unit_Decimal_Separator_Fixed]],
   Working_Sales[[#This Row],[Total_Amount_Converted_To_Integer]]/Working_Sales[[#This Row],[Quantity_Converted_To_Integer]]
)</f>
        <v>25</v>
      </c>
      <c r="AE114" t="s">
        <v>30</v>
      </c>
      <c r="AF114" s="2" t="str">
        <f>CLEAN(TRIM(Working_Sales[[#This Row],[Total Amount]]))</f>
        <v>25</v>
      </c>
      <c r="AG114" s="2">
        <f>INT(Working_Sales[[#This Row],[Total_Amount_Whitespace_Removed]])</f>
        <v>25</v>
      </c>
      <c r="AH11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115" spans="1:34" x14ac:dyDescent="0.35">
      <c r="A115" t="s">
        <v>343</v>
      </c>
      <c r="B115" s="6" t="str">
        <f>CLEAN(TRIM(Working_Sales[[#This Row],[Transaction ID]]))</f>
        <v>111</v>
      </c>
      <c r="C115" t="s">
        <v>2020</v>
      </c>
      <c r="D115" s="2" t="str">
        <f>CLEAN(TRIM(Working_Sales[[#This Row],[Date]]))</f>
        <v>04/19/2023</v>
      </c>
      <c r="E115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11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45035</v>
      </c>
      <c r="G11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45035</v>
      </c>
      <c r="H115" t="s">
        <v>2419</v>
      </c>
      <c r="I115" s="2" t="str">
        <f>CLEAN(TRIM(Working_Sales[[#This Row],[Customer ID]]))</f>
        <v>CUST083</v>
      </c>
      <c r="J11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CUST083</v>
      </c>
      <c r="K11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CUST083</v>
      </c>
      <c r="L115" t="s">
        <v>26</v>
      </c>
      <c r="M115" s="4" t="str">
        <f>CLEAN(TRIM(Working_Sales[[#This Row],[Gender]]))</f>
        <v>Female</v>
      </c>
      <c r="N115" s="4" t="str" cm="1">
        <f t="array" ref="N115">_xlfn.SWITCH(
   Working_Sales[[#This Row],[Gender_Whitespace_Removed]],
   "m", "Male",
   "f", "Female",
   Working_Sales[[#This Row],[Gender_Whitespace_Removed]]
)</f>
        <v>Female</v>
      </c>
      <c r="O115" s="6" t="str">
        <f>PROPER(Working_Sales[[#This Row],[Gender_Abbreviation_Expanded]])</f>
        <v>Female</v>
      </c>
      <c r="P115">
        <v>34</v>
      </c>
      <c r="Q115" s="2" t="str">
        <f>CLEAN(TRIM(Working_Sales[[#This Row],[Age]]))</f>
        <v>34</v>
      </c>
      <c r="R115" s="6">
        <f>INT(SUBSTITUTE(Working_Sales[[#This Row],[Age_Whitespace_Removed]],".",","))</f>
        <v>34</v>
      </c>
      <c r="S115" t="s">
        <v>48</v>
      </c>
      <c r="T115" s="2" t="str">
        <f>CLEAN(TRIM(Working_Sales[[#This Row],[Product Category]]))</f>
        <v>electronics</v>
      </c>
      <c r="U115" s="6" t="str">
        <f>PROPER(Working_Sales[[#This Row],[Product_Category_Whitespace_Removed]])</f>
        <v>Electronics</v>
      </c>
      <c r="V115" t="s">
        <v>29</v>
      </c>
      <c r="W115" s="2" t="str">
        <f>CLEAN(TRIM(Working_Sales[[#This Row],[Quantity]]))</f>
        <v>3</v>
      </c>
      <c r="X115" s="2">
        <f>INT(Working_Sales[[#This Row],[`]])</f>
        <v>3</v>
      </c>
      <c r="Y115" s="6">
        <f>IFERROR(
   Working_Sales[[#This Row],[Quantity_Converted_To_Integer]],
   Working_Sales[[#This Row],[Total_Amount_Whitespace_Removed]]/Working_Sales[[#This Row],[Price_Per_Unit_Decimal_Separator_Fixed]])</f>
        <v>3</v>
      </c>
      <c r="Z115" t="s">
        <v>84</v>
      </c>
      <c r="AA115" s="2" t="str">
        <f>CLEAN(TRIM(Working_Sales[[#This Row],[Price per Unit]]))</f>
        <v>500.00</v>
      </c>
      <c r="AB115" s="2" t="e">
        <f>INT(
   SUBSTITUTE(Working_Sales[[#This Row],[Price_Per_Unit_Whitespace_Removed]],
   "$",
   ""
   )
)</f>
        <v>#VALUE!</v>
      </c>
      <c r="AC115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115" s="8">
        <f>IFERROR(
   Working_Sales[[#This Row],[Price_Per_Unit_Decimal_Separator_Fixed]],
   Working_Sales[[#This Row],[Total_Amount_Converted_To_Integer]]/Working_Sales[[#This Row],[Quantity_Converted_To_Integer]]
)</f>
        <v>500</v>
      </c>
      <c r="AE115" t="s">
        <v>85</v>
      </c>
      <c r="AF115" s="2" t="str">
        <f>CLEAN(TRIM(Working_Sales[[#This Row],[Total Amount]]))</f>
        <v>1500</v>
      </c>
      <c r="AG115" s="2">
        <f>INT(Working_Sales[[#This Row],[Total_Amount_Whitespace_Removed]])</f>
        <v>1500</v>
      </c>
      <c r="AH11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116" spans="1:34" x14ac:dyDescent="0.35">
      <c r="A116" t="s">
        <v>104</v>
      </c>
      <c r="B116" s="6" t="str">
        <f>CLEAN(TRIM(Working_Sales[[#This Row],[Transaction ID]]))</f>
        <v>27</v>
      </c>
      <c r="C116" t="s">
        <v>345</v>
      </c>
      <c r="D116" s="2" t="str">
        <f>CLEAN(TRIM(Working_Sales[[#This Row],[Date]]))</f>
        <v>2023-08-03</v>
      </c>
      <c r="E11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45141</v>
      </c>
      <c r="F11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45141</v>
      </c>
      <c r="G11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45141</v>
      </c>
      <c r="H116" t="s">
        <v>2420</v>
      </c>
      <c r="I116" s="2" t="str">
        <f>CLEAN(TRIM(Working_Sales[[#This Row],[Customer ID]]))</f>
        <v>CUST102</v>
      </c>
      <c r="J11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CUST102</v>
      </c>
      <c r="K11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CUST102</v>
      </c>
      <c r="L116" t="s">
        <v>26</v>
      </c>
      <c r="M116" s="4" t="str">
        <f>CLEAN(TRIM(Working_Sales[[#This Row],[Gender]]))</f>
        <v>Female</v>
      </c>
      <c r="N116" s="4" t="str" cm="1">
        <f t="array" ref="N116">_xlfn.SWITCH(
   Working_Sales[[#This Row],[Gender_Whitespace_Removed]],
   "m", "Male",
   "f", "Female",
   Working_Sales[[#This Row],[Gender_Whitespace_Removed]]
)</f>
        <v>Female</v>
      </c>
      <c r="O116" s="6" t="str">
        <f>PROPER(Working_Sales[[#This Row],[Gender_Abbreviation_Expanded]])</f>
        <v>Female</v>
      </c>
      <c r="P116">
        <v>38</v>
      </c>
      <c r="Q116" s="2" t="str">
        <f>CLEAN(TRIM(Working_Sales[[#This Row],[Age]]))</f>
        <v>38</v>
      </c>
      <c r="R116" s="6">
        <f>INT(SUBSTITUTE(Working_Sales[[#This Row],[Age_Whitespace_Removed]],".",","))</f>
        <v>38</v>
      </c>
      <c r="S116" t="s">
        <v>36</v>
      </c>
      <c r="T116" s="2" t="str">
        <f>CLEAN(TRIM(Working_Sales[[#This Row],[Product Category]]))</f>
        <v>Beauty</v>
      </c>
      <c r="U116" s="6" t="str">
        <f>PROPER(Working_Sales[[#This Row],[Product_Category_Whitespace_Removed]])</f>
        <v>Beauty</v>
      </c>
      <c r="V116" t="s">
        <v>37</v>
      </c>
      <c r="W116" s="2" t="str">
        <f>CLEAN(TRIM(Working_Sales[[#This Row],[Quantity]]))</f>
        <v>2</v>
      </c>
      <c r="X116" s="2">
        <f>INT(Working_Sales[[#This Row],[`]])</f>
        <v>2</v>
      </c>
      <c r="Y116" s="6">
        <f>IFERROR(
   Working_Sales[[#This Row],[Quantity_Converted_To_Integer]],
   Working_Sales[[#This Row],[Total_Amount_Whitespace_Removed]]/Working_Sales[[#This Row],[Price_Per_Unit_Decimal_Separator_Fixed]])</f>
        <v>2</v>
      </c>
      <c r="Z116" t="s">
        <v>30</v>
      </c>
      <c r="AA116" s="2" t="str">
        <f>CLEAN(TRIM(Working_Sales[[#This Row],[Price per Unit]]))</f>
        <v>25</v>
      </c>
      <c r="AB116" s="2">
        <f>INT(
   SUBSTITUTE(Working_Sales[[#This Row],[Price_Per_Unit_Whitespace_Removed]],
   "$",
   ""
   )
)</f>
        <v>25</v>
      </c>
      <c r="AC116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116" s="8">
        <f>IFERROR(
   Working_Sales[[#This Row],[Price_Per_Unit_Decimal_Separator_Fixed]],
   Working_Sales[[#This Row],[Total_Amount_Converted_To_Integer]]/Working_Sales[[#This Row],[Quantity_Converted_To_Integer]]
)</f>
        <v>25</v>
      </c>
      <c r="AE116" t="s">
        <v>15</v>
      </c>
      <c r="AF116" s="2" t="str">
        <f>CLEAN(TRIM(Working_Sales[[#This Row],[Total Amount]]))</f>
        <v>50</v>
      </c>
      <c r="AG116" s="2">
        <f>INT(Working_Sales[[#This Row],[Total_Amount_Whitespace_Removed]])</f>
        <v>50</v>
      </c>
      <c r="AH11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117" spans="1:34" x14ac:dyDescent="0.35">
      <c r="A117" t="s">
        <v>92</v>
      </c>
      <c r="B117" s="6" t="str">
        <f>CLEAN(TRIM(Working_Sales[[#This Row],[Transaction ID]]))</f>
        <v>58</v>
      </c>
      <c r="C117" t="s">
        <v>347</v>
      </c>
      <c r="D117" s="2" t="str">
        <f>CLEAN(TRIM(Working_Sales[[#This Row],[Date]]))</f>
        <v>11/13/2023</v>
      </c>
      <c r="E117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11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45243</v>
      </c>
      <c r="G11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45243</v>
      </c>
      <c r="H117" t="s">
        <v>2421</v>
      </c>
      <c r="I117" s="2" t="str">
        <f>CLEAN(TRIM(Working_Sales[[#This Row],[Customer ID]]))</f>
        <v>Cust103</v>
      </c>
      <c r="J11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1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CUST103</v>
      </c>
      <c r="L117" t="s">
        <v>34</v>
      </c>
      <c r="M117" s="4" t="str">
        <f>CLEAN(TRIM(Working_Sales[[#This Row],[Gender]]))</f>
        <v>Male</v>
      </c>
      <c r="N117" s="4" t="str" cm="1">
        <f t="array" ref="N117">_xlfn.SWITCH(
   Working_Sales[[#This Row],[Gender_Whitespace_Removed]],
   "m", "Male",
   "f", "Female",
   Working_Sales[[#This Row],[Gender_Whitespace_Removed]]
)</f>
        <v>Male</v>
      </c>
      <c r="O117" s="6" t="str">
        <f>PROPER(Working_Sales[[#This Row],[Gender_Abbreviation_Expanded]])</f>
        <v>Male</v>
      </c>
      <c r="P117">
        <v>18</v>
      </c>
      <c r="Q117" s="2" t="str">
        <f>CLEAN(TRIM(Working_Sales[[#This Row],[Age]]))</f>
        <v>18</v>
      </c>
      <c r="R117" s="6">
        <f>INT(SUBSTITUTE(Working_Sales[[#This Row],[Age_Whitespace_Removed]],".",","))</f>
        <v>18</v>
      </c>
      <c r="S117" t="s">
        <v>56</v>
      </c>
      <c r="T117" s="2" t="str">
        <f>CLEAN(TRIM(Working_Sales[[#This Row],[Product Category]]))</f>
        <v>Clothing</v>
      </c>
      <c r="U117" s="6" t="str">
        <f>PROPER(Working_Sales[[#This Row],[Product_Category_Whitespace_Removed]])</f>
        <v>Clothing</v>
      </c>
      <c r="V117" t="s">
        <v>14</v>
      </c>
      <c r="W117" s="2" t="str">
        <f>CLEAN(TRIM(Working_Sales[[#This Row],[Quantity]]))</f>
        <v>4</v>
      </c>
      <c r="X117" s="2">
        <f>INT(Working_Sales[[#This Row],[`]])</f>
        <v>4</v>
      </c>
      <c r="Y117" s="6">
        <f>IFERROR(
   Working_Sales[[#This Row],[Quantity_Converted_To_Integer]],
   Working_Sales[[#This Row],[Total_Amount_Whitespace_Removed]]/Working_Sales[[#This Row],[Price_Per_Unit_Decimal_Separator_Fixed]])</f>
        <v>4</v>
      </c>
      <c r="Z117" t="s">
        <v>23</v>
      </c>
      <c r="AA117" s="2" t="str">
        <f>CLEAN(TRIM(Working_Sales[[#This Row],[Price per Unit]]))</f>
        <v>300</v>
      </c>
      <c r="AB117" s="2">
        <f>INT(
   SUBSTITUTE(Working_Sales[[#This Row],[Price_Per_Unit_Whitespace_Removed]],
   "$",
   ""
   )
)</f>
        <v>300</v>
      </c>
      <c r="AC117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117" s="8">
        <f>IFERROR(
   Working_Sales[[#This Row],[Price_Per_Unit_Decimal_Separator_Fixed]],
   Working_Sales[[#This Row],[Total_Amount_Converted_To_Integer]]/Working_Sales[[#This Row],[Quantity_Converted_To_Integer]]
)</f>
        <v>300</v>
      </c>
      <c r="AE117" t="s">
        <v>79</v>
      </c>
      <c r="AF117" s="2" t="str">
        <f>CLEAN(TRIM(Working_Sales[[#This Row],[Total Amount]]))</f>
        <v>1200</v>
      </c>
      <c r="AG117" s="2">
        <f>INT(Working_Sales[[#This Row],[Total_Amount_Whitespace_Removed]])</f>
        <v>1200</v>
      </c>
      <c r="AH11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118" spans="1:34" x14ac:dyDescent="0.35">
      <c r="A118" t="s">
        <v>160</v>
      </c>
      <c r="B118" s="6" t="str">
        <f>CLEAN(TRIM(Working_Sales[[#This Row],[Transaction ID]]))</f>
        <v>47</v>
      </c>
      <c r="C118" t="s">
        <v>349</v>
      </c>
      <c r="D118" s="2" t="str">
        <f>CLEAN(TRIM(Working_Sales[[#This Row],[Date]]))</f>
        <v>2023-11-06</v>
      </c>
      <c r="E11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45236</v>
      </c>
      <c r="F11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45236</v>
      </c>
      <c r="G11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45236</v>
      </c>
      <c r="H118" t="s">
        <v>2422</v>
      </c>
      <c r="I118" s="2" t="str">
        <f>CLEAN(TRIM(Working_Sales[[#This Row],[Customer ID]]))</f>
        <v>CUST-104</v>
      </c>
      <c r="J11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1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CUST104</v>
      </c>
      <c r="L118" t="s">
        <v>26</v>
      </c>
      <c r="M118" s="4" t="str">
        <f>CLEAN(TRIM(Working_Sales[[#This Row],[Gender]]))</f>
        <v>Female</v>
      </c>
      <c r="N118" s="4" t="str" cm="1">
        <f t="array" ref="N118">_xlfn.SWITCH(
   Working_Sales[[#This Row],[Gender_Whitespace_Removed]],
   "m", "Male",
   "f", "Female",
   Working_Sales[[#This Row],[Gender_Whitespace_Removed]]
)</f>
        <v>Female</v>
      </c>
      <c r="O118" s="6" t="str">
        <f>PROPER(Working_Sales[[#This Row],[Gender_Abbreviation_Expanded]])</f>
        <v>Female</v>
      </c>
      <c r="P118">
        <v>40</v>
      </c>
      <c r="Q118" s="2" t="str">
        <f>CLEAN(TRIM(Working_Sales[[#This Row],[Age]]))</f>
        <v>40</v>
      </c>
      <c r="R118" s="6">
        <f>INT(SUBSTITUTE(Working_Sales[[#This Row],[Age_Whitespace_Removed]],".",","))</f>
        <v>40</v>
      </c>
      <c r="S118" t="s">
        <v>36</v>
      </c>
      <c r="T118" s="2" t="str">
        <f>CLEAN(TRIM(Working_Sales[[#This Row],[Product Category]]))</f>
        <v>Beauty</v>
      </c>
      <c r="U118" s="6" t="str">
        <f>PROPER(Working_Sales[[#This Row],[Product_Category_Whitespace_Removed]])</f>
        <v>Beauty</v>
      </c>
      <c r="V118" t="s">
        <v>29</v>
      </c>
      <c r="W118" s="2" t="str">
        <f>CLEAN(TRIM(Working_Sales[[#This Row],[Quantity]]))</f>
        <v>3</v>
      </c>
      <c r="X118" s="2">
        <f>INT(Working_Sales[[#This Row],[`]])</f>
        <v>3</v>
      </c>
      <c r="Y118" s="6">
        <f>IFERROR(
   Working_Sales[[#This Row],[Quantity_Converted_To_Integer]],
   Working_Sales[[#This Row],[Total_Amount_Whitespace_Removed]]/Working_Sales[[#This Row],[Price_Per_Unit_Decimal_Separator_Fixed]])</f>
        <v>3</v>
      </c>
      <c r="Z118" t="s">
        <v>162</v>
      </c>
      <c r="AA118" s="2" t="str">
        <f>CLEAN(TRIM(Working_Sales[[#This Row],[Price per Unit]]))</f>
        <v>$500</v>
      </c>
      <c r="AB118" s="2">
        <f>INT(
   SUBSTITUTE(Working_Sales[[#This Row],[Price_Per_Unit_Whitespace_Removed]],
   "$",
   ""
   )
)</f>
        <v>500</v>
      </c>
      <c r="AC118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118" s="8">
        <f>IFERROR(
   Working_Sales[[#This Row],[Price_Per_Unit_Decimal_Separator_Fixed]],
   Working_Sales[[#This Row],[Total_Amount_Converted_To_Integer]]/Working_Sales[[#This Row],[Quantity_Converted_To_Integer]]
)</f>
        <v>500</v>
      </c>
      <c r="AE118" t="s">
        <v>85</v>
      </c>
      <c r="AF118" s="2" t="str">
        <f>CLEAN(TRIM(Working_Sales[[#This Row],[Total Amount]]))</f>
        <v>1500</v>
      </c>
      <c r="AG118" s="2">
        <f>INT(Working_Sales[[#This Row],[Total_Amount_Whitespace_Removed]])</f>
        <v>1500</v>
      </c>
      <c r="AH11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119" spans="1:34" x14ac:dyDescent="0.35">
      <c r="A119" t="s">
        <v>351</v>
      </c>
      <c r="B119" s="6" t="str">
        <f>CLEAN(TRIM(Working_Sales[[#This Row],[Transaction ID]]))</f>
        <v>260</v>
      </c>
      <c r="C119" t="s">
        <v>352</v>
      </c>
      <c r="D119" s="2" t="str">
        <f>CLEAN(TRIM(Working_Sales[[#This Row],[Date]]))</f>
        <v>July 01, 2023</v>
      </c>
      <c r="E119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119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11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45108</v>
      </c>
      <c r="H119" t="s">
        <v>2327</v>
      </c>
      <c r="I119" s="2" t="str">
        <f>CLEAN(TRIM(Working_Sales[[#This Row],[Customer ID]]))</f>
        <v>Cust003</v>
      </c>
      <c r="J11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1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CUST003</v>
      </c>
      <c r="L119" t="s">
        <v>34</v>
      </c>
      <c r="M119" s="4" t="str">
        <f>CLEAN(TRIM(Working_Sales[[#This Row],[Gender]]))</f>
        <v>Male</v>
      </c>
      <c r="N119" s="4" t="str" cm="1">
        <f t="array" ref="N119">_xlfn.SWITCH(
   Working_Sales[[#This Row],[Gender_Whitespace_Removed]],
   "m", "Male",
   "f", "Female",
   Working_Sales[[#This Row],[Gender_Whitespace_Removed]]
)</f>
        <v>Male</v>
      </c>
      <c r="O119" s="6" t="str">
        <f>PROPER(Working_Sales[[#This Row],[Gender_Abbreviation_Expanded]])</f>
        <v>Male</v>
      </c>
      <c r="P119">
        <v>28</v>
      </c>
      <c r="Q119" s="2" t="str">
        <f>CLEAN(TRIM(Working_Sales[[#This Row],[Age]]))</f>
        <v>28</v>
      </c>
      <c r="R119" s="6">
        <f>INT(SUBSTITUTE(Working_Sales[[#This Row],[Age_Whitespace_Removed]],".",","))</f>
        <v>28</v>
      </c>
      <c r="S119" t="s">
        <v>36</v>
      </c>
      <c r="T119" s="2" t="str">
        <f>CLEAN(TRIM(Working_Sales[[#This Row],[Product Category]]))</f>
        <v>Beauty</v>
      </c>
      <c r="U119" s="6" t="str">
        <f>PROPER(Working_Sales[[#This Row],[Product_Category_Whitespace_Removed]])</f>
        <v>Beauty</v>
      </c>
      <c r="V119" t="s">
        <v>37</v>
      </c>
      <c r="W119" s="2" t="str">
        <f>CLEAN(TRIM(Working_Sales[[#This Row],[Quantity]]))</f>
        <v>2</v>
      </c>
      <c r="X119" s="2">
        <f>INT(Working_Sales[[#This Row],[`]])</f>
        <v>2</v>
      </c>
      <c r="Y119" s="6">
        <f>IFERROR(
   Working_Sales[[#This Row],[Quantity_Converted_To_Integer]],
   Working_Sales[[#This Row],[Total_Amount_Whitespace_Removed]]/Working_Sales[[#This Row],[Price_Per_Unit_Decimal_Separator_Fixed]])</f>
        <v>2</v>
      </c>
      <c r="Z119" t="s">
        <v>70</v>
      </c>
      <c r="AA119" s="2" t="str">
        <f>CLEAN(TRIM(Working_Sales[[#This Row],[Price per Unit]]))</f>
        <v>30</v>
      </c>
      <c r="AB119" s="2">
        <f>INT(
   SUBSTITUTE(Working_Sales[[#This Row],[Price_Per_Unit_Whitespace_Removed]],
   "$",
   ""
   )
)</f>
        <v>30</v>
      </c>
      <c r="AC119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119" s="8">
        <f>IFERROR(
   Working_Sales[[#This Row],[Price_Per_Unit_Decimal_Separator_Fixed]],
   Working_Sales[[#This Row],[Total_Amount_Converted_To_Integer]]/Working_Sales[[#This Row],[Quantity_Converted_To_Integer]]
)</f>
        <v>30</v>
      </c>
      <c r="AE119" t="s">
        <v>71</v>
      </c>
      <c r="AF119" s="2" t="str">
        <f>CLEAN(TRIM(Working_Sales[[#This Row],[Total Amount]]))</f>
        <v>60</v>
      </c>
      <c r="AG119" s="2">
        <f>INT(Working_Sales[[#This Row],[Total_Amount_Whitespace_Removed]])</f>
        <v>60</v>
      </c>
      <c r="AH11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120" spans="1:34" x14ac:dyDescent="0.35">
      <c r="A120" t="s">
        <v>354</v>
      </c>
      <c r="B120" s="6" t="str">
        <f>CLEAN(TRIM(Working_Sales[[#This Row],[Transaction ID]]))</f>
        <v>993</v>
      </c>
      <c r="C120" t="s">
        <v>2021</v>
      </c>
      <c r="D120" s="2" t="str">
        <f>CLEAN(TRIM(Working_Sales[[#This Row],[Date]]))</f>
        <v>06-Feb-2023</v>
      </c>
      <c r="E12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44963</v>
      </c>
      <c r="F12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44963</v>
      </c>
      <c r="G12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44963</v>
      </c>
      <c r="H120" t="s">
        <v>2423</v>
      </c>
      <c r="I120" s="2" t="str">
        <f>CLEAN(TRIM(Working_Sales[[#This Row],[Customer ID]]))</f>
        <v>CUST105</v>
      </c>
      <c r="J12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CUST105</v>
      </c>
      <c r="K12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CUST105</v>
      </c>
      <c r="L120" t="s">
        <v>26</v>
      </c>
      <c r="M120" s="4" t="str">
        <f>CLEAN(TRIM(Working_Sales[[#This Row],[Gender]]))</f>
        <v>Female</v>
      </c>
      <c r="N120" s="4" t="str" cm="1">
        <f t="array" ref="N120">_xlfn.SWITCH(
   Working_Sales[[#This Row],[Gender_Whitespace_Removed]],
   "m", "Male",
   "f", "Female",
   Working_Sales[[#This Row],[Gender_Whitespace_Removed]]
)</f>
        <v>Female</v>
      </c>
      <c r="O120" s="6" t="str">
        <f>PROPER(Working_Sales[[#This Row],[Gender_Abbreviation_Expanded]])</f>
        <v>Female</v>
      </c>
      <c r="P120">
        <v>48</v>
      </c>
      <c r="Q120" s="2" t="str">
        <f>CLEAN(TRIM(Working_Sales[[#This Row],[Age]]))</f>
        <v>48</v>
      </c>
      <c r="R120" s="6">
        <f>INT(SUBSTITUTE(Working_Sales[[#This Row],[Age_Whitespace_Removed]],".",","))</f>
        <v>48</v>
      </c>
      <c r="S120" t="s">
        <v>13</v>
      </c>
      <c r="T120" s="2" t="str">
        <f>CLEAN(TRIM(Working_Sales[[#This Row],[Product Category]]))</f>
        <v>Electronics</v>
      </c>
      <c r="U120" s="6" t="str">
        <f>PROPER(Working_Sales[[#This Row],[Product_Category_Whitespace_Removed]])</f>
        <v>Electronics</v>
      </c>
      <c r="V120" t="s">
        <v>29</v>
      </c>
      <c r="W120" s="2" t="str">
        <f>CLEAN(TRIM(Working_Sales[[#This Row],[Quantity]]))</f>
        <v>3</v>
      </c>
      <c r="X120" s="2">
        <f>INT(Working_Sales[[#This Row],[`]])</f>
        <v>3</v>
      </c>
      <c r="Y120" s="6">
        <f>IFERROR(
   Working_Sales[[#This Row],[Quantity_Converted_To_Integer]],
   Working_Sales[[#This Row],[Total_Amount_Whitespace_Removed]]/Working_Sales[[#This Row],[Price_Per_Unit_Decimal_Separator_Fixed]])</f>
        <v>3</v>
      </c>
      <c r="Z120" t="s">
        <v>15</v>
      </c>
      <c r="AA120" s="2" t="str">
        <f>CLEAN(TRIM(Working_Sales[[#This Row],[Price per Unit]]))</f>
        <v>50</v>
      </c>
      <c r="AB120" s="2">
        <f>INT(
   SUBSTITUTE(Working_Sales[[#This Row],[Price_Per_Unit_Whitespace_Removed]],
   "$",
   ""
   )
)</f>
        <v>50</v>
      </c>
      <c r="AC120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120" s="8">
        <f>IFERROR(
   Working_Sales[[#This Row],[Price_Per_Unit_Decimal_Separator_Fixed]],
   Working_Sales[[#This Row],[Total_Amount_Converted_To_Integer]]/Working_Sales[[#This Row],[Quantity_Converted_To_Integer]]
)</f>
        <v>50</v>
      </c>
      <c r="AE120" t="s">
        <v>130</v>
      </c>
      <c r="AF120" s="2" t="str">
        <f>CLEAN(TRIM(Working_Sales[[#This Row],[Total Amount]]))</f>
        <v>150</v>
      </c>
      <c r="AG120" s="2">
        <f>INT(Working_Sales[[#This Row],[Total_Amount_Whitespace_Removed]])</f>
        <v>150</v>
      </c>
      <c r="AH12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121" spans="1:34" x14ac:dyDescent="0.35">
      <c r="A121" t="s">
        <v>355</v>
      </c>
      <c r="B121" s="6" t="str">
        <f>CLEAN(TRIM(Working_Sales[[#This Row],[Transaction ID]]))</f>
        <v>751</v>
      </c>
      <c r="C121" t="s">
        <v>356</v>
      </c>
      <c r="D121" s="2" t="str">
        <f>CLEAN(TRIM(Working_Sales[[#This Row],[Date]]))</f>
        <v>2023-08-31</v>
      </c>
      <c r="E12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45169</v>
      </c>
      <c r="F12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45169</v>
      </c>
      <c r="G12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45169</v>
      </c>
      <c r="H121" t="s">
        <v>1529</v>
      </c>
      <c r="I121" s="2" t="str">
        <f>CLEAN(TRIM(Working_Sales[[#This Row],[Customer ID]]))</f>
        <v>CUST106</v>
      </c>
      <c r="J12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2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CUST106</v>
      </c>
      <c r="L121" t="s">
        <v>140</v>
      </c>
      <c r="M121" s="4" t="str">
        <f>CLEAN(TRIM(Working_Sales[[#This Row],[Gender]]))</f>
        <v>FEMALE</v>
      </c>
      <c r="N121" s="4" t="str" cm="1">
        <f t="array" ref="N121">_xlfn.SWITCH(
   Working_Sales[[#This Row],[Gender_Whitespace_Removed]],
   "m", "Male",
   "f", "Female",
   Working_Sales[[#This Row],[Gender_Whitespace_Removed]]
)</f>
        <v>FEMALE</v>
      </c>
      <c r="O121" s="6" t="str">
        <f>PROPER(Working_Sales[[#This Row],[Gender_Abbreviation_Expanded]])</f>
        <v>Female</v>
      </c>
      <c r="P121">
        <v>42</v>
      </c>
      <c r="Q121" s="2" t="str">
        <f>CLEAN(TRIM(Working_Sales[[#This Row],[Age]]))</f>
        <v>42</v>
      </c>
      <c r="R121" s="6">
        <f>INT(SUBSTITUTE(Working_Sales[[#This Row],[Age_Whitespace_Removed]],".",","))</f>
        <v>42</v>
      </c>
      <c r="S121" t="s">
        <v>124</v>
      </c>
      <c r="T121" s="2" t="str">
        <f>CLEAN(TRIM(Working_Sales[[#This Row],[Product Category]]))</f>
        <v>Clothing</v>
      </c>
      <c r="U121" s="6" t="str">
        <f>PROPER(Working_Sales[[#This Row],[Product_Category_Whitespace_Removed]])</f>
        <v>Clothing</v>
      </c>
      <c r="V121" t="s">
        <v>37</v>
      </c>
      <c r="W121" s="2" t="str">
        <f>CLEAN(TRIM(Working_Sales[[#This Row],[Quantity]]))</f>
        <v>2</v>
      </c>
      <c r="X121" s="2">
        <f>INT(Working_Sales[[#This Row],[`]])</f>
        <v>2</v>
      </c>
      <c r="Y121" s="6">
        <f>IFERROR(
   Working_Sales[[#This Row],[Quantity_Converted_To_Integer]],
   Working_Sales[[#This Row],[Total_Amount_Whitespace_Removed]]/Working_Sales[[#This Row],[Price_Per_Unit_Decimal_Separator_Fixed]])</f>
        <v>2</v>
      </c>
      <c r="Z121" t="s">
        <v>30</v>
      </c>
      <c r="AA121" s="2" t="str">
        <f>CLEAN(TRIM(Working_Sales[[#This Row],[Price per Unit]]))</f>
        <v>25</v>
      </c>
      <c r="AB121" s="2">
        <f>INT(
   SUBSTITUTE(Working_Sales[[#This Row],[Price_Per_Unit_Whitespace_Removed]],
   "$",
   ""
   )
)</f>
        <v>25</v>
      </c>
      <c r="AC121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121" s="8">
        <f>IFERROR(
   Working_Sales[[#This Row],[Price_Per_Unit_Decimal_Separator_Fixed]],
   Working_Sales[[#This Row],[Total_Amount_Converted_To_Integer]]/Working_Sales[[#This Row],[Quantity_Converted_To_Integer]]
)</f>
        <v>25</v>
      </c>
      <c r="AE121" t="s">
        <v>15</v>
      </c>
      <c r="AF121" s="2" t="str">
        <f>CLEAN(TRIM(Working_Sales[[#This Row],[Total Amount]]))</f>
        <v>50</v>
      </c>
      <c r="AG121" s="2">
        <f>INT(Working_Sales[[#This Row],[Total_Amount_Whitespace_Removed]])</f>
        <v>50</v>
      </c>
      <c r="AH12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122" spans="1:34" x14ac:dyDescent="0.35">
      <c r="A122" t="s">
        <v>357</v>
      </c>
      <c r="B122" s="6" t="str">
        <f>CLEAN(TRIM(Working_Sales[[#This Row],[Transaction ID]]))</f>
        <v>99</v>
      </c>
      <c r="C122" t="s">
        <v>358</v>
      </c>
      <c r="D122" s="2" t="str">
        <f>CLEAN(TRIM(Working_Sales[[#This Row],[Date]]))</f>
        <v>December 17, 2023</v>
      </c>
      <c r="E122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122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12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45277</v>
      </c>
      <c r="H122" t="s">
        <v>1731</v>
      </c>
      <c r="I122" s="2" t="str">
        <f>CLEAN(TRIM(Working_Sales[[#This Row],[Customer ID]]))</f>
        <v>cust107</v>
      </c>
      <c r="J12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2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CUST107</v>
      </c>
      <c r="L122" t="s">
        <v>26</v>
      </c>
      <c r="M122" s="4" t="str">
        <f>CLEAN(TRIM(Working_Sales[[#This Row],[Gender]]))</f>
        <v>Female</v>
      </c>
      <c r="N122" s="4" t="str" cm="1">
        <f t="array" ref="N122">_xlfn.SWITCH(
   Working_Sales[[#This Row],[Gender_Whitespace_Removed]],
   "m", "Male",
   "f", "Female",
   Working_Sales[[#This Row],[Gender_Whitespace_Removed]]
)</f>
        <v>Female</v>
      </c>
      <c r="O122" s="6" t="str">
        <f>PROPER(Working_Sales[[#This Row],[Gender_Abbreviation_Expanded]])</f>
        <v>Female</v>
      </c>
      <c r="P122">
        <v>50</v>
      </c>
      <c r="Q122" s="2" t="str">
        <f>CLEAN(TRIM(Working_Sales[[#This Row],[Age]]))</f>
        <v>50</v>
      </c>
      <c r="R122" s="6">
        <f>INT(SUBSTITUTE(Working_Sales[[#This Row],[Age_Whitespace_Removed]],".",","))</f>
        <v>50</v>
      </c>
      <c r="S122" t="s">
        <v>13</v>
      </c>
      <c r="T122" s="2" t="str">
        <f>CLEAN(TRIM(Working_Sales[[#This Row],[Product Category]]))</f>
        <v>Electronics</v>
      </c>
      <c r="U122" s="6" t="str">
        <f>PROPER(Working_Sales[[#This Row],[Product_Category_Whitespace_Removed]])</f>
        <v>Electronics</v>
      </c>
      <c r="V122" t="s">
        <v>14</v>
      </c>
      <c r="W122" s="2" t="str">
        <f>CLEAN(TRIM(Working_Sales[[#This Row],[Quantity]]))</f>
        <v>4</v>
      </c>
      <c r="X122" s="2">
        <f>INT(Working_Sales[[#This Row],[`]])</f>
        <v>4</v>
      </c>
      <c r="Y122" s="6">
        <f>IFERROR(
   Working_Sales[[#This Row],[Quantity_Converted_To_Integer]],
   Working_Sales[[#This Row],[Total_Amount_Whitespace_Removed]]/Working_Sales[[#This Row],[Price_Per_Unit_Decimal_Separator_Fixed]])</f>
        <v>4</v>
      </c>
      <c r="Z122" t="s">
        <v>23</v>
      </c>
      <c r="AA122" s="2" t="str">
        <f>CLEAN(TRIM(Working_Sales[[#This Row],[Price per Unit]]))</f>
        <v>300</v>
      </c>
      <c r="AB122" s="2">
        <f>INT(
   SUBSTITUTE(Working_Sales[[#This Row],[Price_Per_Unit_Whitespace_Removed]],
   "$",
   ""
   )
)</f>
        <v>300</v>
      </c>
      <c r="AC122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122" s="8">
        <f>IFERROR(
   Working_Sales[[#This Row],[Price_Per_Unit_Decimal_Separator_Fixed]],
   Working_Sales[[#This Row],[Total_Amount_Converted_To_Integer]]/Working_Sales[[#This Row],[Quantity_Converted_To_Integer]]
)</f>
        <v>300</v>
      </c>
      <c r="AE122" t="s">
        <v>79</v>
      </c>
      <c r="AF122" s="2" t="str">
        <f>CLEAN(TRIM(Working_Sales[[#This Row],[Total Amount]]))</f>
        <v>1200</v>
      </c>
      <c r="AG122" s="2">
        <f>INT(Working_Sales[[#This Row],[Total_Amount_Whitespace_Removed]])</f>
        <v>1200</v>
      </c>
      <c r="AH12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123" spans="1:34" x14ac:dyDescent="0.35">
      <c r="A123" t="s">
        <v>360</v>
      </c>
      <c r="B123" s="6" t="str">
        <f>CLEAN(TRIM(Working_Sales[[#This Row],[Transaction ID]]))</f>
        <v>974</v>
      </c>
      <c r="C123" t="s">
        <v>361</v>
      </c>
      <c r="D123" s="2" t="str">
        <f>CLEAN(TRIM(Working_Sales[[#This Row],[Date]]))</f>
        <v>May 03, 2023</v>
      </c>
      <c r="E123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123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12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45049</v>
      </c>
      <c r="H123" t="s">
        <v>2424</v>
      </c>
      <c r="I123" s="2" t="str">
        <f>CLEAN(TRIM(Working_Sales[[#This Row],[Customer ID]]))</f>
        <v>CUST108</v>
      </c>
      <c r="J12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2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CUST108</v>
      </c>
      <c r="L123" t="s">
        <v>34</v>
      </c>
      <c r="M123" s="4" t="str">
        <f>CLEAN(TRIM(Working_Sales[[#This Row],[Gender]]))</f>
        <v>Male</v>
      </c>
      <c r="N123" s="4" t="str" cm="1">
        <f t="array" ref="N123">_xlfn.SWITCH(
   Working_Sales[[#This Row],[Gender_Whitespace_Removed]],
   "m", "Male",
   "f", "Female",
   Working_Sales[[#This Row],[Gender_Whitespace_Removed]]
)</f>
        <v>Male</v>
      </c>
      <c r="O123" s="6" t="str">
        <f>PROPER(Working_Sales[[#This Row],[Gender_Abbreviation_Expanded]])</f>
        <v>Male</v>
      </c>
      <c r="P123">
        <v>47</v>
      </c>
      <c r="Q123" s="2" t="str">
        <f>CLEAN(TRIM(Working_Sales[[#This Row],[Age]]))</f>
        <v>47</v>
      </c>
      <c r="R123" s="6">
        <f>INT(SUBSTITUTE(Working_Sales[[#This Row],[Age_Whitespace_Removed]],".",","))</f>
        <v>47</v>
      </c>
      <c r="S123" t="s">
        <v>36</v>
      </c>
      <c r="T123" s="2" t="str">
        <f>CLEAN(TRIM(Working_Sales[[#This Row],[Product Category]]))</f>
        <v>Beauty</v>
      </c>
      <c r="U123" s="6" t="str">
        <f>PROPER(Working_Sales[[#This Row],[Product_Category_Whitespace_Removed]])</f>
        <v>Beauty</v>
      </c>
      <c r="V123" t="s">
        <v>22</v>
      </c>
      <c r="W123" s="2" t="str">
        <f>CLEAN(TRIM(Working_Sales[[#This Row],[Quantity]]))</f>
        <v>1</v>
      </c>
      <c r="X123" s="2">
        <f>INT(Working_Sales[[#This Row],[`]])</f>
        <v>1</v>
      </c>
      <c r="Y123" s="6">
        <f>IFERROR(
   Working_Sales[[#This Row],[Quantity_Converted_To_Integer]],
   Working_Sales[[#This Row],[Total_Amount_Whitespace_Removed]]/Working_Sales[[#This Row],[Price_Per_Unit_Decimal_Separator_Fixed]])</f>
        <v>1</v>
      </c>
      <c r="Z123" t="s">
        <v>100</v>
      </c>
      <c r="AA123" s="2" t="str">
        <f>CLEAN(TRIM(Working_Sales[[#This Row],[Price per Unit]]))</f>
        <v>30</v>
      </c>
      <c r="AB123" s="2">
        <f>INT(
   SUBSTITUTE(Working_Sales[[#This Row],[Price_Per_Unit_Whitespace_Removed]],
   "$",
   ""
   )
)</f>
        <v>30</v>
      </c>
      <c r="AC123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123" s="8">
        <f>IFERROR(
   Working_Sales[[#This Row],[Price_Per_Unit_Decimal_Separator_Fixed]],
   Working_Sales[[#This Row],[Total_Amount_Converted_To_Integer]]/Working_Sales[[#This Row],[Quantity_Converted_To_Integer]]
)</f>
        <v>30</v>
      </c>
      <c r="AE123" t="s">
        <v>70</v>
      </c>
      <c r="AF123" s="2" t="str">
        <f>CLEAN(TRIM(Working_Sales[[#This Row],[Total Amount]]))</f>
        <v>30</v>
      </c>
      <c r="AG123" s="2">
        <f>INT(Working_Sales[[#This Row],[Total_Amount_Whitespace_Removed]])</f>
        <v>30</v>
      </c>
      <c r="AH12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124" spans="1:34" x14ac:dyDescent="0.35">
      <c r="A124" t="s">
        <v>362</v>
      </c>
      <c r="B124" s="6" t="str">
        <f>CLEAN(TRIM(Working_Sales[[#This Row],[Transaction ID]]))</f>
        <v>139</v>
      </c>
      <c r="C124" t="s">
        <v>2022</v>
      </c>
      <c r="D124" s="2" t="str">
        <f>CLEAN(TRIM(Working_Sales[[#This Row],[Date]]))</f>
        <v>12/15/2023</v>
      </c>
      <c r="E124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12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45275</v>
      </c>
      <c r="G12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45275</v>
      </c>
      <c r="H124" t="s">
        <v>2425</v>
      </c>
      <c r="I124" s="2" t="str">
        <f>CLEAN(TRIM(Working_Sales[[#This Row],[Customer ID]]))</f>
        <v>CUST109</v>
      </c>
      <c r="J12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2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CUST109</v>
      </c>
      <c r="L124" t="s">
        <v>34</v>
      </c>
      <c r="M124" s="4" t="str">
        <f>CLEAN(TRIM(Working_Sales[[#This Row],[Gender]]))</f>
        <v>Male</v>
      </c>
      <c r="N124" s="4" t="str" cm="1">
        <f t="array" ref="N124">_xlfn.SWITCH(
   Working_Sales[[#This Row],[Gender_Whitespace_Removed]],
   "m", "Male",
   "f", "Female",
   Working_Sales[[#This Row],[Gender_Whitespace_Removed]]
)</f>
        <v>Male</v>
      </c>
      <c r="O124" s="6" t="str">
        <f>PROPER(Working_Sales[[#This Row],[Gender_Abbreviation_Expanded]])</f>
        <v>Male</v>
      </c>
      <c r="P124">
        <v>36</v>
      </c>
      <c r="Q124" s="2" t="str">
        <f>CLEAN(TRIM(Working_Sales[[#This Row],[Age]]))</f>
        <v>36</v>
      </c>
      <c r="R124" s="6">
        <f>INT(SUBSTITUTE(Working_Sales[[#This Row],[Age_Whitespace_Removed]],".",","))</f>
        <v>36</v>
      </c>
      <c r="S124" t="s">
        <v>62</v>
      </c>
      <c r="T124" s="2" t="str">
        <f>CLEAN(TRIM(Working_Sales[[#This Row],[Product Category]]))</f>
        <v>beauty</v>
      </c>
      <c r="U124" s="6" t="str">
        <f>PROPER(Working_Sales[[#This Row],[Product_Category_Whitespace_Removed]])</f>
        <v>Beauty</v>
      </c>
      <c r="V124" t="s">
        <v>14</v>
      </c>
      <c r="W124" s="2" t="str">
        <f>CLEAN(TRIM(Working_Sales[[#This Row],[Quantity]]))</f>
        <v>4</v>
      </c>
      <c r="X124" s="2">
        <f>INT(Working_Sales[[#This Row],[`]])</f>
        <v>4</v>
      </c>
      <c r="Y124" s="6">
        <f>IFERROR(
   Working_Sales[[#This Row],[Quantity_Converted_To_Integer]],
   Working_Sales[[#This Row],[Total_Amount_Whitespace_Removed]]/Working_Sales[[#This Row],[Price_Per_Unit_Decimal_Separator_Fixed]])</f>
        <v>4</v>
      </c>
      <c r="Z124" t="s">
        <v>57</v>
      </c>
      <c r="AA124" s="2" t="str">
        <f>CLEAN(TRIM(Working_Sales[[#This Row],[Price per Unit]]))</f>
        <v>500</v>
      </c>
      <c r="AB124" s="2">
        <f>INT(
   SUBSTITUTE(Working_Sales[[#This Row],[Price_Per_Unit_Whitespace_Removed]],
   "$",
   ""
   )
)</f>
        <v>500</v>
      </c>
      <c r="AC124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124" s="8">
        <f>IFERROR(
   Working_Sales[[#This Row],[Price_Per_Unit_Decimal_Separator_Fixed]],
   Working_Sales[[#This Row],[Total_Amount_Converted_To_Integer]]/Working_Sales[[#This Row],[Quantity_Converted_To_Integer]]
)</f>
        <v>500</v>
      </c>
      <c r="AE124" t="s">
        <v>232</v>
      </c>
      <c r="AF124" s="2" t="str">
        <f>CLEAN(TRIM(Working_Sales[[#This Row],[Total Amount]]))</f>
        <v>2000</v>
      </c>
      <c r="AG124" s="2">
        <f>INT(Working_Sales[[#This Row],[Total_Amount_Whitespace_Removed]])</f>
        <v>2000</v>
      </c>
      <c r="AH12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125" spans="1:34" x14ac:dyDescent="0.35">
      <c r="A125" t="s">
        <v>364</v>
      </c>
      <c r="B125" s="6" t="str">
        <f>CLEAN(TRIM(Working_Sales[[#This Row],[Transaction ID]]))</f>
        <v>412</v>
      </c>
      <c r="C125" t="s">
        <v>2023</v>
      </c>
      <c r="D125" s="2" t="str">
        <f>CLEAN(TRIM(Working_Sales[[#This Row],[Date]]))</f>
        <v>09/16/2023</v>
      </c>
      <c r="E125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12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45185</v>
      </c>
      <c r="G12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45185</v>
      </c>
      <c r="H125" t="s">
        <v>2426</v>
      </c>
      <c r="I125" s="2" t="str">
        <f>CLEAN(TRIM(Working_Sales[[#This Row],[Customer ID]]))</f>
        <v>CUST110</v>
      </c>
      <c r="J12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CUST110</v>
      </c>
      <c r="K12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CUST110</v>
      </c>
      <c r="L125" t="s">
        <v>26</v>
      </c>
      <c r="M125" s="4" t="str">
        <f>CLEAN(TRIM(Working_Sales[[#This Row],[Gender]]))</f>
        <v>Female</v>
      </c>
      <c r="N125" s="4" t="str" cm="1">
        <f t="array" ref="N125">_xlfn.SWITCH(
   Working_Sales[[#This Row],[Gender_Whitespace_Removed]],
   "m", "Male",
   "f", "Female",
   Working_Sales[[#This Row],[Gender_Whitespace_Removed]]
)</f>
        <v>Female</v>
      </c>
      <c r="O125" s="6" t="str">
        <f>PROPER(Working_Sales[[#This Row],[Gender_Abbreviation_Expanded]])</f>
        <v>Female</v>
      </c>
      <c r="P125">
        <v>19</v>
      </c>
      <c r="Q125" s="2" t="str">
        <f>CLEAN(TRIM(Working_Sales[[#This Row],[Age]]))</f>
        <v>19</v>
      </c>
      <c r="R125" s="6">
        <f>INT(SUBSTITUTE(Working_Sales[[#This Row],[Age_Whitespace_Removed]],".",","))</f>
        <v>19</v>
      </c>
      <c r="S125" t="s">
        <v>99</v>
      </c>
      <c r="T125" s="2" t="str">
        <f>CLEAN(TRIM(Working_Sales[[#This Row],[Product Category]]))</f>
        <v>ELECTRONICS</v>
      </c>
      <c r="U125" s="6" t="str">
        <f>PROPER(Working_Sales[[#This Row],[Product_Category_Whitespace_Removed]])</f>
        <v>Electronics</v>
      </c>
      <c r="V125" t="s">
        <v>14</v>
      </c>
      <c r="W125" s="2" t="str">
        <f>CLEAN(TRIM(Working_Sales[[#This Row],[Quantity]]))</f>
        <v>4</v>
      </c>
      <c r="X125" s="2">
        <f>INT(Working_Sales[[#This Row],[`]])</f>
        <v>4</v>
      </c>
      <c r="Y125" s="6">
        <f>IFERROR(
   Working_Sales[[#This Row],[Quantity_Converted_To_Integer]],
   Working_Sales[[#This Row],[Total_Amount_Whitespace_Removed]]/Working_Sales[[#This Row],[Price_Per_Unit_Decimal_Separator_Fixed]])</f>
        <v>4</v>
      </c>
      <c r="Z125" t="s">
        <v>57</v>
      </c>
      <c r="AA125" s="2" t="str">
        <f>CLEAN(TRIM(Working_Sales[[#This Row],[Price per Unit]]))</f>
        <v>500</v>
      </c>
      <c r="AB125" s="2">
        <f>INT(
   SUBSTITUTE(Working_Sales[[#This Row],[Price_Per_Unit_Whitespace_Removed]],
   "$",
   ""
   )
)</f>
        <v>500</v>
      </c>
      <c r="AC125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125" s="8">
        <f>IFERROR(
   Working_Sales[[#This Row],[Price_Per_Unit_Decimal_Separator_Fixed]],
   Working_Sales[[#This Row],[Total_Amount_Converted_To_Integer]]/Working_Sales[[#This Row],[Quantity_Converted_To_Integer]]
)</f>
        <v>500</v>
      </c>
      <c r="AE125" t="s">
        <v>232</v>
      </c>
      <c r="AF125" s="2" t="str">
        <f>CLEAN(TRIM(Working_Sales[[#This Row],[Total Amount]]))</f>
        <v>2000</v>
      </c>
      <c r="AG125" s="2">
        <f>INT(Working_Sales[[#This Row],[Total_Amount_Whitespace_Removed]])</f>
        <v>2000</v>
      </c>
      <c r="AH12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126" spans="1:34" x14ac:dyDescent="0.35">
      <c r="A126" t="s">
        <v>367</v>
      </c>
      <c r="B126" s="6" t="str">
        <f>CLEAN(TRIM(Working_Sales[[#This Row],[Transaction ID]]))</f>
        <v>714</v>
      </c>
      <c r="C126" t="s">
        <v>2024</v>
      </c>
      <c r="D126" s="2" t="str">
        <f>CLEAN(TRIM(Working_Sales[[#This Row],[Date]]))</f>
        <v>12-Feb-2023</v>
      </c>
      <c r="E12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44969</v>
      </c>
      <c r="F12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44969</v>
      </c>
      <c r="G12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44969</v>
      </c>
      <c r="H126" t="s">
        <v>2427</v>
      </c>
      <c r="I126" s="2" t="str">
        <f>CLEAN(TRIM(Working_Sales[[#This Row],[Customer ID]]))</f>
        <v>CUST111</v>
      </c>
      <c r="J12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CUST111</v>
      </c>
      <c r="K12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CUST111</v>
      </c>
      <c r="L126" t="s">
        <v>26</v>
      </c>
      <c r="M126" s="4" t="str">
        <f>CLEAN(TRIM(Working_Sales[[#This Row],[Gender]]))</f>
        <v>Female</v>
      </c>
      <c r="N126" s="4" t="str" cm="1">
        <f t="array" ref="N126">_xlfn.SWITCH(
   Working_Sales[[#This Row],[Gender_Whitespace_Removed]],
   "m", "Male",
   "f", "Female",
   Working_Sales[[#This Row],[Gender_Whitespace_Removed]]
)</f>
        <v>Female</v>
      </c>
      <c r="O126" s="6" t="str">
        <f>PROPER(Working_Sales[[#This Row],[Gender_Abbreviation_Expanded]])</f>
        <v>Female</v>
      </c>
      <c r="P126">
        <v>18</v>
      </c>
      <c r="Q126" s="2" t="str">
        <f>CLEAN(TRIM(Working_Sales[[#This Row],[Age]]))</f>
        <v>18</v>
      </c>
      <c r="R126" s="6">
        <f>INT(SUBSTITUTE(Working_Sales[[#This Row],[Age_Whitespace_Removed]],".",","))</f>
        <v>18</v>
      </c>
      <c r="S126" t="s">
        <v>56</v>
      </c>
      <c r="T126" s="2" t="str">
        <f>CLEAN(TRIM(Working_Sales[[#This Row],[Product Category]]))</f>
        <v>Clothing</v>
      </c>
      <c r="U126" s="6" t="str">
        <f>PROPER(Working_Sales[[#This Row],[Product_Category_Whitespace_Removed]])</f>
        <v>Clothing</v>
      </c>
      <c r="V126" t="s">
        <v>22</v>
      </c>
      <c r="W126" s="2" t="str">
        <f>CLEAN(TRIM(Working_Sales[[#This Row],[Quantity]]))</f>
        <v>1</v>
      </c>
      <c r="X126" s="2">
        <f>INT(Working_Sales[[#This Row],[`]])</f>
        <v>1</v>
      </c>
      <c r="Y126" s="6">
        <f>IFERROR(
   Working_Sales[[#This Row],[Quantity_Converted_To_Integer]],
   Working_Sales[[#This Row],[Total_Amount_Whitespace_Removed]]/Working_Sales[[#This Row],[Price_Per_Unit_Decimal_Separator_Fixed]])</f>
        <v>1</v>
      </c>
      <c r="Z126" t="s">
        <v>162</v>
      </c>
      <c r="AA126" s="2" t="str">
        <f>CLEAN(TRIM(Working_Sales[[#This Row],[Price per Unit]]))</f>
        <v>$500</v>
      </c>
      <c r="AB126" s="2">
        <f>INT(
   SUBSTITUTE(Working_Sales[[#This Row],[Price_Per_Unit_Whitespace_Removed]],
   "$",
   ""
   )
)</f>
        <v>500</v>
      </c>
      <c r="AC126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126" s="8">
        <f>IFERROR(
   Working_Sales[[#This Row],[Price_Per_Unit_Decimal_Separator_Fixed]],
   Working_Sales[[#This Row],[Total_Amount_Converted_To_Integer]]/Working_Sales[[#This Row],[Quantity_Converted_To_Integer]]
)</f>
        <v>500</v>
      </c>
      <c r="AE126" t="s">
        <v>57</v>
      </c>
      <c r="AF126" s="2" t="str">
        <f>CLEAN(TRIM(Working_Sales[[#This Row],[Total Amount]]))</f>
        <v>500</v>
      </c>
      <c r="AG126" s="2">
        <f>INT(Working_Sales[[#This Row],[Total_Amount_Whitespace_Removed]])</f>
        <v>500</v>
      </c>
      <c r="AH12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127" spans="1:34" x14ac:dyDescent="0.35">
      <c r="A127" t="s">
        <v>368</v>
      </c>
      <c r="B127" s="6" t="str">
        <f>CLEAN(TRIM(Working_Sales[[#This Row],[Transaction ID]]))</f>
        <v>617</v>
      </c>
      <c r="C127" t="s">
        <v>369</v>
      </c>
      <c r="D127" s="2" t="str">
        <f>CLEAN(TRIM(Working_Sales[[#This Row],[Date]]))</f>
        <v>08/26/2023</v>
      </c>
      <c r="E127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12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45164</v>
      </c>
      <c r="G12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45164</v>
      </c>
      <c r="H127" t="s">
        <v>1356</v>
      </c>
      <c r="I127" s="2" t="str">
        <f>CLEAN(TRIM(Working_Sales[[#This Row],[Customer ID]]))</f>
        <v>CUST112</v>
      </c>
      <c r="J12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CUST112</v>
      </c>
      <c r="K12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CUST112</v>
      </c>
      <c r="L127" t="s">
        <v>34</v>
      </c>
      <c r="M127" s="4" t="str">
        <f>CLEAN(TRIM(Working_Sales[[#This Row],[Gender]]))</f>
        <v>Male</v>
      </c>
      <c r="N127" s="4" t="str" cm="1">
        <f t="array" ref="N127">_xlfn.SWITCH(
   Working_Sales[[#This Row],[Gender_Whitespace_Removed]],
   "m", "Male",
   "f", "Female",
   Working_Sales[[#This Row],[Gender_Whitespace_Removed]]
)</f>
        <v>Male</v>
      </c>
      <c r="O127" s="6" t="str">
        <f>PROPER(Working_Sales[[#This Row],[Gender_Abbreviation_Expanded]])</f>
        <v>Male</v>
      </c>
      <c r="P127">
        <v>34</v>
      </c>
      <c r="Q127" s="2" t="str">
        <f>CLEAN(TRIM(Working_Sales[[#This Row],[Age]]))</f>
        <v>34</v>
      </c>
      <c r="R127" s="6">
        <f>INT(SUBSTITUTE(Working_Sales[[#This Row],[Age_Whitespace_Removed]],".",","))</f>
        <v>34</v>
      </c>
      <c r="S127" t="s">
        <v>48</v>
      </c>
      <c r="T127" s="2" t="str">
        <f>CLEAN(TRIM(Working_Sales[[#This Row],[Product Category]]))</f>
        <v>electronics</v>
      </c>
      <c r="U127" s="6" t="str">
        <f>PROPER(Working_Sales[[#This Row],[Product_Category_Whitespace_Removed]])</f>
        <v>Electronics</v>
      </c>
      <c r="V127" t="s">
        <v>22</v>
      </c>
      <c r="W127" s="2" t="str">
        <f>CLEAN(TRIM(Working_Sales[[#This Row],[Quantity]]))</f>
        <v>1</v>
      </c>
      <c r="X127" s="2">
        <f>INT(Working_Sales[[#This Row],[`]])</f>
        <v>1</v>
      </c>
      <c r="Y127" s="6">
        <f>IFERROR(
   Working_Sales[[#This Row],[Quantity_Converted_To_Integer]],
   Working_Sales[[#This Row],[Total_Amount_Whitespace_Removed]]/Working_Sales[[#This Row],[Price_Per_Unit_Decimal_Separator_Fixed]])</f>
        <v>1</v>
      </c>
      <c r="Z127" t="s">
        <v>70</v>
      </c>
      <c r="AA127" s="2" t="str">
        <f>CLEAN(TRIM(Working_Sales[[#This Row],[Price per Unit]]))</f>
        <v>30</v>
      </c>
      <c r="AB127" s="2">
        <f>INT(
   SUBSTITUTE(Working_Sales[[#This Row],[Price_Per_Unit_Whitespace_Removed]],
   "$",
   ""
   )
)</f>
        <v>30</v>
      </c>
      <c r="AC127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127" s="8">
        <f>IFERROR(
   Working_Sales[[#This Row],[Price_Per_Unit_Decimal_Separator_Fixed]],
   Working_Sales[[#This Row],[Total_Amount_Converted_To_Integer]]/Working_Sales[[#This Row],[Quantity_Converted_To_Integer]]
)</f>
        <v>30</v>
      </c>
      <c r="AF127" s="2" t="str">
        <f>CLEAN(TRIM(Working_Sales[[#This Row],[Total Amount]]))</f>
        <v/>
      </c>
      <c r="AG127" s="2" t="e">
        <f>INT(Working_Sales[[#This Row],[Total_Amount_Whitespace_Removed]])</f>
        <v>#VALUE!</v>
      </c>
      <c r="AH12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128" spans="1:34" x14ac:dyDescent="0.35">
      <c r="A128" t="s">
        <v>370</v>
      </c>
      <c r="B128" s="6" t="str">
        <f>CLEAN(TRIM(Working_Sales[[#This Row],[Transaction ID]]))</f>
        <v>797</v>
      </c>
      <c r="C128" t="s">
        <v>2025</v>
      </c>
      <c r="D128" s="2" t="str">
        <f>CLEAN(TRIM(Working_Sales[[#This Row],[Date]]))</f>
        <v>2023-01-07</v>
      </c>
      <c r="E12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44933</v>
      </c>
      <c r="F12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44933</v>
      </c>
      <c r="G12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44933</v>
      </c>
      <c r="H128" t="s">
        <v>2428</v>
      </c>
      <c r="I128" s="2" t="str">
        <f>CLEAN(TRIM(Working_Sales[[#This Row],[Customer ID]]))</f>
        <v>cust113</v>
      </c>
      <c r="J12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2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CUST113</v>
      </c>
      <c r="L128" t="s">
        <v>34</v>
      </c>
      <c r="M128" s="4" t="str">
        <f>CLEAN(TRIM(Working_Sales[[#This Row],[Gender]]))</f>
        <v>Male</v>
      </c>
      <c r="N128" s="4" t="str" cm="1">
        <f t="array" ref="N128">_xlfn.SWITCH(
   Working_Sales[[#This Row],[Gender_Whitespace_Removed]],
   "m", "Male",
   "f", "Female",
   Working_Sales[[#This Row],[Gender_Whitespace_Removed]]
)</f>
        <v>Male</v>
      </c>
      <c r="O128" s="6" t="str">
        <f>PROPER(Working_Sales[[#This Row],[Gender_Abbreviation_Expanded]])</f>
        <v>Male</v>
      </c>
      <c r="P128">
        <v>40</v>
      </c>
      <c r="Q128" s="2" t="str">
        <f>CLEAN(TRIM(Working_Sales[[#This Row],[Age]]))</f>
        <v>40</v>
      </c>
      <c r="R128" s="6">
        <f>INT(SUBSTITUTE(Working_Sales[[#This Row],[Age_Whitespace_Removed]],".",","))</f>
        <v>40</v>
      </c>
      <c r="S128" t="s">
        <v>56</v>
      </c>
      <c r="T128" s="2" t="str">
        <f>CLEAN(TRIM(Working_Sales[[#This Row],[Product Category]]))</f>
        <v>Clothing</v>
      </c>
      <c r="U128" s="6" t="str">
        <f>PROPER(Working_Sales[[#This Row],[Product_Category_Whitespace_Removed]])</f>
        <v>Clothing</v>
      </c>
      <c r="V128" t="s">
        <v>29</v>
      </c>
      <c r="W128" s="2" t="str">
        <f>CLEAN(TRIM(Working_Sales[[#This Row],[Quantity]]))</f>
        <v>3</v>
      </c>
      <c r="X128" s="2">
        <f>INT(Working_Sales[[#This Row],[`]])</f>
        <v>3</v>
      </c>
      <c r="Y128" s="6">
        <f>IFERROR(
   Working_Sales[[#This Row],[Quantity_Converted_To_Integer]],
   Working_Sales[[#This Row],[Total_Amount_Whitespace_Removed]]/Working_Sales[[#This Row],[Price_Per_Unit_Decimal_Separator_Fixed]])</f>
        <v>3</v>
      </c>
      <c r="Z128" t="s">
        <v>371</v>
      </c>
      <c r="AA128" s="2" t="str">
        <f>CLEAN(TRIM(Working_Sales[[#This Row],[Price per Unit]]))</f>
        <v>25.00</v>
      </c>
      <c r="AB128" s="2" t="e">
        <f>INT(
   SUBSTITUTE(Working_Sales[[#This Row],[Price_Per_Unit_Whitespace_Removed]],
   "$",
   ""
   )
)</f>
        <v>#VALUE!</v>
      </c>
      <c r="AC128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128" s="8">
        <f>IFERROR(
   Working_Sales[[#This Row],[Price_Per_Unit_Decimal_Separator_Fixed]],
   Working_Sales[[#This Row],[Total_Amount_Converted_To_Integer]]/Working_Sales[[#This Row],[Quantity_Converted_To_Integer]]
)</f>
        <v>25</v>
      </c>
      <c r="AE128" t="s">
        <v>31</v>
      </c>
      <c r="AF128" s="2" t="str">
        <f>CLEAN(TRIM(Working_Sales[[#This Row],[Total Amount]]))</f>
        <v>75</v>
      </c>
      <c r="AG128" s="2">
        <f>INT(Working_Sales[[#This Row],[Total_Amount_Whitespace_Removed]])</f>
        <v>75</v>
      </c>
      <c r="AH12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129" spans="1:34" x14ac:dyDescent="0.35">
      <c r="A129" t="s">
        <v>372</v>
      </c>
      <c r="B129" s="6" t="str">
        <f>CLEAN(TRIM(Working_Sales[[#This Row],[Transaction ID]]))</f>
        <v>44</v>
      </c>
      <c r="C129" t="s">
        <v>373</v>
      </c>
      <c r="D129" s="2" t="str">
        <f>CLEAN(TRIM(Working_Sales[[#This Row],[Date]]))</f>
        <v>2023-02-19</v>
      </c>
      <c r="E12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44976</v>
      </c>
      <c r="F12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44976</v>
      </c>
      <c r="G12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44976</v>
      </c>
      <c r="H129" t="s">
        <v>2429</v>
      </c>
      <c r="I129" s="2" t="str">
        <f>CLEAN(TRIM(Working_Sales[[#This Row],[Customer ID]]))</f>
        <v>CUST114</v>
      </c>
      <c r="J12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2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CUST114</v>
      </c>
      <c r="L129" t="s">
        <v>26</v>
      </c>
      <c r="M129" s="4" t="str">
        <f>CLEAN(TRIM(Working_Sales[[#This Row],[Gender]]))</f>
        <v>Female</v>
      </c>
      <c r="N129" s="4" t="str" cm="1">
        <f t="array" ref="N129">_xlfn.SWITCH(
   Working_Sales[[#This Row],[Gender_Whitespace_Removed]],
   "m", "Male",
   "f", "Female",
   Working_Sales[[#This Row],[Gender_Whitespace_Removed]]
)</f>
        <v>Female</v>
      </c>
      <c r="O129" s="6" t="str">
        <f>PROPER(Working_Sales[[#This Row],[Gender_Abbreviation_Expanded]])</f>
        <v>Female</v>
      </c>
      <c r="P129">
        <v>22</v>
      </c>
      <c r="Q129" s="2" t="str">
        <f>CLEAN(TRIM(Working_Sales[[#This Row],[Age]]))</f>
        <v>22</v>
      </c>
      <c r="R129" s="6">
        <f>INT(SUBSTITUTE(Working_Sales[[#This Row],[Age_Whitespace_Removed]],".",","))</f>
        <v>22</v>
      </c>
      <c r="S129" t="s">
        <v>56</v>
      </c>
      <c r="T129" s="2" t="str">
        <f>CLEAN(TRIM(Working_Sales[[#This Row],[Product Category]]))</f>
        <v>Clothing</v>
      </c>
      <c r="U129" s="6" t="str">
        <f>PROPER(Working_Sales[[#This Row],[Product_Category_Whitespace_Removed]])</f>
        <v>Clothing</v>
      </c>
      <c r="W129" s="2" t="str">
        <f>CLEAN(TRIM(Working_Sales[[#This Row],[Quantity]]))</f>
        <v/>
      </c>
      <c r="X129" s="2" t="e">
        <f>INT(Working_Sales[[#This Row],[`]])</f>
        <v>#VALUE!</v>
      </c>
      <c r="Y129" s="6">
        <f>IFERROR(
   Working_Sales[[#This Row],[Quantity_Converted_To_Integer]],
   Working_Sales[[#This Row],[Total_Amount_Whitespace_Removed]]/Working_Sales[[#This Row],[Price_Per_Unit_Decimal_Separator_Fixed]])</f>
        <v>1</v>
      </c>
      <c r="Z129" t="s">
        <v>30</v>
      </c>
      <c r="AA129" s="2" t="str">
        <f>CLEAN(TRIM(Working_Sales[[#This Row],[Price per Unit]]))</f>
        <v>25</v>
      </c>
      <c r="AB129" s="2">
        <f>INT(
   SUBSTITUTE(Working_Sales[[#This Row],[Price_Per_Unit_Whitespace_Removed]],
   "$",
   ""
   )
)</f>
        <v>25</v>
      </c>
      <c r="AC129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129" s="8">
        <f>IFERROR(
   Working_Sales[[#This Row],[Price_Per_Unit_Decimal_Separator_Fixed]],
   Working_Sales[[#This Row],[Total_Amount_Converted_To_Integer]]/Working_Sales[[#This Row],[Quantity_Converted_To_Integer]]
)</f>
        <v>25</v>
      </c>
      <c r="AE129" t="s">
        <v>30</v>
      </c>
      <c r="AF129" s="2" t="str">
        <f>CLEAN(TRIM(Working_Sales[[#This Row],[Total Amount]]))</f>
        <v>25</v>
      </c>
      <c r="AG129" s="2">
        <f>INT(Working_Sales[[#This Row],[Total_Amount_Whitespace_Removed]])</f>
        <v>25</v>
      </c>
      <c r="AH12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130" spans="1:34" x14ac:dyDescent="0.35">
      <c r="A130" t="s">
        <v>375</v>
      </c>
      <c r="B130" s="6" t="str">
        <f>CLEAN(TRIM(Working_Sales[[#This Row],[Transaction ID]]))</f>
        <v>532</v>
      </c>
      <c r="C130" t="s">
        <v>376</v>
      </c>
      <c r="D130" s="2" t="str">
        <f>CLEAN(TRIM(Working_Sales[[#This Row],[Date]]))</f>
        <v>06/19/2023</v>
      </c>
      <c r="E130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13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45096</v>
      </c>
      <c r="G13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45096</v>
      </c>
      <c r="H130" t="s">
        <v>2430</v>
      </c>
      <c r="I130" s="2" t="str">
        <f>CLEAN(TRIM(Working_Sales[[#This Row],[Customer ID]]))</f>
        <v>CUST115</v>
      </c>
      <c r="J13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CUST115</v>
      </c>
      <c r="K13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CUST115</v>
      </c>
      <c r="L130" t="s">
        <v>26</v>
      </c>
      <c r="M130" s="4" t="str">
        <f>CLEAN(TRIM(Working_Sales[[#This Row],[Gender]]))</f>
        <v>Female</v>
      </c>
      <c r="N130" s="4" t="str" cm="1">
        <f t="array" ref="N130">_xlfn.SWITCH(
   Working_Sales[[#This Row],[Gender_Whitespace_Removed]],
   "m", "Male",
   "f", "Female",
   Working_Sales[[#This Row],[Gender_Whitespace_Removed]]
)</f>
        <v>Female</v>
      </c>
      <c r="O130" s="6" t="str">
        <f>PROPER(Working_Sales[[#This Row],[Gender_Abbreviation_Expanded]])</f>
        <v>Female</v>
      </c>
      <c r="P130" t="s">
        <v>377</v>
      </c>
      <c r="Q130" s="2" t="str">
        <f>CLEAN(TRIM(Working_Sales[[#This Row],[Age]]))</f>
        <v>64.0</v>
      </c>
      <c r="R130" s="6">
        <f>INT(SUBSTITUTE(Working_Sales[[#This Row],[Age_Whitespace_Removed]],".",","))</f>
        <v>64</v>
      </c>
      <c r="S130" t="s">
        <v>56</v>
      </c>
      <c r="T130" s="2" t="str">
        <f>CLEAN(TRIM(Working_Sales[[#This Row],[Product Category]]))</f>
        <v>Clothing</v>
      </c>
      <c r="U130" s="6" t="str">
        <f>PROPER(Working_Sales[[#This Row],[Product_Category_Whitespace_Removed]])</f>
        <v>Clothing</v>
      </c>
      <c r="V130" t="s">
        <v>14</v>
      </c>
      <c r="W130" s="2" t="str">
        <f>CLEAN(TRIM(Working_Sales[[#This Row],[Quantity]]))</f>
        <v>4</v>
      </c>
      <c r="X130" s="2">
        <f>INT(Working_Sales[[#This Row],[`]])</f>
        <v>4</v>
      </c>
      <c r="Y130" s="6">
        <f>IFERROR(
   Working_Sales[[#This Row],[Quantity_Converted_To_Integer]],
   Working_Sales[[#This Row],[Total_Amount_Whitespace_Removed]]/Working_Sales[[#This Row],[Price_Per_Unit_Decimal_Separator_Fixed]])</f>
        <v>4</v>
      </c>
      <c r="Z130" t="s">
        <v>70</v>
      </c>
      <c r="AA130" s="2" t="str">
        <f>CLEAN(TRIM(Working_Sales[[#This Row],[Price per Unit]]))</f>
        <v>30</v>
      </c>
      <c r="AB130" s="2">
        <f>INT(
   SUBSTITUTE(Working_Sales[[#This Row],[Price_Per_Unit_Whitespace_Removed]],
   "$",
   ""
   )
)</f>
        <v>30</v>
      </c>
      <c r="AC130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130" s="8">
        <f>IFERROR(
   Working_Sales[[#This Row],[Price_Per_Unit_Decimal_Separator_Fixed]],
   Working_Sales[[#This Row],[Total_Amount_Converted_To_Integer]]/Working_Sales[[#This Row],[Quantity_Converted_To_Integer]]
)</f>
        <v>30</v>
      </c>
      <c r="AE130" t="s">
        <v>44</v>
      </c>
      <c r="AF130" s="2" t="str">
        <f>CLEAN(TRIM(Working_Sales[[#This Row],[Total Amount]]))</f>
        <v>120</v>
      </c>
      <c r="AG130" s="2">
        <f>INT(Working_Sales[[#This Row],[Total_Amount_Whitespace_Removed]])</f>
        <v>120</v>
      </c>
      <c r="AH13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131" spans="1:34" x14ac:dyDescent="0.35">
      <c r="A131" t="s">
        <v>95</v>
      </c>
      <c r="B131" s="6" t="str">
        <f>CLEAN(TRIM(Working_Sales[[#This Row],[Transaction ID]]))</f>
        <v>64</v>
      </c>
      <c r="C131" t="s">
        <v>378</v>
      </c>
      <c r="D131" s="2" t="str">
        <f>CLEAN(TRIM(Working_Sales[[#This Row],[Date]]))</f>
        <v>01/24/2023</v>
      </c>
      <c r="E131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13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44950</v>
      </c>
      <c r="G13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44950</v>
      </c>
      <c r="H131" t="s">
        <v>2431</v>
      </c>
      <c r="I131" s="2" t="str">
        <f>CLEAN(TRIM(Working_Sales[[#This Row],[Customer ID]]))</f>
        <v>CUST116</v>
      </c>
      <c r="J13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CUST116</v>
      </c>
      <c r="K13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CUST116</v>
      </c>
      <c r="L131" t="s">
        <v>34</v>
      </c>
      <c r="M131" s="4" t="str">
        <f>CLEAN(TRIM(Working_Sales[[#This Row],[Gender]]))</f>
        <v>Male</v>
      </c>
      <c r="N131" s="4" t="str" cm="1">
        <f t="array" ref="N131">_xlfn.SWITCH(
   Working_Sales[[#This Row],[Gender_Whitespace_Removed]],
   "m", "Male",
   "f", "Female",
   Working_Sales[[#This Row],[Gender_Whitespace_Removed]]
)</f>
        <v>Male</v>
      </c>
      <c r="O131" s="6" t="str">
        <f>PROPER(Working_Sales[[#This Row],[Gender_Abbreviation_Expanded]])</f>
        <v>Male</v>
      </c>
      <c r="P131">
        <v>49</v>
      </c>
      <c r="Q131" s="2" t="str">
        <f>CLEAN(TRIM(Working_Sales[[#This Row],[Age]]))</f>
        <v>49</v>
      </c>
      <c r="R131" s="6">
        <f>INT(SUBSTITUTE(Working_Sales[[#This Row],[Age_Whitespace_Removed]],".",","))</f>
        <v>49</v>
      </c>
      <c r="S131" t="s">
        <v>89</v>
      </c>
      <c r="T131" s="2" t="str">
        <f>CLEAN(TRIM(Working_Sales[[#This Row],[Product Category]]))</f>
        <v>CLOTHING</v>
      </c>
      <c r="U131" s="6" t="str">
        <f>PROPER(Working_Sales[[#This Row],[Product_Category_Whitespace_Removed]])</f>
        <v>Clothing</v>
      </c>
      <c r="V131" t="s">
        <v>14</v>
      </c>
      <c r="W131" s="2" t="str">
        <f>CLEAN(TRIM(Working_Sales[[#This Row],[Quantity]]))</f>
        <v>4</v>
      </c>
      <c r="X131" s="2">
        <f>INT(Working_Sales[[#This Row],[`]])</f>
        <v>4</v>
      </c>
      <c r="Y131" s="6">
        <f>IFERROR(
   Working_Sales[[#This Row],[Quantity_Converted_To_Integer]],
   Working_Sales[[#This Row],[Total_Amount_Whitespace_Removed]]/Working_Sales[[#This Row],[Price_Per_Unit_Decimal_Separator_Fixed]])</f>
        <v>4</v>
      </c>
      <c r="Z131" t="s">
        <v>171</v>
      </c>
      <c r="AA131" s="2" t="str">
        <f>CLEAN(TRIM(Working_Sales[[#This Row],[Price per Unit]]))</f>
        <v>25</v>
      </c>
      <c r="AB131" s="2">
        <f>INT(
   SUBSTITUTE(Working_Sales[[#This Row],[Price_Per_Unit_Whitespace_Removed]],
   "$",
   ""
   )
)</f>
        <v>25</v>
      </c>
      <c r="AC131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131" s="8">
        <f>IFERROR(
   Working_Sales[[#This Row],[Price_Per_Unit_Decimal_Separator_Fixed]],
   Working_Sales[[#This Row],[Total_Amount_Converted_To_Integer]]/Working_Sales[[#This Row],[Quantity_Converted_To_Integer]]
)</f>
        <v>25</v>
      </c>
      <c r="AE131" t="s">
        <v>38</v>
      </c>
      <c r="AF131" s="2" t="str">
        <f>CLEAN(TRIM(Working_Sales[[#This Row],[Total Amount]]))</f>
        <v>100</v>
      </c>
      <c r="AG131" s="2">
        <f>INT(Working_Sales[[#This Row],[Total_Amount_Whitespace_Removed]])</f>
        <v>100</v>
      </c>
      <c r="AH13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132" spans="1:34" x14ac:dyDescent="0.35">
      <c r="A132" t="s">
        <v>380</v>
      </c>
      <c r="B132" s="6" t="str">
        <f>CLEAN(TRIM(Working_Sales[[#This Row],[Transaction ID]]))</f>
        <v>741</v>
      </c>
      <c r="C132" t="s">
        <v>381</v>
      </c>
      <c r="D132" s="2" t="str">
        <f>CLEAN(TRIM(Working_Sales[[#This Row],[Date]]))</f>
        <v>11/30/2023</v>
      </c>
      <c r="E132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13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45260</v>
      </c>
      <c r="G13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45260</v>
      </c>
      <c r="H132" t="s">
        <v>1050</v>
      </c>
      <c r="I132" s="2" t="str">
        <f>CLEAN(TRIM(Working_Sales[[#This Row],[Customer ID]]))</f>
        <v>CUST117</v>
      </c>
      <c r="J13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CUST117</v>
      </c>
      <c r="K13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CUST117</v>
      </c>
      <c r="L132" t="s">
        <v>34</v>
      </c>
      <c r="M132" s="4" t="str">
        <f>CLEAN(TRIM(Working_Sales[[#This Row],[Gender]]))</f>
        <v>Male</v>
      </c>
      <c r="N132" s="4" t="str" cm="1">
        <f t="array" ref="N132">_xlfn.SWITCH(
   Working_Sales[[#This Row],[Gender_Whitespace_Removed]],
   "m", "Male",
   "f", "Female",
   Working_Sales[[#This Row],[Gender_Whitespace_Removed]]
)</f>
        <v>Male</v>
      </c>
      <c r="O132" s="6" t="str">
        <f>PROPER(Working_Sales[[#This Row],[Gender_Abbreviation_Expanded]])</f>
        <v>Male</v>
      </c>
      <c r="P132" t="s">
        <v>382</v>
      </c>
      <c r="Q132" s="2" t="str">
        <f>CLEAN(TRIM(Working_Sales[[#This Row],[Age]]))</f>
        <v>48.0</v>
      </c>
      <c r="R132" s="6">
        <f>INT(SUBSTITUTE(Working_Sales[[#This Row],[Age_Whitespace_Removed]],".",","))</f>
        <v>48</v>
      </c>
      <c r="S132" t="s">
        <v>56</v>
      </c>
      <c r="T132" s="2" t="str">
        <f>CLEAN(TRIM(Working_Sales[[#This Row],[Product Category]]))</f>
        <v>Clothing</v>
      </c>
      <c r="U132" s="6" t="str">
        <f>PROPER(Working_Sales[[#This Row],[Product_Category_Whitespace_Removed]])</f>
        <v>Clothing</v>
      </c>
      <c r="V132" t="s">
        <v>22</v>
      </c>
      <c r="W132" s="2" t="str">
        <f>CLEAN(TRIM(Working_Sales[[#This Row],[Quantity]]))</f>
        <v>1</v>
      </c>
      <c r="X132" s="2">
        <f>INT(Working_Sales[[#This Row],[`]])</f>
        <v>1</v>
      </c>
      <c r="Y132" s="6">
        <f>IFERROR(
   Working_Sales[[#This Row],[Quantity_Converted_To_Integer]],
   Working_Sales[[#This Row],[Total_Amount_Whitespace_Removed]]/Working_Sales[[#This Row],[Price_Per_Unit_Decimal_Separator_Fixed]])</f>
        <v>1</v>
      </c>
      <c r="Z132" t="s">
        <v>186</v>
      </c>
      <c r="AA132" s="2" t="str">
        <f>CLEAN(TRIM(Working_Sales[[#This Row],[Price per Unit]]))</f>
        <v>$300</v>
      </c>
      <c r="AB132" s="2">
        <f>INT(
   SUBSTITUTE(Working_Sales[[#This Row],[Price_Per_Unit_Whitespace_Removed]],
   "$",
   ""
   )
)</f>
        <v>300</v>
      </c>
      <c r="AC132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132" s="8">
        <f>IFERROR(
   Working_Sales[[#This Row],[Price_Per_Unit_Decimal_Separator_Fixed]],
   Working_Sales[[#This Row],[Total_Amount_Converted_To_Integer]]/Working_Sales[[#This Row],[Quantity_Converted_To_Integer]]
)</f>
        <v>300</v>
      </c>
      <c r="AE132" t="s">
        <v>23</v>
      </c>
      <c r="AF132" s="2" t="str">
        <f>CLEAN(TRIM(Working_Sales[[#This Row],[Total Amount]]))</f>
        <v>300</v>
      </c>
      <c r="AG132" s="2">
        <f>INT(Working_Sales[[#This Row],[Total_Amount_Whitespace_Removed]])</f>
        <v>300</v>
      </c>
      <c r="AH13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133" spans="1:34" x14ac:dyDescent="0.35">
      <c r="A133" t="s">
        <v>383</v>
      </c>
      <c r="B133" s="6" t="str">
        <f>CLEAN(TRIM(Working_Sales[[#This Row],[Transaction ID]]))</f>
        <v>743</v>
      </c>
      <c r="C133" t="s">
        <v>384</v>
      </c>
      <c r="D133" s="2" t="str">
        <f>CLEAN(TRIM(Working_Sales[[#This Row],[Date]]))</f>
        <v>2023-01-16</v>
      </c>
      <c r="E13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44942</v>
      </c>
      <c r="F13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44942</v>
      </c>
      <c r="G13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44942</v>
      </c>
      <c r="H133" t="s">
        <v>2432</v>
      </c>
      <c r="I133" s="2" t="str">
        <f>CLEAN(TRIM(Working_Sales[[#This Row],[Customer ID]]))</f>
        <v>CUST045</v>
      </c>
      <c r="J13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3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CUST045</v>
      </c>
      <c r="L133" t="s">
        <v>26</v>
      </c>
      <c r="M133" s="4" t="str">
        <f>CLEAN(TRIM(Working_Sales[[#This Row],[Gender]]))</f>
        <v>Female</v>
      </c>
      <c r="N133" s="4" t="str" cm="1">
        <f t="array" ref="N133">_xlfn.SWITCH(
   Working_Sales[[#This Row],[Gender_Whitespace_Removed]],
   "m", "Male",
   "f", "Female",
   Working_Sales[[#This Row],[Gender_Whitespace_Removed]]
)</f>
        <v>Female</v>
      </c>
      <c r="O133" s="6" t="str">
        <f>PROPER(Working_Sales[[#This Row],[Gender_Abbreviation_Expanded]])</f>
        <v>Female</v>
      </c>
      <c r="P133">
        <v>34</v>
      </c>
      <c r="Q133" s="2" t="str">
        <f>CLEAN(TRIM(Working_Sales[[#This Row],[Age]]))</f>
        <v>34</v>
      </c>
      <c r="R133" s="6">
        <f>INT(SUBSTITUTE(Working_Sales[[#This Row],[Age_Whitespace_Removed]],".",","))</f>
        <v>34</v>
      </c>
      <c r="S133" t="s">
        <v>36</v>
      </c>
      <c r="T133" s="2" t="str">
        <f>CLEAN(TRIM(Working_Sales[[#This Row],[Product Category]]))</f>
        <v>Beauty</v>
      </c>
      <c r="U133" s="6" t="str">
        <f>PROPER(Working_Sales[[#This Row],[Product_Category_Whitespace_Removed]])</f>
        <v>Beauty</v>
      </c>
      <c r="V133" t="s">
        <v>14</v>
      </c>
      <c r="W133" s="2" t="str">
        <f>CLEAN(TRIM(Working_Sales[[#This Row],[Quantity]]))</f>
        <v>4</v>
      </c>
      <c r="X133" s="2">
        <f>INT(Working_Sales[[#This Row],[`]])</f>
        <v>4</v>
      </c>
      <c r="Y133" s="6">
        <f>IFERROR(
   Working_Sales[[#This Row],[Quantity_Converted_To_Integer]],
   Working_Sales[[#This Row],[Total_Amount_Whitespace_Removed]]/Working_Sales[[#This Row],[Price_Per_Unit_Decimal_Separator_Fixed]])</f>
        <v>4</v>
      </c>
      <c r="Z133" t="s">
        <v>57</v>
      </c>
      <c r="AA133" s="2" t="str">
        <f>CLEAN(TRIM(Working_Sales[[#This Row],[Price per Unit]]))</f>
        <v>500</v>
      </c>
      <c r="AB133" s="2">
        <f>INT(
   SUBSTITUTE(Working_Sales[[#This Row],[Price_Per_Unit_Whitespace_Removed]],
   "$",
   ""
   )
)</f>
        <v>500</v>
      </c>
      <c r="AC133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133" s="8">
        <f>IFERROR(
   Working_Sales[[#This Row],[Price_Per_Unit_Decimal_Separator_Fixed]],
   Working_Sales[[#This Row],[Total_Amount_Converted_To_Integer]]/Working_Sales[[#This Row],[Quantity_Converted_To_Integer]]
)</f>
        <v>500</v>
      </c>
      <c r="AE133" t="s">
        <v>232</v>
      </c>
      <c r="AF133" s="2" t="str">
        <f>CLEAN(TRIM(Working_Sales[[#This Row],[Total Amount]]))</f>
        <v>2000</v>
      </c>
      <c r="AG133" s="2">
        <f>INT(Working_Sales[[#This Row],[Total_Amount_Whitespace_Removed]])</f>
        <v>2000</v>
      </c>
      <c r="AH13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134" spans="1:34" x14ac:dyDescent="0.35">
      <c r="A134" t="s">
        <v>123</v>
      </c>
      <c r="B134" s="6" t="str">
        <f>CLEAN(TRIM(Working_Sales[[#This Row],[Transaction ID]]))</f>
        <v>39</v>
      </c>
      <c r="C134" t="s">
        <v>2026</v>
      </c>
      <c r="D134" s="2" t="str">
        <f>CLEAN(TRIM(Working_Sales[[#This Row],[Date]]))</f>
        <v>04/21/2023</v>
      </c>
      <c r="E134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13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45037</v>
      </c>
      <c r="G13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45037</v>
      </c>
      <c r="H134" t="s">
        <v>2433</v>
      </c>
      <c r="I134" s="2" t="str">
        <f>CLEAN(TRIM(Working_Sales[[#This Row],[Customer ID]]))</f>
        <v>Cust118</v>
      </c>
      <c r="J13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3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CUST118</v>
      </c>
      <c r="L134" t="s">
        <v>34</v>
      </c>
      <c r="M134" s="4" t="str">
        <f>CLEAN(TRIM(Working_Sales[[#This Row],[Gender]]))</f>
        <v>Male</v>
      </c>
      <c r="N134" s="4" t="str" cm="1">
        <f t="array" ref="N134">_xlfn.SWITCH(
   Working_Sales[[#This Row],[Gender_Whitespace_Removed]],
   "m", "Male",
   "f", "Female",
   Working_Sales[[#This Row],[Gender_Whitespace_Removed]]
)</f>
        <v>Male</v>
      </c>
      <c r="O134" s="6" t="str">
        <f>PROPER(Working_Sales[[#This Row],[Gender_Abbreviation_Expanded]])</f>
        <v>Male</v>
      </c>
      <c r="P134">
        <v>23</v>
      </c>
      <c r="Q134" s="2" t="str">
        <f>CLEAN(TRIM(Working_Sales[[#This Row],[Age]]))</f>
        <v>23</v>
      </c>
      <c r="R134" s="6">
        <f>INT(SUBSTITUTE(Working_Sales[[#This Row],[Age_Whitespace_Removed]],".",","))</f>
        <v>23</v>
      </c>
      <c r="S134" t="s">
        <v>89</v>
      </c>
      <c r="T134" s="2" t="str">
        <f>CLEAN(TRIM(Working_Sales[[#This Row],[Product Category]]))</f>
        <v>CLOTHING</v>
      </c>
      <c r="U134" s="6" t="str">
        <f>PROPER(Working_Sales[[#This Row],[Product_Category_Whitespace_Removed]])</f>
        <v>Clothing</v>
      </c>
      <c r="V134" t="s">
        <v>14</v>
      </c>
      <c r="W134" s="2" t="str">
        <f>CLEAN(TRIM(Working_Sales[[#This Row],[Quantity]]))</f>
        <v>4</v>
      </c>
      <c r="X134" s="2">
        <f>INT(Working_Sales[[#This Row],[`]])</f>
        <v>4</v>
      </c>
      <c r="Y134" s="6">
        <f>IFERROR(
   Working_Sales[[#This Row],[Quantity_Converted_To_Integer]],
   Working_Sales[[#This Row],[Total_Amount_Whitespace_Removed]]/Working_Sales[[#This Row],[Price_Per_Unit_Decimal_Separator_Fixed]])</f>
        <v>4</v>
      </c>
      <c r="Z134" t="s">
        <v>147</v>
      </c>
      <c r="AA134" s="2" t="str">
        <f>CLEAN(TRIM(Working_Sales[[#This Row],[Price per Unit]]))</f>
        <v>$30</v>
      </c>
      <c r="AB134" s="2">
        <f>INT(
   SUBSTITUTE(Working_Sales[[#This Row],[Price_Per_Unit_Whitespace_Removed]],
   "$",
   ""
   )
)</f>
        <v>30</v>
      </c>
      <c r="AC134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134" s="8">
        <f>IFERROR(
   Working_Sales[[#This Row],[Price_Per_Unit_Decimal_Separator_Fixed]],
   Working_Sales[[#This Row],[Total_Amount_Converted_To_Integer]]/Working_Sales[[#This Row],[Quantity_Converted_To_Integer]]
)</f>
        <v>30</v>
      </c>
      <c r="AE134" t="s">
        <v>44</v>
      </c>
      <c r="AF134" s="2" t="str">
        <f>CLEAN(TRIM(Working_Sales[[#This Row],[Total Amount]]))</f>
        <v>120</v>
      </c>
      <c r="AG134" s="2">
        <f>INT(Working_Sales[[#This Row],[Total_Amount_Whitespace_Removed]])</f>
        <v>120</v>
      </c>
      <c r="AH13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135" spans="1:34" x14ac:dyDescent="0.35">
      <c r="A135" t="s">
        <v>386</v>
      </c>
      <c r="B135" s="6" t="str">
        <f>CLEAN(TRIM(Working_Sales[[#This Row],[Transaction ID]]))</f>
        <v>784</v>
      </c>
      <c r="C135" t="s">
        <v>2027</v>
      </c>
      <c r="D135" s="2" t="str">
        <f>CLEAN(TRIM(Working_Sales[[#This Row],[Date]]))</f>
        <v>04-Nov-2023</v>
      </c>
      <c r="E13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45234</v>
      </c>
      <c r="F13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45234</v>
      </c>
      <c r="G13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45234</v>
      </c>
      <c r="H135" t="s">
        <v>2434</v>
      </c>
      <c r="I135" s="2" t="str">
        <f>CLEAN(TRIM(Working_Sales[[#This Row],[Customer ID]]))</f>
        <v>CUST119</v>
      </c>
      <c r="J13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CUST119</v>
      </c>
      <c r="K13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CUST119</v>
      </c>
      <c r="L135" t="s">
        <v>26</v>
      </c>
      <c r="M135" s="4" t="str">
        <f>CLEAN(TRIM(Working_Sales[[#This Row],[Gender]]))</f>
        <v>Female</v>
      </c>
      <c r="N135" s="4" t="str" cm="1">
        <f t="array" ref="N135">_xlfn.SWITCH(
   Working_Sales[[#This Row],[Gender_Whitespace_Removed]],
   "m", "Male",
   "f", "Female",
   Working_Sales[[#This Row],[Gender_Whitespace_Removed]]
)</f>
        <v>Female</v>
      </c>
      <c r="O135" s="6" t="str">
        <f>PROPER(Working_Sales[[#This Row],[Gender_Abbreviation_Expanded]])</f>
        <v>Female</v>
      </c>
      <c r="P135">
        <v>34</v>
      </c>
      <c r="Q135" s="2" t="str">
        <f>CLEAN(TRIM(Working_Sales[[#This Row],[Age]]))</f>
        <v>34</v>
      </c>
      <c r="R135" s="6">
        <f>INT(SUBSTITUTE(Working_Sales[[#This Row],[Age_Whitespace_Removed]],".",","))</f>
        <v>34</v>
      </c>
      <c r="S135" t="s">
        <v>13</v>
      </c>
      <c r="T135" s="2" t="str">
        <f>CLEAN(TRIM(Working_Sales[[#This Row],[Product Category]]))</f>
        <v>Electronics</v>
      </c>
      <c r="U135" s="6" t="str">
        <f>PROPER(Working_Sales[[#This Row],[Product_Category_Whitespace_Removed]])</f>
        <v>Electronics</v>
      </c>
      <c r="V135" t="s">
        <v>22</v>
      </c>
      <c r="W135" s="2" t="str">
        <f>CLEAN(TRIM(Working_Sales[[#This Row],[Quantity]]))</f>
        <v>1</v>
      </c>
      <c r="X135" s="2">
        <f>INT(Working_Sales[[#This Row],[`]])</f>
        <v>1</v>
      </c>
      <c r="Y135" s="6">
        <f>IFERROR(
   Working_Sales[[#This Row],[Quantity_Converted_To_Integer]],
   Working_Sales[[#This Row],[Total_Amount_Whitespace_Removed]]/Working_Sales[[#This Row],[Price_Per_Unit_Decimal_Separator_Fixed]])</f>
        <v>1</v>
      </c>
      <c r="Z135" t="s">
        <v>162</v>
      </c>
      <c r="AA135" s="2" t="str">
        <f>CLEAN(TRIM(Working_Sales[[#This Row],[Price per Unit]]))</f>
        <v>$500</v>
      </c>
      <c r="AB135" s="2">
        <f>INT(
   SUBSTITUTE(Working_Sales[[#This Row],[Price_Per_Unit_Whitespace_Removed]],
   "$",
   ""
   )
)</f>
        <v>500</v>
      </c>
      <c r="AC135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135" s="8">
        <f>IFERROR(
   Working_Sales[[#This Row],[Price_Per_Unit_Decimal_Separator_Fixed]],
   Working_Sales[[#This Row],[Total_Amount_Converted_To_Integer]]/Working_Sales[[#This Row],[Quantity_Converted_To_Integer]]
)</f>
        <v>500</v>
      </c>
      <c r="AE135" t="s">
        <v>57</v>
      </c>
      <c r="AF135" s="2" t="str">
        <f>CLEAN(TRIM(Working_Sales[[#This Row],[Total Amount]]))</f>
        <v>500</v>
      </c>
      <c r="AG135" s="2">
        <f>INT(Working_Sales[[#This Row],[Total_Amount_Whitespace_Removed]])</f>
        <v>500</v>
      </c>
      <c r="AH13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136" spans="1:34" x14ac:dyDescent="0.35">
      <c r="A136" t="s">
        <v>387</v>
      </c>
      <c r="B136" s="6" t="str">
        <f>CLEAN(TRIM(Working_Sales[[#This Row],[Transaction ID]]))</f>
        <v>319</v>
      </c>
      <c r="C136" t="s">
        <v>388</v>
      </c>
      <c r="D136" s="2" t="str">
        <f>CLEAN(TRIM(Working_Sales[[#This Row],[Date]]))</f>
        <v>2023-10-05</v>
      </c>
      <c r="E13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45204</v>
      </c>
      <c r="F13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45204</v>
      </c>
      <c r="G13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45204</v>
      </c>
      <c r="H136" t="s">
        <v>2388</v>
      </c>
      <c r="I136" s="2" t="str">
        <f>CLEAN(TRIM(Working_Sales[[#This Row],[Customer ID]]))</f>
        <v>CUST-073</v>
      </c>
      <c r="J13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3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CUST073</v>
      </c>
      <c r="L136" t="s">
        <v>34</v>
      </c>
      <c r="M136" s="4" t="str">
        <f>CLEAN(TRIM(Working_Sales[[#This Row],[Gender]]))</f>
        <v>Male</v>
      </c>
      <c r="N136" s="4" t="str" cm="1">
        <f t="array" ref="N136">_xlfn.SWITCH(
   Working_Sales[[#This Row],[Gender_Whitespace_Removed]],
   "m", "Male",
   "f", "Female",
   Working_Sales[[#This Row],[Gender_Whitespace_Removed]]
)</f>
        <v>Male</v>
      </c>
      <c r="O136" s="6" t="str">
        <f>PROPER(Working_Sales[[#This Row],[Gender_Abbreviation_Expanded]])</f>
        <v>Male</v>
      </c>
      <c r="P136">
        <v>31</v>
      </c>
      <c r="Q136" s="2" t="str">
        <f>CLEAN(TRIM(Working_Sales[[#This Row],[Age]]))</f>
        <v>31</v>
      </c>
      <c r="R136" s="6">
        <f>INT(SUBSTITUTE(Working_Sales[[#This Row],[Age_Whitespace_Removed]],".",","))</f>
        <v>31</v>
      </c>
      <c r="S136" t="s">
        <v>56</v>
      </c>
      <c r="T136" s="2" t="str">
        <f>CLEAN(TRIM(Working_Sales[[#This Row],[Product Category]]))</f>
        <v>Clothing</v>
      </c>
      <c r="U136" s="6" t="str">
        <f>PROPER(Working_Sales[[#This Row],[Product_Category_Whitespace_Removed]])</f>
        <v>Clothing</v>
      </c>
      <c r="V136" t="s">
        <v>22</v>
      </c>
      <c r="W136" s="2" t="str">
        <f>CLEAN(TRIM(Working_Sales[[#This Row],[Quantity]]))</f>
        <v>1</v>
      </c>
      <c r="X136" s="2">
        <f>INT(Working_Sales[[#This Row],[`]])</f>
        <v>1</v>
      </c>
      <c r="Y136" s="6">
        <f>IFERROR(
   Working_Sales[[#This Row],[Quantity_Converted_To_Integer]],
   Working_Sales[[#This Row],[Total_Amount_Whitespace_Removed]]/Working_Sales[[#This Row],[Price_Per_Unit_Decimal_Separator_Fixed]])</f>
        <v>1</v>
      </c>
      <c r="Z136" t="s">
        <v>162</v>
      </c>
      <c r="AA136" s="2" t="str">
        <f>CLEAN(TRIM(Working_Sales[[#This Row],[Price per Unit]]))</f>
        <v>$500</v>
      </c>
      <c r="AB136" s="2">
        <f>INT(
   SUBSTITUTE(Working_Sales[[#This Row],[Price_Per_Unit_Whitespace_Removed]],
   "$",
   ""
   )
)</f>
        <v>500</v>
      </c>
      <c r="AC136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136" s="8">
        <f>IFERROR(
   Working_Sales[[#This Row],[Price_Per_Unit_Decimal_Separator_Fixed]],
   Working_Sales[[#This Row],[Total_Amount_Converted_To_Integer]]/Working_Sales[[#This Row],[Quantity_Converted_To_Integer]]
)</f>
        <v>500</v>
      </c>
      <c r="AE136" t="s">
        <v>57</v>
      </c>
      <c r="AF136" s="2" t="str">
        <f>CLEAN(TRIM(Working_Sales[[#This Row],[Total Amount]]))</f>
        <v>500</v>
      </c>
      <c r="AG136" s="2">
        <f>INT(Working_Sales[[#This Row],[Total_Amount_Whitespace_Removed]])</f>
        <v>500</v>
      </c>
      <c r="AH13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137" spans="1:34" x14ac:dyDescent="0.35">
      <c r="A137" t="s">
        <v>390</v>
      </c>
      <c r="B137" s="6" t="str">
        <f>CLEAN(TRIM(Working_Sales[[#This Row],[Transaction ID]]))</f>
        <v>229</v>
      </c>
      <c r="C137" t="s">
        <v>391</v>
      </c>
      <c r="D137" s="2" t="str">
        <f>CLEAN(TRIM(Working_Sales[[#This Row],[Date]]))</f>
        <v>2023-10-29</v>
      </c>
      <c r="E13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45228</v>
      </c>
      <c r="F13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45228</v>
      </c>
      <c r="G13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45228</v>
      </c>
      <c r="H137" t="s">
        <v>2435</v>
      </c>
      <c r="I137" s="2" t="str">
        <f>CLEAN(TRIM(Working_Sales[[#This Row],[Customer ID]]))</f>
        <v>CUST-120</v>
      </c>
      <c r="J13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3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CUST120</v>
      </c>
      <c r="L137" t="s">
        <v>34</v>
      </c>
      <c r="M137" s="4" t="str">
        <f>CLEAN(TRIM(Working_Sales[[#This Row],[Gender]]))</f>
        <v>Male</v>
      </c>
      <c r="N137" s="4" t="str" cm="1">
        <f t="array" ref="N137">_xlfn.SWITCH(
   Working_Sales[[#This Row],[Gender_Whitespace_Removed]],
   "m", "Male",
   "f", "Female",
   Working_Sales[[#This Row],[Gender_Whitespace_Removed]]
)</f>
        <v>Male</v>
      </c>
      <c r="O137" s="6" t="str">
        <f>PROPER(Working_Sales[[#This Row],[Gender_Abbreviation_Expanded]])</f>
        <v>Male</v>
      </c>
      <c r="P137">
        <v>58</v>
      </c>
      <c r="Q137" s="2" t="str">
        <f>CLEAN(TRIM(Working_Sales[[#This Row],[Age]]))</f>
        <v>58</v>
      </c>
      <c r="R137" s="6">
        <f>INT(SUBSTITUTE(Working_Sales[[#This Row],[Age_Whitespace_Removed]],".",","))</f>
        <v>58</v>
      </c>
      <c r="S137" t="s">
        <v>69</v>
      </c>
      <c r="T137" s="2" t="str">
        <f>CLEAN(TRIM(Working_Sales[[#This Row],[Product Category]]))</f>
        <v>BEAUTY</v>
      </c>
      <c r="U137" s="6" t="str">
        <f>PROPER(Working_Sales[[#This Row],[Product_Category_Whitespace_Removed]])</f>
        <v>Beauty</v>
      </c>
      <c r="V137" t="s">
        <v>29</v>
      </c>
      <c r="W137" s="2" t="str">
        <f>CLEAN(TRIM(Working_Sales[[#This Row],[Quantity]]))</f>
        <v>3</v>
      </c>
      <c r="X137" s="2">
        <f>INT(Working_Sales[[#This Row],[`]])</f>
        <v>3</v>
      </c>
      <c r="Y137" s="6">
        <f>IFERROR(
   Working_Sales[[#This Row],[Quantity_Converted_To_Integer]],
   Working_Sales[[#This Row],[Total_Amount_Whitespace_Removed]]/Working_Sales[[#This Row],[Price_Per_Unit_Decimal_Separator_Fixed]])</f>
        <v>3</v>
      </c>
      <c r="Z137" t="s">
        <v>70</v>
      </c>
      <c r="AA137" s="2" t="str">
        <f>CLEAN(TRIM(Working_Sales[[#This Row],[Price per Unit]]))</f>
        <v>30</v>
      </c>
      <c r="AB137" s="2">
        <f>INT(
   SUBSTITUTE(Working_Sales[[#This Row],[Price_Per_Unit_Whitespace_Removed]],
   "$",
   ""
   )
)</f>
        <v>30</v>
      </c>
      <c r="AC137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137" s="8">
        <f>IFERROR(
   Working_Sales[[#This Row],[Price_Per_Unit_Decimal_Separator_Fixed]],
   Working_Sales[[#This Row],[Total_Amount_Converted_To_Integer]]/Working_Sales[[#This Row],[Quantity_Converted_To_Integer]]
)</f>
        <v>30</v>
      </c>
      <c r="AE137" t="s">
        <v>191</v>
      </c>
      <c r="AF137" s="2" t="str">
        <f>CLEAN(TRIM(Working_Sales[[#This Row],[Total Amount]]))</f>
        <v>90</v>
      </c>
      <c r="AG137" s="2">
        <f>INT(Working_Sales[[#This Row],[Total_Amount_Whitespace_Removed]])</f>
        <v>90</v>
      </c>
      <c r="AH13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138" spans="1:34" x14ac:dyDescent="0.35">
      <c r="A138" t="s">
        <v>393</v>
      </c>
      <c r="B138" s="6" t="str">
        <f>CLEAN(TRIM(Working_Sales[[#This Row],[Transaction ID]]))</f>
        <v>936</v>
      </c>
      <c r="C138" t="s">
        <v>394</v>
      </c>
      <c r="D138" s="2" t="str">
        <f>CLEAN(TRIM(Working_Sales[[#This Row],[Date]]))</f>
        <v>February 07, 2023</v>
      </c>
      <c r="E138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138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13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44964</v>
      </c>
      <c r="H138" t="s">
        <v>971</v>
      </c>
      <c r="I138" s="2" t="str">
        <f>CLEAN(TRIM(Working_Sales[[#This Row],[Customer ID]]))</f>
        <v>CUST121</v>
      </c>
      <c r="J13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3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CUST121</v>
      </c>
      <c r="L138" t="s">
        <v>34</v>
      </c>
      <c r="M138" s="4" t="str">
        <f>CLEAN(TRIM(Working_Sales[[#This Row],[Gender]]))</f>
        <v>Male</v>
      </c>
      <c r="N138" s="4" t="str" cm="1">
        <f t="array" ref="N138">_xlfn.SWITCH(
   Working_Sales[[#This Row],[Gender_Whitespace_Removed]],
   "m", "Male",
   "f", "Female",
   Working_Sales[[#This Row],[Gender_Whitespace_Removed]]
)</f>
        <v>Male</v>
      </c>
      <c r="O138" s="6" t="str">
        <f>PROPER(Working_Sales[[#This Row],[Gender_Abbreviation_Expanded]])</f>
        <v>Male</v>
      </c>
      <c r="P138">
        <v>57</v>
      </c>
      <c r="Q138" s="2" t="str">
        <f>CLEAN(TRIM(Working_Sales[[#This Row],[Age]]))</f>
        <v>57</v>
      </c>
      <c r="R138" s="6">
        <f>INT(SUBSTITUTE(Working_Sales[[#This Row],[Age_Whitespace_Removed]],".",","))</f>
        <v>57</v>
      </c>
      <c r="S138" t="s">
        <v>36</v>
      </c>
      <c r="T138" s="2" t="str">
        <f>CLEAN(TRIM(Working_Sales[[#This Row],[Product Category]]))</f>
        <v>Beauty</v>
      </c>
      <c r="U138" s="6" t="str">
        <f>PROPER(Working_Sales[[#This Row],[Product_Category_Whitespace_Removed]])</f>
        <v>Beauty</v>
      </c>
      <c r="V138" t="s">
        <v>14</v>
      </c>
      <c r="W138" s="2" t="str">
        <f>CLEAN(TRIM(Working_Sales[[#This Row],[Quantity]]))</f>
        <v>4</v>
      </c>
      <c r="X138" s="2">
        <f>INT(Working_Sales[[#This Row],[`]])</f>
        <v>4</v>
      </c>
      <c r="Y138" s="6">
        <f>IFERROR(
   Working_Sales[[#This Row],[Quantity_Converted_To_Integer]],
   Working_Sales[[#This Row],[Total_Amount_Whitespace_Removed]]/Working_Sales[[#This Row],[Price_Per_Unit_Decimal_Separator_Fixed]])</f>
        <v>4</v>
      </c>
      <c r="Z138" t="s">
        <v>15</v>
      </c>
      <c r="AA138" s="2" t="str">
        <f>CLEAN(TRIM(Working_Sales[[#This Row],[Price per Unit]]))</f>
        <v>50</v>
      </c>
      <c r="AB138" s="2">
        <f>INT(
   SUBSTITUTE(Working_Sales[[#This Row],[Price_Per_Unit_Whitespace_Removed]],
   "$",
   ""
   )
)</f>
        <v>50</v>
      </c>
      <c r="AC138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138" s="8">
        <f>IFERROR(
   Working_Sales[[#This Row],[Price_Per_Unit_Decimal_Separator_Fixed]],
   Working_Sales[[#This Row],[Total_Amount_Converted_To_Integer]]/Working_Sales[[#This Row],[Quantity_Converted_To_Integer]]
)</f>
        <v>50</v>
      </c>
      <c r="AE138" t="s">
        <v>16</v>
      </c>
      <c r="AF138" s="2" t="str">
        <f>CLEAN(TRIM(Working_Sales[[#This Row],[Total Amount]]))</f>
        <v>200</v>
      </c>
      <c r="AG138" s="2">
        <f>INT(Working_Sales[[#This Row],[Total_Amount_Whitespace_Removed]])</f>
        <v>200</v>
      </c>
      <c r="AH13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139" spans="1:34" x14ac:dyDescent="0.35">
      <c r="A139" t="s">
        <v>395</v>
      </c>
      <c r="B139" s="6" t="str">
        <f>CLEAN(TRIM(Working_Sales[[#This Row],[Transaction ID]]))</f>
        <v>614</v>
      </c>
      <c r="C139" t="s">
        <v>2028</v>
      </c>
      <c r="D139" s="2" t="str">
        <f>CLEAN(TRIM(Working_Sales[[#This Row],[Date]]))</f>
        <v>01-Apr-2023</v>
      </c>
      <c r="E13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45017</v>
      </c>
      <c r="F13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45017</v>
      </c>
      <c r="G13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45017</v>
      </c>
      <c r="H139" t="s">
        <v>2436</v>
      </c>
      <c r="I139" s="2" t="str">
        <f>CLEAN(TRIM(Working_Sales[[#This Row],[Customer ID]]))</f>
        <v>CUST122</v>
      </c>
      <c r="J13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CUST122</v>
      </c>
      <c r="K13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CUST122</v>
      </c>
      <c r="L139" t="s">
        <v>26</v>
      </c>
      <c r="M139" s="4" t="str">
        <f>CLEAN(TRIM(Working_Sales[[#This Row],[Gender]]))</f>
        <v>Female</v>
      </c>
      <c r="N139" s="4" t="str" cm="1">
        <f t="array" ref="N139">_xlfn.SWITCH(
   Working_Sales[[#This Row],[Gender_Whitespace_Removed]],
   "m", "Male",
   "f", "Female",
   Working_Sales[[#This Row],[Gender_Whitespace_Removed]]
)</f>
        <v>Female</v>
      </c>
      <c r="O139" s="6" t="str">
        <f>PROPER(Working_Sales[[#This Row],[Gender_Abbreviation_Expanded]])</f>
        <v>Female</v>
      </c>
      <c r="P139">
        <v>39</v>
      </c>
      <c r="Q139" s="2" t="str">
        <f>CLEAN(TRIM(Working_Sales[[#This Row],[Age]]))</f>
        <v>39</v>
      </c>
      <c r="R139" s="6">
        <f>INT(SUBSTITUTE(Working_Sales[[#This Row],[Age_Whitespace_Removed]],".",","))</f>
        <v>39</v>
      </c>
      <c r="S139" t="s">
        <v>36</v>
      </c>
      <c r="T139" s="2" t="str">
        <f>CLEAN(TRIM(Working_Sales[[#This Row],[Product Category]]))</f>
        <v>Beauty</v>
      </c>
      <c r="U139" s="6" t="str">
        <f>PROPER(Working_Sales[[#This Row],[Product_Category_Whitespace_Removed]])</f>
        <v>Beauty</v>
      </c>
      <c r="V139" t="s">
        <v>14</v>
      </c>
      <c r="W139" s="2" t="str">
        <f>CLEAN(TRIM(Working_Sales[[#This Row],[Quantity]]))</f>
        <v>4</v>
      </c>
      <c r="X139" s="2">
        <f>INT(Working_Sales[[#This Row],[`]])</f>
        <v>4</v>
      </c>
      <c r="Y139" s="6">
        <f>IFERROR(
   Working_Sales[[#This Row],[Quantity_Converted_To_Integer]],
   Working_Sales[[#This Row],[Total_Amount_Whitespace_Removed]]/Working_Sales[[#This Row],[Price_Per_Unit_Decimal_Separator_Fixed]])</f>
        <v>4</v>
      </c>
      <c r="Z139" t="s">
        <v>23</v>
      </c>
      <c r="AA139" s="2" t="str">
        <f>CLEAN(TRIM(Working_Sales[[#This Row],[Price per Unit]]))</f>
        <v>300</v>
      </c>
      <c r="AB139" s="2">
        <f>INT(
   SUBSTITUTE(Working_Sales[[#This Row],[Price_Per_Unit_Whitespace_Removed]],
   "$",
   ""
   )
)</f>
        <v>300</v>
      </c>
      <c r="AC139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139" s="8">
        <f>IFERROR(
   Working_Sales[[#This Row],[Price_Per_Unit_Decimal_Separator_Fixed]],
   Working_Sales[[#This Row],[Total_Amount_Converted_To_Integer]]/Working_Sales[[#This Row],[Quantity_Converted_To_Integer]]
)</f>
        <v>300</v>
      </c>
      <c r="AE139" t="s">
        <v>79</v>
      </c>
      <c r="AF139" s="2" t="str">
        <f>CLEAN(TRIM(Working_Sales[[#This Row],[Total Amount]]))</f>
        <v>1200</v>
      </c>
      <c r="AG139" s="2">
        <f>INT(Working_Sales[[#This Row],[Total_Amount_Whitespace_Removed]])</f>
        <v>1200</v>
      </c>
      <c r="AH13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140" spans="1:34" x14ac:dyDescent="0.35">
      <c r="A140" t="s">
        <v>396</v>
      </c>
      <c r="B140" s="6" t="str">
        <f>CLEAN(TRIM(Working_Sales[[#This Row],[Transaction ID]]))</f>
        <v>243</v>
      </c>
      <c r="C140" t="s">
        <v>397</v>
      </c>
      <c r="D140" s="2" t="str">
        <f>CLEAN(TRIM(Working_Sales[[#This Row],[Date]]))</f>
        <v>23/05/2023</v>
      </c>
      <c r="E14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45069</v>
      </c>
      <c r="F14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45069</v>
      </c>
      <c r="G14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45069</v>
      </c>
      <c r="H140" t="s">
        <v>2215</v>
      </c>
      <c r="I140" s="2" t="str">
        <f>CLEAN(TRIM(Working_Sales[[#This Row],[Customer ID]]))</f>
        <v>CUST123</v>
      </c>
      <c r="J14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CUST123</v>
      </c>
      <c r="K14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CUST123</v>
      </c>
      <c r="L140" t="s">
        <v>140</v>
      </c>
      <c r="M140" s="4" t="str">
        <f>CLEAN(TRIM(Working_Sales[[#This Row],[Gender]]))</f>
        <v>FEMALE</v>
      </c>
      <c r="N140" s="4" t="str" cm="1">
        <f t="array" ref="N140">_xlfn.SWITCH(
   Working_Sales[[#This Row],[Gender_Whitespace_Removed]],
   "m", "Male",
   "f", "Female",
   Working_Sales[[#This Row],[Gender_Whitespace_Removed]]
)</f>
        <v>FEMALE</v>
      </c>
      <c r="O140" s="6" t="str">
        <f>PROPER(Working_Sales[[#This Row],[Gender_Abbreviation_Expanded]])</f>
        <v>Female</v>
      </c>
      <c r="P140">
        <v>47</v>
      </c>
      <c r="Q140" s="2" t="str">
        <f>CLEAN(TRIM(Working_Sales[[#This Row],[Age]]))</f>
        <v>47</v>
      </c>
      <c r="R140" s="6">
        <f>INT(SUBSTITUTE(Working_Sales[[#This Row],[Age_Whitespace_Removed]],".",","))</f>
        <v>47</v>
      </c>
      <c r="S140" t="s">
        <v>13</v>
      </c>
      <c r="T140" s="2" t="str">
        <f>CLEAN(TRIM(Working_Sales[[#This Row],[Product Category]]))</f>
        <v>Electronics</v>
      </c>
      <c r="U140" s="6" t="str">
        <f>PROPER(Working_Sales[[#This Row],[Product_Category_Whitespace_Removed]])</f>
        <v>Electronics</v>
      </c>
      <c r="V140" t="s">
        <v>29</v>
      </c>
      <c r="W140" s="2" t="str">
        <f>CLEAN(TRIM(Working_Sales[[#This Row],[Quantity]]))</f>
        <v>3</v>
      </c>
      <c r="X140" s="2">
        <f>INT(Working_Sales[[#This Row],[`]])</f>
        <v>3</v>
      </c>
      <c r="Y140" s="6">
        <f>IFERROR(
   Working_Sales[[#This Row],[Quantity_Converted_To_Integer]],
   Working_Sales[[#This Row],[Total_Amount_Whitespace_Removed]]/Working_Sales[[#This Row],[Price_Per_Unit_Decimal_Separator_Fixed]])</f>
        <v>3</v>
      </c>
      <c r="Z140" t="s">
        <v>23</v>
      </c>
      <c r="AA140" s="2" t="str">
        <f>CLEAN(TRIM(Working_Sales[[#This Row],[Price per Unit]]))</f>
        <v>300</v>
      </c>
      <c r="AB140" s="2">
        <f>INT(
   SUBSTITUTE(Working_Sales[[#This Row],[Price_Per_Unit_Whitespace_Removed]],
   "$",
   ""
   )
)</f>
        <v>300</v>
      </c>
      <c r="AC140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140" s="8">
        <f>IFERROR(
   Working_Sales[[#This Row],[Price_Per_Unit_Decimal_Separator_Fixed]],
   Working_Sales[[#This Row],[Total_Amount_Converted_To_Integer]]/Working_Sales[[#This Row],[Quantity_Converted_To_Integer]]
)</f>
        <v>300</v>
      </c>
      <c r="AE140" t="s">
        <v>128</v>
      </c>
      <c r="AF140" s="2" t="str">
        <f>CLEAN(TRIM(Working_Sales[[#This Row],[Total Amount]]))</f>
        <v>900</v>
      </c>
      <c r="AG140" s="2">
        <f>INT(Working_Sales[[#This Row],[Total_Amount_Whitespace_Removed]])</f>
        <v>900</v>
      </c>
      <c r="AH14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141" spans="1:34" x14ac:dyDescent="0.35">
      <c r="A141" t="s">
        <v>399</v>
      </c>
      <c r="B141" s="6" t="str">
        <f>CLEAN(TRIM(Working_Sales[[#This Row],[Transaction ID]]))</f>
        <v>835</v>
      </c>
      <c r="C141" t="s">
        <v>2029</v>
      </c>
      <c r="D141" s="2" t="str">
        <f>CLEAN(TRIM(Working_Sales[[#This Row],[Date]]))</f>
        <v>07-Sep-2023</v>
      </c>
      <c r="E14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45176</v>
      </c>
      <c r="F14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45176</v>
      </c>
      <c r="G14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45176</v>
      </c>
      <c r="H141" t="s">
        <v>2437</v>
      </c>
      <c r="I141" s="2" t="str">
        <f>CLEAN(TRIM(Working_Sales[[#This Row],[Customer ID]]))</f>
        <v>cust124</v>
      </c>
      <c r="J14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4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CUST124</v>
      </c>
      <c r="L141" t="s">
        <v>268</v>
      </c>
      <c r="M141" s="4" t="str">
        <f>CLEAN(TRIM(Working_Sales[[#This Row],[Gender]]))</f>
        <v>M</v>
      </c>
      <c r="N141" s="4" t="str" cm="1">
        <f t="array" ref="N141">_xlfn.SWITCH(
   Working_Sales[[#This Row],[Gender_Whitespace_Removed]],
   "m", "Male",
   "f", "Female",
   Working_Sales[[#This Row],[Gender_Whitespace_Removed]]
)</f>
        <v>Male</v>
      </c>
      <c r="O141" s="6" t="str">
        <f>PROPER(Working_Sales[[#This Row],[Gender_Abbreviation_Expanded]])</f>
        <v>Male</v>
      </c>
      <c r="P141">
        <v>37</v>
      </c>
      <c r="Q141" s="2" t="str">
        <f>CLEAN(TRIM(Working_Sales[[#This Row],[Age]]))</f>
        <v>37</v>
      </c>
      <c r="R141" s="6">
        <f>INT(SUBSTITUTE(Working_Sales[[#This Row],[Age_Whitespace_Removed]],".",","))</f>
        <v>37</v>
      </c>
      <c r="S141" t="s">
        <v>400</v>
      </c>
      <c r="T141" s="2" t="str">
        <f>CLEAN(TRIM(Working_Sales[[#This Row],[Product Category]]))</f>
        <v>Clothing</v>
      </c>
      <c r="U141" s="6" t="str">
        <f>PROPER(Working_Sales[[#This Row],[Product_Category_Whitespace_Removed]])</f>
        <v>Clothing</v>
      </c>
      <c r="V141" t="s">
        <v>14</v>
      </c>
      <c r="W141" s="2" t="str">
        <f>CLEAN(TRIM(Working_Sales[[#This Row],[Quantity]]))</f>
        <v>4</v>
      </c>
      <c r="X141" s="2">
        <f>INT(Working_Sales[[#This Row],[`]])</f>
        <v>4</v>
      </c>
      <c r="Y141" s="6">
        <f>IFERROR(
   Working_Sales[[#This Row],[Quantity_Converted_To_Integer]],
   Working_Sales[[#This Row],[Total_Amount_Whitespace_Removed]]/Working_Sales[[#This Row],[Price_Per_Unit_Decimal_Separator_Fixed]])</f>
        <v>4</v>
      </c>
      <c r="Z141" t="s">
        <v>15</v>
      </c>
      <c r="AA141" s="2" t="str">
        <f>CLEAN(TRIM(Working_Sales[[#This Row],[Price per Unit]]))</f>
        <v>50</v>
      </c>
      <c r="AB141" s="2">
        <f>INT(
   SUBSTITUTE(Working_Sales[[#This Row],[Price_Per_Unit_Whitespace_Removed]],
   "$",
   ""
   )
)</f>
        <v>50</v>
      </c>
      <c r="AC141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141" s="8">
        <f>IFERROR(
   Working_Sales[[#This Row],[Price_Per_Unit_Decimal_Separator_Fixed]],
   Working_Sales[[#This Row],[Total_Amount_Converted_To_Integer]]/Working_Sales[[#This Row],[Quantity_Converted_To_Integer]]
)</f>
        <v>50</v>
      </c>
      <c r="AE141" t="s">
        <v>16</v>
      </c>
      <c r="AF141" s="2" t="str">
        <f>CLEAN(TRIM(Working_Sales[[#This Row],[Total Amount]]))</f>
        <v>200</v>
      </c>
      <c r="AG141" s="2">
        <f>INT(Working_Sales[[#This Row],[Total_Amount_Whitespace_Removed]])</f>
        <v>200</v>
      </c>
      <c r="AH14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142" spans="1:34" x14ac:dyDescent="0.35">
      <c r="A142" t="s">
        <v>401</v>
      </c>
      <c r="B142" s="6" t="str">
        <f>CLEAN(TRIM(Working_Sales[[#This Row],[Transaction ID]]))</f>
        <v>396</v>
      </c>
      <c r="C142" t="s">
        <v>402</v>
      </c>
      <c r="D142" s="2" t="str">
        <f>CLEAN(TRIM(Working_Sales[[#This Row],[Date]]))</f>
        <v>2023-02-23</v>
      </c>
      <c r="E14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44980</v>
      </c>
      <c r="F14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44980</v>
      </c>
      <c r="G14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44980</v>
      </c>
      <c r="H142" t="s">
        <v>2438</v>
      </c>
      <c r="I142" s="2" t="str">
        <f>CLEAN(TRIM(Working_Sales[[#This Row],[Customer ID]]))</f>
        <v>CUST125</v>
      </c>
      <c r="J14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CUST125</v>
      </c>
      <c r="K14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CUST125</v>
      </c>
      <c r="L142" t="s">
        <v>26</v>
      </c>
      <c r="M142" s="4" t="str">
        <f>CLEAN(TRIM(Working_Sales[[#This Row],[Gender]]))</f>
        <v>Female</v>
      </c>
      <c r="N142" s="4" t="str" cm="1">
        <f t="array" ref="N142">_xlfn.SWITCH(
   Working_Sales[[#This Row],[Gender_Whitespace_Removed]],
   "m", "Male",
   "f", "Female",
   Working_Sales[[#This Row],[Gender_Whitespace_Removed]]
)</f>
        <v>Female</v>
      </c>
      <c r="O142" s="6" t="str">
        <f>PROPER(Working_Sales[[#This Row],[Gender_Abbreviation_Expanded]])</f>
        <v>Female</v>
      </c>
      <c r="P142">
        <v>55</v>
      </c>
      <c r="Q142" s="2" t="str">
        <f>CLEAN(TRIM(Working_Sales[[#This Row],[Age]]))</f>
        <v>55</v>
      </c>
      <c r="R142" s="6">
        <f>INT(SUBSTITUTE(Working_Sales[[#This Row],[Age_Whitespace_Removed]],".",","))</f>
        <v>55</v>
      </c>
      <c r="S142" t="s">
        <v>36</v>
      </c>
      <c r="T142" s="2" t="str">
        <f>CLEAN(TRIM(Working_Sales[[#This Row],[Product Category]]))</f>
        <v>Beauty</v>
      </c>
      <c r="U142" s="6" t="str">
        <f>PROPER(Working_Sales[[#This Row],[Product_Category_Whitespace_Removed]])</f>
        <v>Beauty</v>
      </c>
      <c r="V142" t="s">
        <v>22</v>
      </c>
      <c r="W142" s="2" t="str">
        <f>CLEAN(TRIM(Working_Sales[[#This Row],[Quantity]]))</f>
        <v>1</v>
      </c>
      <c r="X142" s="2">
        <f>INT(Working_Sales[[#This Row],[`]])</f>
        <v>1</v>
      </c>
      <c r="Y142" s="6">
        <f>IFERROR(
   Working_Sales[[#This Row],[Quantity_Converted_To_Integer]],
   Working_Sales[[#This Row],[Total_Amount_Whitespace_Removed]]/Working_Sales[[#This Row],[Price_Per_Unit_Decimal_Separator_Fixed]])</f>
        <v>1</v>
      </c>
      <c r="Z142" t="s">
        <v>70</v>
      </c>
      <c r="AA142" s="2" t="str">
        <f>CLEAN(TRIM(Working_Sales[[#This Row],[Price per Unit]]))</f>
        <v>30</v>
      </c>
      <c r="AB142" s="2">
        <f>INT(
   SUBSTITUTE(Working_Sales[[#This Row],[Price_Per_Unit_Whitespace_Removed]],
   "$",
   ""
   )
)</f>
        <v>30</v>
      </c>
      <c r="AC142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142" s="8">
        <f>IFERROR(
   Working_Sales[[#This Row],[Price_Per_Unit_Decimal_Separator_Fixed]],
   Working_Sales[[#This Row],[Total_Amount_Converted_To_Integer]]/Working_Sales[[#This Row],[Quantity_Converted_To_Integer]]
)</f>
        <v>30</v>
      </c>
      <c r="AE142" t="s">
        <v>70</v>
      </c>
      <c r="AF142" s="2" t="str">
        <f>CLEAN(TRIM(Working_Sales[[#This Row],[Total Amount]]))</f>
        <v>30</v>
      </c>
      <c r="AG142" s="2">
        <f>INT(Working_Sales[[#This Row],[Total_Amount_Whitespace_Removed]])</f>
        <v>30</v>
      </c>
      <c r="AH14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143" spans="1:34" x14ac:dyDescent="0.35">
      <c r="A143" t="s">
        <v>405</v>
      </c>
      <c r="B143" s="6" t="str">
        <f>CLEAN(TRIM(Working_Sales[[#This Row],[Transaction ID]]))</f>
        <v>206</v>
      </c>
      <c r="C143" t="s">
        <v>252</v>
      </c>
      <c r="D143" s="2" t="str">
        <f>CLEAN(TRIM(Working_Sales[[#This Row],[Date]]))</f>
        <v>2023-08-05</v>
      </c>
      <c r="E14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45143</v>
      </c>
      <c r="F14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45143</v>
      </c>
      <c r="G14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45143</v>
      </c>
      <c r="H143" t="s">
        <v>2439</v>
      </c>
      <c r="I143" s="2" t="str">
        <f>CLEAN(TRIM(Working_Sales[[#This Row],[Customer ID]]))</f>
        <v>Cust126</v>
      </c>
      <c r="J14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4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CUST126</v>
      </c>
      <c r="L143" t="s">
        <v>11</v>
      </c>
      <c r="M143" s="4" t="str">
        <f>CLEAN(TRIM(Working_Sales[[#This Row],[Gender]]))</f>
        <v>MALE</v>
      </c>
      <c r="N143" s="4" t="str" cm="1">
        <f t="array" ref="N143">_xlfn.SWITCH(
   Working_Sales[[#This Row],[Gender_Whitespace_Removed]],
   "m", "Male",
   "f", "Female",
   Working_Sales[[#This Row],[Gender_Whitespace_Removed]]
)</f>
        <v>MALE</v>
      </c>
      <c r="O143" s="6" t="str">
        <f>PROPER(Working_Sales[[#This Row],[Gender_Abbreviation_Expanded]])</f>
        <v>Male</v>
      </c>
      <c r="P143" t="s">
        <v>407</v>
      </c>
      <c r="Q143" s="2" t="str">
        <f>CLEAN(TRIM(Working_Sales[[#This Row],[Age]]))</f>
        <v>61.0</v>
      </c>
      <c r="R143" s="6">
        <f>INT(SUBSTITUTE(Working_Sales[[#This Row],[Age_Whitespace_Removed]],".",","))</f>
        <v>61</v>
      </c>
      <c r="S143" t="s">
        <v>56</v>
      </c>
      <c r="T143" s="2" t="str">
        <f>CLEAN(TRIM(Working_Sales[[#This Row],[Product Category]]))</f>
        <v>Clothing</v>
      </c>
      <c r="U143" s="6" t="str">
        <f>PROPER(Working_Sales[[#This Row],[Product_Category_Whitespace_Removed]])</f>
        <v>Clothing</v>
      </c>
      <c r="V143" t="s">
        <v>22</v>
      </c>
      <c r="W143" s="2" t="str">
        <f>CLEAN(TRIM(Working_Sales[[#This Row],[Quantity]]))</f>
        <v>1</v>
      </c>
      <c r="X143" s="2">
        <f>INT(Working_Sales[[#This Row],[`]])</f>
        <v>1</v>
      </c>
      <c r="Y143" s="6">
        <f>IFERROR(
   Working_Sales[[#This Row],[Quantity_Converted_To_Integer]],
   Working_Sales[[#This Row],[Total_Amount_Whitespace_Removed]]/Working_Sales[[#This Row],[Price_Per_Unit_Decimal_Separator_Fixed]])</f>
        <v>1</v>
      </c>
      <c r="Z143" t="s">
        <v>30</v>
      </c>
      <c r="AA143" s="2" t="str">
        <f>CLEAN(TRIM(Working_Sales[[#This Row],[Price per Unit]]))</f>
        <v>25</v>
      </c>
      <c r="AB143" s="2">
        <f>INT(
   SUBSTITUTE(Working_Sales[[#This Row],[Price_Per_Unit_Whitespace_Removed]],
   "$",
   ""
   )
)</f>
        <v>25</v>
      </c>
      <c r="AC143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143" s="8">
        <f>IFERROR(
   Working_Sales[[#This Row],[Price_Per_Unit_Decimal_Separator_Fixed]],
   Working_Sales[[#This Row],[Total_Amount_Converted_To_Integer]]/Working_Sales[[#This Row],[Quantity_Converted_To_Integer]]
)</f>
        <v>25</v>
      </c>
      <c r="AE143" t="s">
        <v>30</v>
      </c>
      <c r="AF143" s="2" t="str">
        <f>CLEAN(TRIM(Working_Sales[[#This Row],[Total Amount]]))</f>
        <v>25</v>
      </c>
      <c r="AG143" s="2">
        <f>INT(Working_Sales[[#This Row],[Total_Amount_Whitespace_Removed]])</f>
        <v>25</v>
      </c>
      <c r="AH14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144" spans="1:34" x14ac:dyDescent="0.35">
      <c r="A144" t="s">
        <v>408</v>
      </c>
      <c r="B144" s="6" t="str">
        <f>CLEAN(TRIM(Working_Sales[[#This Row],[Transaction ID]]))</f>
        <v>972</v>
      </c>
      <c r="C144" t="s">
        <v>119</v>
      </c>
      <c r="D144" s="2" t="str">
        <f>CLEAN(TRIM(Working_Sales[[#This Row],[Date]]))</f>
        <v>2023-02-11</v>
      </c>
      <c r="E14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44968</v>
      </c>
      <c r="F14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44968</v>
      </c>
      <c r="G14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44968</v>
      </c>
      <c r="H144" t="s">
        <v>2440</v>
      </c>
      <c r="I144" s="2" t="str">
        <f>CLEAN(TRIM(Working_Sales[[#This Row],[Customer ID]]))</f>
        <v>Cust127</v>
      </c>
      <c r="J14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4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CUST127</v>
      </c>
      <c r="L144" t="s">
        <v>34</v>
      </c>
      <c r="M144" s="4" t="str">
        <f>CLEAN(TRIM(Working_Sales[[#This Row],[Gender]]))</f>
        <v>Male</v>
      </c>
      <c r="N144" s="4" t="str" cm="1">
        <f t="array" ref="N144">_xlfn.SWITCH(
   Working_Sales[[#This Row],[Gender_Whitespace_Removed]],
   "m", "Male",
   "f", "Female",
   Working_Sales[[#This Row],[Gender_Whitespace_Removed]]
)</f>
        <v>Male</v>
      </c>
      <c r="O144" s="6" t="str">
        <f>PROPER(Working_Sales[[#This Row],[Gender_Abbreviation_Expanded]])</f>
        <v>Male</v>
      </c>
      <c r="P144">
        <v>49</v>
      </c>
      <c r="Q144" s="2" t="str">
        <f>CLEAN(TRIM(Working_Sales[[#This Row],[Age]]))</f>
        <v>49</v>
      </c>
      <c r="R144" s="6">
        <f>INT(SUBSTITUTE(Working_Sales[[#This Row],[Age_Whitespace_Removed]],".",","))</f>
        <v>49</v>
      </c>
      <c r="S144" t="s">
        <v>36</v>
      </c>
      <c r="T144" s="2" t="str">
        <f>CLEAN(TRIM(Working_Sales[[#This Row],[Product Category]]))</f>
        <v>Beauty</v>
      </c>
      <c r="U144" s="6" t="str">
        <f>PROPER(Working_Sales[[#This Row],[Product_Category_Whitespace_Removed]])</f>
        <v>Beauty</v>
      </c>
      <c r="V144" t="s">
        <v>14</v>
      </c>
      <c r="W144" s="2" t="str">
        <f>CLEAN(TRIM(Working_Sales[[#This Row],[Quantity]]))</f>
        <v>4</v>
      </c>
      <c r="X144" s="2">
        <f>INT(Working_Sales[[#This Row],[`]])</f>
        <v>4</v>
      </c>
      <c r="Y144" s="6">
        <f>IFERROR(
   Working_Sales[[#This Row],[Quantity_Converted_To_Integer]],
   Working_Sales[[#This Row],[Total_Amount_Whitespace_Removed]]/Working_Sales[[#This Row],[Price_Per_Unit_Decimal_Separator_Fixed]])</f>
        <v>4</v>
      </c>
      <c r="Z144" t="s">
        <v>30</v>
      </c>
      <c r="AA144" s="2" t="str">
        <f>CLEAN(TRIM(Working_Sales[[#This Row],[Price per Unit]]))</f>
        <v>25</v>
      </c>
      <c r="AB144" s="2">
        <f>INT(
   SUBSTITUTE(Working_Sales[[#This Row],[Price_Per_Unit_Whitespace_Removed]],
   "$",
   ""
   )
)</f>
        <v>25</v>
      </c>
      <c r="AC144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144" s="8">
        <f>IFERROR(
   Working_Sales[[#This Row],[Price_Per_Unit_Decimal_Separator_Fixed]],
   Working_Sales[[#This Row],[Total_Amount_Converted_To_Integer]]/Working_Sales[[#This Row],[Quantity_Converted_To_Integer]]
)</f>
        <v>25</v>
      </c>
      <c r="AE144" t="s">
        <v>38</v>
      </c>
      <c r="AF144" s="2" t="str">
        <f>CLEAN(TRIM(Working_Sales[[#This Row],[Total Amount]]))</f>
        <v>100</v>
      </c>
      <c r="AG144" s="2">
        <f>INT(Working_Sales[[#This Row],[Total_Amount_Whitespace_Removed]])</f>
        <v>100</v>
      </c>
      <c r="AH14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145" spans="1:34" x14ac:dyDescent="0.35">
      <c r="A145" t="s">
        <v>409</v>
      </c>
      <c r="B145" s="6" t="str">
        <f>CLEAN(TRIM(Working_Sales[[#This Row],[Transaction ID]]))</f>
        <v>738</v>
      </c>
      <c r="C145" t="s">
        <v>410</v>
      </c>
      <c r="D145" s="2" t="str">
        <f>CLEAN(TRIM(Working_Sales[[#This Row],[Date]]))</f>
        <v>2023-04-25</v>
      </c>
      <c r="E14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45041</v>
      </c>
      <c r="F14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45041</v>
      </c>
      <c r="G14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45041</v>
      </c>
      <c r="H145" t="s">
        <v>2441</v>
      </c>
      <c r="I145" s="2" t="str">
        <f>CLEAN(TRIM(Working_Sales[[#This Row],[Customer ID]]))</f>
        <v>Cust128</v>
      </c>
      <c r="J14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4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CUST128</v>
      </c>
      <c r="L145" t="s">
        <v>34</v>
      </c>
      <c r="M145" s="4" t="str">
        <f>CLEAN(TRIM(Working_Sales[[#This Row],[Gender]]))</f>
        <v>Male</v>
      </c>
      <c r="N145" s="4" t="str" cm="1">
        <f t="array" ref="N145">_xlfn.SWITCH(
   Working_Sales[[#This Row],[Gender_Whitespace_Removed]],
   "m", "Male",
   "f", "Female",
   Working_Sales[[#This Row],[Gender_Whitespace_Removed]]
)</f>
        <v>Male</v>
      </c>
      <c r="O145" s="6" t="str">
        <f>PROPER(Working_Sales[[#This Row],[Gender_Abbreviation_Expanded]])</f>
        <v>Male</v>
      </c>
      <c r="P145">
        <v>41</v>
      </c>
      <c r="Q145" s="2" t="str">
        <f>CLEAN(TRIM(Working_Sales[[#This Row],[Age]]))</f>
        <v>41</v>
      </c>
      <c r="R145" s="6">
        <f>INT(SUBSTITUTE(Working_Sales[[#This Row],[Age_Whitespace_Removed]],".",","))</f>
        <v>41</v>
      </c>
      <c r="S145" t="s">
        <v>56</v>
      </c>
      <c r="T145" s="2" t="str">
        <f>CLEAN(TRIM(Working_Sales[[#This Row],[Product Category]]))</f>
        <v>Clothing</v>
      </c>
      <c r="U145" s="6" t="str">
        <f>PROPER(Working_Sales[[#This Row],[Product_Category_Whitespace_Removed]])</f>
        <v>Clothing</v>
      </c>
      <c r="V145" t="s">
        <v>37</v>
      </c>
      <c r="W145" s="2" t="str">
        <f>CLEAN(TRIM(Working_Sales[[#This Row],[Quantity]]))</f>
        <v>2</v>
      </c>
      <c r="X145" s="2">
        <f>INT(Working_Sales[[#This Row],[`]])</f>
        <v>2</v>
      </c>
      <c r="Y145" s="6">
        <f>IFERROR(
   Working_Sales[[#This Row],[Quantity_Converted_To_Integer]],
   Working_Sales[[#This Row],[Total_Amount_Whitespace_Removed]]/Working_Sales[[#This Row],[Price_Per_Unit_Decimal_Separator_Fixed]])</f>
        <v>2</v>
      </c>
      <c r="Z145" t="s">
        <v>15</v>
      </c>
      <c r="AA145" s="2" t="str">
        <f>CLEAN(TRIM(Working_Sales[[#This Row],[Price per Unit]]))</f>
        <v>50</v>
      </c>
      <c r="AB145" s="2">
        <f>INT(
   SUBSTITUTE(Working_Sales[[#This Row],[Price_Per_Unit_Whitespace_Removed]],
   "$",
   ""
   )
)</f>
        <v>50</v>
      </c>
      <c r="AC145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145" s="8">
        <f>IFERROR(
   Working_Sales[[#This Row],[Price_Per_Unit_Decimal_Separator_Fixed]],
   Working_Sales[[#This Row],[Total_Amount_Converted_To_Integer]]/Working_Sales[[#This Row],[Quantity_Converted_To_Integer]]
)</f>
        <v>50</v>
      </c>
      <c r="AE145" t="s">
        <v>38</v>
      </c>
      <c r="AF145" s="2" t="str">
        <f>CLEAN(TRIM(Working_Sales[[#This Row],[Total Amount]]))</f>
        <v>100</v>
      </c>
      <c r="AG145" s="2">
        <f>INT(Working_Sales[[#This Row],[Total_Amount_Whitespace_Removed]])</f>
        <v>100</v>
      </c>
      <c r="AH14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146" spans="1:34" x14ac:dyDescent="0.35">
      <c r="A146" t="s">
        <v>411</v>
      </c>
      <c r="B146" s="6" t="str">
        <f>CLEAN(TRIM(Working_Sales[[#This Row],[Transaction ID]]))</f>
        <v>317</v>
      </c>
      <c r="C146" t="s">
        <v>412</v>
      </c>
      <c r="D146" s="2" t="str">
        <f>CLEAN(TRIM(Working_Sales[[#This Row],[Date]]))</f>
        <v>30/01/2023</v>
      </c>
      <c r="E14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44956</v>
      </c>
      <c r="F14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44956</v>
      </c>
      <c r="G14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44956</v>
      </c>
      <c r="H146" t="s">
        <v>2442</v>
      </c>
      <c r="I146" s="2" t="str">
        <f>CLEAN(TRIM(Working_Sales[[#This Row],[Customer ID]]))</f>
        <v>Cust129</v>
      </c>
      <c r="J14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4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CUST129</v>
      </c>
      <c r="L146" t="s">
        <v>34</v>
      </c>
      <c r="M146" s="4" t="str">
        <f>CLEAN(TRIM(Working_Sales[[#This Row],[Gender]]))</f>
        <v>Male</v>
      </c>
      <c r="N146" s="4" t="str" cm="1">
        <f t="array" ref="N146">_xlfn.SWITCH(
   Working_Sales[[#This Row],[Gender_Whitespace_Removed]],
   "m", "Male",
   "f", "Female",
   Working_Sales[[#This Row],[Gender_Whitespace_Removed]]
)</f>
        <v>Male</v>
      </c>
      <c r="O146" s="6" t="str">
        <f>PROPER(Working_Sales[[#This Row],[Gender_Abbreviation_Expanded]])</f>
        <v>Male</v>
      </c>
      <c r="P146">
        <v>22</v>
      </c>
      <c r="Q146" s="2" t="str">
        <f>CLEAN(TRIM(Working_Sales[[#This Row],[Age]]))</f>
        <v>22</v>
      </c>
      <c r="R146" s="6">
        <f>INT(SUBSTITUTE(Working_Sales[[#This Row],[Age_Whitespace_Removed]],".",","))</f>
        <v>22</v>
      </c>
      <c r="S146" t="s">
        <v>117</v>
      </c>
      <c r="T146" s="2" t="str">
        <f>CLEAN(TRIM(Working_Sales[[#This Row],[Product Category]]))</f>
        <v>Electronics</v>
      </c>
      <c r="U146" s="6" t="str">
        <f>PROPER(Working_Sales[[#This Row],[Product_Category_Whitespace_Removed]])</f>
        <v>Electronics</v>
      </c>
      <c r="V146" t="s">
        <v>29</v>
      </c>
      <c r="W146" s="2" t="str">
        <f>CLEAN(TRIM(Working_Sales[[#This Row],[Quantity]]))</f>
        <v>3</v>
      </c>
      <c r="X146" s="2">
        <f>INT(Working_Sales[[#This Row],[`]])</f>
        <v>3</v>
      </c>
      <c r="Y146" s="6">
        <f>IFERROR(
   Working_Sales[[#This Row],[Quantity_Converted_To_Integer]],
   Working_Sales[[#This Row],[Total_Amount_Whitespace_Removed]]/Working_Sales[[#This Row],[Price_Per_Unit_Decimal_Separator_Fixed]])</f>
        <v>3</v>
      </c>
      <c r="Z146" t="s">
        <v>43</v>
      </c>
      <c r="AA146" s="2" t="str">
        <f>CLEAN(TRIM(Working_Sales[[#This Row],[Price per Unit]]))</f>
        <v>30.00</v>
      </c>
      <c r="AB146" s="2" t="e">
        <f>INT(
   SUBSTITUTE(Working_Sales[[#This Row],[Price_Per_Unit_Whitespace_Removed]],
   "$",
   ""
   )
)</f>
        <v>#VALUE!</v>
      </c>
      <c r="AC146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146" s="8">
        <f>IFERROR(
   Working_Sales[[#This Row],[Price_Per_Unit_Decimal_Separator_Fixed]],
   Working_Sales[[#This Row],[Total_Amount_Converted_To_Integer]]/Working_Sales[[#This Row],[Quantity_Converted_To_Integer]]
)</f>
        <v>30</v>
      </c>
      <c r="AE146" t="s">
        <v>191</v>
      </c>
      <c r="AF146" s="2" t="str">
        <f>CLEAN(TRIM(Working_Sales[[#This Row],[Total Amount]]))</f>
        <v>90</v>
      </c>
      <c r="AG146" s="2">
        <f>INT(Working_Sales[[#This Row],[Total_Amount_Whitespace_Removed]])</f>
        <v>90</v>
      </c>
      <c r="AH14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147" spans="1:34" x14ac:dyDescent="0.35">
      <c r="A147" t="s">
        <v>414</v>
      </c>
      <c r="B147" s="6" t="str">
        <f>CLEAN(TRIM(Working_Sales[[#This Row],[Transaction ID]]))</f>
        <v>187</v>
      </c>
      <c r="C147" t="s">
        <v>2030</v>
      </c>
      <c r="D147" s="2" t="str">
        <f>CLEAN(TRIM(Working_Sales[[#This Row],[Date]]))</f>
        <v>June 07, 2023</v>
      </c>
      <c r="E147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147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14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45084</v>
      </c>
      <c r="H147" t="s">
        <v>2443</v>
      </c>
      <c r="I147" s="2" t="str">
        <f>CLEAN(TRIM(Working_Sales[[#This Row],[Customer ID]]))</f>
        <v>cust028</v>
      </c>
      <c r="J14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4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CUST028</v>
      </c>
      <c r="L147" t="s">
        <v>26</v>
      </c>
      <c r="M147" s="4" t="str">
        <f>CLEAN(TRIM(Working_Sales[[#This Row],[Gender]]))</f>
        <v>Female</v>
      </c>
      <c r="N147" s="4" t="str" cm="1">
        <f t="array" ref="N147">_xlfn.SWITCH(
   Working_Sales[[#This Row],[Gender_Whitespace_Removed]],
   "m", "Male",
   "f", "Female",
   Working_Sales[[#This Row],[Gender_Whitespace_Removed]]
)</f>
        <v>Female</v>
      </c>
      <c r="O147" s="6" t="str">
        <f>PROPER(Working_Sales[[#This Row],[Gender_Abbreviation_Expanded]])</f>
        <v>Female</v>
      </c>
      <c r="P147">
        <v>64</v>
      </c>
      <c r="Q147" s="2" t="str">
        <f>CLEAN(TRIM(Working_Sales[[#This Row],[Age]]))</f>
        <v>64</v>
      </c>
      <c r="R147" s="6">
        <f>INT(SUBSTITUTE(Working_Sales[[#This Row],[Age_Whitespace_Removed]],".",","))</f>
        <v>64</v>
      </c>
      <c r="S147" t="s">
        <v>56</v>
      </c>
      <c r="T147" s="2" t="str">
        <f>CLEAN(TRIM(Working_Sales[[#This Row],[Product Category]]))</f>
        <v>Clothing</v>
      </c>
      <c r="U147" s="6" t="str">
        <f>PROPER(Working_Sales[[#This Row],[Product_Category_Whitespace_Removed]])</f>
        <v>Clothing</v>
      </c>
      <c r="V147" t="s">
        <v>37</v>
      </c>
      <c r="W147" s="2" t="str">
        <f>CLEAN(TRIM(Working_Sales[[#This Row],[Quantity]]))</f>
        <v>2</v>
      </c>
      <c r="X147" s="2">
        <f>INT(Working_Sales[[#This Row],[`]])</f>
        <v>2</v>
      </c>
      <c r="Y147" s="6">
        <f>IFERROR(
   Working_Sales[[#This Row],[Quantity_Converted_To_Integer]],
   Working_Sales[[#This Row],[Total_Amount_Whitespace_Removed]]/Working_Sales[[#This Row],[Price_Per_Unit_Decimal_Separator_Fixed]])</f>
        <v>2</v>
      </c>
      <c r="Z147" t="s">
        <v>15</v>
      </c>
      <c r="AA147" s="2" t="str">
        <f>CLEAN(TRIM(Working_Sales[[#This Row],[Price per Unit]]))</f>
        <v>50</v>
      </c>
      <c r="AB147" s="2">
        <f>INT(
   SUBSTITUTE(Working_Sales[[#This Row],[Price_Per_Unit_Whitespace_Removed]],
   "$",
   ""
   )
)</f>
        <v>50</v>
      </c>
      <c r="AC147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147" s="8">
        <f>IFERROR(
   Working_Sales[[#This Row],[Price_Per_Unit_Decimal_Separator_Fixed]],
   Working_Sales[[#This Row],[Total_Amount_Converted_To_Integer]]/Working_Sales[[#This Row],[Quantity_Converted_To_Integer]]
)</f>
        <v>50</v>
      </c>
      <c r="AE147" t="s">
        <v>38</v>
      </c>
      <c r="AF147" s="2" t="str">
        <f>CLEAN(TRIM(Working_Sales[[#This Row],[Total Amount]]))</f>
        <v>100</v>
      </c>
      <c r="AG147" s="2">
        <f>INT(Working_Sales[[#This Row],[Total_Amount_Whitespace_Removed]])</f>
        <v>100</v>
      </c>
      <c r="AH14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148" spans="1:34" x14ac:dyDescent="0.35">
      <c r="A148" t="s">
        <v>416</v>
      </c>
      <c r="B148" s="6" t="str">
        <f>CLEAN(TRIM(Working_Sales[[#This Row],[Transaction ID]]))</f>
        <v>558</v>
      </c>
      <c r="C148" t="s">
        <v>417</v>
      </c>
      <c r="D148" s="2" t="str">
        <f>CLEAN(TRIM(Working_Sales[[#This Row],[Date]]))</f>
        <v>October 08, 2023</v>
      </c>
      <c r="E148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148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14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45207</v>
      </c>
      <c r="H148" t="s">
        <v>2444</v>
      </c>
      <c r="I148" s="2" t="str">
        <f>CLEAN(TRIM(Working_Sales[[#This Row],[Customer ID]]))</f>
        <v>cust130</v>
      </c>
      <c r="J14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4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CUST130</v>
      </c>
      <c r="L148" t="s">
        <v>26</v>
      </c>
      <c r="M148" s="4" t="str">
        <f>CLEAN(TRIM(Working_Sales[[#This Row],[Gender]]))</f>
        <v>Female</v>
      </c>
      <c r="N148" s="4" t="str" cm="1">
        <f t="array" ref="N148">_xlfn.SWITCH(
   Working_Sales[[#This Row],[Gender_Whitespace_Removed]],
   "m", "Male",
   "f", "Female",
   Working_Sales[[#This Row],[Gender_Whitespace_Removed]]
)</f>
        <v>Female</v>
      </c>
      <c r="O148" s="6" t="str">
        <f>PROPER(Working_Sales[[#This Row],[Gender_Abbreviation_Expanded]])</f>
        <v>Female</v>
      </c>
      <c r="P148">
        <v>41</v>
      </c>
      <c r="Q148" s="2" t="str">
        <f>CLEAN(TRIM(Working_Sales[[#This Row],[Age]]))</f>
        <v>41</v>
      </c>
      <c r="R148" s="6">
        <f>INT(SUBSTITUTE(Working_Sales[[#This Row],[Age_Whitespace_Removed]],".",","))</f>
        <v>41</v>
      </c>
      <c r="S148" t="s">
        <v>56</v>
      </c>
      <c r="T148" s="2" t="str">
        <f>CLEAN(TRIM(Working_Sales[[#This Row],[Product Category]]))</f>
        <v>Clothing</v>
      </c>
      <c r="U148" s="6" t="str">
        <f>PROPER(Working_Sales[[#This Row],[Product_Category_Whitespace_Removed]])</f>
        <v>Clothing</v>
      </c>
      <c r="V148" t="s">
        <v>22</v>
      </c>
      <c r="W148" s="2" t="str">
        <f>CLEAN(TRIM(Working_Sales[[#This Row],[Quantity]]))</f>
        <v>1</v>
      </c>
      <c r="X148" s="2">
        <f>INT(Working_Sales[[#This Row],[`]])</f>
        <v>1</v>
      </c>
      <c r="Y148" s="6">
        <f>IFERROR(
   Working_Sales[[#This Row],[Quantity_Converted_To_Integer]],
   Working_Sales[[#This Row],[Total_Amount_Whitespace_Removed]]/Working_Sales[[#This Row],[Price_Per_Unit_Decimal_Separator_Fixed]])</f>
        <v>1</v>
      </c>
      <c r="Z148" t="s">
        <v>30</v>
      </c>
      <c r="AA148" s="2" t="str">
        <f>CLEAN(TRIM(Working_Sales[[#This Row],[Price per Unit]]))</f>
        <v>25</v>
      </c>
      <c r="AB148" s="2">
        <f>INT(
   SUBSTITUTE(Working_Sales[[#This Row],[Price_Per_Unit_Whitespace_Removed]],
   "$",
   ""
   )
)</f>
        <v>25</v>
      </c>
      <c r="AC148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148" s="8">
        <f>IFERROR(
   Working_Sales[[#This Row],[Price_Per_Unit_Decimal_Separator_Fixed]],
   Working_Sales[[#This Row],[Total_Amount_Converted_To_Integer]]/Working_Sales[[#This Row],[Quantity_Converted_To_Integer]]
)</f>
        <v>25</v>
      </c>
      <c r="AE148" t="s">
        <v>30</v>
      </c>
      <c r="AF148" s="2" t="str">
        <f>CLEAN(TRIM(Working_Sales[[#This Row],[Total Amount]]))</f>
        <v>25</v>
      </c>
      <c r="AG148" s="2">
        <f>INT(Working_Sales[[#This Row],[Total_Amount_Whitespace_Removed]])</f>
        <v>25</v>
      </c>
      <c r="AH14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149" spans="1:34" x14ac:dyDescent="0.35">
      <c r="A149" t="s">
        <v>418</v>
      </c>
      <c r="B149" s="6" t="str">
        <f>CLEAN(TRIM(Working_Sales[[#This Row],[Transaction ID]]))</f>
        <v>651</v>
      </c>
      <c r="C149" t="s">
        <v>419</v>
      </c>
      <c r="D149" s="2" t="str">
        <f>CLEAN(TRIM(Working_Sales[[#This Row],[Date]]))</f>
        <v>2023-05-27</v>
      </c>
      <c r="E14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45073</v>
      </c>
      <c r="F14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45073</v>
      </c>
      <c r="G14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45073</v>
      </c>
      <c r="H149" t="s">
        <v>2445</v>
      </c>
      <c r="I149" s="2" t="str">
        <f>CLEAN(TRIM(Working_Sales[[#This Row],[Customer ID]]))</f>
        <v>Cust051</v>
      </c>
      <c r="J14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4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CUST051</v>
      </c>
      <c r="L149" t="s">
        <v>20</v>
      </c>
      <c r="M149" s="4" t="str">
        <f>CLEAN(TRIM(Working_Sales[[#This Row],[Gender]]))</f>
        <v>male</v>
      </c>
      <c r="N149" s="4" t="str" cm="1">
        <f t="array" ref="N149">_xlfn.SWITCH(
   Working_Sales[[#This Row],[Gender_Whitespace_Removed]],
   "m", "Male",
   "f", "Female",
   Working_Sales[[#This Row],[Gender_Whitespace_Removed]]
)</f>
        <v>male</v>
      </c>
      <c r="O149" s="6" t="str">
        <f>PROPER(Working_Sales[[#This Row],[Gender_Abbreviation_Expanded]])</f>
        <v>Male</v>
      </c>
      <c r="P149">
        <v>51</v>
      </c>
      <c r="Q149" s="2" t="str">
        <f>CLEAN(TRIM(Working_Sales[[#This Row],[Age]]))</f>
        <v>51</v>
      </c>
      <c r="R149" s="6">
        <f>INT(SUBSTITUTE(Working_Sales[[#This Row],[Age_Whitespace_Removed]],".",","))</f>
        <v>51</v>
      </c>
      <c r="S149" t="s">
        <v>56</v>
      </c>
      <c r="T149" s="2" t="str">
        <f>CLEAN(TRIM(Working_Sales[[#This Row],[Product Category]]))</f>
        <v>Clothing</v>
      </c>
      <c r="U149" s="6" t="str">
        <f>PROPER(Working_Sales[[#This Row],[Product_Category_Whitespace_Removed]])</f>
        <v>Clothing</v>
      </c>
      <c r="V149" t="s">
        <v>29</v>
      </c>
      <c r="W149" s="2" t="str">
        <f>CLEAN(TRIM(Working_Sales[[#This Row],[Quantity]]))</f>
        <v>3</v>
      </c>
      <c r="X149" s="2">
        <f>INT(Working_Sales[[#This Row],[`]])</f>
        <v>3</v>
      </c>
      <c r="Y149" s="6">
        <f>IFERROR(
   Working_Sales[[#This Row],[Quantity_Converted_To_Integer]],
   Working_Sales[[#This Row],[Total_Amount_Whitespace_Removed]]/Working_Sales[[#This Row],[Price_Per_Unit_Decimal_Separator_Fixed]])</f>
        <v>3</v>
      </c>
      <c r="Z149" t="s">
        <v>15</v>
      </c>
      <c r="AA149" s="2" t="str">
        <f>CLEAN(TRIM(Working_Sales[[#This Row],[Price per Unit]]))</f>
        <v>50</v>
      </c>
      <c r="AB149" s="2">
        <f>INT(
   SUBSTITUTE(Working_Sales[[#This Row],[Price_Per_Unit_Whitespace_Removed]],
   "$",
   ""
   )
)</f>
        <v>50</v>
      </c>
      <c r="AC149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149" s="8">
        <f>IFERROR(
   Working_Sales[[#This Row],[Price_Per_Unit_Decimal_Separator_Fixed]],
   Working_Sales[[#This Row],[Total_Amount_Converted_To_Integer]]/Working_Sales[[#This Row],[Quantity_Converted_To_Integer]]
)</f>
        <v>50</v>
      </c>
      <c r="AE149" t="s">
        <v>130</v>
      </c>
      <c r="AF149" s="2" t="str">
        <f>CLEAN(TRIM(Working_Sales[[#This Row],[Total Amount]]))</f>
        <v>150</v>
      </c>
      <c r="AG149" s="2">
        <f>INT(Working_Sales[[#This Row],[Total_Amount_Whitespace_Removed]])</f>
        <v>150</v>
      </c>
      <c r="AH14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150" spans="1:34" x14ac:dyDescent="0.35">
      <c r="A150" t="s">
        <v>420</v>
      </c>
      <c r="B150" s="6" t="str">
        <f>CLEAN(TRIM(Working_Sales[[#This Row],[Transaction ID]]))</f>
        <v>816</v>
      </c>
      <c r="C150" t="s">
        <v>421</v>
      </c>
      <c r="D150" s="2" t="str">
        <f>CLEAN(TRIM(Working_Sales[[#This Row],[Date]]))</f>
        <v>2023-08-12</v>
      </c>
      <c r="E15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45150</v>
      </c>
      <c r="F15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45150</v>
      </c>
      <c r="G15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45150</v>
      </c>
      <c r="H150" t="s">
        <v>2310</v>
      </c>
      <c r="I150" s="2" t="str">
        <f>CLEAN(TRIM(Working_Sales[[#This Row],[Customer ID]]))</f>
        <v>CUST131</v>
      </c>
      <c r="J15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CUST131</v>
      </c>
      <c r="K15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CUST131</v>
      </c>
      <c r="L150" t="s">
        <v>34</v>
      </c>
      <c r="M150" s="4" t="str">
        <f>CLEAN(TRIM(Working_Sales[[#This Row],[Gender]]))</f>
        <v>Male</v>
      </c>
      <c r="N150" s="4" t="str" cm="1">
        <f t="array" ref="N150">_xlfn.SWITCH(
   Working_Sales[[#This Row],[Gender_Whitespace_Removed]],
   "m", "Male",
   "f", "Female",
   Working_Sales[[#This Row],[Gender_Whitespace_Removed]]
)</f>
        <v>Male</v>
      </c>
      <c r="O150" s="6" t="str">
        <f>PROPER(Working_Sales[[#This Row],[Gender_Abbreviation_Expanded]])</f>
        <v>Male</v>
      </c>
      <c r="P150">
        <v>47</v>
      </c>
      <c r="Q150" s="2" t="str">
        <f>CLEAN(TRIM(Working_Sales[[#This Row],[Age]]))</f>
        <v>47</v>
      </c>
      <c r="R150" s="6">
        <f>INT(SUBSTITUTE(Working_Sales[[#This Row],[Age_Whitespace_Removed]],".",","))</f>
        <v>47</v>
      </c>
      <c r="S150" t="s">
        <v>36</v>
      </c>
      <c r="T150" s="2" t="str">
        <f>CLEAN(TRIM(Working_Sales[[#This Row],[Product Category]]))</f>
        <v>Beauty</v>
      </c>
      <c r="U150" s="6" t="str">
        <f>PROPER(Working_Sales[[#This Row],[Product_Category_Whitespace_Removed]])</f>
        <v>Beauty</v>
      </c>
      <c r="V150" t="s">
        <v>37</v>
      </c>
      <c r="W150" s="2" t="str">
        <f>CLEAN(TRIM(Working_Sales[[#This Row],[Quantity]]))</f>
        <v>2</v>
      </c>
      <c r="X150" s="2">
        <f>INT(Working_Sales[[#This Row],[`]])</f>
        <v>2</v>
      </c>
      <c r="Y150" s="6">
        <f>IFERROR(
   Working_Sales[[#This Row],[Quantity_Converted_To_Integer]],
   Working_Sales[[#This Row],[Total_Amount_Whitespace_Removed]]/Working_Sales[[#This Row],[Price_Per_Unit_Decimal_Separator_Fixed]])</f>
        <v>2</v>
      </c>
      <c r="Z150" t="s">
        <v>57</v>
      </c>
      <c r="AA150" s="2" t="str">
        <f>CLEAN(TRIM(Working_Sales[[#This Row],[Price per Unit]]))</f>
        <v>500</v>
      </c>
      <c r="AB150" s="2">
        <f>INT(
   SUBSTITUTE(Working_Sales[[#This Row],[Price_Per_Unit_Whitespace_Removed]],
   "$",
   ""
   )
)</f>
        <v>500</v>
      </c>
      <c r="AC150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150" s="8">
        <f>IFERROR(
   Working_Sales[[#This Row],[Price_Per_Unit_Decimal_Separator_Fixed]],
   Working_Sales[[#This Row],[Total_Amount_Converted_To_Integer]]/Working_Sales[[#This Row],[Quantity_Converted_To_Integer]]
)</f>
        <v>500</v>
      </c>
      <c r="AE150" t="s">
        <v>163</v>
      </c>
      <c r="AF150" s="2" t="str">
        <f>CLEAN(TRIM(Working_Sales[[#This Row],[Total Amount]]))</f>
        <v>1000</v>
      </c>
      <c r="AG150" s="2">
        <f>INT(Working_Sales[[#This Row],[Total_Amount_Whitespace_Removed]])</f>
        <v>1000</v>
      </c>
      <c r="AH15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151" spans="1:34" x14ac:dyDescent="0.35">
      <c r="A151" t="s">
        <v>422</v>
      </c>
      <c r="B151" s="6" t="str">
        <f>CLEAN(TRIM(Working_Sales[[#This Row],[Transaction ID]]))</f>
        <v>320</v>
      </c>
      <c r="C151" t="s">
        <v>250</v>
      </c>
      <c r="D151" s="2" t="str">
        <f>CLEAN(TRIM(Working_Sales[[#This Row],[Date]]))</f>
        <v>February 01, 2023</v>
      </c>
      <c r="E151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151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15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44958</v>
      </c>
      <c r="H151" t="s">
        <v>2446</v>
      </c>
      <c r="I151" s="2" t="str">
        <f>CLEAN(TRIM(Working_Sales[[#This Row],[Customer ID]]))</f>
        <v>CUST132</v>
      </c>
      <c r="J15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CUST132</v>
      </c>
      <c r="K15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CUST132</v>
      </c>
      <c r="L151" t="s">
        <v>26</v>
      </c>
      <c r="M151" s="4" t="str">
        <f>CLEAN(TRIM(Working_Sales[[#This Row],[Gender]]))</f>
        <v>Female</v>
      </c>
      <c r="N151" s="4" t="str" cm="1">
        <f t="array" ref="N151">_xlfn.SWITCH(
   Working_Sales[[#This Row],[Gender_Whitespace_Removed]],
   "m", "Male",
   "f", "Female",
   Working_Sales[[#This Row],[Gender_Whitespace_Removed]]
)</f>
        <v>Female</v>
      </c>
      <c r="O151" s="6" t="str">
        <f>PROPER(Working_Sales[[#This Row],[Gender_Abbreviation_Expanded]])</f>
        <v>Female</v>
      </c>
      <c r="P151">
        <v>28</v>
      </c>
      <c r="Q151" s="2" t="str">
        <f>CLEAN(TRIM(Working_Sales[[#This Row],[Age]]))</f>
        <v>28</v>
      </c>
      <c r="R151" s="6">
        <f>INT(SUBSTITUTE(Working_Sales[[#This Row],[Age_Whitespace_Removed]],".",","))</f>
        <v>28</v>
      </c>
      <c r="S151" t="s">
        <v>13</v>
      </c>
      <c r="T151" s="2" t="str">
        <f>CLEAN(TRIM(Working_Sales[[#This Row],[Product Category]]))</f>
        <v>Electronics</v>
      </c>
      <c r="U151" s="6" t="str">
        <f>PROPER(Working_Sales[[#This Row],[Product_Category_Whitespace_Removed]])</f>
        <v>Electronics</v>
      </c>
      <c r="V151" t="s">
        <v>14</v>
      </c>
      <c r="W151" s="2" t="str">
        <f>CLEAN(TRIM(Working_Sales[[#This Row],[Quantity]]))</f>
        <v>4</v>
      </c>
      <c r="X151" s="2">
        <f>INT(Working_Sales[[#This Row],[`]])</f>
        <v>4</v>
      </c>
      <c r="Y151" s="6">
        <f>IFERROR(
   Working_Sales[[#This Row],[Quantity_Converted_To_Integer]],
   Working_Sales[[#This Row],[Total_Amount_Whitespace_Removed]]/Working_Sales[[#This Row],[Price_Per_Unit_Decimal_Separator_Fixed]])</f>
        <v>4</v>
      </c>
      <c r="Z151" t="s">
        <v>23</v>
      </c>
      <c r="AA151" s="2" t="str">
        <f>CLEAN(TRIM(Working_Sales[[#This Row],[Price per Unit]]))</f>
        <v>300</v>
      </c>
      <c r="AB151" s="2">
        <f>INT(
   SUBSTITUTE(Working_Sales[[#This Row],[Price_Per_Unit_Whitespace_Removed]],
   "$",
   ""
   )
)</f>
        <v>300</v>
      </c>
      <c r="AC151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151" s="8">
        <f>IFERROR(
   Working_Sales[[#This Row],[Price_Per_Unit_Decimal_Separator_Fixed]],
   Working_Sales[[#This Row],[Total_Amount_Converted_To_Integer]]/Working_Sales[[#This Row],[Quantity_Converted_To_Integer]]
)</f>
        <v>300</v>
      </c>
      <c r="AE151" t="s">
        <v>79</v>
      </c>
      <c r="AF151" s="2" t="str">
        <f>CLEAN(TRIM(Working_Sales[[#This Row],[Total Amount]]))</f>
        <v>1200</v>
      </c>
      <c r="AG151" s="2">
        <f>INT(Working_Sales[[#This Row],[Total_Amount_Whitespace_Removed]])</f>
        <v>1200</v>
      </c>
      <c r="AH15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152" spans="1:34" x14ac:dyDescent="0.35">
      <c r="A152" t="s">
        <v>41</v>
      </c>
      <c r="B152" s="6" t="str">
        <f>CLEAN(TRIM(Working_Sales[[#This Row],[Transaction ID]]))</f>
        <v>62</v>
      </c>
      <c r="C152" t="s">
        <v>2031</v>
      </c>
      <c r="D152" s="2" t="str">
        <f>CLEAN(TRIM(Working_Sales[[#This Row],[Date]]))</f>
        <v>27/12/2023</v>
      </c>
      <c r="E15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45287</v>
      </c>
      <c r="F15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45287</v>
      </c>
      <c r="G15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45287</v>
      </c>
      <c r="H152" t="s">
        <v>2447</v>
      </c>
      <c r="I152" s="2" t="str">
        <f>CLEAN(TRIM(Working_Sales[[#This Row],[Customer ID]]))</f>
        <v>cust133</v>
      </c>
      <c r="J15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5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CUST133</v>
      </c>
      <c r="L152" t="s">
        <v>34</v>
      </c>
      <c r="M152" s="4" t="str">
        <f>CLEAN(TRIM(Working_Sales[[#This Row],[Gender]]))</f>
        <v>Male</v>
      </c>
      <c r="N152" s="4" t="str" cm="1">
        <f t="array" ref="N152">_xlfn.SWITCH(
   Working_Sales[[#This Row],[Gender_Whitespace_Removed]],
   "m", "Male",
   "f", "Female",
   Working_Sales[[#This Row],[Gender_Whitespace_Removed]]
)</f>
        <v>Male</v>
      </c>
      <c r="O152" s="6" t="str">
        <f>PROPER(Working_Sales[[#This Row],[Gender_Abbreviation_Expanded]])</f>
        <v>Male</v>
      </c>
      <c r="P152">
        <v>18</v>
      </c>
      <c r="Q152" s="2" t="str">
        <f>CLEAN(TRIM(Working_Sales[[#This Row],[Age]]))</f>
        <v>18</v>
      </c>
      <c r="R152" s="6">
        <f>INT(SUBSTITUTE(Working_Sales[[#This Row],[Age_Whitespace_Removed]],".",","))</f>
        <v>18</v>
      </c>
      <c r="S152" t="s">
        <v>36</v>
      </c>
      <c r="T152" s="2" t="str">
        <f>CLEAN(TRIM(Working_Sales[[#This Row],[Product Category]]))</f>
        <v>Beauty</v>
      </c>
      <c r="U152" s="6" t="str">
        <f>PROPER(Working_Sales[[#This Row],[Product_Category_Whitespace_Removed]])</f>
        <v>Beauty</v>
      </c>
      <c r="V152" t="s">
        <v>37</v>
      </c>
      <c r="W152" s="2" t="str">
        <f>CLEAN(TRIM(Working_Sales[[#This Row],[Quantity]]))</f>
        <v>2</v>
      </c>
      <c r="X152" s="2">
        <f>INT(Working_Sales[[#This Row],[`]])</f>
        <v>2</v>
      </c>
      <c r="Y152" s="6">
        <f>IFERROR(
   Working_Sales[[#This Row],[Quantity_Converted_To_Integer]],
   Working_Sales[[#This Row],[Total_Amount_Whitespace_Removed]]/Working_Sales[[#This Row],[Price_Per_Unit_Decimal_Separator_Fixed]])</f>
        <v>2</v>
      </c>
      <c r="Z152" t="s">
        <v>15</v>
      </c>
      <c r="AA152" s="2" t="str">
        <f>CLEAN(TRIM(Working_Sales[[#This Row],[Price per Unit]]))</f>
        <v>50</v>
      </c>
      <c r="AB152" s="2">
        <f>INT(
   SUBSTITUTE(Working_Sales[[#This Row],[Price_Per_Unit_Whitespace_Removed]],
   "$",
   ""
   )
)</f>
        <v>50</v>
      </c>
      <c r="AC152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152" s="8">
        <f>IFERROR(
   Working_Sales[[#This Row],[Price_Per_Unit_Decimal_Separator_Fixed]],
   Working_Sales[[#This Row],[Total_Amount_Converted_To_Integer]]/Working_Sales[[#This Row],[Quantity_Converted_To_Integer]]
)</f>
        <v>50</v>
      </c>
      <c r="AE152" t="s">
        <v>38</v>
      </c>
      <c r="AF152" s="2" t="str">
        <f>CLEAN(TRIM(Working_Sales[[#This Row],[Total Amount]]))</f>
        <v>100</v>
      </c>
      <c r="AG152" s="2">
        <f>INT(Working_Sales[[#This Row],[Total_Amount_Whitespace_Removed]])</f>
        <v>100</v>
      </c>
      <c r="AH15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153" spans="1:34" x14ac:dyDescent="0.35">
      <c r="A153" t="s">
        <v>424</v>
      </c>
      <c r="B153" s="6" t="str">
        <f>CLEAN(TRIM(Working_Sales[[#This Row],[Transaction ID]]))</f>
        <v>912</v>
      </c>
      <c r="C153" t="s">
        <v>2032</v>
      </c>
      <c r="D153" s="2" t="str">
        <f>CLEAN(TRIM(Working_Sales[[#This Row],[Date]]))</f>
        <v>24-Jan-2023</v>
      </c>
      <c r="E15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44950</v>
      </c>
      <c r="F15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44950</v>
      </c>
      <c r="G15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44950</v>
      </c>
      <c r="H153" t="s">
        <v>2448</v>
      </c>
      <c r="I153" s="2" t="str">
        <f>CLEAN(TRIM(Working_Sales[[#This Row],[Customer ID]]))</f>
        <v>CUST006</v>
      </c>
      <c r="J15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CUST006</v>
      </c>
      <c r="K15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CUST006</v>
      </c>
      <c r="L153" t="s">
        <v>11</v>
      </c>
      <c r="M153" s="4" t="str">
        <f>CLEAN(TRIM(Working_Sales[[#This Row],[Gender]]))</f>
        <v>MALE</v>
      </c>
      <c r="N153" s="4" t="str" cm="1">
        <f t="array" ref="N153">_xlfn.SWITCH(
   Working_Sales[[#This Row],[Gender_Whitespace_Removed]],
   "m", "Male",
   "f", "Female",
   Working_Sales[[#This Row],[Gender_Whitespace_Removed]]
)</f>
        <v>MALE</v>
      </c>
      <c r="O153" s="6" t="str">
        <f>PROPER(Working_Sales[[#This Row],[Gender_Abbreviation_Expanded]])</f>
        <v>Male</v>
      </c>
      <c r="P153">
        <v>51</v>
      </c>
      <c r="Q153" s="2" t="str">
        <f>CLEAN(TRIM(Working_Sales[[#This Row],[Age]]))</f>
        <v>51</v>
      </c>
      <c r="R153" s="6">
        <f>INT(SUBSTITUTE(Working_Sales[[#This Row],[Age_Whitespace_Removed]],".",","))</f>
        <v>51</v>
      </c>
      <c r="S153" t="s">
        <v>36</v>
      </c>
      <c r="T153" s="2" t="str">
        <f>CLEAN(TRIM(Working_Sales[[#This Row],[Product Category]]))</f>
        <v>Beauty</v>
      </c>
      <c r="U153" s="6" t="str">
        <f>PROPER(Working_Sales[[#This Row],[Product_Category_Whitespace_Removed]])</f>
        <v>Beauty</v>
      </c>
      <c r="V153" t="s">
        <v>29</v>
      </c>
      <c r="W153" s="2" t="str">
        <f>CLEAN(TRIM(Working_Sales[[#This Row],[Quantity]]))</f>
        <v>3</v>
      </c>
      <c r="X153" s="2">
        <f>INT(Working_Sales[[#This Row],[`]])</f>
        <v>3</v>
      </c>
      <c r="Y153" s="6">
        <f>IFERROR(
   Working_Sales[[#This Row],[Quantity_Converted_To_Integer]],
   Working_Sales[[#This Row],[Total_Amount_Whitespace_Removed]]/Working_Sales[[#This Row],[Price_Per_Unit_Decimal_Separator_Fixed]])</f>
        <v>3</v>
      </c>
      <c r="Z153" t="s">
        <v>15</v>
      </c>
      <c r="AA153" s="2" t="str">
        <f>CLEAN(TRIM(Working_Sales[[#This Row],[Price per Unit]]))</f>
        <v>50</v>
      </c>
      <c r="AB153" s="2">
        <f>INT(
   SUBSTITUTE(Working_Sales[[#This Row],[Price_Per_Unit_Whitespace_Removed]],
   "$",
   ""
   )
)</f>
        <v>50</v>
      </c>
      <c r="AC153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153" s="8">
        <f>IFERROR(
   Working_Sales[[#This Row],[Price_Per_Unit_Decimal_Separator_Fixed]],
   Working_Sales[[#This Row],[Total_Amount_Converted_To_Integer]]/Working_Sales[[#This Row],[Quantity_Converted_To_Integer]]
)</f>
        <v>50</v>
      </c>
      <c r="AE153" t="s">
        <v>130</v>
      </c>
      <c r="AF153" s="2" t="str">
        <f>CLEAN(TRIM(Working_Sales[[#This Row],[Total Amount]]))</f>
        <v>150</v>
      </c>
      <c r="AG153" s="2">
        <f>INT(Working_Sales[[#This Row],[Total_Amount_Whitespace_Removed]])</f>
        <v>150</v>
      </c>
      <c r="AH15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154" spans="1:34" x14ac:dyDescent="0.35">
      <c r="A154" t="s">
        <v>425</v>
      </c>
      <c r="B154" s="6" t="str">
        <f>CLEAN(TRIM(Working_Sales[[#This Row],[Transaction ID]]))</f>
        <v>505</v>
      </c>
      <c r="C154" t="s">
        <v>426</v>
      </c>
      <c r="D154" s="2" t="str">
        <f>CLEAN(TRIM(Working_Sales[[#This Row],[Date]]))</f>
        <v>2023-01-20</v>
      </c>
      <c r="E15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44946</v>
      </c>
      <c r="F15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44946</v>
      </c>
      <c r="G15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44946</v>
      </c>
      <c r="H154" t="s">
        <v>2449</v>
      </c>
      <c r="I154" s="2" t="str">
        <f>CLEAN(TRIM(Working_Sales[[#This Row],[Customer ID]]))</f>
        <v>cust007</v>
      </c>
      <c r="J15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5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CUST007</v>
      </c>
      <c r="L154" t="s">
        <v>34</v>
      </c>
      <c r="M154" s="4" t="str">
        <f>CLEAN(TRIM(Working_Sales[[#This Row],[Gender]]))</f>
        <v>Male</v>
      </c>
      <c r="N154" s="4" t="str" cm="1">
        <f t="array" ref="N154">_xlfn.SWITCH(
   Working_Sales[[#This Row],[Gender_Whitespace_Removed]],
   "m", "Male",
   "f", "Female",
   Working_Sales[[#This Row],[Gender_Whitespace_Removed]]
)</f>
        <v>Male</v>
      </c>
      <c r="O154" s="6" t="str">
        <f>PROPER(Working_Sales[[#This Row],[Gender_Abbreviation_Expanded]])</f>
        <v>Male</v>
      </c>
      <c r="P154">
        <v>24</v>
      </c>
      <c r="Q154" s="2" t="str">
        <f>CLEAN(TRIM(Working_Sales[[#This Row],[Age]]))</f>
        <v>24</v>
      </c>
      <c r="R154" s="6">
        <f>INT(SUBSTITUTE(Working_Sales[[#This Row],[Age_Whitespace_Removed]],".",","))</f>
        <v>24</v>
      </c>
      <c r="S154" t="s">
        <v>36</v>
      </c>
      <c r="T154" s="2" t="str">
        <f>CLEAN(TRIM(Working_Sales[[#This Row],[Product Category]]))</f>
        <v>Beauty</v>
      </c>
      <c r="U154" s="6" t="str">
        <f>PROPER(Working_Sales[[#This Row],[Product_Category_Whitespace_Removed]])</f>
        <v>Beauty</v>
      </c>
      <c r="V154" t="s">
        <v>22</v>
      </c>
      <c r="W154" s="2" t="str">
        <f>CLEAN(TRIM(Working_Sales[[#This Row],[Quantity]]))</f>
        <v>1</v>
      </c>
      <c r="X154" s="2">
        <f>INT(Working_Sales[[#This Row],[`]])</f>
        <v>1</v>
      </c>
      <c r="Y154" s="6">
        <f>IFERROR(
   Working_Sales[[#This Row],[Quantity_Converted_To_Integer]],
   Working_Sales[[#This Row],[Total_Amount_Whitespace_Removed]]/Working_Sales[[#This Row],[Price_Per_Unit_Decimal_Separator_Fixed]])</f>
        <v>1</v>
      </c>
      <c r="Z154" t="s">
        <v>15</v>
      </c>
      <c r="AA154" s="2" t="str">
        <f>CLEAN(TRIM(Working_Sales[[#This Row],[Price per Unit]]))</f>
        <v>50</v>
      </c>
      <c r="AB154" s="2">
        <f>INT(
   SUBSTITUTE(Working_Sales[[#This Row],[Price_Per_Unit_Whitespace_Removed]],
   "$",
   ""
   )
)</f>
        <v>50</v>
      </c>
      <c r="AC154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154" s="8">
        <f>IFERROR(
   Working_Sales[[#This Row],[Price_Per_Unit_Decimal_Separator_Fixed]],
   Working_Sales[[#This Row],[Total_Amount_Converted_To_Integer]]/Working_Sales[[#This Row],[Quantity_Converted_To_Integer]]
)</f>
        <v>50</v>
      </c>
      <c r="AE154" t="s">
        <v>15</v>
      </c>
      <c r="AF154" s="2" t="str">
        <f>CLEAN(TRIM(Working_Sales[[#This Row],[Total Amount]]))</f>
        <v>50</v>
      </c>
      <c r="AG154" s="2">
        <f>INT(Working_Sales[[#This Row],[Total_Amount_Whitespace_Removed]])</f>
        <v>50</v>
      </c>
      <c r="AH15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155" spans="1:34" x14ac:dyDescent="0.35">
      <c r="A155" t="s">
        <v>427</v>
      </c>
      <c r="B155" s="6" t="str">
        <f>CLEAN(TRIM(Working_Sales[[#This Row],[Transaction ID]]))</f>
        <v>601</v>
      </c>
      <c r="C155" t="s">
        <v>428</v>
      </c>
      <c r="D155" s="2" t="str">
        <f>CLEAN(TRIM(Working_Sales[[#This Row],[Date]]))</f>
        <v>2023-04-10</v>
      </c>
      <c r="E15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45026</v>
      </c>
      <c r="F15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45026</v>
      </c>
      <c r="G15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45026</v>
      </c>
      <c r="H155" t="s">
        <v>2450</v>
      </c>
      <c r="I155" s="2" t="str">
        <f>CLEAN(TRIM(Working_Sales[[#This Row],[Customer ID]]))</f>
        <v>CUST117</v>
      </c>
      <c r="J15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5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CUST117</v>
      </c>
      <c r="L155" t="s">
        <v>34</v>
      </c>
      <c r="M155" s="4" t="str">
        <f>CLEAN(TRIM(Working_Sales[[#This Row],[Gender]]))</f>
        <v>Male</v>
      </c>
      <c r="N155" s="4" t="str" cm="1">
        <f t="array" ref="N155">_xlfn.SWITCH(
   Working_Sales[[#This Row],[Gender_Whitespace_Removed]],
   "m", "Male",
   "f", "Female",
   Working_Sales[[#This Row],[Gender_Whitespace_Removed]]
)</f>
        <v>Male</v>
      </c>
      <c r="O155" s="6" t="str">
        <f>PROPER(Working_Sales[[#This Row],[Gender_Abbreviation_Expanded]])</f>
        <v>Male</v>
      </c>
      <c r="P155">
        <v>19</v>
      </c>
      <c r="Q155" s="2" t="str">
        <f>CLEAN(TRIM(Working_Sales[[#This Row],[Age]]))</f>
        <v>19</v>
      </c>
      <c r="R155" s="6">
        <f>INT(SUBSTITUTE(Working_Sales[[#This Row],[Age_Whitespace_Removed]],".",","))</f>
        <v>19</v>
      </c>
      <c r="S155" t="s">
        <v>56</v>
      </c>
      <c r="T155" s="2" t="str">
        <f>CLEAN(TRIM(Working_Sales[[#This Row],[Product Category]]))</f>
        <v>Clothing</v>
      </c>
      <c r="U155" s="6" t="str">
        <f>PROPER(Working_Sales[[#This Row],[Product_Category_Whitespace_Removed]])</f>
        <v>Clothing</v>
      </c>
      <c r="V155" t="s">
        <v>22</v>
      </c>
      <c r="W155" s="2" t="str">
        <f>CLEAN(TRIM(Working_Sales[[#This Row],[Quantity]]))</f>
        <v>1</v>
      </c>
      <c r="X155" s="2">
        <f>INT(Working_Sales[[#This Row],[`]])</f>
        <v>1</v>
      </c>
      <c r="Y155" s="6">
        <f>IFERROR(
   Working_Sales[[#This Row],[Quantity_Converted_To_Integer]],
   Working_Sales[[#This Row],[Total_Amount_Whitespace_Removed]]/Working_Sales[[#This Row],[Price_Per_Unit_Decimal_Separator_Fixed]])</f>
        <v>1</v>
      </c>
      <c r="Z155" t="s">
        <v>100</v>
      </c>
      <c r="AA155" s="2" t="str">
        <f>CLEAN(TRIM(Working_Sales[[#This Row],[Price per Unit]]))</f>
        <v>30</v>
      </c>
      <c r="AB155" s="2">
        <f>INT(
   SUBSTITUTE(Working_Sales[[#This Row],[Price_Per_Unit_Whitespace_Removed]],
   "$",
   ""
   )
)</f>
        <v>30</v>
      </c>
      <c r="AC155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155" s="8">
        <f>IFERROR(
   Working_Sales[[#This Row],[Price_Per_Unit_Decimal_Separator_Fixed]],
   Working_Sales[[#This Row],[Total_Amount_Converted_To_Integer]]/Working_Sales[[#This Row],[Quantity_Converted_To_Integer]]
)</f>
        <v>30</v>
      </c>
      <c r="AE155" t="s">
        <v>70</v>
      </c>
      <c r="AF155" s="2" t="str">
        <f>CLEAN(TRIM(Working_Sales[[#This Row],[Total Amount]]))</f>
        <v>30</v>
      </c>
      <c r="AG155" s="2">
        <f>INT(Working_Sales[[#This Row],[Total_Amount_Whitespace_Removed]])</f>
        <v>30</v>
      </c>
      <c r="AH15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156" spans="1:34" x14ac:dyDescent="0.35">
      <c r="A156" t="s">
        <v>429</v>
      </c>
      <c r="B156" s="6" t="str">
        <f>CLEAN(TRIM(Working_Sales[[#This Row],[Transaction ID]]))</f>
        <v>516</v>
      </c>
      <c r="C156" t="s">
        <v>2033</v>
      </c>
      <c r="D156" s="2" t="str">
        <f>CLEAN(TRIM(Working_Sales[[#This Row],[Date]]))</f>
        <v>10/23/2023</v>
      </c>
      <c r="E156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15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45222</v>
      </c>
      <c r="G15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45222</v>
      </c>
      <c r="H156" t="s">
        <v>2451</v>
      </c>
      <c r="I156" s="2" t="str">
        <f>CLEAN(TRIM(Working_Sales[[#This Row],[Customer ID]]))</f>
        <v>cust134</v>
      </c>
      <c r="J15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5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CUST134</v>
      </c>
      <c r="L156" t="s">
        <v>34</v>
      </c>
      <c r="M156" s="4" t="str">
        <f>CLEAN(TRIM(Working_Sales[[#This Row],[Gender]]))</f>
        <v>Male</v>
      </c>
      <c r="N156" s="4" t="str" cm="1">
        <f t="array" ref="N156">_xlfn.SWITCH(
   Working_Sales[[#This Row],[Gender_Whitespace_Removed]],
   "m", "Male",
   "f", "Female",
   Working_Sales[[#This Row],[Gender_Whitespace_Removed]]
)</f>
        <v>Male</v>
      </c>
      <c r="O156" s="6" t="str">
        <f>PROPER(Working_Sales[[#This Row],[Gender_Abbreviation_Expanded]])</f>
        <v>Male</v>
      </c>
      <c r="P156">
        <v>30</v>
      </c>
      <c r="Q156" s="2" t="str">
        <f>CLEAN(TRIM(Working_Sales[[#This Row],[Age]]))</f>
        <v>30</v>
      </c>
      <c r="R156" s="6">
        <f>INT(SUBSTITUTE(Working_Sales[[#This Row],[Age_Whitespace_Removed]],".",","))</f>
        <v>30</v>
      </c>
      <c r="S156" t="s">
        <v>69</v>
      </c>
      <c r="T156" s="2" t="str">
        <f>CLEAN(TRIM(Working_Sales[[#This Row],[Product Category]]))</f>
        <v>BEAUTY</v>
      </c>
      <c r="U156" s="6" t="str">
        <f>PROPER(Working_Sales[[#This Row],[Product_Category_Whitespace_Removed]])</f>
        <v>Beauty</v>
      </c>
      <c r="V156" t="s">
        <v>14</v>
      </c>
      <c r="W156" s="2" t="str">
        <f>CLEAN(TRIM(Working_Sales[[#This Row],[Quantity]]))</f>
        <v>4</v>
      </c>
      <c r="X156" s="2">
        <f>INT(Working_Sales[[#This Row],[`]])</f>
        <v>4</v>
      </c>
      <c r="Y156" s="6">
        <f>IFERROR(
   Working_Sales[[#This Row],[Quantity_Converted_To_Integer]],
   Working_Sales[[#This Row],[Total_Amount_Whitespace_Removed]]/Working_Sales[[#This Row],[Price_Per_Unit_Decimal_Separator_Fixed]])</f>
        <v>4</v>
      </c>
      <c r="Z156" t="s">
        <v>371</v>
      </c>
      <c r="AA156" s="2" t="str">
        <f>CLEAN(TRIM(Working_Sales[[#This Row],[Price per Unit]]))</f>
        <v>25.00</v>
      </c>
      <c r="AB156" s="2" t="e">
        <f>INT(
   SUBSTITUTE(Working_Sales[[#This Row],[Price_Per_Unit_Whitespace_Removed]],
   "$",
   ""
   )
)</f>
        <v>#VALUE!</v>
      </c>
      <c r="AC156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156" s="8">
        <f>IFERROR(
   Working_Sales[[#This Row],[Price_Per_Unit_Decimal_Separator_Fixed]],
   Working_Sales[[#This Row],[Total_Amount_Converted_To_Integer]]/Working_Sales[[#This Row],[Quantity_Converted_To_Integer]]
)</f>
        <v>25</v>
      </c>
      <c r="AE156" t="s">
        <v>38</v>
      </c>
      <c r="AF156" s="2" t="str">
        <f>CLEAN(TRIM(Working_Sales[[#This Row],[Total Amount]]))</f>
        <v>100</v>
      </c>
      <c r="AG156" s="2">
        <f>INT(Working_Sales[[#This Row],[Total_Amount_Whitespace_Removed]])</f>
        <v>100</v>
      </c>
      <c r="AH15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157" spans="1:34" x14ac:dyDescent="0.35">
      <c r="A157" t="s">
        <v>430</v>
      </c>
      <c r="B157" s="6" t="str">
        <f>CLEAN(TRIM(Working_Sales[[#This Row],[Transaction ID]]))</f>
        <v>564</v>
      </c>
      <c r="C157" t="s">
        <v>431</v>
      </c>
      <c r="D157" s="2" t="str">
        <f>CLEAN(TRIM(Working_Sales[[#This Row],[Date]]))</f>
        <v>2023-10-24</v>
      </c>
      <c r="E15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45223</v>
      </c>
      <c r="F15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45223</v>
      </c>
      <c r="G15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45223</v>
      </c>
      <c r="H157" t="s">
        <v>2452</v>
      </c>
      <c r="I157" s="2" t="str">
        <f>CLEAN(TRIM(Working_Sales[[#This Row],[Customer ID]]))</f>
        <v>CUST-135</v>
      </c>
      <c r="J15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5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CUST135</v>
      </c>
      <c r="L157" t="s">
        <v>34</v>
      </c>
      <c r="M157" s="4" t="str">
        <f>CLEAN(TRIM(Working_Sales[[#This Row],[Gender]]))</f>
        <v>Male</v>
      </c>
      <c r="N157" s="4" t="str" cm="1">
        <f t="array" ref="N157">_xlfn.SWITCH(
   Working_Sales[[#This Row],[Gender_Whitespace_Removed]],
   "m", "Male",
   "f", "Female",
   Working_Sales[[#This Row],[Gender_Whitespace_Removed]]
)</f>
        <v>Male</v>
      </c>
      <c r="O157" s="6" t="str">
        <f>PROPER(Working_Sales[[#This Row],[Gender_Abbreviation_Expanded]])</f>
        <v>Male</v>
      </c>
      <c r="P157">
        <v>50</v>
      </c>
      <c r="Q157" s="2" t="str">
        <f>CLEAN(TRIM(Working_Sales[[#This Row],[Age]]))</f>
        <v>50</v>
      </c>
      <c r="R157" s="6">
        <f>INT(SUBSTITUTE(Working_Sales[[#This Row],[Age_Whitespace_Removed]],".",","))</f>
        <v>50</v>
      </c>
      <c r="S157" t="s">
        <v>99</v>
      </c>
      <c r="T157" s="2" t="str">
        <f>CLEAN(TRIM(Working_Sales[[#This Row],[Product Category]]))</f>
        <v>ELECTRONICS</v>
      </c>
      <c r="U157" s="6" t="str">
        <f>PROPER(Working_Sales[[#This Row],[Product_Category_Whitespace_Removed]])</f>
        <v>Electronics</v>
      </c>
      <c r="V157" t="s">
        <v>37</v>
      </c>
      <c r="W157" s="2" t="str">
        <f>CLEAN(TRIM(Working_Sales[[#This Row],[Quantity]]))</f>
        <v>2</v>
      </c>
      <c r="X157" s="2">
        <f>INT(Working_Sales[[#This Row],[`]])</f>
        <v>2</v>
      </c>
      <c r="Y157" s="6">
        <f>IFERROR(
   Working_Sales[[#This Row],[Quantity_Converted_To_Integer]],
   Working_Sales[[#This Row],[Total_Amount_Whitespace_Removed]]/Working_Sales[[#This Row],[Price_Per_Unit_Decimal_Separator_Fixed]])</f>
        <v>2</v>
      </c>
      <c r="Z157" t="s">
        <v>15</v>
      </c>
      <c r="AA157" s="2" t="str">
        <f>CLEAN(TRIM(Working_Sales[[#This Row],[Price per Unit]]))</f>
        <v>50</v>
      </c>
      <c r="AB157" s="2">
        <f>INT(
   SUBSTITUTE(Working_Sales[[#This Row],[Price_Per_Unit_Whitespace_Removed]],
   "$",
   ""
   )
)</f>
        <v>50</v>
      </c>
      <c r="AC157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157" s="8">
        <f>IFERROR(
   Working_Sales[[#This Row],[Price_Per_Unit_Decimal_Separator_Fixed]],
   Working_Sales[[#This Row],[Total_Amount_Converted_To_Integer]]/Working_Sales[[#This Row],[Quantity_Converted_To_Integer]]
)</f>
        <v>50</v>
      </c>
      <c r="AF157" s="2" t="str">
        <f>CLEAN(TRIM(Working_Sales[[#This Row],[Total Amount]]))</f>
        <v/>
      </c>
      <c r="AG157" s="2" t="e">
        <f>INT(Working_Sales[[#This Row],[Total_Amount_Whitespace_Removed]])</f>
        <v>#VALUE!</v>
      </c>
      <c r="AH15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158" spans="1:34" x14ac:dyDescent="0.35">
      <c r="A158" t="s">
        <v>432</v>
      </c>
      <c r="B158" s="6" t="str">
        <f>CLEAN(TRIM(Working_Sales[[#This Row],[Transaction ID]]))</f>
        <v>397</v>
      </c>
      <c r="C158" t="s">
        <v>1814</v>
      </c>
      <c r="D158" s="2" t="str">
        <f>CLEAN(TRIM(Working_Sales[[#This Row],[Date]]))</f>
        <v>2023-03-10</v>
      </c>
      <c r="E15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44995</v>
      </c>
      <c r="F15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44995</v>
      </c>
      <c r="G15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44995</v>
      </c>
      <c r="H158" t="s">
        <v>1277</v>
      </c>
      <c r="I158" s="2" t="str">
        <f>CLEAN(TRIM(Working_Sales[[#This Row],[Customer ID]]))</f>
        <v>CUST136</v>
      </c>
      <c r="J15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CUST136</v>
      </c>
      <c r="K15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CUST136</v>
      </c>
      <c r="L158" t="s">
        <v>112</v>
      </c>
      <c r="M158" s="4" t="str">
        <f>CLEAN(TRIM(Working_Sales[[#This Row],[Gender]]))</f>
        <v>female</v>
      </c>
      <c r="N158" s="4" t="str" cm="1">
        <f t="array" ref="N158">_xlfn.SWITCH(
   Working_Sales[[#This Row],[Gender_Whitespace_Removed]],
   "m", "Male",
   "f", "Female",
   Working_Sales[[#This Row],[Gender_Whitespace_Removed]]
)</f>
        <v>female</v>
      </c>
      <c r="O158" s="6" t="str">
        <f>PROPER(Working_Sales[[#This Row],[Gender_Abbreviation_Expanded]])</f>
        <v>Female</v>
      </c>
      <c r="P158">
        <v>30</v>
      </c>
      <c r="Q158" s="2" t="str">
        <f>CLEAN(TRIM(Working_Sales[[#This Row],[Age]]))</f>
        <v>30</v>
      </c>
      <c r="R158" s="6">
        <f>INT(SUBSTITUTE(Working_Sales[[#This Row],[Age_Whitespace_Removed]],".",","))</f>
        <v>30</v>
      </c>
      <c r="S158" t="s">
        <v>434</v>
      </c>
      <c r="T158" s="2" t="str">
        <f>CLEAN(TRIM(Working_Sales[[#This Row],[Product Category]]))</f>
        <v>Beauty</v>
      </c>
      <c r="U158" s="6" t="str">
        <f>PROPER(Working_Sales[[#This Row],[Product_Category_Whitespace_Removed]])</f>
        <v>Beauty</v>
      </c>
      <c r="V158" t="s">
        <v>22</v>
      </c>
      <c r="W158" s="2" t="str">
        <f>CLEAN(TRIM(Working_Sales[[#This Row],[Quantity]]))</f>
        <v>1</v>
      </c>
      <c r="X158" s="2">
        <f>INT(Working_Sales[[#This Row],[`]])</f>
        <v>1</v>
      </c>
      <c r="Y158" s="6">
        <f>IFERROR(
   Working_Sales[[#This Row],[Quantity_Converted_To_Integer]],
   Working_Sales[[#This Row],[Total_Amount_Whitespace_Removed]]/Working_Sales[[#This Row],[Price_Per_Unit_Decimal_Separator_Fixed]])</f>
        <v>1</v>
      </c>
      <c r="Z158" t="s">
        <v>30</v>
      </c>
      <c r="AA158" s="2" t="str">
        <f>CLEAN(TRIM(Working_Sales[[#This Row],[Price per Unit]]))</f>
        <v>25</v>
      </c>
      <c r="AB158" s="2">
        <f>INT(
   SUBSTITUTE(Working_Sales[[#This Row],[Price_Per_Unit_Whitespace_Removed]],
   "$",
   ""
   )
)</f>
        <v>25</v>
      </c>
      <c r="AC158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158" s="8">
        <f>IFERROR(
   Working_Sales[[#This Row],[Price_Per_Unit_Decimal_Separator_Fixed]],
   Working_Sales[[#This Row],[Total_Amount_Converted_To_Integer]]/Working_Sales[[#This Row],[Quantity_Converted_To_Integer]]
)</f>
        <v>25</v>
      </c>
      <c r="AE158" t="s">
        <v>30</v>
      </c>
      <c r="AF158" s="2" t="str">
        <f>CLEAN(TRIM(Working_Sales[[#This Row],[Total Amount]]))</f>
        <v>25</v>
      </c>
      <c r="AG158" s="2">
        <f>INT(Working_Sales[[#This Row],[Total_Amount_Whitespace_Removed]])</f>
        <v>25</v>
      </c>
      <c r="AH15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159" spans="1:34" x14ac:dyDescent="0.35">
      <c r="A159" t="s">
        <v>435</v>
      </c>
      <c r="B159" s="6" t="str">
        <f>CLEAN(TRIM(Working_Sales[[#This Row],[Transaction ID]]))</f>
        <v>966</v>
      </c>
      <c r="C159" t="s">
        <v>436</v>
      </c>
      <c r="D159" s="2" t="str">
        <f>CLEAN(TRIM(Working_Sales[[#This Row],[Date]]))</f>
        <v>2023-02-20</v>
      </c>
      <c r="E15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44977</v>
      </c>
      <c r="F15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44977</v>
      </c>
      <c r="G15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44977</v>
      </c>
      <c r="H159" t="s">
        <v>2453</v>
      </c>
      <c r="I159" s="2" t="str">
        <f>CLEAN(TRIM(Working_Sales[[#This Row],[Customer ID]]))</f>
        <v>cust137</v>
      </c>
      <c r="J15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5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CUST137</v>
      </c>
      <c r="L159" t="s">
        <v>34</v>
      </c>
      <c r="M159" s="4" t="str">
        <f>CLEAN(TRIM(Working_Sales[[#This Row],[Gender]]))</f>
        <v>Male</v>
      </c>
      <c r="N159" s="4" t="str" cm="1">
        <f t="array" ref="N159">_xlfn.SWITCH(
   Working_Sales[[#This Row],[Gender_Whitespace_Removed]],
   "m", "Male",
   "f", "Female",
   Working_Sales[[#This Row],[Gender_Whitespace_Removed]]
)</f>
        <v>Male</v>
      </c>
      <c r="O159" s="6" t="str">
        <f>PROPER(Working_Sales[[#This Row],[Gender_Abbreviation_Expanded]])</f>
        <v>Male</v>
      </c>
      <c r="P159">
        <v>60</v>
      </c>
      <c r="Q159" s="2" t="str">
        <f>CLEAN(TRIM(Working_Sales[[#This Row],[Age]]))</f>
        <v>60</v>
      </c>
      <c r="R159" s="6">
        <f>INT(SUBSTITUTE(Working_Sales[[#This Row],[Age_Whitespace_Removed]],".",","))</f>
        <v>60</v>
      </c>
      <c r="S159" t="s">
        <v>99</v>
      </c>
      <c r="T159" s="2" t="str">
        <f>CLEAN(TRIM(Working_Sales[[#This Row],[Product Category]]))</f>
        <v>ELECTRONICS</v>
      </c>
      <c r="U159" s="6" t="str">
        <f>PROPER(Working_Sales[[#This Row],[Product_Category_Whitespace_Removed]])</f>
        <v>Electronics</v>
      </c>
      <c r="V159" t="s">
        <v>37</v>
      </c>
      <c r="W159" s="2" t="str">
        <f>CLEAN(TRIM(Working_Sales[[#This Row],[Quantity]]))</f>
        <v>2</v>
      </c>
      <c r="X159" s="2">
        <f>INT(Working_Sales[[#This Row],[`]])</f>
        <v>2</v>
      </c>
      <c r="Y159" s="6">
        <f>IFERROR(
   Working_Sales[[#This Row],[Quantity_Converted_To_Integer]],
   Working_Sales[[#This Row],[Total_Amount_Whitespace_Removed]]/Working_Sales[[#This Row],[Price_Per_Unit_Decimal_Separator_Fixed]])</f>
        <v>2</v>
      </c>
      <c r="Z159" t="s">
        <v>57</v>
      </c>
      <c r="AA159" s="2" t="str">
        <f>CLEAN(TRIM(Working_Sales[[#This Row],[Price per Unit]]))</f>
        <v>500</v>
      </c>
      <c r="AB159" s="2">
        <f>INT(
   SUBSTITUTE(Working_Sales[[#This Row],[Price_Per_Unit_Whitespace_Removed]],
   "$",
   ""
   )
)</f>
        <v>500</v>
      </c>
      <c r="AC159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159" s="8">
        <f>IFERROR(
   Working_Sales[[#This Row],[Price_Per_Unit_Decimal_Separator_Fixed]],
   Working_Sales[[#This Row],[Total_Amount_Converted_To_Integer]]/Working_Sales[[#This Row],[Quantity_Converted_To_Integer]]
)</f>
        <v>500</v>
      </c>
      <c r="AF159" s="2" t="str">
        <f>CLEAN(TRIM(Working_Sales[[#This Row],[Total Amount]]))</f>
        <v/>
      </c>
      <c r="AG159" s="2" t="e">
        <f>INT(Working_Sales[[#This Row],[Total_Amount_Whitespace_Removed]])</f>
        <v>#VALUE!</v>
      </c>
      <c r="AH15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160" spans="1:34" x14ac:dyDescent="0.35">
      <c r="A160" t="s">
        <v>437</v>
      </c>
      <c r="B160" s="6" t="str">
        <f>CLEAN(TRIM(Working_Sales[[#This Row],[Transaction ID]]))</f>
        <v>474</v>
      </c>
      <c r="C160" t="s">
        <v>438</v>
      </c>
      <c r="D160" s="2" t="str">
        <f>CLEAN(TRIM(Working_Sales[[#This Row],[Date]]))</f>
        <v>2023-07-15</v>
      </c>
      <c r="E16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45122</v>
      </c>
      <c r="F16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45122</v>
      </c>
      <c r="G16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45122</v>
      </c>
      <c r="H160" t="s">
        <v>1913</v>
      </c>
      <c r="I160" s="2" t="str">
        <f>CLEAN(TRIM(Working_Sales[[#This Row],[Customer ID]]))</f>
        <v>CUST138</v>
      </c>
      <c r="J16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CUST138</v>
      </c>
      <c r="K16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CUST138</v>
      </c>
      <c r="L160" t="s">
        <v>26</v>
      </c>
      <c r="M160" s="4" t="str">
        <f>CLEAN(TRIM(Working_Sales[[#This Row],[Gender]]))</f>
        <v>Female</v>
      </c>
      <c r="N160" s="4" t="str" cm="1">
        <f t="array" ref="N160">_xlfn.SWITCH(
   Working_Sales[[#This Row],[Gender_Whitespace_Removed]],
   "m", "Male",
   "f", "Female",
   Working_Sales[[#This Row],[Gender_Whitespace_Removed]]
)</f>
        <v>Female</v>
      </c>
      <c r="O160" s="6" t="str">
        <f>PROPER(Working_Sales[[#This Row],[Gender_Abbreviation_Expanded]])</f>
        <v>Female</v>
      </c>
      <c r="P160">
        <v>26</v>
      </c>
      <c r="Q160" s="2" t="str">
        <f>CLEAN(TRIM(Working_Sales[[#This Row],[Age]]))</f>
        <v>26</v>
      </c>
      <c r="R160" s="6">
        <f>INT(SUBSTITUTE(Working_Sales[[#This Row],[Age_Whitespace_Removed]],".",","))</f>
        <v>26</v>
      </c>
      <c r="S160" t="s">
        <v>56</v>
      </c>
      <c r="T160" s="2" t="str">
        <f>CLEAN(TRIM(Working_Sales[[#This Row],[Product Category]]))</f>
        <v>Clothing</v>
      </c>
      <c r="U160" s="6" t="str">
        <f>PROPER(Working_Sales[[#This Row],[Product_Category_Whitespace_Removed]])</f>
        <v>Clothing</v>
      </c>
      <c r="V160" t="s">
        <v>29</v>
      </c>
      <c r="W160" s="2" t="str">
        <f>CLEAN(TRIM(Working_Sales[[#This Row],[Quantity]]))</f>
        <v>3</v>
      </c>
      <c r="X160" s="2">
        <f>INT(Working_Sales[[#This Row],[`]])</f>
        <v>3</v>
      </c>
      <c r="Y160" s="6">
        <f>IFERROR(
   Working_Sales[[#This Row],[Quantity_Converted_To_Integer]],
   Working_Sales[[#This Row],[Total_Amount_Whitespace_Removed]]/Working_Sales[[#This Row],[Price_Per_Unit_Decimal_Separator_Fixed]])</f>
        <v>3</v>
      </c>
      <c r="Z160" t="s">
        <v>57</v>
      </c>
      <c r="AA160" s="2" t="str">
        <f>CLEAN(TRIM(Working_Sales[[#This Row],[Price per Unit]]))</f>
        <v>500</v>
      </c>
      <c r="AB160" s="2">
        <f>INT(
   SUBSTITUTE(Working_Sales[[#This Row],[Price_Per_Unit_Whitespace_Removed]],
   "$",
   ""
   )
)</f>
        <v>500</v>
      </c>
      <c r="AC160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160" s="8">
        <f>IFERROR(
   Working_Sales[[#This Row],[Price_Per_Unit_Decimal_Separator_Fixed]],
   Working_Sales[[#This Row],[Total_Amount_Converted_To_Integer]]/Working_Sales[[#This Row],[Quantity_Converted_To_Integer]]
)</f>
        <v>500</v>
      </c>
      <c r="AE160" t="s">
        <v>85</v>
      </c>
      <c r="AF160" s="2" t="str">
        <f>CLEAN(TRIM(Working_Sales[[#This Row],[Total Amount]]))</f>
        <v>1500</v>
      </c>
      <c r="AG160" s="2">
        <f>INT(Working_Sales[[#This Row],[Total_Amount_Whitespace_Removed]])</f>
        <v>1500</v>
      </c>
      <c r="AH16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161" spans="1:34" x14ac:dyDescent="0.35">
      <c r="A161" t="s">
        <v>439</v>
      </c>
      <c r="B161" s="6" t="str">
        <f>CLEAN(TRIM(Working_Sales[[#This Row],[Transaction ID]]))</f>
        <v>171</v>
      </c>
      <c r="C161" t="s">
        <v>2034</v>
      </c>
      <c r="D161" s="2" t="str">
        <f>CLEAN(TRIM(Working_Sales[[#This Row],[Date]]))</f>
        <v>24-Nov-2023</v>
      </c>
      <c r="E16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45254</v>
      </c>
      <c r="F16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45254</v>
      </c>
      <c r="G16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45254</v>
      </c>
      <c r="H161" t="s">
        <v>2454</v>
      </c>
      <c r="I161" s="2" t="str">
        <f>CLEAN(TRIM(Working_Sales[[#This Row],[Customer ID]]))</f>
        <v>CUST139</v>
      </c>
      <c r="J16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6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CUST139</v>
      </c>
      <c r="L161" t="s">
        <v>26</v>
      </c>
      <c r="M161" s="4" t="str">
        <f>CLEAN(TRIM(Working_Sales[[#This Row],[Gender]]))</f>
        <v>Female</v>
      </c>
      <c r="N161" s="4" t="str" cm="1">
        <f t="array" ref="N161">_xlfn.SWITCH(
   Working_Sales[[#This Row],[Gender_Whitespace_Removed]],
   "m", "Male",
   "f", "Female",
   Working_Sales[[#This Row],[Gender_Whitespace_Removed]]
)</f>
        <v>Female</v>
      </c>
      <c r="O161" s="6" t="str">
        <f>PROPER(Working_Sales[[#This Row],[Gender_Abbreviation_Expanded]])</f>
        <v>Female</v>
      </c>
      <c r="P161">
        <v>52</v>
      </c>
      <c r="Q161" s="2" t="str">
        <f>CLEAN(TRIM(Working_Sales[[#This Row],[Age]]))</f>
        <v>52</v>
      </c>
      <c r="R161" s="6">
        <f>INT(SUBSTITUTE(Working_Sales[[#This Row],[Age_Whitespace_Removed]],".",","))</f>
        <v>52</v>
      </c>
      <c r="S161" t="s">
        <v>56</v>
      </c>
      <c r="T161" s="2" t="str">
        <f>CLEAN(TRIM(Working_Sales[[#This Row],[Product Category]]))</f>
        <v>Clothing</v>
      </c>
      <c r="U161" s="6" t="str">
        <f>PROPER(Working_Sales[[#This Row],[Product_Category_Whitespace_Removed]])</f>
        <v>Clothing</v>
      </c>
      <c r="V161" t="s">
        <v>29</v>
      </c>
      <c r="W161" s="2" t="str">
        <f>CLEAN(TRIM(Working_Sales[[#This Row],[Quantity]]))</f>
        <v>3</v>
      </c>
      <c r="X161" s="2">
        <f>INT(Working_Sales[[#This Row],[`]])</f>
        <v>3</v>
      </c>
      <c r="Y161" s="6">
        <f>IFERROR(
   Working_Sales[[#This Row],[Quantity_Converted_To_Integer]],
   Working_Sales[[#This Row],[Total_Amount_Whitespace_Removed]]/Working_Sales[[#This Row],[Price_Per_Unit_Decimal_Separator_Fixed]])</f>
        <v>3</v>
      </c>
      <c r="Z161" t="s">
        <v>23</v>
      </c>
      <c r="AA161" s="2" t="str">
        <f>CLEAN(TRIM(Working_Sales[[#This Row],[Price per Unit]]))</f>
        <v>300</v>
      </c>
      <c r="AB161" s="2">
        <f>INT(
   SUBSTITUTE(Working_Sales[[#This Row],[Price_Per_Unit_Whitespace_Removed]],
   "$",
   ""
   )
)</f>
        <v>300</v>
      </c>
      <c r="AC161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161" s="8">
        <f>IFERROR(
   Working_Sales[[#This Row],[Price_Per_Unit_Decimal_Separator_Fixed]],
   Working_Sales[[#This Row],[Total_Amount_Converted_To_Integer]]/Working_Sales[[#This Row],[Quantity_Converted_To_Integer]]
)</f>
        <v>300</v>
      </c>
      <c r="AE161" t="s">
        <v>128</v>
      </c>
      <c r="AF161" s="2" t="str">
        <f>CLEAN(TRIM(Working_Sales[[#This Row],[Total Amount]]))</f>
        <v>900</v>
      </c>
      <c r="AG161" s="2">
        <f>INT(Working_Sales[[#This Row],[Total_Amount_Whitespace_Removed]])</f>
        <v>900</v>
      </c>
      <c r="AH16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162" spans="1:34" x14ac:dyDescent="0.35">
      <c r="A162" t="s">
        <v>441</v>
      </c>
      <c r="B162" s="6" t="str">
        <f>CLEAN(TRIM(Working_Sales[[#This Row],[Transaction ID]]))</f>
        <v>223</v>
      </c>
      <c r="C162" t="s">
        <v>2035</v>
      </c>
      <c r="D162" s="2" t="str">
        <f>CLEAN(TRIM(Working_Sales[[#This Row],[Date]]))</f>
        <v>02-Feb-2023</v>
      </c>
      <c r="E16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44959</v>
      </c>
      <c r="F16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44959</v>
      </c>
      <c r="G16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44959</v>
      </c>
      <c r="H162" t="s">
        <v>2455</v>
      </c>
      <c r="I162" s="2" t="str">
        <f>CLEAN(TRIM(Working_Sales[[#This Row],[Customer ID]]))</f>
        <v>CUST140</v>
      </c>
      <c r="J16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CUST140</v>
      </c>
      <c r="K16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CUST140</v>
      </c>
      <c r="L162" t="s">
        <v>46</v>
      </c>
      <c r="M162" s="4" t="str">
        <f>CLEAN(TRIM(Working_Sales[[#This Row],[Gender]]))</f>
        <v>F</v>
      </c>
      <c r="N162" s="4" t="str" cm="1">
        <f t="array" ref="N162">_xlfn.SWITCH(
   Working_Sales[[#This Row],[Gender_Whitespace_Removed]],
   "m", "Male",
   "f", "Female",
   Working_Sales[[#This Row],[Gender_Whitespace_Removed]]
)</f>
        <v>Female</v>
      </c>
      <c r="O162" s="6" t="str">
        <f>PROPER(Working_Sales[[#This Row],[Gender_Abbreviation_Expanded]])</f>
        <v>Female</v>
      </c>
      <c r="P162">
        <v>64</v>
      </c>
      <c r="Q162" s="2" t="str">
        <f>CLEAN(TRIM(Working_Sales[[#This Row],[Age]]))</f>
        <v>64</v>
      </c>
      <c r="R162" s="6">
        <f>INT(SUBSTITUTE(Working_Sales[[#This Row],[Age_Whitespace_Removed]],".",","))</f>
        <v>64</v>
      </c>
      <c r="S162" t="s">
        <v>56</v>
      </c>
      <c r="T162" s="2" t="str">
        <f>CLEAN(TRIM(Working_Sales[[#This Row],[Product Category]]))</f>
        <v>Clothing</v>
      </c>
      <c r="U162" s="6" t="str">
        <f>PROPER(Working_Sales[[#This Row],[Product_Category_Whitespace_Removed]])</f>
        <v>Clothing</v>
      </c>
      <c r="V162" t="s">
        <v>22</v>
      </c>
      <c r="W162" s="2" t="str">
        <f>CLEAN(TRIM(Working_Sales[[#This Row],[Quantity]]))</f>
        <v>1</v>
      </c>
      <c r="X162" s="2">
        <f>INT(Working_Sales[[#This Row],[`]])</f>
        <v>1</v>
      </c>
      <c r="Y162" s="6">
        <f>IFERROR(
   Working_Sales[[#This Row],[Quantity_Converted_To_Integer]],
   Working_Sales[[#This Row],[Total_Amount_Whitespace_Removed]]/Working_Sales[[#This Row],[Price_Per_Unit_Decimal_Separator_Fixed]])</f>
        <v>1</v>
      </c>
      <c r="Z162" t="s">
        <v>371</v>
      </c>
      <c r="AA162" s="2" t="str">
        <f>CLEAN(TRIM(Working_Sales[[#This Row],[Price per Unit]]))</f>
        <v>25.00</v>
      </c>
      <c r="AB162" s="2" t="e">
        <f>INT(
   SUBSTITUTE(Working_Sales[[#This Row],[Price_Per_Unit_Whitespace_Removed]],
   "$",
   ""
   )
)</f>
        <v>#VALUE!</v>
      </c>
      <c r="AC162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162" s="8">
        <f>IFERROR(
   Working_Sales[[#This Row],[Price_Per_Unit_Decimal_Separator_Fixed]],
   Working_Sales[[#This Row],[Total_Amount_Converted_To_Integer]]/Working_Sales[[#This Row],[Quantity_Converted_To_Integer]]
)</f>
        <v>25</v>
      </c>
      <c r="AE162" t="s">
        <v>30</v>
      </c>
      <c r="AF162" s="2" t="str">
        <f>CLEAN(TRIM(Working_Sales[[#This Row],[Total Amount]]))</f>
        <v>25</v>
      </c>
      <c r="AG162" s="2">
        <f>INT(Working_Sales[[#This Row],[Total_Amount_Whitespace_Removed]])</f>
        <v>25</v>
      </c>
      <c r="AH16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163" spans="1:34" x14ac:dyDescent="0.35">
      <c r="A163" t="s">
        <v>443</v>
      </c>
      <c r="B163" s="6" t="str">
        <f>CLEAN(TRIM(Working_Sales[[#This Row],[Transaction ID]]))</f>
        <v>337</v>
      </c>
      <c r="C163" t="s">
        <v>284</v>
      </c>
      <c r="D163" s="2" t="str">
        <f>CLEAN(TRIM(Working_Sales[[#This Row],[Date]]))</f>
        <v>2023-05-01</v>
      </c>
      <c r="E16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45047</v>
      </c>
      <c r="F16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45047</v>
      </c>
      <c r="G16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45047</v>
      </c>
      <c r="H163" t="s">
        <v>331</v>
      </c>
      <c r="I163" s="2" t="str">
        <f>CLEAN(TRIM(Working_Sales[[#This Row],[Customer ID]]))</f>
        <v>cust141</v>
      </c>
      <c r="J16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6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CUST141</v>
      </c>
      <c r="L163" t="s">
        <v>268</v>
      </c>
      <c r="M163" s="4" t="str">
        <f>CLEAN(TRIM(Working_Sales[[#This Row],[Gender]]))</f>
        <v>M</v>
      </c>
      <c r="N163" s="4" t="str" cm="1">
        <f t="array" ref="N163">_xlfn.SWITCH(
   Working_Sales[[#This Row],[Gender_Whitespace_Removed]],
   "m", "Male",
   "f", "Female",
   Working_Sales[[#This Row],[Gender_Whitespace_Removed]]
)</f>
        <v>Male</v>
      </c>
      <c r="O163" s="6" t="str">
        <f>PROPER(Working_Sales[[#This Row],[Gender_Abbreviation_Expanded]])</f>
        <v>Male</v>
      </c>
      <c r="P163">
        <v>38</v>
      </c>
      <c r="Q163" s="2" t="str">
        <f>CLEAN(TRIM(Working_Sales[[#This Row],[Age]]))</f>
        <v>38</v>
      </c>
      <c r="R163" s="6">
        <f>INT(SUBSTITUTE(Working_Sales[[#This Row],[Age_Whitespace_Removed]],".",","))</f>
        <v>38</v>
      </c>
      <c r="S163" t="s">
        <v>56</v>
      </c>
      <c r="T163" s="2" t="str">
        <f>CLEAN(TRIM(Working_Sales[[#This Row],[Product Category]]))</f>
        <v>Clothing</v>
      </c>
      <c r="U163" s="6" t="str">
        <f>PROPER(Working_Sales[[#This Row],[Product_Category_Whitespace_Removed]])</f>
        <v>Clothing</v>
      </c>
      <c r="V163" t="s">
        <v>22</v>
      </c>
      <c r="W163" s="2" t="str">
        <f>CLEAN(TRIM(Working_Sales[[#This Row],[Quantity]]))</f>
        <v>1</v>
      </c>
      <c r="X163" s="2">
        <f>INT(Working_Sales[[#This Row],[`]])</f>
        <v>1</v>
      </c>
      <c r="Y163" s="6">
        <f>IFERROR(
   Working_Sales[[#This Row],[Quantity_Converted_To_Integer]],
   Working_Sales[[#This Row],[Total_Amount_Whitespace_Removed]]/Working_Sales[[#This Row],[Price_Per_Unit_Decimal_Separator_Fixed]])</f>
        <v>1</v>
      </c>
      <c r="Z163" t="s">
        <v>57</v>
      </c>
      <c r="AA163" s="2" t="str">
        <f>CLEAN(TRIM(Working_Sales[[#This Row],[Price per Unit]]))</f>
        <v>500</v>
      </c>
      <c r="AB163" s="2">
        <f>INT(
   SUBSTITUTE(Working_Sales[[#This Row],[Price_Per_Unit_Whitespace_Removed]],
   "$",
   ""
   )
)</f>
        <v>500</v>
      </c>
      <c r="AC163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163" s="8">
        <f>IFERROR(
   Working_Sales[[#This Row],[Price_Per_Unit_Decimal_Separator_Fixed]],
   Working_Sales[[#This Row],[Total_Amount_Converted_To_Integer]]/Working_Sales[[#This Row],[Quantity_Converted_To_Integer]]
)</f>
        <v>500</v>
      </c>
      <c r="AE163" t="s">
        <v>57</v>
      </c>
      <c r="AF163" s="2" t="str">
        <f>CLEAN(TRIM(Working_Sales[[#This Row],[Total Amount]]))</f>
        <v>500</v>
      </c>
      <c r="AG163" s="2">
        <f>INT(Working_Sales[[#This Row],[Total_Amount_Whitespace_Removed]])</f>
        <v>500</v>
      </c>
      <c r="AH16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164" spans="1:34" x14ac:dyDescent="0.35">
      <c r="A164" t="s">
        <v>445</v>
      </c>
      <c r="B164" s="6" t="str">
        <f>CLEAN(TRIM(Working_Sales[[#This Row],[Transaction ID]]))</f>
        <v>783</v>
      </c>
      <c r="C164" t="s">
        <v>446</v>
      </c>
      <c r="D164" s="2" t="str">
        <f>CLEAN(TRIM(Working_Sales[[#This Row],[Date]]))</f>
        <v>12/17/2023</v>
      </c>
      <c r="E164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16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45277</v>
      </c>
      <c r="G16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45277</v>
      </c>
      <c r="H164" t="s">
        <v>2456</v>
      </c>
      <c r="I164" s="2" t="str">
        <f>CLEAN(TRIM(Working_Sales[[#This Row],[Customer ID]]))</f>
        <v>CUST-106</v>
      </c>
      <c r="J16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6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CUST106</v>
      </c>
      <c r="L164" t="s">
        <v>26</v>
      </c>
      <c r="M164" s="4" t="str">
        <f>CLEAN(TRIM(Working_Sales[[#This Row],[Gender]]))</f>
        <v>Female</v>
      </c>
      <c r="N164" s="4" t="str" cm="1">
        <f t="array" ref="N164">_xlfn.SWITCH(
   Working_Sales[[#This Row],[Gender_Whitespace_Removed]],
   "m", "Male",
   "f", "Female",
   Working_Sales[[#This Row],[Gender_Whitespace_Removed]]
)</f>
        <v>Female</v>
      </c>
      <c r="O164" s="6" t="str">
        <f>PROPER(Working_Sales[[#This Row],[Gender_Abbreviation_Expanded]])</f>
        <v>Female</v>
      </c>
      <c r="P164">
        <v>56</v>
      </c>
      <c r="Q164" s="2" t="str">
        <f>CLEAN(TRIM(Working_Sales[[#This Row],[Age]]))</f>
        <v>56</v>
      </c>
      <c r="R164" s="6">
        <f>INT(SUBSTITUTE(Working_Sales[[#This Row],[Age_Whitespace_Removed]],".",","))</f>
        <v>56</v>
      </c>
      <c r="S164" t="s">
        <v>56</v>
      </c>
      <c r="T164" s="2" t="str">
        <f>CLEAN(TRIM(Working_Sales[[#This Row],[Product Category]]))</f>
        <v>Clothing</v>
      </c>
      <c r="U164" s="6" t="str">
        <f>PROPER(Working_Sales[[#This Row],[Product_Category_Whitespace_Removed]])</f>
        <v>Clothing</v>
      </c>
      <c r="V164" t="s">
        <v>22</v>
      </c>
      <c r="W164" s="2" t="str">
        <f>CLEAN(TRIM(Working_Sales[[#This Row],[Quantity]]))</f>
        <v>1</v>
      </c>
      <c r="X164" s="2">
        <f>INT(Working_Sales[[#This Row],[`]])</f>
        <v>1</v>
      </c>
      <c r="Y164" s="6">
        <f>IFERROR(
   Working_Sales[[#This Row],[Quantity_Converted_To_Integer]],
   Working_Sales[[#This Row],[Total_Amount_Whitespace_Removed]]/Working_Sales[[#This Row],[Price_Per_Unit_Decimal_Separator_Fixed]])</f>
        <v>1</v>
      </c>
      <c r="Z164" t="s">
        <v>23</v>
      </c>
      <c r="AA164" s="2" t="str">
        <f>CLEAN(TRIM(Working_Sales[[#This Row],[Price per Unit]]))</f>
        <v>300</v>
      </c>
      <c r="AB164" s="2">
        <f>INT(
   SUBSTITUTE(Working_Sales[[#This Row],[Price_Per_Unit_Whitespace_Removed]],
   "$",
   ""
   )
)</f>
        <v>300</v>
      </c>
      <c r="AC164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164" s="8">
        <f>IFERROR(
   Working_Sales[[#This Row],[Price_Per_Unit_Decimal_Separator_Fixed]],
   Working_Sales[[#This Row],[Total_Amount_Converted_To_Integer]]/Working_Sales[[#This Row],[Quantity_Converted_To_Integer]]
)</f>
        <v>300</v>
      </c>
      <c r="AE164" t="s">
        <v>23</v>
      </c>
      <c r="AF164" s="2" t="str">
        <f>CLEAN(TRIM(Working_Sales[[#This Row],[Total Amount]]))</f>
        <v>300</v>
      </c>
      <c r="AG164" s="2">
        <f>INT(Working_Sales[[#This Row],[Total_Amount_Whitespace_Removed]])</f>
        <v>300</v>
      </c>
      <c r="AH16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165" spans="1:34" x14ac:dyDescent="0.35">
      <c r="A165" t="s">
        <v>448</v>
      </c>
      <c r="B165" s="6" t="str">
        <f>CLEAN(TRIM(Working_Sales[[#This Row],[Transaction ID]]))</f>
        <v>110</v>
      </c>
      <c r="C165" t="s">
        <v>449</v>
      </c>
      <c r="D165" s="2" t="str">
        <f>CLEAN(TRIM(Working_Sales[[#This Row],[Date]]))</f>
        <v>June 11, 2023</v>
      </c>
      <c r="E165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165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16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45088</v>
      </c>
      <c r="H165" t="s">
        <v>961</v>
      </c>
      <c r="I165" s="2" t="str">
        <f>CLEAN(TRIM(Working_Sales[[#This Row],[Customer ID]]))</f>
        <v>CUST142</v>
      </c>
      <c r="J16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CUST142</v>
      </c>
      <c r="K16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CUST142</v>
      </c>
      <c r="L165" t="s">
        <v>34</v>
      </c>
      <c r="M165" s="4" t="str">
        <f>CLEAN(TRIM(Working_Sales[[#This Row],[Gender]]))</f>
        <v>Male</v>
      </c>
      <c r="N165" s="4" t="str" cm="1">
        <f t="array" ref="N165">_xlfn.SWITCH(
   Working_Sales[[#This Row],[Gender_Whitespace_Removed]],
   "m", "Male",
   "f", "Female",
   Working_Sales[[#This Row],[Gender_Whitespace_Removed]]
)</f>
        <v>Male</v>
      </c>
      <c r="O165" s="6" t="str">
        <f>PROPER(Working_Sales[[#This Row],[Gender_Abbreviation_Expanded]])</f>
        <v>Male</v>
      </c>
      <c r="P165">
        <v>27</v>
      </c>
      <c r="Q165" s="2" t="str">
        <f>CLEAN(TRIM(Working_Sales[[#This Row],[Age]]))</f>
        <v>27</v>
      </c>
      <c r="R165" s="6">
        <f>INT(SUBSTITUTE(Working_Sales[[#This Row],[Age_Whitespace_Removed]],".",","))</f>
        <v>27</v>
      </c>
      <c r="S165" t="s">
        <v>400</v>
      </c>
      <c r="T165" s="2" t="str">
        <f>CLEAN(TRIM(Working_Sales[[#This Row],[Product Category]]))</f>
        <v>Clothing</v>
      </c>
      <c r="U165" s="6" t="str">
        <f>PROPER(Working_Sales[[#This Row],[Product_Category_Whitespace_Removed]])</f>
        <v>Clothing</v>
      </c>
      <c r="V165" t="s">
        <v>29</v>
      </c>
      <c r="W165" s="2" t="str">
        <f>CLEAN(TRIM(Working_Sales[[#This Row],[Quantity]]))</f>
        <v>3</v>
      </c>
      <c r="X165" s="2">
        <f>INT(Working_Sales[[#This Row],[`]])</f>
        <v>3</v>
      </c>
      <c r="Y165" s="6">
        <f>IFERROR(
   Working_Sales[[#This Row],[Quantity_Converted_To_Integer]],
   Working_Sales[[#This Row],[Total_Amount_Whitespace_Removed]]/Working_Sales[[#This Row],[Price_Per_Unit_Decimal_Separator_Fixed]])</f>
        <v>3</v>
      </c>
      <c r="Z165" t="s">
        <v>180</v>
      </c>
      <c r="AA165" s="2" t="str">
        <f>CLEAN(TRIM(Working_Sales[[#This Row],[Price per Unit]]))</f>
        <v>300</v>
      </c>
      <c r="AB165" s="2">
        <f>INT(
   SUBSTITUTE(Working_Sales[[#This Row],[Price_Per_Unit_Whitespace_Removed]],
   "$",
   ""
   )
)</f>
        <v>300</v>
      </c>
      <c r="AC165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165" s="8">
        <f>IFERROR(
   Working_Sales[[#This Row],[Price_Per_Unit_Decimal_Separator_Fixed]],
   Working_Sales[[#This Row],[Total_Amount_Converted_To_Integer]]/Working_Sales[[#This Row],[Quantity_Converted_To_Integer]]
)</f>
        <v>300</v>
      </c>
      <c r="AE165" t="s">
        <v>128</v>
      </c>
      <c r="AF165" s="2" t="str">
        <f>CLEAN(TRIM(Working_Sales[[#This Row],[Total Amount]]))</f>
        <v>900</v>
      </c>
      <c r="AG165" s="2">
        <f>INT(Working_Sales[[#This Row],[Total_Amount_Whitespace_Removed]])</f>
        <v>900</v>
      </c>
      <c r="AH16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166" spans="1:34" x14ac:dyDescent="0.35">
      <c r="A166" t="s">
        <v>451</v>
      </c>
      <c r="B166" s="6" t="str">
        <f>CLEAN(TRIM(Working_Sales[[#This Row],[Transaction ID]]))</f>
        <v>221</v>
      </c>
      <c r="C166" t="s">
        <v>452</v>
      </c>
      <c r="D166" s="2" t="str">
        <f>CLEAN(TRIM(Working_Sales[[#This Row],[Date]]))</f>
        <v>May 07, 2023</v>
      </c>
      <c r="E166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166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16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45053</v>
      </c>
      <c r="H166" t="s">
        <v>2457</v>
      </c>
      <c r="I166" s="2" t="str">
        <f>CLEAN(TRIM(Working_Sales[[#This Row],[Customer ID]]))</f>
        <v>cust143</v>
      </c>
      <c r="J16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6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CUST143</v>
      </c>
      <c r="L166" t="s">
        <v>34</v>
      </c>
      <c r="M166" s="4" t="str">
        <f>CLEAN(TRIM(Working_Sales[[#This Row],[Gender]]))</f>
        <v>Male</v>
      </c>
      <c r="N166" s="4" t="str" cm="1">
        <f t="array" ref="N166">_xlfn.SWITCH(
   Working_Sales[[#This Row],[Gender_Whitespace_Removed]],
   "m", "Male",
   "f", "Female",
   Working_Sales[[#This Row],[Gender_Whitespace_Removed]]
)</f>
        <v>Male</v>
      </c>
      <c r="O166" s="6" t="str">
        <f>PROPER(Working_Sales[[#This Row],[Gender_Abbreviation_Expanded]])</f>
        <v>Male</v>
      </c>
      <c r="P166">
        <v>39</v>
      </c>
      <c r="Q166" s="2" t="str">
        <f>CLEAN(TRIM(Working_Sales[[#This Row],[Age]]))</f>
        <v>39</v>
      </c>
      <c r="R166" s="6">
        <f>INT(SUBSTITUTE(Working_Sales[[#This Row],[Age_Whitespace_Removed]],".",","))</f>
        <v>39</v>
      </c>
      <c r="S166" t="s">
        <v>69</v>
      </c>
      <c r="T166" s="2" t="str">
        <f>CLEAN(TRIM(Working_Sales[[#This Row],[Product Category]]))</f>
        <v>BEAUTY</v>
      </c>
      <c r="U166" s="6" t="str">
        <f>PROPER(Working_Sales[[#This Row],[Product_Category_Whitespace_Removed]])</f>
        <v>Beauty</v>
      </c>
      <c r="V166" t="s">
        <v>37</v>
      </c>
      <c r="W166" s="2" t="str">
        <f>CLEAN(TRIM(Working_Sales[[#This Row],[Quantity]]))</f>
        <v>2</v>
      </c>
      <c r="X166" s="2">
        <f>INT(Working_Sales[[#This Row],[`]])</f>
        <v>2</v>
      </c>
      <c r="Y166" s="6">
        <f>IFERROR(
   Working_Sales[[#This Row],[Quantity_Converted_To_Integer]],
   Working_Sales[[#This Row],[Total_Amount_Whitespace_Removed]]/Working_Sales[[#This Row],[Price_Per_Unit_Decimal_Separator_Fixed]])</f>
        <v>2</v>
      </c>
      <c r="Z166" t="s">
        <v>23</v>
      </c>
      <c r="AA166" s="2" t="str">
        <f>CLEAN(TRIM(Working_Sales[[#This Row],[Price per Unit]]))</f>
        <v>300</v>
      </c>
      <c r="AB166" s="2">
        <f>INT(
   SUBSTITUTE(Working_Sales[[#This Row],[Price_Per_Unit_Whitespace_Removed]],
   "$",
   ""
   )
)</f>
        <v>300</v>
      </c>
      <c r="AC166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166" s="8">
        <f>IFERROR(
   Working_Sales[[#This Row],[Price_Per_Unit_Decimal_Separator_Fixed]],
   Working_Sales[[#This Row],[Total_Amount_Converted_To_Integer]]/Working_Sales[[#This Row],[Quantity_Converted_To_Integer]]
)</f>
        <v>300</v>
      </c>
      <c r="AE166" t="s">
        <v>107</v>
      </c>
      <c r="AF166" s="2" t="str">
        <f>CLEAN(TRIM(Working_Sales[[#This Row],[Total Amount]]))</f>
        <v>600</v>
      </c>
      <c r="AG166" s="2">
        <f>INT(Working_Sales[[#This Row],[Total_Amount_Whitespace_Removed]])</f>
        <v>600</v>
      </c>
      <c r="AH16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600</v>
      </c>
    </row>
    <row r="167" spans="1:34" x14ac:dyDescent="0.35">
      <c r="A167" t="s">
        <v>454</v>
      </c>
      <c r="B167" s="6" t="str">
        <f>CLEAN(TRIM(Working_Sales[[#This Row],[Transaction ID]]))</f>
        <v>352</v>
      </c>
      <c r="C167" t="s">
        <v>2036</v>
      </c>
      <c r="D167" s="2" t="str">
        <f>CLEAN(TRIM(Working_Sales[[#This Row],[Date]]))</f>
        <v>11-Jun-2023</v>
      </c>
      <c r="E16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45088</v>
      </c>
      <c r="F16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45088</v>
      </c>
      <c r="G16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45088</v>
      </c>
      <c r="H167" t="s">
        <v>2458</v>
      </c>
      <c r="I167" s="2" t="str">
        <f>CLEAN(TRIM(Working_Sales[[#This Row],[Customer ID]]))</f>
        <v>CUST064</v>
      </c>
      <c r="J16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CUST064</v>
      </c>
      <c r="K16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CUST064</v>
      </c>
      <c r="L167" t="s">
        <v>11</v>
      </c>
      <c r="M167" s="4" t="str">
        <f>CLEAN(TRIM(Working_Sales[[#This Row],[Gender]]))</f>
        <v>MALE</v>
      </c>
      <c r="N167" s="4" t="str" cm="1">
        <f t="array" ref="N167">_xlfn.SWITCH(
   Working_Sales[[#This Row],[Gender_Whitespace_Removed]],
   "m", "Male",
   "f", "Female",
   Working_Sales[[#This Row],[Gender_Whitespace_Removed]]
)</f>
        <v>MALE</v>
      </c>
      <c r="O167" s="6" t="str">
        <f>PROPER(Working_Sales[[#This Row],[Gender_Abbreviation_Expanded]])</f>
        <v>Male</v>
      </c>
      <c r="P167">
        <v>57</v>
      </c>
      <c r="Q167" s="2" t="str">
        <f>CLEAN(TRIM(Working_Sales[[#This Row],[Age]]))</f>
        <v>57</v>
      </c>
      <c r="R167" s="6">
        <f>INT(SUBSTITUTE(Working_Sales[[#This Row],[Age_Whitespace_Removed]],".",","))</f>
        <v>57</v>
      </c>
      <c r="S167" t="s">
        <v>117</v>
      </c>
      <c r="T167" s="2" t="str">
        <f>CLEAN(TRIM(Working_Sales[[#This Row],[Product Category]]))</f>
        <v>Electronics</v>
      </c>
      <c r="U167" s="6" t="str">
        <f>PROPER(Working_Sales[[#This Row],[Product_Category_Whitespace_Removed]])</f>
        <v>Electronics</v>
      </c>
      <c r="V167" t="s">
        <v>37</v>
      </c>
      <c r="W167" s="2" t="str">
        <f>CLEAN(TRIM(Working_Sales[[#This Row],[Quantity]]))</f>
        <v>2</v>
      </c>
      <c r="X167" s="2">
        <f>INT(Working_Sales[[#This Row],[`]])</f>
        <v>2</v>
      </c>
      <c r="Y167" s="6">
        <f>IFERROR(
   Working_Sales[[#This Row],[Quantity_Converted_To_Integer]],
   Working_Sales[[#This Row],[Total_Amount_Whitespace_Removed]]/Working_Sales[[#This Row],[Price_Per_Unit_Decimal_Separator_Fixed]])</f>
        <v>2</v>
      </c>
      <c r="Z167" t="s">
        <v>84</v>
      </c>
      <c r="AA167" s="2" t="str">
        <f>CLEAN(TRIM(Working_Sales[[#This Row],[Price per Unit]]))</f>
        <v>500.00</v>
      </c>
      <c r="AB167" s="2" t="e">
        <f>INT(
   SUBSTITUTE(Working_Sales[[#This Row],[Price_Per_Unit_Whitespace_Removed]],
   "$",
   ""
   )
)</f>
        <v>#VALUE!</v>
      </c>
      <c r="AC167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167" s="8">
        <f>IFERROR(
   Working_Sales[[#This Row],[Price_Per_Unit_Decimal_Separator_Fixed]],
   Working_Sales[[#This Row],[Total_Amount_Converted_To_Integer]]/Working_Sales[[#This Row],[Quantity_Converted_To_Integer]]
)</f>
        <v>500</v>
      </c>
      <c r="AE167" t="s">
        <v>163</v>
      </c>
      <c r="AF167" s="2" t="str">
        <f>CLEAN(TRIM(Working_Sales[[#This Row],[Total Amount]]))</f>
        <v>1000</v>
      </c>
      <c r="AG167" s="2">
        <f>INT(Working_Sales[[#This Row],[Total_Amount_Whitespace_Removed]])</f>
        <v>1000</v>
      </c>
      <c r="AH16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168" spans="1:34" x14ac:dyDescent="0.35">
      <c r="A168" t="s">
        <v>456</v>
      </c>
      <c r="B168" s="6" t="str">
        <f>CLEAN(TRIM(Working_Sales[[#This Row],[Transaction ID]]))</f>
        <v>579</v>
      </c>
      <c r="C168" t="s">
        <v>457</v>
      </c>
      <c r="D168" s="2" t="str">
        <f>CLEAN(TRIM(Working_Sales[[#This Row],[Date]]))</f>
        <v>21/09/2023</v>
      </c>
      <c r="E16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45190</v>
      </c>
      <c r="F16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45190</v>
      </c>
      <c r="G16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45190</v>
      </c>
      <c r="H168" t="s">
        <v>2459</v>
      </c>
      <c r="I168" s="2" t="str">
        <f>CLEAN(TRIM(Working_Sales[[#This Row],[Customer ID]]))</f>
        <v>Cust083</v>
      </c>
      <c r="J16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6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CUST083</v>
      </c>
      <c r="L168" t="s">
        <v>26</v>
      </c>
      <c r="M168" s="4" t="str">
        <f>CLEAN(TRIM(Working_Sales[[#This Row],[Gender]]))</f>
        <v>Female</v>
      </c>
      <c r="N168" s="4" t="str" cm="1">
        <f t="array" ref="N168">_xlfn.SWITCH(
   Working_Sales[[#This Row],[Gender_Whitespace_Removed]],
   "m", "Male",
   "f", "Female",
   Working_Sales[[#This Row],[Gender_Whitespace_Removed]]
)</f>
        <v>Female</v>
      </c>
      <c r="O168" s="6" t="str">
        <f>PROPER(Working_Sales[[#This Row],[Gender_Abbreviation_Expanded]])</f>
        <v>Female</v>
      </c>
      <c r="P168">
        <v>38</v>
      </c>
      <c r="Q168" s="2" t="str">
        <f>CLEAN(TRIM(Working_Sales[[#This Row],[Age]]))</f>
        <v>38</v>
      </c>
      <c r="R168" s="6">
        <f>INT(SUBSTITUTE(Working_Sales[[#This Row],[Age_Whitespace_Removed]],".",","))</f>
        <v>38</v>
      </c>
      <c r="S168" t="s">
        <v>13</v>
      </c>
      <c r="T168" s="2" t="str">
        <f>CLEAN(TRIM(Working_Sales[[#This Row],[Product Category]]))</f>
        <v>Electronics</v>
      </c>
      <c r="U168" s="6" t="str">
        <f>PROPER(Working_Sales[[#This Row],[Product_Category_Whitespace_Removed]])</f>
        <v>Electronics</v>
      </c>
      <c r="V168" t="s">
        <v>22</v>
      </c>
      <c r="W168" s="2" t="str">
        <f>CLEAN(TRIM(Working_Sales[[#This Row],[Quantity]]))</f>
        <v>1</v>
      </c>
      <c r="X168" s="2">
        <f>INT(Working_Sales[[#This Row],[`]])</f>
        <v>1</v>
      </c>
      <c r="Y168" s="6">
        <f>IFERROR(
   Working_Sales[[#This Row],[Quantity_Converted_To_Integer]],
   Working_Sales[[#This Row],[Total_Amount_Whitespace_Removed]]/Working_Sales[[#This Row],[Price_Per_Unit_Decimal_Separator_Fixed]])</f>
        <v>1</v>
      </c>
      <c r="Z168" t="s">
        <v>70</v>
      </c>
      <c r="AA168" s="2" t="str">
        <f>CLEAN(TRIM(Working_Sales[[#This Row],[Price per Unit]]))</f>
        <v>30</v>
      </c>
      <c r="AB168" s="2">
        <f>INT(
   SUBSTITUTE(Working_Sales[[#This Row],[Price_Per_Unit_Whitespace_Removed]],
   "$",
   ""
   )
)</f>
        <v>30</v>
      </c>
      <c r="AC168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168" s="8">
        <f>IFERROR(
   Working_Sales[[#This Row],[Price_Per_Unit_Decimal_Separator_Fixed]],
   Working_Sales[[#This Row],[Total_Amount_Converted_To_Integer]]/Working_Sales[[#This Row],[Quantity_Converted_To_Integer]]
)</f>
        <v>30</v>
      </c>
      <c r="AE168" t="s">
        <v>70</v>
      </c>
      <c r="AF168" s="2" t="str">
        <f>CLEAN(TRIM(Working_Sales[[#This Row],[Total Amount]]))</f>
        <v>30</v>
      </c>
      <c r="AG168" s="2">
        <f>INT(Working_Sales[[#This Row],[Total_Amount_Whitespace_Removed]])</f>
        <v>30</v>
      </c>
      <c r="AH16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169" spans="1:34" x14ac:dyDescent="0.35">
      <c r="A169" t="s">
        <v>458</v>
      </c>
      <c r="B169" s="6" t="str">
        <f>CLEAN(TRIM(Working_Sales[[#This Row],[Transaction ID]]))</f>
        <v>322</v>
      </c>
      <c r="C169" t="s">
        <v>459</v>
      </c>
      <c r="D169" s="2" t="str">
        <f>CLEAN(TRIM(Working_Sales[[#This Row],[Date]]))</f>
        <v>January 30, 2023</v>
      </c>
      <c r="E169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169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16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44956</v>
      </c>
      <c r="H169" t="s">
        <v>2460</v>
      </c>
      <c r="I169" s="2" t="str">
        <f>CLEAN(TRIM(Working_Sales[[#This Row],[Customer ID]]))</f>
        <v>CUST144</v>
      </c>
      <c r="J16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6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CUST144</v>
      </c>
      <c r="L169" t="s">
        <v>34</v>
      </c>
      <c r="M169" s="4" t="str">
        <f>CLEAN(TRIM(Working_Sales[[#This Row],[Gender]]))</f>
        <v>Male</v>
      </c>
      <c r="N169" s="4" t="str" cm="1">
        <f t="array" ref="N169">_xlfn.SWITCH(
   Working_Sales[[#This Row],[Gender_Whitespace_Removed]],
   "m", "Male",
   "f", "Female",
   Working_Sales[[#This Row],[Gender_Whitespace_Removed]]
)</f>
        <v>Male</v>
      </c>
      <c r="O169" s="6" t="str">
        <f>PROPER(Working_Sales[[#This Row],[Gender_Abbreviation_Expanded]])</f>
        <v>Male</v>
      </c>
      <c r="P169">
        <v>51</v>
      </c>
      <c r="Q169" s="2" t="str">
        <f>CLEAN(TRIM(Working_Sales[[#This Row],[Age]]))</f>
        <v>51</v>
      </c>
      <c r="R169" s="6">
        <f>INT(SUBSTITUTE(Working_Sales[[#This Row],[Age_Whitespace_Removed]],".",","))</f>
        <v>51</v>
      </c>
      <c r="S169" t="s">
        <v>13</v>
      </c>
      <c r="T169" s="2" t="str">
        <f>CLEAN(TRIM(Working_Sales[[#This Row],[Product Category]]))</f>
        <v>Electronics</v>
      </c>
      <c r="U169" s="6" t="str">
        <f>PROPER(Working_Sales[[#This Row],[Product_Category_Whitespace_Removed]])</f>
        <v>Electronics</v>
      </c>
      <c r="V169" t="s">
        <v>22</v>
      </c>
      <c r="W169" s="2" t="str">
        <f>CLEAN(TRIM(Working_Sales[[#This Row],[Quantity]]))</f>
        <v>1</v>
      </c>
      <c r="X169" s="2">
        <f>INT(Working_Sales[[#This Row],[`]])</f>
        <v>1</v>
      </c>
      <c r="Y169" s="6">
        <f>IFERROR(
   Working_Sales[[#This Row],[Quantity_Converted_To_Integer]],
   Working_Sales[[#This Row],[Total_Amount_Whitespace_Removed]]/Working_Sales[[#This Row],[Price_Per_Unit_Decimal_Separator_Fixed]])</f>
        <v>1</v>
      </c>
      <c r="Z169" t="s">
        <v>84</v>
      </c>
      <c r="AA169" s="2" t="str">
        <f>CLEAN(TRIM(Working_Sales[[#This Row],[Price per Unit]]))</f>
        <v>500.00</v>
      </c>
      <c r="AB169" s="2" t="e">
        <f>INT(
   SUBSTITUTE(Working_Sales[[#This Row],[Price_Per_Unit_Whitespace_Removed]],
   "$",
   ""
   )
)</f>
        <v>#VALUE!</v>
      </c>
      <c r="AC169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169" s="8">
        <f>IFERROR(
   Working_Sales[[#This Row],[Price_Per_Unit_Decimal_Separator_Fixed]],
   Working_Sales[[#This Row],[Total_Amount_Converted_To_Integer]]/Working_Sales[[#This Row],[Quantity_Converted_To_Integer]]
)</f>
        <v>500</v>
      </c>
      <c r="AF169" s="2" t="str">
        <f>CLEAN(TRIM(Working_Sales[[#This Row],[Total Amount]]))</f>
        <v/>
      </c>
      <c r="AG169" s="2" t="e">
        <f>INT(Working_Sales[[#This Row],[Total_Amount_Whitespace_Removed]])</f>
        <v>#VALUE!</v>
      </c>
      <c r="AH16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170" spans="1:34" x14ac:dyDescent="0.35">
      <c r="A170" t="s">
        <v>460</v>
      </c>
      <c r="B170" s="6" t="str">
        <f>CLEAN(TRIM(Working_Sales[[#This Row],[Transaction ID]]))</f>
        <v>205</v>
      </c>
      <c r="C170" t="s">
        <v>145</v>
      </c>
      <c r="D170" s="2" t="str">
        <f>CLEAN(TRIM(Working_Sales[[#This Row],[Date]]))</f>
        <v>07-Nov-2023</v>
      </c>
      <c r="E17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45237</v>
      </c>
      <c r="F17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45237</v>
      </c>
      <c r="G17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45237</v>
      </c>
      <c r="H170" t="s">
        <v>2461</v>
      </c>
      <c r="I170" s="2" t="str">
        <f>CLEAN(TRIM(Working_Sales[[#This Row],[Customer ID]]))</f>
        <v>CUST145</v>
      </c>
      <c r="J17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CUST145</v>
      </c>
      <c r="K17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CUST145</v>
      </c>
      <c r="L170" t="s">
        <v>26</v>
      </c>
      <c r="M170" s="4" t="str">
        <f>CLEAN(TRIM(Working_Sales[[#This Row],[Gender]]))</f>
        <v>Female</v>
      </c>
      <c r="N170" s="4" t="str" cm="1">
        <f t="array" ref="N170">_xlfn.SWITCH(
   Working_Sales[[#This Row],[Gender_Whitespace_Removed]],
   "m", "Male",
   "f", "Female",
   Working_Sales[[#This Row],[Gender_Whitespace_Removed]]
)</f>
        <v>Female</v>
      </c>
      <c r="O170" s="6" t="str">
        <f>PROPER(Working_Sales[[#This Row],[Gender_Abbreviation_Expanded]])</f>
        <v>Female</v>
      </c>
      <c r="P170">
        <v>43</v>
      </c>
      <c r="Q170" s="2" t="str">
        <f>CLEAN(TRIM(Working_Sales[[#This Row],[Age]]))</f>
        <v>43</v>
      </c>
      <c r="R170" s="6">
        <f>INT(SUBSTITUTE(Working_Sales[[#This Row],[Age_Whitespace_Removed]],".",","))</f>
        <v>43</v>
      </c>
      <c r="S170" t="s">
        <v>124</v>
      </c>
      <c r="T170" s="2" t="str">
        <f>CLEAN(TRIM(Working_Sales[[#This Row],[Product Category]]))</f>
        <v>Clothing</v>
      </c>
      <c r="U170" s="6" t="str">
        <f>PROPER(Working_Sales[[#This Row],[Product_Category_Whitespace_Removed]])</f>
        <v>Clothing</v>
      </c>
      <c r="V170" t="s">
        <v>22</v>
      </c>
      <c r="W170" s="2" t="str">
        <f>CLEAN(TRIM(Working_Sales[[#This Row],[Quantity]]))</f>
        <v>1</v>
      </c>
      <c r="X170" s="2">
        <f>INT(Working_Sales[[#This Row],[`]])</f>
        <v>1</v>
      </c>
      <c r="Y170" s="6">
        <f>IFERROR(
   Working_Sales[[#This Row],[Quantity_Converted_To_Integer]],
   Working_Sales[[#This Row],[Total_Amount_Whitespace_Removed]]/Working_Sales[[#This Row],[Price_Per_Unit_Decimal_Separator_Fixed]])</f>
        <v>1</v>
      </c>
      <c r="Z170" t="s">
        <v>171</v>
      </c>
      <c r="AA170" s="2" t="str">
        <f>CLEAN(TRIM(Working_Sales[[#This Row],[Price per Unit]]))</f>
        <v>25</v>
      </c>
      <c r="AB170" s="2">
        <f>INT(
   SUBSTITUTE(Working_Sales[[#This Row],[Price_Per_Unit_Whitespace_Removed]],
   "$",
   ""
   )
)</f>
        <v>25</v>
      </c>
      <c r="AC170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170" s="8">
        <f>IFERROR(
   Working_Sales[[#This Row],[Price_Per_Unit_Decimal_Separator_Fixed]],
   Working_Sales[[#This Row],[Total_Amount_Converted_To_Integer]]/Working_Sales[[#This Row],[Quantity_Converted_To_Integer]]
)</f>
        <v>25</v>
      </c>
      <c r="AE170" t="s">
        <v>30</v>
      </c>
      <c r="AF170" s="2" t="str">
        <f>CLEAN(TRIM(Working_Sales[[#This Row],[Total Amount]]))</f>
        <v>25</v>
      </c>
      <c r="AG170" s="2">
        <f>INT(Working_Sales[[#This Row],[Total_Amount_Whitespace_Removed]])</f>
        <v>25</v>
      </c>
      <c r="AH17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171" spans="1:34" x14ac:dyDescent="0.35">
      <c r="A171" t="s">
        <v>463</v>
      </c>
      <c r="B171" s="6" t="str">
        <f>CLEAN(TRIM(Working_Sales[[#This Row],[Transaction ID]]))</f>
        <v>149</v>
      </c>
      <c r="C171" t="s">
        <v>464</v>
      </c>
      <c r="D171" s="2" t="str">
        <f>CLEAN(TRIM(Working_Sales[[#This Row],[Date]]))</f>
        <v>2023-10-11</v>
      </c>
      <c r="E17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45210</v>
      </c>
      <c r="F17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45210</v>
      </c>
      <c r="G17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45210</v>
      </c>
      <c r="H171" t="s">
        <v>2462</v>
      </c>
      <c r="I171" s="2" t="str">
        <f>CLEAN(TRIM(Working_Sales[[#This Row],[Customer ID]]))</f>
        <v>CUST-043</v>
      </c>
      <c r="J17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7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CUST043</v>
      </c>
      <c r="L171" t="s">
        <v>34</v>
      </c>
      <c r="M171" s="4" t="str">
        <f>CLEAN(TRIM(Working_Sales[[#This Row],[Gender]]))</f>
        <v>Male</v>
      </c>
      <c r="N171" s="4" t="str" cm="1">
        <f t="array" ref="N171">_xlfn.SWITCH(
   Working_Sales[[#This Row],[Gender_Whitespace_Removed]],
   "m", "Male",
   "f", "Female",
   Working_Sales[[#This Row],[Gender_Whitespace_Removed]]
)</f>
        <v>Male</v>
      </c>
      <c r="O171" s="6" t="str">
        <f>PROPER(Working_Sales[[#This Row],[Gender_Abbreviation_Expanded]])</f>
        <v>Male</v>
      </c>
      <c r="P171">
        <v>22</v>
      </c>
      <c r="Q171" s="2" t="str">
        <f>CLEAN(TRIM(Working_Sales[[#This Row],[Age]]))</f>
        <v>22</v>
      </c>
      <c r="R171" s="6">
        <f>INT(SUBSTITUTE(Working_Sales[[#This Row],[Age_Whitespace_Removed]],".",","))</f>
        <v>22</v>
      </c>
      <c r="S171" t="s">
        <v>56</v>
      </c>
      <c r="T171" s="2" t="str">
        <f>CLEAN(TRIM(Working_Sales[[#This Row],[Product Category]]))</f>
        <v>Clothing</v>
      </c>
      <c r="U171" s="6" t="str">
        <f>PROPER(Working_Sales[[#This Row],[Product_Category_Whitespace_Removed]])</f>
        <v>Clothing</v>
      </c>
      <c r="V171" t="s">
        <v>29</v>
      </c>
      <c r="W171" s="2" t="str">
        <f>CLEAN(TRIM(Working_Sales[[#This Row],[Quantity]]))</f>
        <v>3</v>
      </c>
      <c r="X171" s="2">
        <f>INT(Working_Sales[[#This Row],[`]])</f>
        <v>3</v>
      </c>
      <c r="Y171" s="6">
        <f>IFERROR(
   Working_Sales[[#This Row],[Quantity_Converted_To_Integer]],
   Working_Sales[[#This Row],[Total_Amount_Whitespace_Removed]]/Working_Sales[[#This Row],[Price_Per_Unit_Decimal_Separator_Fixed]])</f>
        <v>3</v>
      </c>
      <c r="Z171" t="s">
        <v>30</v>
      </c>
      <c r="AA171" s="2" t="str">
        <f>CLEAN(TRIM(Working_Sales[[#This Row],[Price per Unit]]))</f>
        <v>25</v>
      </c>
      <c r="AB171" s="2">
        <f>INT(
   SUBSTITUTE(Working_Sales[[#This Row],[Price_Per_Unit_Whitespace_Removed]],
   "$",
   ""
   )
)</f>
        <v>25</v>
      </c>
      <c r="AC171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171" s="8">
        <f>IFERROR(
   Working_Sales[[#This Row],[Price_Per_Unit_Decimal_Separator_Fixed]],
   Working_Sales[[#This Row],[Total_Amount_Converted_To_Integer]]/Working_Sales[[#This Row],[Quantity_Converted_To_Integer]]
)</f>
        <v>25</v>
      </c>
      <c r="AE171" t="s">
        <v>31</v>
      </c>
      <c r="AF171" s="2" t="str">
        <f>CLEAN(TRIM(Working_Sales[[#This Row],[Total Amount]]))</f>
        <v>75</v>
      </c>
      <c r="AG171" s="2">
        <f>INT(Working_Sales[[#This Row],[Total_Amount_Whitespace_Removed]])</f>
        <v>75</v>
      </c>
      <c r="AH17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172" spans="1:34" x14ac:dyDescent="0.35">
      <c r="A172" t="s">
        <v>466</v>
      </c>
      <c r="B172" s="6" t="str">
        <f>CLEAN(TRIM(Working_Sales[[#This Row],[Transaction ID]]))</f>
        <v>866</v>
      </c>
      <c r="C172" t="s">
        <v>2037</v>
      </c>
      <c r="D172" s="2" t="str">
        <f>CLEAN(TRIM(Working_Sales[[#This Row],[Date]]))</f>
        <v>May 05, 2023</v>
      </c>
      <c r="E172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172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17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45051</v>
      </c>
      <c r="H172" t="s">
        <v>2463</v>
      </c>
      <c r="I172" s="2" t="str">
        <f>CLEAN(TRIM(Working_Sales[[#This Row],[Customer ID]]))</f>
        <v>CUST-146</v>
      </c>
      <c r="J17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7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CUST146</v>
      </c>
      <c r="L172" t="s">
        <v>34</v>
      </c>
      <c r="M172" s="4" t="str">
        <f>CLEAN(TRIM(Working_Sales[[#This Row],[Gender]]))</f>
        <v>Male</v>
      </c>
      <c r="N172" s="4" t="str" cm="1">
        <f t="array" ref="N172">_xlfn.SWITCH(
   Working_Sales[[#This Row],[Gender_Whitespace_Removed]],
   "m", "Male",
   "f", "Female",
   Working_Sales[[#This Row],[Gender_Whitespace_Removed]]
)</f>
        <v>Male</v>
      </c>
      <c r="O172" s="6" t="str">
        <f>PROPER(Working_Sales[[#This Row],[Gender_Abbreviation_Expanded]])</f>
        <v>Male</v>
      </c>
      <c r="P172">
        <v>24</v>
      </c>
      <c r="Q172" s="2" t="str">
        <f>CLEAN(TRIM(Working_Sales[[#This Row],[Age]]))</f>
        <v>24</v>
      </c>
      <c r="R172" s="6">
        <f>INT(SUBSTITUTE(Working_Sales[[#This Row],[Age_Whitespace_Removed]],".",","))</f>
        <v>24</v>
      </c>
      <c r="S172" t="s">
        <v>13</v>
      </c>
      <c r="T172" s="2" t="str">
        <f>CLEAN(TRIM(Working_Sales[[#This Row],[Product Category]]))</f>
        <v>Electronics</v>
      </c>
      <c r="U172" s="6" t="str">
        <f>PROPER(Working_Sales[[#This Row],[Product_Category_Whitespace_Removed]])</f>
        <v>Electronics</v>
      </c>
      <c r="V172" t="s">
        <v>22</v>
      </c>
      <c r="W172" s="2" t="str">
        <f>CLEAN(TRIM(Working_Sales[[#This Row],[Quantity]]))</f>
        <v>1</v>
      </c>
      <c r="X172" s="2">
        <f>INT(Working_Sales[[#This Row],[`]])</f>
        <v>1</v>
      </c>
      <c r="Y172" s="6">
        <f>IFERROR(
   Working_Sales[[#This Row],[Quantity_Converted_To_Integer]],
   Working_Sales[[#This Row],[Total_Amount_Whitespace_Removed]]/Working_Sales[[#This Row],[Price_Per_Unit_Decimal_Separator_Fixed]])</f>
        <v>1</v>
      </c>
      <c r="Z172" t="s">
        <v>153</v>
      </c>
      <c r="AA172" s="2" t="str">
        <f>CLEAN(TRIM(Working_Sales[[#This Row],[Price per Unit]]))</f>
        <v>50.00</v>
      </c>
      <c r="AB172" s="2" t="e">
        <f>INT(
   SUBSTITUTE(Working_Sales[[#This Row],[Price_Per_Unit_Whitespace_Removed]],
   "$",
   ""
   )
)</f>
        <v>#VALUE!</v>
      </c>
      <c r="AC172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172" s="8">
        <f>IFERROR(
   Working_Sales[[#This Row],[Price_Per_Unit_Decimal_Separator_Fixed]],
   Working_Sales[[#This Row],[Total_Amount_Converted_To_Integer]]/Working_Sales[[#This Row],[Quantity_Converted_To_Integer]]
)</f>
        <v>50</v>
      </c>
      <c r="AE172" t="s">
        <v>15</v>
      </c>
      <c r="AF172" s="2" t="str">
        <f>CLEAN(TRIM(Working_Sales[[#This Row],[Total Amount]]))</f>
        <v>50</v>
      </c>
      <c r="AG172" s="2">
        <f>INT(Working_Sales[[#This Row],[Total_Amount_Whitespace_Removed]])</f>
        <v>50</v>
      </c>
      <c r="AH17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173" spans="1:34" x14ac:dyDescent="0.35">
      <c r="A173" t="s">
        <v>468</v>
      </c>
      <c r="B173" s="6" t="str">
        <f>CLEAN(TRIM(Working_Sales[[#This Row],[Transaction ID]]))</f>
        <v>621</v>
      </c>
      <c r="C173" t="s">
        <v>469</v>
      </c>
      <c r="D173" s="2" t="str">
        <f>CLEAN(TRIM(Working_Sales[[#This Row],[Date]]))</f>
        <v>2023-03-04</v>
      </c>
      <c r="E17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44989</v>
      </c>
      <c r="F17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44989</v>
      </c>
      <c r="G17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44989</v>
      </c>
      <c r="H173" t="s">
        <v>2464</v>
      </c>
      <c r="I173" s="2" t="str">
        <f>CLEAN(TRIM(Working_Sales[[#This Row],[Customer ID]]))</f>
        <v>cust116</v>
      </c>
      <c r="J17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7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CUST116</v>
      </c>
      <c r="L173" t="s">
        <v>112</v>
      </c>
      <c r="M173" s="4" t="str">
        <f>CLEAN(TRIM(Working_Sales[[#This Row],[Gender]]))</f>
        <v>female</v>
      </c>
      <c r="N173" s="4" t="str" cm="1">
        <f t="array" ref="N173">_xlfn.SWITCH(
   Working_Sales[[#This Row],[Gender_Whitespace_Removed]],
   "m", "Male",
   "f", "Female",
   Working_Sales[[#This Row],[Gender_Whitespace_Removed]]
)</f>
        <v>female</v>
      </c>
      <c r="O173" s="6" t="str">
        <f>PROPER(Working_Sales[[#This Row],[Gender_Abbreviation_Expanded]])</f>
        <v>Female</v>
      </c>
      <c r="P173">
        <v>40</v>
      </c>
      <c r="Q173" s="2" t="str">
        <f>CLEAN(TRIM(Working_Sales[[#This Row],[Age]]))</f>
        <v>40</v>
      </c>
      <c r="R173" s="6">
        <f>INT(SUBSTITUTE(Working_Sales[[#This Row],[Age_Whitespace_Removed]],".",","))</f>
        <v>40</v>
      </c>
      <c r="S173" t="s">
        <v>36</v>
      </c>
      <c r="T173" s="2" t="str">
        <f>CLEAN(TRIM(Working_Sales[[#This Row],[Product Category]]))</f>
        <v>Beauty</v>
      </c>
      <c r="U173" s="6" t="str">
        <f>PROPER(Working_Sales[[#This Row],[Product_Category_Whitespace_Removed]])</f>
        <v>Beauty</v>
      </c>
      <c r="V173" t="s">
        <v>37</v>
      </c>
      <c r="W173" s="2" t="str">
        <f>CLEAN(TRIM(Working_Sales[[#This Row],[Quantity]]))</f>
        <v>2</v>
      </c>
      <c r="X173" s="2">
        <f>INT(Working_Sales[[#This Row],[`]])</f>
        <v>2</v>
      </c>
      <c r="Y173" s="6">
        <f>IFERROR(
   Working_Sales[[#This Row],[Quantity_Converted_To_Integer]],
   Working_Sales[[#This Row],[Total_Amount_Whitespace_Removed]]/Working_Sales[[#This Row],[Price_Per_Unit_Decimal_Separator_Fixed]])</f>
        <v>2</v>
      </c>
      <c r="Z173" t="s">
        <v>57</v>
      </c>
      <c r="AA173" s="2" t="str">
        <f>CLEAN(TRIM(Working_Sales[[#This Row],[Price per Unit]]))</f>
        <v>500</v>
      </c>
      <c r="AB173" s="2">
        <f>INT(
   SUBSTITUTE(Working_Sales[[#This Row],[Price_Per_Unit_Whitespace_Removed]],
   "$",
   ""
   )
)</f>
        <v>500</v>
      </c>
      <c r="AC173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173" s="8">
        <f>IFERROR(
   Working_Sales[[#This Row],[Price_Per_Unit_Decimal_Separator_Fixed]],
   Working_Sales[[#This Row],[Total_Amount_Converted_To_Integer]]/Working_Sales[[#This Row],[Quantity_Converted_To_Integer]]
)</f>
        <v>500</v>
      </c>
      <c r="AE173" t="s">
        <v>163</v>
      </c>
      <c r="AF173" s="2" t="str">
        <f>CLEAN(TRIM(Working_Sales[[#This Row],[Total Amount]]))</f>
        <v>1000</v>
      </c>
      <c r="AG173" s="2">
        <f>INT(Working_Sales[[#This Row],[Total_Amount_Whitespace_Removed]])</f>
        <v>1000</v>
      </c>
      <c r="AH17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174" spans="1:34" x14ac:dyDescent="0.35">
      <c r="A174" t="s">
        <v>470</v>
      </c>
      <c r="B174" s="6" t="str">
        <f>CLEAN(TRIM(Working_Sales[[#This Row],[Transaction ID]]))</f>
        <v>268</v>
      </c>
      <c r="C174" t="s">
        <v>471</v>
      </c>
      <c r="D174" s="2" t="str">
        <f>CLEAN(TRIM(Working_Sales[[#This Row],[Date]]))</f>
        <v>February 20, 2023</v>
      </c>
      <c r="E174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174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17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44977</v>
      </c>
      <c r="H174" t="s">
        <v>19</v>
      </c>
      <c r="I174" s="2" t="str">
        <f>CLEAN(TRIM(Working_Sales[[#This Row],[Customer ID]]))</f>
        <v>cust147</v>
      </c>
      <c r="J17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7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CUST147</v>
      </c>
      <c r="L174" t="s">
        <v>26</v>
      </c>
      <c r="M174" s="4" t="str">
        <f>CLEAN(TRIM(Working_Sales[[#This Row],[Gender]]))</f>
        <v>Female</v>
      </c>
      <c r="N174" s="4" t="str" cm="1">
        <f t="array" ref="N174">_xlfn.SWITCH(
   Working_Sales[[#This Row],[Gender_Whitespace_Removed]],
   "m", "Male",
   "f", "Female",
   Working_Sales[[#This Row],[Gender_Whitespace_Removed]]
)</f>
        <v>Female</v>
      </c>
      <c r="O174" s="6" t="str">
        <f>PROPER(Working_Sales[[#This Row],[Gender_Abbreviation_Expanded]])</f>
        <v>Female</v>
      </c>
      <c r="P174">
        <v>28</v>
      </c>
      <c r="Q174" s="2" t="str">
        <f>CLEAN(TRIM(Working_Sales[[#This Row],[Age]]))</f>
        <v>28</v>
      </c>
      <c r="R174" s="6">
        <f>INT(SUBSTITUTE(Working_Sales[[#This Row],[Age_Whitespace_Removed]],".",","))</f>
        <v>28</v>
      </c>
      <c r="S174" t="s">
        <v>13</v>
      </c>
      <c r="T174" s="2" t="str">
        <f>CLEAN(TRIM(Working_Sales[[#This Row],[Product Category]]))</f>
        <v>Electronics</v>
      </c>
      <c r="U174" s="6" t="str">
        <f>PROPER(Working_Sales[[#This Row],[Product_Category_Whitespace_Removed]])</f>
        <v>Electronics</v>
      </c>
      <c r="V174" t="s">
        <v>22</v>
      </c>
      <c r="W174" s="2" t="str">
        <f>CLEAN(TRIM(Working_Sales[[#This Row],[Quantity]]))</f>
        <v>1</v>
      </c>
      <c r="X174" s="2">
        <f>INT(Working_Sales[[#This Row],[`]])</f>
        <v>1</v>
      </c>
      <c r="Y174" s="6">
        <f>IFERROR(
   Working_Sales[[#This Row],[Quantity_Converted_To_Integer]],
   Working_Sales[[#This Row],[Total_Amount_Whitespace_Removed]]/Working_Sales[[#This Row],[Price_Per_Unit_Decimal_Separator_Fixed]])</f>
        <v>1</v>
      </c>
      <c r="Z174" t="s">
        <v>70</v>
      </c>
      <c r="AA174" s="2" t="str">
        <f>CLEAN(TRIM(Working_Sales[[#This Row],[Price per Unit]]))</f>
        <v>30</v>
      </c>
      <c r="AB174" s="2">
        <f>INT(
   SUBSTITUTE(Working_Sales[[#This Row],[Price_Per_Unit_Whitespace_Removed]],
   "$",
   ""
   )
)</f>
        <v>30</v>
      </c>
      <c r="AC174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174" s="8">
        <f>IFERROR(
   Working_Sales[[#This Row],[Price_Per_Unit_Decimal_Separator_Fixed]],
   Working_Sales[[#This Row],[Total_Amount_Converted_To_Integer]]/Working_Sales[[#This Row],[Quantity_Converted_To_Integer]]
)</f>
        <v>30</v>
      </c>
      <c r="AE174" t="s">
        <v>70</v>
      </c>
      <c r="AF174" s="2" t="str">
        <f>CLEAN(TRIM(Working_Sales[[#This Row],[Total Amount]]))</f>
        <v>30</v>
      </c>
      <c r="AG174" s="2">
        <f>INT(Working_Sales[[#This Row],[Total_Amount_Whitespace_Removed]])</f>
        <v>30</v>
      </c>
      <c r="AH17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175" spans="1:34" x14ac:dyDescent="0.35">
      <c r="A175" t="s">
        <v>473</v>
      </c>
      <c r="B175" s="6" t="str">
        <f>CLEAN(TRIM(Working_Sales[[#This Row],[Transaction ID]]))</f>
        <v>844</v>
      </c>
      <c r="C175" t="s">
        <v>2038</v>
      </c>
      <c r="D175" s="2" t="str">
        <f>CLEAN(TRIM(Working_Sales[[#This Row],[Date]]))</f>
        <v>October 12, 2023</v>
      </c>
      <c r="E175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175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17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45211</v>
      </c>
      <c r="H175" t="s">
        <v>2465</v>
      </c>
      <c r="I175" s="2" t="str">
        <f>CLEAN(TRIM(Working_Sales[[#This Row],[Customer ID]]))</f>
        <v>cust060</v>
      </c>
      <c r="J17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7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CUST060</v>
      </c>
      <c r="L175" t="s">
        <v>20</v>
      </c>
      <c r="M175" s="4" t="str">
        <f>CLEAN(TRIM(Working_Sales[[#This Row],[Gender]]))</f>
        <v>male</v>
      </c>
      <c r="N175" s="4" t="str" cm="1">
        <f t="array" ref="N175">_xlfn.SWITCH(
   Working_Sales[[#This Row],[Gender_Whitespace_Removed]],
   "m", "Male",
   "f", "Female",
   Working_Sales[[#This Row],[Gender_Whitespace_Removed]]
)</f>
        <v>male</v>
      </c>
      <c r="O175" s="6" t="str">
        <f>PROPER(Working_Sales[[#This Row],[Gender_Abbreviation_Expanded]])</f>
        <v>Male</v>
      </c>
      <c r="P175">
        <v>35</v>
      </c>
      <c r="Q175" s="2" t="str">
        <f>CLEAN(TRIM(Working_Sales[[#This Row],[Age]]))</f>
        <v>35</v>
      </c>
      <c r="R175" s="6">
        <f>INT(SUBSTITUTE(Working_Sales[[#This Row],[Age_Whitespace_Removed]],".",","))</f>
        <v>35</v>
      </c>
      <c r="S175" t="s">
        <v>89</v>
      </c>
      <c r="T175" s="2" t="str">
        <f>CLEAN(TRIM(Working_Sales[[#This Row],[Product Category]]))</f>
        <v>CLOTHING</v>
      </c>
      <c r="U175" s="6" t="str">
        <f>PROPER(Working_Sales[[#This Row],[Product_Category_Whitespace_Removed]])</f>
        <v>Clothing</v>
      </c>
      <c r="V175" t="s">
        <v>29</v>
      </c>
      <c r="W175" s="2" t="str">
        <f>CLEAN(TRIM(Working_Sales[[#This Row],[Quantity]]))</f>
        <v>3</v>
      </c>
      <c r="X175" s="2">
        <f>INT(Working_Sales[[#This Row],[`]])</f>
        <v>3</v>
      </c>
      <c r="Y175" s="6">
        <f>IFERROR(
   Working_Sales[[#This Row],[Quantity_Converted_To_Integer]],
   Working_Sales[[#This Row],[Total_Amount_Whitespace_Removed]]/Working_Sales[[#This Row],[Price_Per_Unit_Decimal_Separator_Fixed]])</f>
        <v>3</v>
      </c>
      <c r="Z175" t="s">
        <v>15</v>
      </c>
      <c r="AA175" s="2" t="str">
        <f>CLEAN(TRIM(Working_Sales[[#This Row],[Price per Unit]]))</f>
        <v>50</v>
      </c>
      <c r="AB175" s="2">
        <f>INT(
   SUBSTITUTE(Working_Sales[[#This Row],[Price_Per_Unit_Whitespace_Removed]],
   "$",
   ""
   )
)</f>
        <v>50</v>
      </c>
      <c r="AC175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175" s="8">
        <f>IFERROR(
   Working_Sales[[#This Row],[Price_Per_Unit_Decimal_Separator_Fixed]],
   Working_Sales[[#This Row],[Total_Amount_Converted_To_Integer]]/Working_Sales[[#This Row],[Quantity_Converted_To_Integer]]
)</f>
        <v>50</v>
      </c>
      <c r="AE175" t="s">
        <v>130</v>
      </c>
      <c r="AF175" s="2" t="str">
        <f>CLEAN(TRIM(Working_Sales[[#This Row],[Total Amount]]))</f>
        <v>150</v>
      </c>
      <c r="AG175" s="2">
        <f>INT(Working_Sales[[#This Row],[Total_Amount_Whitespace_Removed]])</f>
        <v>150</v>
      </c>
      <c r="AH17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176" spans="1:34" x14ac:dyDescent="0.35">
      <c r="A176" t="s">
        <v>474</v>
      </c>
      <c r="B176" s="6" t="str">
        <f>CLEAN(TRIM(Working_Sales[[#This Row],[Transaction ID]]))</f>
        <v>446</v>
      </c>
      <c r="C176" t="s">
        <v>415</v>
      </c>
      <c r="D176" s="2" t="str">
        <f>CLEAN(TRIM(Working_Sales[[#This Row],[Date]]))</f>
        <v>07-Jun-2023</v>
      </c>
      <c r="E17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45084</v>
      </c>
      <c r="F17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45084</v>
      </c>
      <c r="G17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45084</v>
      </c>
      <c r="H176" t="s">
        <v>2466</v>
      </c>
      <c r="I176" s="2" t="str">
        <f>CLEAN(TRIM(Working_Sales[[#This Row],[Customer ID]]))</f>
        <v>cust148</v>
      </c>
      <c r="J17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7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CUST148</v>
      </c>
      <c r="L176" t="s">
        <v>34</v>
      </c>
      <c r="M176" s="4" t="str">
        <f>CLEAN(TRIM(Working_Sales[[#This Row],[Gender]]))</f>
        <v>Male</v>
      </c>
      <c r="N176" s="4" t="str" cm="1">
        <f t="array" ref="N176">_xlfn.SWITCH(
   Working_Sales[[#This Row],[Gender_Whitespace_Removed]],
   "m", "Male",
   "f", "Female",
   Working_Sales[[#This Row],[Gender_Whitespace_Removed]]
)</f>
        <v>Male</v>
      </c>
      <c r="O176" s="6" t="str">
        <f>PROPER(Working_Sales[[#This Row],[Gender_Abbreviation_Expanded]])</f>
        <v>Male</v>
      </c>
      <c r="P176" t="s">
        <v>475</v>
      </c>
      <c r="Q176" s="2" t="str">
        <f>CLEAN(TRIM(Working_Sales[[#This Row],[Age]]))</f>
        <v>21.0</v>
      </c>
      <c r="R176" s="6">
        <f>INT(SUBSTITUTE(Working_Sales[[#This Row],[Age_Whitespace_Removed]],".",","))</f>
        <v>21</v>
      </c>
      <c r="S176" t="s">
        <v>13</v>
      </c>
      <c r="T176" s="2" t="str">
        <f>CLEAN(TRIM(Working_Sales[[#This Row],[Product Category]]))</f>
        <v>Electronics</v>
      </c>
      <c r="U176" s="6" t="str">
        <f>PROPER(Working_Sales[[#This Row],[Product_Category_Whitespace_Removed]])</f>
        <v>Electronics</v>
      </c>
      <c r="V176" t="s">
        <v>22</v>
      </c>
      <c r="W176" s="2" t="str">
        <f>CLEAN(TRIM(Working_Sales[[#This Row],[Quantity]]))</f>
        <v>1</v>
      </c>
      <c r="X176" s="2">
        <f>INT(Working_Sales[[#This Row],[`]])</f>
        <v>1</v>
      </c>
      <c r="Y176" s="6">
        <f>IFERROR(
   Working_Sales[[#This Row],[Quantity_Converted_To_Integer]],
   Working_Sales[[#This Row],[Total_Amount_Whitespace_Removed]]/Working_Sales[[#This Row],[Price_Per_Unit_Decimal_Separator_Fixed]])</f>
        <v>1</v>
      </c>
      <c r="Z176" t="s">
        <v>15</v>
      </c>
      <c r="AA176" s="2" t="str">
        <f>CLEAN(TRIM(Working_Sales[[#This Row],[Price per Unit]]))</f>
        <v>50</v>
      </c>
      <c r="AB176" s="2">
        <f>INT(
   SUBSTITUTE(Working_Sales[[#This Row],[Price_Per_Unit_Whitespace_Removed]],
   "$",
   ""
   )
)</f>
        <v>50</v>
      </c>
      <c r="AC176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176" s="8">
        <f>IFERROR(
   Working_Sales[[#This Row],[Price_Per_Unit_Decimal_Separator_Fixed]],
   Working_Sales[[#This Row],[Total_Amount_Converted_To_Integer]]/Working_Sales[[#This Row],[Quantity_Converted_To_Integer]]
)</f>
        <v>50</v>
      </c>
      <c r="AE176" t="s">
        <v>15</v>
      </c>
      <c r="AF176" s="2" t="str">
        <f>CLEAN(TRIM(Working_Sales[[#This Row],[Total Amount]]))</f>
        <v>50</v>
      </c>
      <c r="AG176" s="2">
        <f>INT(Working_Sales[[#This Row],[Total_Amount_Whitespace_Removed]])</f>
        <v>50</v>
      </c>
      <c r="AH17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177" spans="1:34" x14ac:dyDescent="0.35">
      <c r="A177" t="s">
        <v>476</v>
      </c>
      <c r="B177" s="6" t="str">
        <f>CLEAN(TRIM(Working_Sales[[#This Row],[Transaction ID]]))</f>
        <v>506</v>
      </c>
      <c r="C177" t="s">
        <v>882</v>
      </c>
      <c r="D177" s="2" t="str">
        <f>CLEAN(TRIM(Working_Sales[[#This Row],[Date]]))</f>
        <v>25/02/2023</v>
      </c>
      <c r="E17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44982</v>
      </c>
      <c r="F17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44982</v>
      </c>
      <c r="G17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44982</v>
      </c>
      <c r="H177" t="s">
        <v>2467</v>
      </c>
      <c r="I177" s="2" t="str">
        <f>CLEAN(TRIM(Working_Sales[[#This Row],[Customer ID]]))</f>
        <v>cust081</v>
      </c>
      <c r="J17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7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CUST081</v>
      </c>
      <c r="L177" t="s">
        <v>34</v>
      </c>
      <c r="M177" s="4" t="str">
        <f>CLEAN(TRIM(Working_Sales[[#This Row],[Gender]]))</f>
        <v>Male</v>
      </c>
      <c r="N177" s="4" t="str" cm="1">
        <f t="array" ref="N177">_xlfn.SWITCH(
   Working_Sales[[#This Row],[Gender_Whitespace_Removed]],
   "m", "Male",
   "f", "Female",
   Working_Sales[[#This Row],[Gender_Whitespace_Removed]]
)</f>
        <v>Male</v>
      </c>
      <c r="O177" s="6" t="str">
        <f>PROPER(Working_Sales[[#This Row],[Gender_Abbreviation_Expanded]])</f>
        <v>Male</v>
      </c>
      <c r="P177">
        <v>34</v>
      </c>
      <c r="Q177" s="2" t="str">
        <f>CLEAN(TRIM(Working_Sales[[#This Row],[Age]]))</f>
        <v>34</v>
      </c>
      <c r="R177" s="6">
        <f>INT(SUBSTITUTE(Working_Sales[[#This Row],[Age_Whitespace_Removed]],".",","))</f>
        <v>34</v>
      </c>
      <c r="S177" t="s">
        <v>36</v>
      </c>
      <c r="T177" s="2" t="str">
        <f>CLEAN(TRIM(Working_Sales[[#This Row],[Product Category]]))</f>
        <v>Beauty</v>
      </c>
      <c r="U177" s="6" t="str">
        <f>PROPER(Working_Sales[[#This Row],[Product_Category_Whitespace_Removed]])</f>
        <v>Beauty</v>
      </c>
      <c r="V177" t="s">
        <v>29</v>
      </c>
      <c r="W177" s="2" t="str">
        <f>CLEAN(TRIM(Working_Sales[[#This Row],[Quantity]]))</f>
        <v>3</v>
      </c>
      <c r="X177" s="2">
        <f>INT(Working_Sales[[#This Row],[`]])</f>
        <v>3</v>
      </c>
      <c r="Y177" s="6">
        <f>IFERROR(
   Working_Sales[[#This Row],[Quantity_Converted_To_Integer]],
   Working_Sales[[#This Row],[Total_Amount_Whitespace_Removed]]/Working_Sales[[#This Row],[Price_Per_Unit_Decimal_Separator_Fixed]])</f>
        <v>3</v>
      </c>
      <c r="Z177" t="s">
        <v>162</v>
      </c>
      <c r="AA177" s="2" t="str">
        <f>CLEAN(TRIM(Working_Sales[[#This Row],[Price per Unit]]))</f>
        <v>$500</v>
      </c>
      <c r="AB177" s="2">
        <f>INT(
   SUBSTITUTE(Working_Sales[[#This Row],[Price_Per_Unit_Whitespace_Removed]],
   "$",
   ""
   )
)</f>
        <v>500</v>
      </c>
      <c r="AC177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177" s="8">
        <f>IFERROR(
   Working_Sales[[#This Row],[Price_Per_Unit_Decimal_Separator_Fixed]],
   Working_Sales[[#This Row],[Total_Amount_Converted_To_Integer]]/Working_Sales[[#This Row],[Quantity_Converted_To_Integer]]
)</f>
        <v>500</v>
      </c>
      <c r="AE177" t="s">
        <v>85</v>
      </c>
      <c r="AF177" s="2" t="str">
        <f>CLEAN(TRIM(Working_Sales[[#This Row],[Total Amount]]))</f>
        <v>1500</v>
      </c>
      <c r="AG177" s="2">
        <f>INT(Working_Sales[[#This Row],[Total_Amount_Whitespace_Removed]])</f>
        <v>1500</v>
      </c>
      <c r="AH17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178" spans="1:34" x14ac:dyDescent="0.35">
      <c r="A178" t="s">
        <v>477</v>
      </c>
      <c r="B178" s="6" t="str">
        <f>CLEAN(TRIM(Working_Sales[[#This Row],[Transaction ID]]))</f>
        <v>984</v>
      </c>
      <c r="C178" t="s">
        <v>478</v>
      </c>
      <c r="D178" s="2" t="str">
        <f>CLEAN(TRIM(Working_Sales[[#This Row],[Date]]))</f>
        <v>29/08/2023</v>
      </c>
      <c r="E17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45167</v>
      </c>
      <c r="F17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45167</v>
      </c>
      <c r="G17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45167</v>
      </c>
      <c r="H178" t="s">
        <v>2468</v>
      </c>
      <c r="I178" s="2" t="str">
        <f>CLEAN(TRIM(Working_Sales[[#This Row],[Customer ID]]))</f>
        <v>cust149</v>
      </c>
      <c r="J17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7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CUST149</v>
      </c>
      <c r="L178" t="s">
        <v>34</v>
      </c>
      <c r="M178" s="4" t="str">
        <f>CLEAN(TRIM(Working_Sales[[#This Row],[Gender]]))</f>
        <v>Male</v>
      </c>
      <c r="N178" s="4" t="str" cm="1">
        <f t="array" ref="N178">_xlfn.SWITCH(
   Working_Sales[[#This Row],[Gender_Whitespace_Removed]],
   "m", "Male",
   "f", "Female",
   Working_Sales[[#This Row],[Gender_Whitespace_Removed]]
)</f>
        <v>Male</v>
      </c>
      <c r="O178" s="6" t="str">
        <f>PROPER(Working_Sales[[#This Row],[Gender_Abbreviation_Expanded]])</f>
        <v>Male</v>
      </c>
      <c r="P178" t="s">
        <v>320</v>
      </c>
      <c r="Q178" s="2" t="str">
        <f>CLEAN(TRIM(Working_Sales[[#This Row],[Age]]))</f>
        <v>56.0</v>
      </c>
      <c r="R178" s="6">
        <f>INT(SUBSTITUTE(Working_Sales[[#This Row],[Age_Whitespace_Removed]],".",","))</f>
        <v>56</v>
      </c>
      <c r="S178" t="s">
        <v>56</v>
      </c>
      <c r="T178" s="2" t="str">
        <f>CLEAN(TRIM(Working_Sales[[#This Row],[Product Category]]))</f>
        <v>Clothing</v>
      </c>
      <c r="U178" s="6" t="str">
        <f>PROPER(Working_Sales[[#This Row],[Product_Category_Whitespace_Removed]])</f>
        <v>Clothing</v>
      </c>
      <c r="V178" t="s">
        <v>22</v>
      </c>
      <c r="W178" s="2" t="str">
        <f>CLEAN(TRIM(Working_Sales[[#This Row],[Quantity]]))</f>
        <v>1</v>
      </c>
      <c r="X178" s="2">
        <f>INT(Working_Sales[[#This Row],[`]])</f>
        <v>1</v>
      </c>
      <c r="Y178" s="6">
        <f>IFERROR(
   Working_Sales[[#This Row],[Quantity_Converted_To_Integer]],
   Working_Sales[[#This Row],[Total_Amount_Whitespace_Removed]]/Working_Sales[[#This Row],[Price_Per_Unit_Decimal_Separator_Fixed]])</f>
        <v>1</v>
      </c>
      <c r="Z178" t="s">
        <v>57</v>
      </c>
      <c r="AA178" s="2" t="str">
        <f>CLEAN(TRIM(Working_Sales[[#This Row],[Price per Unit]]))</f>
        <v>500</v>
      </c>
      <c r="AB178" s="2">
        <f>INT(
   SUBSTITUTE(Working_Sales[[#This Row],[Price_Per_Unit_Whitespace_Removed]],
   "$",
   ""
   )
)</f>
        <v>500</v>
      </c>
      <c r="AC178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178" s="8">
        <f>IFERROR(
   Working_Sales[[#This Row],[Price_Per_Unit_Decimal_Separator_Fixed]],
   Working_Sales[[#This Row],[Total_Amount_Converted_To_Integer]]/Working_Sales[[#This Row],[Quantity_Converted_To_Integer]]
)</f>
        <v>500</v>
      </c>
      <c r="AE178" t="s">
        <v>57</v>
      </c>
      <c r="AF178" s="2" t="str">
        <f>CLEAN(TRIM(Working_Sales[[#This Row],[Total Amount]]))</f>
        <v>500</v>
      </c>
      <c r="AG178" s="2">
        <f>INT(Working_Sales[[#This Row],[Total_Amount_Whitespace_Removed]])</f>
        <v>500</v>
      </c>
      <c r="AH17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179" spans="1:34" x14ac:dyDescent="0.35">
      <c r="A179" t="s">
        <v>479</v>
      </c>
      <c r="B179" s="6" t="str">
        <f>CLEAN(TRIM(Working_Sales[[#This Row],[Transaction ID]]))</f>
        <v>129</v>
      </c>
      <c r="C179" t="s">
        <v>1495</v>
      </c>
      <c r="D179" s="2" t="str">
        <f>CLEAN(TRIM(Working_Sales[[#This Row],[Date]]))</f>
        <v>04/23/2023</v>
      </c>
      <c r="E179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17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45039</v>
      </c>
      <c r="G17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45039</v>
      </c>
      <c r="H179" t="s">
        <v>2469</v>
      </c>
      <c r="I179" s="2" t="str">
        <f>CLEAN(TRIM(Working_Sales[[#This Row],[Customer ID]]))</f>
        <v>cust150</v>
      </c>
      <c r="J17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7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CUST150</v>
      </c>
      <c r="L179" t="s">
        <v>26</v>
      </c>
      <c r="M179" s="4" t="str">
        <f>CLEAN(TRIM(Working_Sales[[#This Row],[Gender]]))</f>
        <v>Female</v>
      </c>
      <c r="N179" s="4" t="str" cm="1">
        <f t="array" ref="N179">_xlfn.SWITCH(
   Working_Sales[[#This Row],[Gender_Whitespace_Removed]],
   "m", "Male",
   "f", "Female",
   Working_Sales[[#This Row],[Gender_Whitespace_Removed]]
)</f>
        <v>Female</v>
      </c>
      <c r="O179" s="6" t="str">
        <f>PROPER(Working_Sales[[#This Row],[Gender_Abbreviation_Expanded]])</f>
        <v>Female</v>
      </c>
      <c r="P179">
        <v>21</v>
      </c>
      <c r="Q179" s="2" t="str">
        <f>CLEAN(TRIM(Working_Sales[[#This Row],[Age]]))</f>
        <v>21</v>
      </c>
      <c r="R179" s="6">
        <f>INT(SUBSTITUTE(Working_Sales[[#This Row],[Age_Whitespace_Removed]],".",","))</f>
        <v>21</v>
      </c>
      <c r="S179" t="s">
        <v>42</v>
      </c>
      <c r="T179" s="2" t="str">
        <f>CLEAN(TRIM(Working_Sales[[#This Row],[Product Category]]))</f>
        <v>Beauty</v>
      </c>
      <c r="U179" s="6" t="str">
        <f>PROPER(Working_Sales[[#This Row],[Product_Category_Whitespace_Removed]])</f>
        <v>Beauty</v>
      </c>
      <c r="V179" t="s">
        <v>37</v>
      </c>
      <c r="W179" s="2" t="str">
        <f>CLEAN(TRIM(Working_Sales[[#This Row],[Quantity]]))</f>
        <v>2</v>
      </c>
      <c r="X179" s="2">
        <f>INT(Working_Sales[[#This Row],[`]])</f>
        <v>2</v>
      </c>
      <c r="Y179" s="6">
        <f>IFERROR(
   Working_Sales[[#This Row],[Quantity_Converted_To_Integer]],
   Working_Sales[[#This Row],[Total_Amount_Whitespace_Removed]]/Working_Sales[[#This Row],[Price_Per_Unit_Decimal_Separator_Fixed]])</f>
        <v>2</v>
      </c>
      <c r="Z179" t="s">
        <v>180</v>
      </c>
      <c r="AA179" s="2" t="str">
        <f>CLEAN(TRIM(Working_Sales[[#This Row],[Price per Unit]]))</f>
        <v>300</v>
      </c>
      <c r="AB179" s="2">
        <f>INT(
   SUBSTITUTE(Working_Sales[[#This Row],[Price_Per_Unit_Whitespace_Removed]],
   "$",
   ""
   )
)</f>
        <v>300</v>
      </c>
      <c r="AC179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179" s="8">
        <f>IFERROR(
   Working_Sales[[#This Row],[Price_Per_Unit_Decimal_Separator_Fixed]],
   Working_Sales[[#This Row],[Total_Amount_Converted_To_Integer]]/Working_Sales[[#This Row],[Quantity_Converted_To_Integer]]
)</f>
        <v>300</v>
      </c>
      <c r="AE179" t="s">
        <v>107</v>
      </c>
      <c r="AF179" s="2" t="str">
        <f>CLEAN(TRIM(Working_Sales[[#This Row],[Total Amount]]))</f>
        <v>600</v>
      </c>
      <c r="AG179" s="2">
        <f>INT(Working_Sales[[#This Row],[Total_Amount_Whitespace_Removed]])</f>
        <v>600</v>
      </c>
      <c r="AH17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600</v>
      </c>
    </row>
    <row r="180" spans="1:34" x14ac:dyDescent="0.35">
      <c r="A180" t="s">
        <v>481</v>
      </c>
      <c r="B180" s="6" t="str">
        <f>CLEAN(TRIM(Working_Sales[[#This Row],[Transaction ID]]))</f>
        <v>747</v>
      </c>
      <c r="C180" t="s">
        <v>2039</v>
      </c>
      <c r="D180" s="2" t="str">
        <f>CLEAN(TRIM(Working_Sales[[#This Row],[Date]]))</f>
        <v>11/15/2023</v>
      </c>
      <c r="E180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18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45245</v>
      </c>
      <c r="G18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45245</v>
      </c>
      <c r="H180" t="s">
        <v>2470</v>
      </c>
      <c r="I180" s="2" t="str">
        <f>CLEAN(TRIM(Working_Sales[[#This Row],[Customer ID]]))</f>
        <v>CUST151</v>
      </c>
      <c r="J18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CUST151</v>
      </c>
      <c r="K18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CUST151</v>
      </c>
      <c r="L180" t="s">
        <v>34</v>
      </c>
      <c r="M180" s="4" t="str">
        <f>CLEAN(TRIM(Working_Sales[[#This Row],[Gender]]))</f>
        <v>Male</v>
      </c>
      <c r="N180" s="4" t="str" cm="1">
        <f t="array" ref="N180">_xlfn.SWITCH(
   Working_Sales[[#This Row],[Gender_Whitespace_Removed]],
   "m", "Male",
   "f", "Female",
   Working_Sales[[#This Row],[Gender_Whitespace_Removed]]
)</f>
        <v>Male</v>
      </c>
      <c r="O180" s="6" t="str">
        <f>PROPER(Working_Sales[[#This Row],[Gender_Abbreviation_Expanded]])</f>
        <v>Male</v>
      </c>
      <c r="P180" t="s">
        <v>482</v>
      </c>
      <c r="Q180" s="2" t="str">
        <f>CLEAN(TRIM(Working_Sales[[#This Row],[Age]]))</f>
        <v>23</v>
      </c>
      <c r="R180" s="6">
        <f>INT(SUBSTITUTE(Working_Sales[[#This Row],[Age_Whitespace_Removed]],".",","))</f>
        <v>23</v>
      </c>
      <c r="S180" t="s">
        <v>36</v>
      </c>
      <c r="T180" s="2" t="str">
        <f>CLEAN(TRIM(Working_Sales[[#This Row],[Product Category]]))</f>
        <v>Beauty</v>
      </c>
      <c r="U180" s="6" t="str">
        <f>PROPER(Working_Sales[[#This Row],[Product_Category_Whitespace_Removed]])</f>
        <v>Beauty</v>
      </c>
      <c r="V180" t="s">
        <v>22</v>
      </c>
      <c r="W180" s="2" t="str">
        <f>CLEAN(TRIM(Working_Sales[[#This Row],[Quantity]]))</f>
        <v>1</v>
      </c>
      <c r="X180" s="2">
        <f>INT(Working_Sales[[#This Row],[`]])</f>
        <v>1</v>
      </c>
      <c r="Y180" s="6">
        <f>IFERROR(
   Working_Sales[[#This Row],[Quantity_Converted_To_Integer]],
   Working_Sales[[#This Row],[Total_Amount_Whitespace_Removed]]/Working_Sales[[#This Row],[Price_Per_Unit_Decimal_Separator_Fixed]])</f>
        <v>1</v>
      </c>
      <c r="Z180" t="s">
        <v>70</v>
      </c>
      <c r="AA180" s="2" t="str">
        <f>CLEAN(TRIM(Working_Sales[[#This Row],[Price per Unit]]))</f>
        <v>30</v>
      </c>
      <c r="AB180" s="2">
        <f>INT(
   SUBSTITUTE(Working_Sales[[#This Row],[Price_Per_Unit_Whitespace_Removed]],
   "$",
   ""
   )
)</f>
        <v>30</v>
      </c>
      <c r="AC180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180" s="8">
        <f>IFERROR(
   Working_Sales[[#This Row],[Price_Per_Unit_Decimal_Separator_Fixed]],
   Working_Sales[[#This Row],[Total_Amount_Converted_To_Integer]]/Working_Sales[[#This Row],[Quantity_Converted_To_Integer]]
)</f>
        <v>30</v>
      </c>
      <c r="AE180" t="s">
        <v>70</v>
      </c>
      <c r="AF180" s="2" t="str">
        <f>CLEAN(TRIM(Working_Sales[[#This Row],[Total Amount]]))</f>
        <v>30</v>
      </c>
      <c r="AG180" s="2">
        <f>INT(Working_Sales[[#This Row],[Total_Amount_Whitespace_Removed]])</f>
        <v>30</v>
      </c>
      <c r="AH18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181" spans="1:34" x14ac:dyDescent="0.35">
      <c r="A181" t="s">
        <v>483</v>
      </c>
      <c r="B181" s="6" t="str">
        <f>CLEAN(TRIM(Working_Sales[[#This Row],[Transaction ID]]))</f>
        <v>837</v>
      </c>
      <c r="C181" t="s">
        <v>2040</v>
      </c>
      <c r="D181" s="2" t="str">
        <f>CLEAN(TRIM(Working_Sales[[#This Row],[Date]]))</f>
        <v>01-Jul-2023</v>
      </c>
      <c r="E18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45108</v>
      </c>
      <c r="F18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45108</v>
      </c>
      <c r="G18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45108</v>
      </c>
      <c r="H181" t="s">
        <v>2471</v>
      </c>
      <c r="I181" s="2" t="str">
        <f>CLEAN(TRIM(Working_Sales[[#This Row],[Customer ID]]))</f>
        <v>cust152</v>
      </c>
      <c r="J18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8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CUST152</v>
      </c>
      <c r="L181" t="s">
        <v>268</v>
      </c>
      <c r="M181" s="4" t="str">
        <f>CLEAN(TRIM(Working_Sales[[#This Row],[Gender]]))</f>
        <v>M</v>
      </c>
      <c r="N181" s="4" t="str" cm="1">
        <f t="array" ref="N181">_xlfn.SWITCH(
   Working_Sales[[#This Row],[Gender_Whitespace_Removed]],
   "m", "Male",
   "f", "Female",
   Working_Sales[[#This Row],[Gender_Whitespace_Removed]]
)</f>
        <v>Male</v>
      </c>
      <c r="O181" s="6" t="str">
        <f>PROPER(Working_Sales[[#This Row],[Gender_Abbreviation_Expanded]])</f>
        <v>Male</v>
      </c>
      <c r="P181">
        <v>18</v>
      </c>
      <c r="Q181" s="2" t="str">
        <f>CLEAN(TRIM(Working_Sales[[#This Row],[Age]]))</f>
        <v>18</v>
      </c>
      <c r="R181" s="6">
        <f>INT(SUBSTITUTE(Working_Sales[[#This Row],[Age_Whitespace_Removed]],".",","))</f>
        <v>18</v>
      </c>
      <c r="S181" t="s">
        <v>36</v>
      </c>
      <c r="T181" s="2" t="str">
        <f>CLEAN(TRIM(Working_Sales[[#This Row],[Product Category]]))</f>
        <v>Beauty</v>
      </c>
      <c r="U181" s="6" t="str">
        <f>PROPER(Working_Sales[[#This Row],[Product_Category_Whitespace_Removed]])</f>
        <v>Beauty</v>
      </c>
      <c r="V181" t="s">
        <v>29</v>
      </c>
      <c r="W181" s="2" t="str">
        <f>CLEAN(TRIM(Working_Sales[[#This Row],[Quantity]]))</f>
        <v>3</v>
      </c>
      <c r="X181" s="2">
        <f>INT(Working_Sales[[#This Row],[`]])</f>
        <v>3</v>
      </c>
      <c r="Y181" s="6">
        <f>IFERROR(
   Working_Sales[[#This Row],[Quantity_Converted_To_Integer]],
   Working_Sales[[#This Row],[Total_Amount_Whitespace_Removed]]/Working_Sales[[#This Row],[Price_Per_Unit_Decimal_Separator_Fixed]])</f>
        <v>3</v>
      </c>
      <c r="Z181" t="s">
        <v>70</v>
      </c>
      <c r="AA181" s="2" t="str">
        <f>CLEAN(TRIM(Working_Sales[[#This Row],[Price per Unit]]))</f>
        <v>30</v>
      </c>
      <c r="AB181" s="2">
        <f>INT(
   SUBSTITUTE(Working_Sales[[#This Row],[Price_Per_Unit_Whitespace_Removed]],
   "$",
   ""
   )
)</f>
        <v>30</v>
      </c>
      <c r="AC181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181" s="8">
        <f>IFERROR(
   Working_Sales[[#This Row],[Price_Per_Unit_Decimal_Separator_Fixed]],
   Working_Sales[[#This Row],[Total_Amount_Converted_To_Integer]]/Working_Sales[[#This Row],[Quantity_Converted_To_Integer]]
)</f>
        <v>30</v>
      </c>
      <c r="AE181" t="s">
        <v>191</v>
      </c>
      <c r="AF181" s="2" t="str">
        <f>CLEAN(TRIM(Working_Sales[[#This Row],[Total Amount]]))</f>
        <v>90</v>
      </c>
      <c r="AG181" s="2">
        <f>INT(Working_Sales[[#This Row],[Total_Amount_Whitespace_Removed]])</f>
        <v>90</v>
      </c>
      <c r="AH18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182" spans="1:34" x14ac:dyDescent="0.35">
      <c r="A182" t="s">
        <v>484</v>
      </c>
      <c r="B182" s="6" t="str">
        <f>CLEAN(TRIM(Working_Sales[[#This Row],[Transaction ID]]))</f>
        <v>591</v>
      </c>
      <c r="C182" t="s">
        <v>2041</v>
      </c>
      <c r="D182" s="2" t="str">
        <f>CLEAN(TRIM(Working_Sales[[#This Row],[Date]]))</f>
        <v>01/13/2023</v>
      </c>
      <c r="E182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18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44939</v>
      </c>
      <c r="G18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44939</v>
      </c>
      <c r="H182" t="s">
        <v>2472</v>
      </c>
      <c r="I182" s="2" t="str">
        <f>CLEAN(TRIM(Working_Sales[[#This Row],[Customer ID]]))</f>
        <v>CUST043</v>
      </c>
      <c r="J18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8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CUST043</v>
      </c>
      <c r="L182" t="s">
        <v>34</v>
      </c>
      <c r="M182" s="4" t="str">
        <f>CLEAN(TRIM(Working_Sales[[#This Row],[Gender]]))</f>
        <v>Male</v>
      </c>
      <c r="N182" s="4" t="str" cm="1">
        <f t="array" ref="N182">_xlfn.SWITCH(
   Working_Sales[[#This Row],[Gender_Whitespace_Removed]],
   "m", "Male",
   "f", "Female",
   Working_Sales[[#This Row],[Gender_Whitespace_Removed]]
)</f>
        <v>Male</v>
      </c>
      <c r="O182" s="6" t="str">
        <f>PROPER(Working_Sales[[#This Row],[Gender_Abbreviation_Expanded]])</f>
        <v>Male</v>
      </c>
      <c r="P182">
        <v>53</v>
      </c>
      <c r="Q182" s="2" t="str">
        <f>CLEAN(TRIM(Working_Sales[[#This Row],[Age]]))</f>
        <v>53</v>
      </c>
      <c r="R182" s="6">
        <f>INT(SUBSTITUTE(Working_Sales[[#This Row],[Age_Whitespace_Removed]],".",","))</f>
        <v>53</v>
      </c>
      <c r="S182" t="s">
        <v>13</v>
      </c>
      <c r="T182" s="2" t="str">
        <f>CLEAN(TRIM(Working_Sales[[#This Row],[Product Category]]))</f>
        <v>Electronics</v>
      </c>
      <c r="U182" s="6" t="str">
        <f>PROPER(Working_Sales[[#This Row],[Product_Category_Whitespace_Removed]])</f>
        <v>Electronics</v>
      </c>
      <c r="V182" t="s">
        <v>14</v>
      </c>
      <c r="W182" s="2" t="str">
        <f>CLEAN(TRIM(Working_Sales[[#This Row],[Quantity]]))</f>
        <v>4</v>
      </c>
      <c r="X182" s="2">
        <f>INT(Working_Sales[[#This Row],[`]])</f>
        <v>4</v>
      </c>
      <c r="Y182" s="6">
        <f>IFERROR(
   Working_Sales[[#This Row],[Quantity_Converted_To_Integer]],
   Working_Sales[[#This Row],[Total_Amount_Whitespace_Removed]]/Working_Sales[[#This Row],[Price_Per_Unit_Decimal_Separator_Fixed]])</f>
        <v>4</v>
      </c>
      <c r="Z182" t="s">
        <v>30</v>
      </c>
      <c r="AA182" s="2" t="str">
        <f>CLEAN(TRIM(Working_Sales[[#This Row],[Price per Unit]]))</f>
        <v>25</v>
      </c>
      <c r="AB182" s="2">
        <f>INT(
   SUBSTITUTE(Working_Sales[[#This Row],[Price_Per_Unit_Whitespace_Removed]],
   "$",
   ""
   )
)</f>
        <v>25</v>
      </c>
      <c r="AC182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182" s="8">
        <f>IFERROR(
   Working_Sales[[#This Row],[Price_Per_Unit_Decimal_Separator_Fixed]],
   Working_Sales[[#This Row],[Total_Amount_Converted_To_Integer]]/Working_Sales[[#This Row],[Quantity_Converted_To_Integer]]
)</f>
        <v>25</v>
      </c>
      <c r="AE182" t="s">
        <v>38</v>
      </c>
      <c r="AF182" s="2" t="str">
        <f>CLEAN(TRIM(Working_Sales[[#This Row],[Total Amount]]))</f>
        <v>100</v>
      </c>
      <c r="AG182" s="2">
        <f>INT(Working_Sales[[#This Row],[Total_Amount_Whitespace_Removed]])</f>
        <v>100</v>
      </c>
      <c r="AH18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183" spans="1:34" x14ac:dyDescent="0.35">
      <c r="A183" t="s">
        <v>485</v>
      </c>
      <c r="B183" s="6" t="str">
        <f>CLEAN(TRIM(Working_Sales[[#This Row],[Transaction ID]]))</f>
        <v>566</v>
      </c>
      <c r="C183" t="s">
        <v>2042</v>
      </c>
      <c r="D183" s="2" t="str">
        <f>CLEAN(TRIM(Working_Sales[[#This Row],[Date]]))</f>
        <v>December 02, 2023</v>
      </c>
      <c r="E183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183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18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45262</v>
      </c>
      <c r="H183" t="s">
        <v>2473</v>
      </c>
      <c r="I183" s="2" t="str">
        <f>CLEAN(TRIM(Working_Sales[[#This Row],[Customer ID]]))</f>
        <v>cust153</v>
      </c>
      <c r="J18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8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CUST153</v>
      </c>
      <c r="L183" t="s">
        <v>26</v>
      </c>
      <c r="M183" s="4" t="str">
        <f>CLEAN(TRIM(Working_Sales[[#This Row],[Gender]]))</f>
        <v>Female</v>
      </c>
      <c r="N183" s="4" t="str" cm="1">
        <f t="array" ref="N183">_xlfn.SWITCH(
   Working_Sales[[#This Row],[Gender_Whitespace_Removed]],
   "m", "Male",
   "f", "Female",
   Working_Sales[[#This Row],[Gender_Whitespace_Removed]]
)</f>
        <v>Female</v>
      </c>
      <c r="O183" s="6" t="str">
        <f>PROPER(Working_Sales[[#This Row],[Gender_Abbreviation_Expanded]])</f>
        <v>Female</v>
      </c>
      <c r="P183">
        <v>64</v>
      </c>
      <c r="Q183" s="2" t="str">
        <f>CLEAN(TRIM(Working_Sales[[#This Row],[Age]]))</f>
        <v>64</v>
      </c>
      <c r="R183" s="6">
        <f>INT(SUBSTITUTE(Working_Sales[[#This Row],[Age_Whitespace_Removed]],".",","))</f>
        <v>64</v>
      </c>
      <c r="S183" t="s">
        <v>56</v>
      </c>
      <c r="T183" s="2" t="str">
        <f>CLEAN(TRIM(Working_Sales[[#This Row],[Product Category]]))</f>
        <v>Clothing</v>
      </c>
      <c r="U183" s="6" t="str">
        <f>PROPER(Working_Sales[[#This Row],[Product_Category_Whitespace_Removed]])</f>
        <v>Clothing</v>
      </c>
      <c r="V183" t="s">
        <v>22</v>
      </c>
      <c r="W183" s="2" t="str">
        <f>CLEAN(TRIM(Working_Sales[[#This Row],[Quantity]]))</f>
        <v>1</v>
      </c>
      <c r="X183" s="2">
        <f>INT(Working_Sales[[#This Row],[`]])</f>
        <v>1</v>
      </c>
      <c r="Y183" s="6">
        <f>IFERROR(
   Working_Sales[[#This Row],[Quantity_Converted_To_Integer]],
   Working_Sales[[#This Row],[Total_Amount_Whitespace_Removed]]/Working_Sales[[#This Row],[Price_Per_Unit_Decimal_Separator_Fixed]])</f>
        <v>1</v>
      </c>
      <c r="Z183" t="s">
        <v>70</v>
      </c>
      <c r="AA183" s="2" t="str">
        <f>CLEAN(TRIM(Working_Sales[[#This Row],[Price per Unit]]))</f>
        <v>30</v>
      </c>
      <c r="AB183" s="2">
        <f>INT(
   SUBSTITUTE(Working_Sales[[#This Row],[Price_Per_Unit_Whitespace_Removed]],
   "$",
   ""
   )
)</f>
        <v>30</v>
      </c>
      <c r="AC183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183" s="8">
        <f>IFERROR(
   Working_Sales[[#This Row],[Price_Per_Unit_Decimal_Separator_Fixed]],
   Working_Sales[[#This Row],[Total_Amount_Converted_To_Integer]]/Working_Sales[[#This Row],[Quantity_Converted_To_Integer]]
)</f>
        <v>30</v>
      </c>
      <c r="AE183" t="s">
        <v>70</v>
      </c>
      <c r="AF183" s="2" t="str">
        <f>CLEAN(TRIM(Working_Sales[[#This Row],[Total Amount]]))</f>
        <v>30</v>
      </c>
      <c r="AG183" s="2">
        <f>INT(Working_Sales[[#This Row],[Total_Amount_Whitespace_Removed]])</f>
        <v>30</v>
      </c>
      <c r="AH18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184" spans="1:34" x14ac:dyDescent="0.35">
      <c r="A184" t="s">
        <v>486</v>
      </c>
      <c r="B184" s="6" t="str">
        <f>CLEAN(TRIM(Working_Sales[[#This Row],[Transaction ID]]))</f>
        <v>875</v>
      </c>
      <c r="C184" t="s">
        <v>2043</v>
      </c>
      <c r="D184" s="2" t="str">
        <f>CLEAN(TRIM(Working_Sales[[#This Row],[Date]]))</f>
        <v>August 06, 2023</v>
      </c>
      <c r="E184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184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18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45144</v>
      </c>
      <c r="H184" t="s">
        <v>2474</v>
      </c>
      <c r="I184" s="2" t="str">
        <f>CLEAN(TRIM(Working_Sales[[#This Row],[Customer ID]]))</f>
        <v>CUST-154</v>
      </c>
      <c r="J18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8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CUST154</v>
      </c>
      <c r="L184" t="s">
        <v>112</v>
      </c>
      <c r="M184" s="4" t="str">
        <f>CLEAN(TRIM(Working_Sales[[#This Row],[Gender]]))</f>
        <v>female</v>
      </c>
      <c r="N184" s="4" t="str" cm="1">
        <f t="array" ref="N184">_xlfn.SWITCH(
   Working_Sales[[#This Row],[Gender_Whitespace_Removed]],
   "m", "Male",
   "f", "Female",
   Working_Sales[[#This Row],[Gender_Whitespace_Removed]]
)</f>
        <v>female</v>
      </c>
      <c r="O184" s="6" t="str">
        <f>PROPER(Working_Sales[[#This Row],[Gender_Abbreviation_Expanded]])</f>
        <v>Female</v>
      </c>
      <c r="P184">
        <v>51</v>
      </c>
      <c r="Q184" s="2" t="str">
        <f>CLEAN(TRIM(Working_Sales[[#This Row],[Age]]))</f>
        <v>51</v>
      </c>
      <c r="R184" s="6">
        <f>INT(SUBSTITUTE(Working_Sales[[#This Row],[Age_Whitespace_Removed]],".",","))</f>
        <v>51</v>
      </c>
      <c r="S184" t="s">
        <v>13</v>
      </c>
      <c r="T184" s="2" t="str">
        <f>CLEAN(TRIM(Working_Sales[[#This Row],[Product Category]]))</f>
        <v>Electronics</v>
      </c>
      <c r="U184" s="6" t="str">
        <f>PROPER(Working_Sales[[#This Row],[Product_Category_Whitespace_Removed]])</f>
        <v>Electronics</v>
      </c>
      <c r="V184" t="s">
        <v>14</v>
      </c>
      <c r="W184" s="2" t="str">
        <f>CLEAN(TRIM(Working_Sales[[#This Row],[Quantity]]))</f>
        <v>4</v>
      </c>
      <c r="X184" s="2">
        <f>INT(Working_Sales[[#This Row],[`]])</f>
        <v>4</v>
      </c>
      <c r="Y184" s="6">
        <f>IFERROR(
   Working_Sales[[#This Row],[Quantity_Converted_To_Integer]],
   Working_Sales[[#This Row],[Total_Amount_Whitespace_Removed]]/Working_Sales[[#This Row],[Price_Per_Unit_Decimal_Separator_Fixed]])</f>
        <v>4</v>
      </c>
      <c r="Z184" t="s">
        <v>57</v>
      </c>
      <c r="AA184" s="2" t="str">
        <f>CLEAN(TRIM(Working_Sales[[#This Row],[Price per Unit]]))</f>
        <v>500</v>
      </c>
      <c r="AB184" s="2">
        <f>INT(
   SUBSTITUTE(Working_Sales[[#This Row],[Price_Per_Unit_Whitespace_Removed]],
   "$",
   ""
   )
)</f>
        <v>500</v>
      </c>
      <c r="AC184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184" s="8">
        <f>IFERROR(
   Working_Sales[[#This Row],[Price_Per_Unit_Decimal_Separator_Fixed]],
   Working_Sales[[#This Row],[Total_Amount_Converted_To_Integer]]/Working_Sales[[#This Row],[Quantity_Converted_To_Integer]]
)</f>
        <v>500</v>
      </c>
      <c r="AE184" t="s">
        <v>232</v>
      </c>
      <c r="AF184" s="2" t="str">
        <f>CLEAN(TRIM(Working_Sales[[#This Row],[Total Amount]]))</f>
        <v>2000</v>
      </c>
      <c r="AG184" s="2">
        <f>INT(Working_Sales[[#This Row],[Total_Amount_Whitespace_Removed]])</f>
        <v>2000</v>
      </c>
      <c r="AH18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185" spans="1:34" x14ac:dyDescent="0.35">
      <c r="A185" t="s">
        <v>487</v>
      </c>
      <c r="B185" s="6" t="str">
        <f>CLEAN(TRIM(Working_Sales[[#This Row],[Transaction ID]]))</f>
        <v>541</v>
      </c>
      <c r="C185" t="s">
        <v>2044</v>
      </c>
      <c r="D185" s="2" t="str">
        <f>CLEAN(TRIM(Working_Sales[[#This Row],[Date]]))</f>
        <v>07/29/2023</v>
      </c>
      <c r="E185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18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45136</v>
      </c>
      <c r="G18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45136</v>
      </c>
      <c r="H185" t="s">
        <v>2475</v>
      </c>
      <c r="I185" s="2" t="str">
        <f>CLEAN(TRIM(Working_Sales[[#This Row],[Customer ID]]))</f>
        <v>CUST155</v>
      </c>
      <c r="J18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CUST155</v>
      </c>
      <c r="K18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CUST155</v>
      </c>
      <c r="L185" t="s">
        <v>34</v>
      </c>
      <c r="M185" s="4" t="str">
        <f>CLEAN(TRIM(Working_Sales[[#This Row],[Gender]]))</f>
        <v>Male</v>
      </c>
      <c r="N185" s="4" t="str" cm="1">
        <f t="array" ref="N185">_xlfn.SWITCH(
   Working_Sales[[#This Row],[Gender_Whitespace_Removed]],
   "m", "Male",
   "f", "Female",
   Working_Sales[[#This Row],[Gender_Whitespace_Removed]]
)</f>
        <v>Male</v>
      </c>
      <c r="O185" s="6" t="str">
        <f>PROPER(Working_Sales[[#This Row],[Gender_Abbreviation_Expanded]])</f>
        <v>Male</v>
      </c>
      <c r="P185">
        <v>56</v>
      </c>
      <c r="Q185" s="2" t="str">
        <f>CLEAN(TRIM(Working_Sales[[#This Row],[Age]]))</f>
        <v>56</v>
      </c>
      <c r="R185" s="6">
        <f>INT(SUBSTITUTE(Working_Sales[[#This Row],[Age_Whitespace_Removed]],".",","))</f>
        <v>56</v>
      </c>
      <c r="S185" t="s">
        <v>42</v>
      </c>
      <c r="T185" s="2" t="str">
        <f>CLEAN(TRIM(Working_Sales[[#This Row],[Product Category]]))</f>
        <v>Beauty</v>
      </c>
      <c r="U185" s="6" t="str">
        <f>PROPER(Working_Sales[[#This Row],[Product_Category_Whitespace_Removed]])</f>
        <v>Beauty</v>
      </c>
      <c r="V185" t="s">
        <v>22</v>
      </c>
      <c r="W185" s="2" t="str">
        <f>CLEAN(TRIM(Working_Sales[[#This Row],[Quantity]]))</f>
        <v>1</v>
      </c>
      <c r="X185" s="2">
        <f>INT(Working_Sales[[#This Row],[`]])</f>
        <v>1</v>
      </c>
      <c r="Y185" s="6">
        <f>IFERROR(
   Working_Sales[[#This Row],[Quantity_Converted_To_Integer]],
   Working_Sales[[#This Row],[Total_Amount_Whitespace_Removed]]/Working_Sales[[#This Row],[Price_Per_Unit_Decimal_Separator_Fixed]])</f>
        <v>1</v>
      </c>
      <c r="Z185" t="s">
        <v>57</v>
      </c>
      <c r="AA185" s="2" t="str">
        <f>CLEAN(TRIM(Working_Sales[[#This Row],[Price per Unit]]))</f>
        <v>500</v>
      </c>
      <c r="AB185" s="2">
        <f>INT(
   SUBSTITUTE(Working_Sales[[#This Row],[Price_Per_Unit_Whitespace_Removed]],
   "$",
   ""
   )
)</f>
        <v>500</v>
      </c>
      <c r="AC185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185" s="8">
        <f>IFERROR(
   Working_Sales[[#This Row],[Price_Per_Unit_Decimal_Separator_Fixed]],
   Working_Sales[[#This Row],[Total_Amount_Converted_To_Integer]]/Working_Sales[[#This Row],[Quantity_Converted_To_Integer]]
)</f>
        <v>500</v>
      </c>
      <c r="AE185" t="s">
        <v>57</v>
      </c>
      <c r="AF185" s="2" t="str">
        <f>CLEAN(TRIM(Working_Sales[[#This Row],[Total Amount]]))</f>
        <v>500</v>
      </c>
      <c r="AG185" s="2">
        <f>INT(Working_Sales[[#This Row],[Total_Amount_Whitespace_Removed]])</f>
        <v>500</v>
      </c>
      <c r="AH18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186" spans="1:34" x14ac:dyDescent="0.35">
      <c r="A186" t="s">
        <v>488</v>
      </c>
      <c r="B186" s="6" t="str">
        <f>CLEAN(TRIM(Working_Sales[[#This Row],[Transaction ID]]))</f>
        <v>408</v>
      </c>
      <c r="C186" t="s">
        <v>489</v>
      </c>
      <c r="D186" s="2" t="str">
        <f>CLEAN(TRIM(Working_Sales[[#This Row],[Date]]))</f>
        <v>15/04/2023</v>
      </c>
      <c r="E18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45031</v>
      </c>
      <c r="F18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45031</v>
      </c>
      <c r="G18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45031</v>
      </c>
      <c r="H186" t="s">
        <v>2476</v>
      </c>
      <c r="I186" s="2" t="str">
        <f>CLEAN(TRIM(Working_Sales[[#This Row],[Customer ID]]))</f>
        <v>cust156</v>
      </c>
      <c r="J18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8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CUST156</v>
      </c>
      <c r="L186" t="s">
        <v>46</v>
      </c>
      <c r="M186" s="4" t="str">
        <f>CLEAN(TRIM(Working_Sales[[#This Row],[Gender]]))</f>
        <v>F</v>
      </c>
      <c r="N186" s="4" t="str" cm="1">
        <f t="array" ref="N186">_xlfn.SWITCH(
   Working_Sales[[#This Row],[Gender_Whitespace_Removed]],
   "m", "Male",
   "f", "Female",
   Working_Sales[[#This Row],[Gender_Whitespace_Removed]]
)</f>
        <v>Female</v>
      </c>
      <c r="O186" s="6" t="str">
        <f>PROPER(Working_Sales[[#This Row],[Gender_Abbreviation_Expanded]])</f>
        <v>Female</v>
      </c>
      <c r="P186">
        <v>64</v>
      </c>
      <c r="Q186" s="2" t="str">
        <f>CLEAN(TRIM(Working_Sales[[#This Row],[Age]]))</f>
        <v>64</v>
      </c>
      <c r="R186" s="6">
        <f>INT(SUBSTITUTE(Working_Sales[[#This Row],[Age_Whitespace_Removed]],".",","))</f>
        <v>64</v>
      </c>
      <c r="S186" t="s">
        <v>434</v>
      </c>
      <c r="T186" s="2" t="str">
        <f>CLEAN(TRIM(Working_Sales[[#This Row],[Product Category]]))</f>
        <v>Beauty</v>
      </c>
      <c r="U186" s="6" t="str">
        <f>PROPER(Working_Sales[[#This Row],[Product_Category_Whitespace_Removed]])</f>
        <v>Beauty</v>
      </c>
      <c r="V186" t="s">
        <v>22</v>
      </c>
      <c r="W186" s="2" t="str">
        <f>CLEAN(TRIM(Working_Sales[[#This Row],[Quantity]]))</f>
        <v>1</v>
      </c>
      <c r="X186" s="2">
        <f>INT(Working_Sales[[#This Row],[`]])</f>
        <v>1</v>
      </c>
      <c r="Y186" s="6">
        <f>IFERROR(
   Working_Sales[[#This Row],[Quantity_Converted_To_Integer]],
   Working_Sales[[#This Row],[Total_Amount_Whitespace_Removed]]/Working_Sales[[#This Row],[Price_Per_Unit_Decimal_Separator_Fixed]])</f>
        <v>1</v>
      </c>
      <c r="Z186" t="s">
        <v>84</v>
      </c>
      <c r="AA186" s="2" t="str">
        <f>CLEAN(TRIM(Working_Sales[[#This Row],[Price per Unit]]))</f>
        <v>500.00</v>
      </c>
      <c r="AB186" s="2" t="e">
        <f>INT(
   SUBSTITUTE(Working_Sales[[#This Row],[Price_Per_Unit_Whitespace_Removed]],
   "$",
   ""
   )
)</f>
        <v>#VALUE!</v>
      </c>
      <c r="AC186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186" s="8">
        <f>IFERROR(
   Working_Sales[[#This Row],[Price_Per_Unit_Decimal_Separator_Fixed]],
   Working_Sales[[#This Row],[Total_Amount_Converted_To_Integer]]/Working_Sales[[#This Row],[Quantity_Converted_To_Integer]]
)</f>
        <v>500</v>
      </c>
      <c r="AE186" t="s">
        <v>57</v>
      </c>
      <c r="AF186" s="2" t="str">
        <f>CLEAN(TRIM(Working_Sales[[#This Row],[Total Amount]]))</f>
        <v>500</v>
      </c>
      <c r="AG186" s="2">
        <f>INT(Working_Sales[[#This Row],[Total_Amount_Whitespace_Removed]])</f>
        <v>500</v>
      </c>
      <c r="AH18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187" spans="1:34" x14ac:dyDescent="0.35">
      <c r="A187" t="s">
        <v>491</v>
      </c>
      <c r="B187" s="6" t="str">
        <f>CLEAN(TRIM(Working_Sales[[#This Row],[Transaction ID]]))</f>
        <v>818</v>
      </c>
      <c r="C187" t="s">
        <v>492</v>
      </c>
      <c r="D187" s="2" t="str">
        <f>CLEAN(TRIM(Working_Sales[[#This Row],[Date]]))</f>
        <v>2023-05-18</v>
      </c>
      <c r="E18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45064</v>
      </c>
      <c r="F18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45064</v>
      </c>
      <c r="G18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45064</v>
      </c>
      <c r="H187" t="s">
        <v>2477</v>
      </c>
      <c r="I187" s="2" t="str">
        <f>CLEAN(TRIM(Working_Sales[[#This Row],[Customer ID]]))</f>
        <v>CUST157</v>
      </c>
      <c r="J18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8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CUST157</v>
      </c>
      <c r="L187" t="s">
        <v>34</v>
      </c>
      <c r="M187" s="4" t="str">
        <f>CLEAN(TRIM(Working_Sales[[#This Row],[Gender]]))</f>
        <v>Male</v>
      </c>
      <c r="N187" s="4" t="str" cm="1">
        <f t="array" ref="N187">_xlfn.SWITCH(
   Working_Sales[[#This Row],[Gender_Whitespace_Removed]],
   "m", "Male",
   "f", "Female",
   Working_Sales[[#This Row],[Gender_Whitespace_Removed]]
)</f>
        <v>Male</v>
      </c>
      <c r="O187" s="6" t="str">
        <f>PROPER(Working_Sales[[#This Row],[Gender_Abbreviation_Expanded]])</f>
        <v>Male</v>
      </c>
      <c r="P187">
        <v>30</v>
      </c>
      <c r="Q187" s="2" t="str">
        <f>CLEAN(TRIM(Working_Sales[[#This Row],[Age]]))</f>
        <v>30</v>
      </c>
      <c r="R187" s="6">
        <f>INT(SUBSTITUTE(Working_Sales[[#This Row],[Age_Whitespace_Removed]],".",","))</f>
        <v>30</v>
      </c>
      <c r="S187" t="s">
        <v>48</v>
      </c>
      <c r="T187" s="2" t="str">
        <f>CLEAN(TRIM(Working_Sales[[#This Row],[Product Category]]))</f>
        <v>electronics</v>
      </c>
      <c r="U187" s="6" t="str">
        <f>PROPER(Working_Sales[[#This Row],[Product_Category_Whitespace_Removed]])</f>
        <v>Electronics</v>
      </c>
      <c r="V187" t="s">
        <v>22</v>
      </c>
      <c r="W187" s="2" t="str">
        <f>CLEAN(TRIM(Working_Sales[[#This Row],[Quantity]]))</f>
        <v>1</v>
      </c>
      <c r="X187" s="2">
        <f>INT(Working_Sales[[#This Row],[`]])</f>
        <v>1</v>
      </c>
      <c r="Y187" s="6">
        <f>IFERROR(
   Working_Sales[[#This Row],[Quantity_Converted_To_Integer]],
   Working_Sales[[#This Row],[Total_Amount_Whitespace_Removed]]/Working_Sales[[#This Row],[Price_Per_Unit_Decimal_Separator_Fixed]])</f>
        <v>1</v>
      </c>
      <c r="Z187" t="s">
        <v>57</v>
      </c>
      <c r="AA187" s="2" t="str">
        <f>CLEAN(TRIM(Working_Sales[[#This Row],[Price per Unit]]))</f>
        <v>500</v>
      </c>
      <c r="AB187" s="2">
        <f>INT(
   SUBSTITUTE(Working_Sales[[#This Row],[Price_Per_Unit_Whitespace_Removed]],
   "$",
   ""
   )
)</f>
        <v>500</v>
      </c>
      <c r="AC187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187" s="8">
        <f>IFERROR(
   Working_Sales[[#This Row],[Price_Per_Unit_Decimal_Separator_Fixed]],
   Working_Sales[[#This Row],[Total_Amount_Converted_To_Integer]]/Working_Sales[[#This Row],[Quantity_Converted_To_Integer]]
)</f>
        <v>500</v>
      </c>
      <c r="AE187" t="s">
        <v>57</v>
      </c>
      <c r="AF187" s="2" t="str">
        <f>CLEAN(TRIM(Working_Sales[[#This Row],[Total Amount]]))</f>
        <v>500</v>
      </c>
      <c r="AG187" s="2">
        <f>INT(Working_Sales[[#This Row],[Total_Amount_Whitespace_Removed]])</f>
        <v>500</v>
      </c>
      <c r="AH18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188" spans="1:34" x14ac:dyDescent="0.35">
      <c r="A188" t="s">
        <v>493</v>
      </c>
      <c r="B188" s="6" t="str">
        <f>CLEAN(TRIM(Working_Sales[[#This Row],[Transaction ID]]))</f>
        <v>492</v>
      </c>
      <c r="C188" t="s">
        <v>494</v>
      </c>
      <c r="D188" s="2" t="str">
        <f>CLEAN(TRIM(Working_Sales[[#This Row],[Date]]))</f>
        <v>2023-06-29</v>
      </c>
      <c r="E18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45106</v>
      </c>
      <c r="F18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45106</v>
      </c>
      <c r="G18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45106</v>
      </c>
      <c r="H188" t="s">
        <v>2478</v>
      </c>
      <c r="I188" s="2" t="str">
        <f>CLEAN(TRIM(Working_Sales[[#This Row],[Customer ID]]))</f>
        <v>CUST057</v>
      </c>
      <c r="J18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CUST057</v>
      </c>
      <c r="K18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CUST057</v>
      </c>
      <c r="L188" t="s">
        <v>34</v>
      </c>
      <c r="M188" s="4" t="str">
        <f>CLEAN(TRIM(Working_Sales[[#This Row],[Gender]]))</f>
        <v>Male</v>
      </c>
      <c r="N188" s="4" t="str" cm="1">
        <f t="array" ref="N188">_xlfn.SWITCH(
   Working_Sales[[#This Row],[Gender_Whitespace_Removed]],
   "m", "Male",
   "f", "Female",
   Working_Sales[[#This Row],[Gender_Whitespace_Removed]]
)</f>
        <v>Male</v>
      </c>
      <c r="O188" s="6" t="str">
        <f>PROPER(Working_Sales[[#This Row],[Gender_Abbreviation_Expanded]])</f>
        <v>Male</v>
      </c>
      <c r="P188">
        <v>61</v>
      </c>
      <c r="Q188" s="2" t="str">
        <f>CLEAN(TRIM(Working_Sales[[#This Row],[Age]]))</f>
        <v>61</v>
      </c>
      <c r="R188" s="6">
        <f>INT(SUBSTITUTE(Working_Sales[[#This Row],[Age_Whitespace_Removed]],".",","))</f>
        <v>61</v>
      </c>
      <c r="S188" t="s">
        <v>69</v>
      </c>
      <c r="T188" s="2" t="str">
        <f>CLEAN(TRIM(Working_Sales[[#This Row],[Product Category]]))</f>
        <v>BEAUTY</v>
      </c>
      <c r="U188" s="6" t="str">
        <f>PROPER(Working_Sales[[#This Row],[Product_Category_Whitespace_Removed]])</f>
        <v>Beauty</v>
      </c>
      <c r="V188" t="s">
        <v>14</v>
      </c>
      <c r="W188" s="2" t="str">
        <f>CLEAN(TRIM(Working_Sales[[#This Row],[Quantity]]))</f>
        <v>4</v>
      </c>
      <c r="X188" s="2">
        <f>INT(Working_Sales[[#This Row],[`]])</f>
        <v>4</v>
      </c>
      <c r="Y188" s="6">
        <f>IFERROR(
   Working_Sales[[#This Row],[Quantity_Converted_To_Integer]],
   Working_Sales[[#This Row],[Total_Amount_Whitespace_Removed]]/Working_Sales[[#This Row],[Price_Per_Unit_Decimal_Separator_Fixed]])</f>
        <v>4</v>
      </c>
      <c r="Z188" t="s">
        <v>371</v>
      </c>
      <c r="AA188" s="2" t="str">
        <f>CLEAN(TRIM(Working_Sales[[#This Row],[Price per Unit]]))</f>
        <v>25.00</v>
      </c>
      <c r="AB188" s="2" t="e">
        <f>INT(
   SUBSTITUTE(Working_Sales[[#This Row],[Price_Per_Unit_Whitespace_Removed]],
   "$",
   ""
   )
)</f>
        <v>#VALUE!</v>
      </c>
      <c r="AC188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188" s="8">
        <f>IFERROR(
   Working_Sales[[#This Row],[Price_Per_Unit_Decimal_Separator_Fixed]],
   Working_Sales[[#This Row],[Total_Amount_Converted_To_Integer]]/Working_Sales[[#This Row],[Quantity_Converted_To_Integer]]
)</f>
        <v>25</v>
      </c>
      <c r="AE188" t="s">
        <v>38</v>
      </c>
      <c r="AF188" s="2" t="str">
        <f>CLEAN(TRIM(Working_Sales[[#This Row],[Total Amount]]))</f>
        <v>100</v>
      </c>
      <c r="AG188" s="2">
        <f>INT(Working_Sales[[#This Row],[Total_Amount_Whitespace_Removed]])</f>
        <v>100</v>
      </c>
      <c r="AH18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189" spans="1:34" x14ac:dyDescent="0.35">
      <c r="A189" t="s">
        <v>496</v>
      </c>
      <c r="B189" s="6" t="str">
        <f>CLEAN(TRIM(Working_Sales[[#This Row],[Transaction ID]]))</f>
        <v>793</v>
      </c>
      <c r="C189" t="s">
        <v>2045</v>
      </c>
      <c r="D189" s="2" t="str">
        <f>CLEAN(TRIM(Working_Sales[[#This Row],[Date]]))</f>
        <v>February 05, 2023</v>
      </c>
      <c r="E189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189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18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44962</v>
      </c>
      <c r="H189" t="s">
        <v>1461</v>
      </c>
      <c r="I189" s="2" t="str">
        <f>CLEAN(TRIM(Working_Sales[[#This Row],[Customer ID]]))</f>
        <v>CUST158</v>
      </c>
      <c r="J18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CUST158</v>
      </c>
      <c r="K18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CUST158</v>
      </c>
      <c r="L189" t="s">
        <v>34</v>
      </c>
      <c r="M189" s="4" t="str">
        <f>CLEAN(TRIM(Working_Sales[[#This Row],[Gender]]))</f>
        <v>Male</v>
      </c>
      <c r="N189" s="4" t="str" cm="1">
        <f t="array" ref="N189">_xlfn.SWITCH(
   Working_Sales[[#This Row],[Gender_Whitespace_Removed]],
   "m", "Male",
   "f", "Female",
   Working_Sales[[#This Row],[Gender_Whitespace_Removed]]
)</f>
        <v>Male</v>
      </c>
      <c r="O189" s="6" t="str">
        <f>PROPER(Working_Sales[[#This Row],[Gender_Abbreviation_Expanded]])</f>
        <v>Male</v>
      </c>
      <c r="P189">
        <v>54</v>
      </c>
      <c r="Q189" s="2" t="str">
        <f>CLEAN(TRIM(Working_Sales[[#This Row],[Age]]))</f>
        <v>54</v>
      </c>
      <c r="R189" s="6">
        <f>INT(SUBSTITUTE(Working_Sales[[#This Row],[Age_Whitespace_Removed]],".",","))</f>
        <v>54</v>
      </c>
      <c r="S189" t="s">
        <v>62</v>
      </c>
      <c r="T189" s="2" t="str">
        <f>CLEAN(TRIM(Working_Sales[[#This Row],[Product Category]]))</f>
        <v>beauty</v>
      </c>
      <c r="U189" s="6" t="str">
        <f>PROPER(Working_Sales[[#This Row],[Product_Category_Whitespace_Removed]])</f>
        <v>Beauty</v>
      </c>
      <c r="V189" t="s">
        <v>22</v>
      </c>
      <c r="W189" s="2" t="str">
        <f>CLEAN(TRIM(Working_Sales[[#This Row],[Quantity]]))</f>
        <v>1</v>
      </c>
      <c r="X189" s="2">
        <f>INT(Working_Sales[[#This Row],[`]])</f>
        <v>1</v>
      </c>
      <c r="Y189" s="6">
        <f>IFERROR(
   Working_Sales[[#This Row],[Quantity_Converted_To_Integer]],
   Working_Sales[[#This Row],[Total_Amount_Whitespace_Removed]]/Working_Sales[[#This Row],[Price_Per_Unit_Decimal_Separator_Fixed]])</f>
        <v>1</v>
      </c>
      <c r="Z189" t="s">
        <v>100</v>
      </c>
      <c r="AA189" s="2" t="str">
        <f>CLEAN(TRIM(Working_Sales[[#This Row],[Price per Unit]]))</f>
        <v>30</v>
      </c>
      <c r="AB189" s="2">
        <f>INT(
   SUBSTITUTE(Working_Sales[[#This Row],[Price_Per_Unit_Whitespace_Removed]],
   "$",
   ""
   )
)</f>
        <v>30</v>
      </c>
      <c r="AC189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189" s="8">
        <f>IFERROR(
   Working_Sales[[#This Row],[Price_Per_Unit_Decimal_Separator_Fixed]],
   Working_Sales[[#This Row],[Total_Amount_Converted_To_Integer]]/Working_Sales[[#This Row],[Quantity_Converted_To_Integer]]
)</f>
        <v>30</v>
      </c>
      <c r="AE189" t="s">
        <v>70</v>
      </c>
      <c r="AF189" s="2" t="str">
        <f>CLEAN(TRIM(Working_Sales[[#This Row],[Total Amount]]))</f>
        <v>30</v>
      </c>
      <c r="AG189" s="2">
        <f>INT(Working_Sales[[#This Row],[Total_Amount_Whitespace_Removed]])</f>
        <v>30</v>
      </c>
      <c r="AH18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190" spans="1:34" x14ac:dyDescent="0.35">
      <c r="A190" t="s">
        <v>498</v>
      </c>
      <c r="B190" s="6" t="str">
        <f>CLEAN(TRIM(Working_Sales[[#This Row],[Transaction ID]]))</f>
        <v>553</v>
      </c>
      <c r="C190" t="s">
        <v>499</v>
      </c>
      <c r="D190" s="2" t="str">
        <f>CLEAN(TRIM(Working_Sales[[#This Row],[Date]]))</f>
        <v>2023-03-31</v>
      </c>
      <c r="E19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45016</v>
      </c>
      <c r="F19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45016</v>
      </c>
      <c r="G19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45016</v>
      </c>
      <c r="H190" t="s">
        <v>2479</v>
      </c>
      <c r="I190" s="2" t="str">
        <f>CLEAN(TRIM(Working_Sales[[#This Row],[Customer ID]]))</f>
        <v>CUST159</v>
      </c>
      <c r="J19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CUST159</v>
      </c>
      <c r="K19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CUST159</v>
      </c>
      <c r="L190" t="s">
        <v>34</v>
      </c>
      <c r="M190" s="4" t="str">
        <f>CLEAN(TRIM(Working_Sales[[#This Row],[Gender]]))</f>
        <v>Male</v>
      </c>
      <c r="N190" s="4" t="str" cm="1">
        <f t="array" ref="N190">_xlfn.SWITCH(
   Working_Sales[[#This Row],[Gender_Whitespace_Removed]],
   "m", "Male",
   "f", "Female",
   Working_Sales[[#This Row],[Gender_Whitespace_Removed]]
)</f>
        <v>Male</v>
      </c>
      <c r="O190" s="6" t="str">
        <f>PROPER(Working_Sales[[#This Row],[Gender_Abbreviation_Expanded]])</f>
        <v>Male</v>
      </c>
      <c r="P190">
        <v>24</v>
      </c>
      <c r="Q190" s="2" t="str">
        <f>CLEAN(TRIM(Working_Sales[[#This Row],[Age]]))</f>
        <v>24</v>
      </c>
      <c r="R190" s="6">
        <f>INT(SUBSTITUTE(Working_Sales[[#This Row],[Age_Whitespace_Removed]],".",","))</f>
        <v>24</v>
      </c>
      <c r="S190" t="s">
        <v>89</v>
      </c>
      <c r="T190" s="2" t="str">
        <f>CLEAN(TRIM(Working_Sales[[#This Row],[Product Category]]))</f>
        <v>CLOTHING</v>
      </c>
      <c r="U190" s="6" t="str">
        <f>PROPER(Working_Sales[[#This Row],[Product_Category_Whitespace_Removed]])</f>
        <v>Clothing</v>
      </c>
      <c r="V190" t="s">
        <v>14</v>
      </c>
      <c r="W190" s="2" t="str">
        <f>CLEAN(TRIM(Working_Sales[[#This Row],[Quantity]]))</f>
        <v>4</v>
      </c>
      <c r="X190" s="2">
        <f>INT(Working_Sales[[#This Row],[`]])</f>
        <v>4</v>
      </c>
      <c r="Y190" s="6">
        <f>IFERROR(
   Working_Sales[[#This Row],[Quantity_Converted_To_Integer]],
   Working_Sales[[#This Row],[Total_Amount_Whitespace_Removed]]/Working_Sales[[#This Row],[Price_Per_Unit_Decimal_Separator_Fixed]])</f>
        <v>4</v>
      </c>
      <c r="Z190" t="s">
        <v>23</v>
      </c>
      <c r="AA190" s="2" t="str">
        <f>CLEAN(TRIM(Working_Sales[[#This Row],[Price per Unit]]))</f>
        <v>300</v>
      </c>
      <c r="AB190" s="2">
        <f>INT(
   SUBSTITUTE(Working_Sales[[#This Row],[Price_Per_Unit_Whitespace_Removed]],
   "$",
   ""
   )
)</f>
        <v>300</v>
      </c>
      <c r="AC190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190" s="8">
        <f>IFERROR(
   Working_Sales[[#This Row],[Price_Per_Unit_Decimal_Separator_Fixed]],
   Working_Sales[[#This Row],[Total_Amount_Converted_To_Integer]]/Working_Sales[[#This Row],[Quantity_Converted_To_Integer]]
)</f>
        <v>300</v>
      </c>
      <c r="AE190" t="s">
        <v>79</v>
      </c>
      <c r="AF190" s="2" t="str">
        <f>CLEAN(TRIM(Working_Sales[[#This Row],[Total Amount]]))</f>
        <v>1200</v>
      </c>
      <c r="AG190" s="2">
        <f>INT(Working_Sales[[#This Row],[Total_Amount_Whitespace_Removed]])</f>
        <v>1200</v>
      </c>
      <c r="AH19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191" spans="1:34" x14ac:dyDescent="0.35">
      <c r="A191" t="s">
        <v>500</v>
      </c>
      <c r="B191" s="6" t="str">
        <f>CLEAN(TRIM(Working_Sales[[#This Row],[Transaction ID]]))</f>
        <v>366</v>
      </c>
      <c r="C191" t="s">
        <v>173</v>
      </c>
      <c r="D191" s="2" t="str">
        <f>CLEAN(TRIM(Working_Sales[[#This Row],[Date]]))</f>
        <v>07-Feb-2023</v>
      </c>
      <c r="E19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44964</v>
      </c>
      <c r="F19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44964</v>
      </c>
      <c r="G19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44964</v>
      </c>
      <c r="H191" t="s">
        <v>2480</v>
      </c>
      <c r="I191" s="2" t="str">
        <f>CLEAN(TRIM(Working_Sales[[#This Row],[Customer ID]]))</f>
        <v>CUST160</v>
      </c>
      <c r="J19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CUST160</v>
      </c>
      <c r="K19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CUST160</v>
      </c>
      <c r="L191" t="s">
        <v>34</v>
      </c>
      <c r="M191" s="4" t="str">
        <f>CLEAN(TRIM(Working_Sales[[#This Row],[Gender]]))</f>
        <v>Male</v>
      </c>
      <c r="N191" s="4" t="str" cm="1">
        <f t="array" ref="N191">_xlfn.SWITCH(
   Working_Sales[[#This Row],[Gender_Whitespace_Removed]],
   "m", "Male",
   "f", "Female",
   Working_Sales[[#This Row],[Gender_Whitespace_Removed]]
)</f>
        <v>Male</v>
      </c>
      <c r="O191" s="6" t="str">
        <f>PROPER(Working_Sales[[#This Row],[Gender_Abbreviation_Expanded]])</f>
        <v>Male</v>
      </c>
      <c r="P191">
        <v>57</v>
      </c>
      <c r="Q191" s="2" t="str">
        <f>CLEAN(TRIM(Working_Sales[[#This Row],[Age]]))</f>
        <v>57</v>
      </c>
      <c r="R191" s="6">
        <f>INT(SUBSTITUTE(Working_Sales[[#This Row],[Age_Whitespace_Removed]],".",","))</f>
        <v>57</v>
      </c>
      <c r="S191" t="s">
        <v>56</v>
      </c>
      <c r="T191" s="2" t="str">
        <f>CLEAN(TRIM(Working_Sales[[#This Row],[Product Category]]))</f>
        <v>Clothing</v>
      </c>
      <c r="U191" s="6" t="str">
        <f>PROPER(Working_Sales[[#This Row],[Product_Category_Whitespace_Removed]])</f>
        <v>Clothing</v>
      </c>
      <c r="V191" t="s">
        <v>37</v>
      </c>
      <c r="W191" s="2" t="str">
        <f>CLEAN(TRIM(Working_Sales[[#This Row],[Quantity]]))</f>
        <v>2</v>
      </c>
      <c r="X191" s="2">
        <f>INT(Working_Sales[[#This Row],[`]])</f>
        <v>2</v>
      </c>
      <c r="Y191" s="6">
        <f>IFERROR(
   Working_Sales[[#This Row],[Quantity_Converted_To_Integer]],
   Working_Sales[[#This Row],[Total_Amount_Whitespace_Removed]]/Working_Sales[[#This Row],[Price_Per_Unit_Decimal_Separator_Fixed]])</f>
        <v>2</v>
      </c>
      <c r="Z191" t="s">
        <v>15</v>
      </c>
      <c r="AA191" s="2" t="str">
        <f>CLEAN(TRIM(Working_Sales[[#This Row],[Price per Unit]]))</f>
        <v>50</v>
      </c>
      <c r="AB191" s="2">
        <f>INT(
   SUBSTITUTE(Working_Sales[[#This Row],[Price_Per_Unit_Whitespace_Removed]],
   "$",
   ""
   )
)</f>
        <v>50</v>
      </c>
      <c r="AC191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191" s="8">
        <f>IFERROR(
   Working_Sales[[#This Row],[Price_Per_Unit_Decimal_Separator_Fixed]],
   Working_Sales[[#This Row],[Total_Amount_Converted_To_Integer]]/Working_Sales[[#This Row],[Quantity_Converted_To_Integer]]
)</f>
        <v>50</v>
      </c>
      <c r="AE191" t="s">
        <v>38</v>
      </c>
      <c r="AF191" s="2" t="str">
        <f>CLEAN(TRIM(Working_Sales[[#This Row],[Total Amount]]))</f>
        <v>100</v>
      </c>
      <c r="AG191" s="2">
        <f>INT(Working_Sales[[#This Row],[Total_Amount_Whitespace_Removed]])</f>
        <v>100</v>
      </c>
      <c r="AH19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192" spans="1:34" x14ac:dyDescent="0.35">
      <c r="A192" t="s">
        <v>502</v>
      </c>
      <c r="B192" s="6" t="str">
        <f>CLEAN(TRIM(Working_Sales[[#This Row],[Transaction ID]]))</f>
        <v>587</v>
      </c>
      <c r="C192" t="s">
        <v>2046</v>
      </c>
      <c r="D192" s="2" t="str">
        <f>CLEAN(TRIM(Working_Sales[[#This Row],[Date]]))</f>
        <v>08-Jun-2023</v>
      </c>
      <c r="E19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45085</v>
      </c>
      <c r="F19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45085</v>
      </c>
      <c r="G19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45085</v>
      </c>
      <c r="H192" t="s">
        <v>2481</v>
      </c>
      <c r="I192" s="2" t="str">
        <f>CLEAN(TRIM(Working_Sales[[#This Row],[Customer ID]]))</f>
        <v>CUST-161</v>
      </c>
      <c r="J19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9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CUST161</v>
      </c>
      <c r="L192" t="s">
        <v>26</v>
      </c>
      <c r="M192" s="4" t="str">
        <f>CLEAN(TRIM(Working_Sales[[#This Row],[Gender]]))</f>
        <v>Female</v>
      </c>
      <c r="N192" s="4" t="str" cm="1">
        <f t="array" ref="N192">_xlfn.SWITCH(
   Working_Sales[[#This Row],[Gender_Whitespace_Removed]],
   "m", "Male",
   "f", "Female",
   Working_Sales[[#This Row],[Gender_Whitespace_Removed]]
)</f>
        <v>Female</v>
      </c>
      <c r="O192" s="6" t="str">
        <f>PROPER(Working_Sales[[#This Row],[Gender_Abbreviation_Expanded]])</f>
        <v>Female</v>
      </c>
      <c r="P192">
        <v>40</v>
      </c>
      <c r="Q192" s="2" t="str">
        <f>CLEAN(TRIM(Working_Sales[[#This Row],[Age]]))</f>
        <v>40</v>
      </c>
      <c r="R192" s="6">
        <f>INT(SUBSTITUTE(Working_Sales[[#This Row],[Age_Whitespace_Removed]],".",","))</f>
        <v>40</v>
      </c>
      <c r="S192" t="s">
        <v>69</v>
      </c>
      <c r="T192" s="2" t="str">
        <f>CLEAN(TRIM(Working_Sales[[#This Row],[Product Category]]))</f>
        <v>BEAUTY</v>
      </c>
      <c r="U192" s="6" t="str">
        <f>PROPER(Working_Sales[[#This Row],[Product_Category_Whitespace_Removed]])</f>
        <v>Beauty</v>
      </c>
      <c r="V192" t="s">
        <v>14</v>
      </c>
      <c r="W192" s="2" t="str">
        <f>CLEAN(TRIM(Working_Sales[[#This Row],[Quantity]]))</f>
        <v>4</v>
      </c>
      <c r="X192" s="2">
        <f>INT(Working_Sales[[#This Row],[`]])</f>
        <v>4</v>
      </c>
      <c r="Y192" s="6">
        <f>IFERROR(
   Working_Sales[[#This Row],[Quantity_Converted_To_Integer]],
   Working_Sales[[#This Row],[Total_Amount_Whitespace_Removed]]/Working_Sales[[#This Row],[Price_Per_Unit_Decimal_Separator_Fixed]])</f>
        <v>4</v>
      </c>
      <c r="Z192" t="s">
        <v>288</v>
      </c>
      <c r="AA192" s="2" t="str">
        <f>CLEAN(TRIM(Working_Sales[[#This Row],[Price per Unit]]))</f>
        <v>300.00</v>
      </c>
      <c r="AB192" s="2" t="e">
        <f>INT(
   SUBSTITUTE(Working_Sales[[#This Row],[Price_Per_Unit_Whitespace_Removed]],
   "$",
   ""
   )
)</f>
        <v>#VALUE!</v>
      </c>
      <c r="AC192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192" s="8">
        <f>IFERROR(
   Working_Sales[[#This Row],[Price_Per_Unit_Decimal_Separator_Fixed]],
   Working_Sales[[#This Row],[Total_Amount_Converted_To_Integer]]/Working_Sales[[#This Row],[Quantity_Converted_To_Integer]]
)</f>
        <v>300</v>
      </c>
      <c r="AE192" t="s">
        <v>79</v>
      </c>
      <c r="AF192" s="2" t="str">
        <f>CLEAN(TRIM(Working_Sales[[#This Row],[Total Amount]]))</f>
        <v>1200</v>
      </c>
      <c r="AG192" s="2">
        <f>INT(Working_Sales[[#This Row],[Total_Amount_Whitespace_Removed]])</f>
        <v>1200</v>
      </c>
      <c r="AH19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193" spans="1:34" x14ac:dyDescent="0.35">
      <c r="A193" t="s">
        <v>503</v>
      </c>
      <c r="B193" s="6" t="str">
        <f>CLEAN(TRIM(Working_Sales[[#This Row],[Transaction ID]]))</f>
        <v>971</v>
      </c>
      <c r="C193" t="s">
        <v>504</v>
      </c>
      <c r="D193" s="2" t="str">
        <f>CLEAN(TRIM(Working_Sales[[#This Row],[Date]]))</f>
        <v>2023-12-05</v>
      </c>
      <c r="E19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45265</v>
      </c>
      <c r="F19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45265</v>
      </c>
      <c r="G19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45265</v>
      </c>
      <c r="H193" t="s">
        <v>2482</v>
      </c>
      <c r="I193" s="2" t="str">
        <f>CLEAN(TRIM(Working_Sales[[#This Row],[Customer ID]]))</f>
        <v>CUST162</v>
      </c>
      <c r="J19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9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CUST162</v>
      </c>
      <c r="L193" t="s">
        <v>140</v>
      </c>
      <c r="M193" s="4" t="str">
        <f>CLEAN(TRIM(Working_Sales[[#This Row],[Gender]]))</f>
        <v>FEMALE</v>
      </c>
      <c r="N193" s="4" t="str" cm="1">
        <f t="array" ref="N193">_xlfn.SWITCH(
   Working_Sales[[#This Row],[Gender_Whitespace_Removed]],
   "m", "Male",
   "f", "Female",
   Working_Sales[[#This Row],[Gender_Whitespace_Removed]]
)</f>
        <v>FEMALE</v>
      </c>
      <c r="O193" s="6" t="str">
        <f>PROPER(Working_Sales[[#This Row],[Gender_Abbreviation_Expanded]])</f>
        <v>Female</v>
      </c>
      <c r="P193">
        <v>27</v>
      </c>
      <c r="Q193" s="2" t="str">
        <f>CLEAN(TRIM(Working_Sales[[#This Row],[Age]]))</f>
        <v>27</v>
      </c>
      <c r="R193" s="6">
        <f>INT(SUBSTITUTE(Working_Sales[[#This Row],[Age_Whitespace_Removed]],".",","))</f>
        <v>27</v>
      </c>
      <c r="S193" t="s">
        <v>13</v>
      </c>
      <c r="T193" s="2" t="str">
        <f>CLEAN(TRIM(Working_Sales[[#This Row],[Product Category]]))</f>
        <v>Electronics</v>
      </c>
      <c r="U193" s="6" t="str">
        <f>PROPER(Working_Sales[[#This Row],[Product_Category_Whitespace_Removed]])</f>
        <v>Electronics</v>
      </c>
      <c r="V193" t="s">
        <v>14</v>
      </c>
      <c r="W193" s="2" t="str">
        <f>CLEAN(TRIM(Working_Sales[[#This Row],[Quantity]]))</f>
        <v>4</v>
      </c>
      <c r="X193" s="2">
        <f>INT(Working_Sales[[#This Row],[`]])</f>
        <v>4</v>
      </c>
      <c r="Y193" s="6">
        <f>IFERROR(
   Working_Sales[[#This Row],[Quantity_Converted_To_Integer]],
   Working_Sales[[#This Row],[Total_Amount_Whitespace_Removed]]/Working_Sales[[#This Row],[Price_Per_Unit_Decimal_Separator_Fixed]])</f>
        <v>4</v>
      </c>
      <c r="Z193" t="s">
        <v>153</v>
      </c>
      <c r="AA193" s="2" t="str">
        <f>CLEAN(TRIM(Working_Sales[[#This Row],[Price per Unit]]))</f>
        <v>50.00</v>
      </c>
      <c r="AB193" s="2" t="e">
        <f>INT(
   SUBSTITUTE(Working_Sales[[#This Row],[Price_Per_Unit_Whitespace_Removed]],
   "$",
   ""
   )
)</f>
        <v>#VALUE!</v>
      </c>
      <c r="AC193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193" s="8">
        <f>IFERROR(
   Working_Sales[[#This Row],[Price_Per_Unit_Decimal_Separator_Fixed]],
   Working_Sales[[#This Row],[Total_Amount_Converted_To_Integer]]/Working_Sales[[#This Row],[Quantity_Converted_To_Integer]]
)</f>
        <v>50</v>
      </c>
      <c r="AE193" t="s">
        <v>16</v>
      </c>
      <c r="AF193" s="2" t="str">
        <f>CLEAN(TRIM(Working_Sales[[#This Row],[Total Amount]]))</f>
        <v>200</v>
      </c>
      <c r="AG193" s="2">
        <f>INT(Working_Sales[[#This Row],[Total_Amount_Whitespace_Removed]])</f>
        <v>200</v>
      </c>
      <c r="AH19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194" spans="1:34" x14ac:dyDescent="0.35">
      <c r="A194" t="s">
        <v>505</v>
      </c>
      <c r="B194" s="6" t="str">
        <f>CLEAN(TRIM(Working_Sales[[#This Row],[Transaction ID]]))</f>
        <v>135</v>
      </c>
      <c r="C194" t="s">
        <v>506</v>
      </c>
      <c r="D194" s="2" t="str">
        <f>CLEAN(TRIM(Working_Sales[[#This Row],[Date]]))</f>
        <v>2023-02-26</v>
      </c>
      <c r="E19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44983</v>
      </c>
      <c r="F19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44983</v>
      </c>
      <c r="G19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44983</v>
      </c>
      <c r="H194" t="s">
        <v>2483</v>
      </c>
      <c r="I194" s="2" t="str">
        <f>CLEAN(TRIM(Working_Sales[[#This Row],[Customer ID]]))</f>
        <v>CUST163</v>
      </c>
      <c r="J19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CUST163</v>
      </c>
      <c r="K19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CUST163</v>
      </c>
      <c r="L194" t="s">
        <v>268</v>
      </c>
      <c r="M194" s="4" t="str">
        <f>CLEAN(TRIM(Working_Sales[[#This Row],[Gender]]))</f>
        <v>M</v>
      </c>
      <c r="N194" s="4" t="str" cm="1">
        <f t="array" ref="N194">_xlfn.SWITCH(
   Working_Sales[[#This Row],[Gender_Whitespace_Removed]],
   "m", "Male",
   "f", "Female",
   Working_Sales[[#This Row],[Gender_Whitespace_Removed]]
)</f>
        <v>Male</v>
      </c>
      <c r="O194" s="6" t="str">
        <f>PROPER(Working_Sales[[#This Row],[Gender_Abbreviation_Expanded]])</f>
        <v>Male</v>
      </c>
      <c r="P194" t="s">
        <v>507</v>
      </c>
      <c r="Q194" s="2" t="str">
        <f>CLEAN(TRIM(Working_Sales[[#This Row],[Age]]))</f>
        <v>20.0</v>
      </c>
      <c r="R194" s="6">
        <f>INT(SUBSTITUTE(Working_Sales[[#This Row],[Age_Whitespace_Removed]],".",","))</f>
        <v>20</v>
      </c>
      <c r="S194" t="s">
        <v>56</v>
      </c>
      <c r="T194" s="2" t="str">
        <f>CLEAN(TRIM(Working_Sales[[#This Row],[Product Category]]))</f>
        <v>Clothing</v>
      </c>
      <c r="U194" s="6" t="str">
        <f>PROPER(Working_Sales[[#This Row],[Product_Category_Whitespace_Removed]])</f>
        <v>Clothing</v>
      </c>
      <c r="V194" t="s">
        <v>37</v>
      </c>
      <c r="W194" s="2" t="str">
        <f>CLEAN(TRIM(Working_Sales[[#This Row],[Quantity]]))</f>
        <v>2</v>
      </c>
      <c r="X194" s="2">
        <f>INT(Working_Sales[[#This Row],[`]])</f>
        <v>2</v>
      </c>
      <c r="Y194" s="6">
        <f>IFERROR(
   Working_Sales[[#This Row],[Quantity_Converted_To_Integer]],
   Working_Sales[[#This Row],[Total_Amount_Whitespace_Removed]]/Working_Sales[[#This Row],[Price_Per_Unit_Decimal_Separator_Fixed]])</f>
        <v>2</v>
      </c>
      <c r="Z194" t="s">
        <v>30</v>
      </c>
      <c r="AA194" s="2" t="str">
        <f>CLEAN(TRIM(Working_Sales[[#This Row],[Price per Unit]]))</f>
        <v>25</v>
      </c>
      <c r="AB194" s="2">
        <f>INT(
   SUBSTITUTE(Working_Sales[[#This Row],[Price_Per_Unit_Whitespace_Removed]],
   "$",
   ""
   )
)</f>
        <v>25</v>
      </c>
      <c r="AC194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194" s="8">
        <f>IFERROR(
   Working_Sales[[#This Row],[Price_Per_Unit_Decimal_Separator_Fixed]],
   Working_Sales[[#This Row],[Total_Amount_Converted_To_Integer]]/Working_Sales[[#This Row],[Quantity_Converted_To_Integer]]
)</f>
        <v>25</v>
      </c>
      <c r="AE194" t="s">
        <v>15</v>
      </c>
      <c r="AF194" s="2" t="str">
        <f>CLEAN(TRIM(Working_Sales[[#This Row],[Total Amount]]))</f>
        <v>50</v>
      </c>
      <c r="AG194" s="2">
        <f>INT(Working_Sales[[#This Row],[Total_Amount_Whitespace_Removed]])</f>
        <v>50</v>
      </c>
      <c r="AH19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195" spans="1:34" x14ac:dyDescent="0.35">
      <c r="A195" t="s">
        <v>508</v>
      </c>
      <c r="B195" s="6" t="str">
        <f>CLEAN(TRIM(Working_Sales[[#This Row],[Transaction ID]]))</f>
        <v>667</v>
      </c>
      <c r="C195" t="s">
        <v>2047</v>
      </c>
      <c r="D195" s="2" t="str">
        <f>CLEAN(TRIM(Working_Sales[[#This Row],[Date]]))</f>
        <v>August 01, 2023</v>
      </c>
      <c r="E195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195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19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45139</v>
      </c>
      <c r="H195" t="s">
        <v>2207</v>
      </c>
      <c r="I195" s="2" t="str">
        <f>CLEAN(TRIM(Working_Sales[[#This Row],[Customer ID]]))</f>
        <v>CUST075</v>
      </c>
      <c r="J19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CUST075</v>
      </c>
      <c r="K19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CUST075</v>
      </c>
      <c r="L195" t="s">
        <v>26</v>
      </c>
      <c r="M195" s="4" t="str">
        <f>CLEAN(TRIM(Working_Sales[[#This Row],[Gender]]))</f>
        <v>Female</v>
      </c>
      <c r="N195" s="4" t="str" cm="1">
        <f t="array" ref="N195">_xlfn.SWITCH(
   Working_Sales[[#This Row],[Gender_Whitespace_Removed]],
   "m", "Male",
   "f", "Female",
   Working_Sales[[#This Row],[Gender_Whitespace_Removed]]
)</f>
        <v>Female</v>
      </c>
      <c r="O195" s="6" t="str">
        <f>PROPER(Working_Sales[[#This Row],[Gender_Abbreviation_Expanded]])</f>
        <v>Female</v>
      </c>
      <c r="P195">
        <v>29</v>
      </c>
      <c r="Q195" s="2" t="str">
        <f>CLEAN(TRIM(Working_Sales[[#This Row],[Age]]))</f>
        <v>29</v>
      </c>
      <c r="R195" s="6">
        <f>INT(SUBSTITUTE(Working_Sales[[#This Row],[Age_Whitespace_Removed]],".",","))</f>
        <v>29</v>
      </c>
      <c r="S195" t="s">
        <v>13</v>
      </c>
      <c r="T195" s="2" t="str">
        <f>CLEAN(TRIM(Working_Sales[[#This Row],[Product Category]]))</f>
        <v>Electronics</v>
      </c>
      <c r="U195" s="6" t="str">
        <f>PROPER(Working_Sales[[#This Row],[Product_Category_Whitespace_Removed]])</f>
        <v>Electronics</v>
      </c>
      <c r="V195" t="s">
        <v>22</v>
      </c>
      <c r="W195" s="2" t="str">
        <f>CLEAN(TRIM(Working_Sales[[#This Row],[Quantity]]))</f>
        <v>1</v>
      </c>
      <c r="X195" s="2">
        <f>INT(Working_Sales[[#This Row],[`]])</f>
        <v>1</v>
      </c>
      <c r="Y195" s="6">
        <f>IFERROR(
   Working_Sales[[#This Row],[Quantity_Converted_To_Integer]],
   Working_Sales[[#This Row],[Total_Amount_Whitespace_Removed]]/Working_Sales[[#This Row],[Price_Per_Unit_Decimal_Separator_Fixed]])</f>
        <v>1</v>
      </c>
      <c r="Z195" t="s">
        <v>57</v>
      </c>
      <c r="AA195" s="2" t="str">
        <f>CLEAN(TRIM(Working_Sales[[#This Row],[Price per Unit]]))</f>
        <v>500</v>
      </c>
      <c r="AB195" s="2">
        <f>INT(
   SUBSTITUTE(Working_Sales[[#This Row],[Price_Per_Unit_Whitespace_Removed]],
   "$",
   ""
   )
)</f>
        <v>500</v>
      </c>
      <c r="AC195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195" s="8">
        <f>IFERROR(
   Working_Sales[[#This Row],[Price_Per_Unit_Decimal_Separator_Fixed]],
   Working_Sales[[#This Row],[Total_Amount_Converted_To_Integer]]/Working_Sales[[#This Row],[Quantity_Converted_To_Integer]]
)</f>
        <v>500</v>
      </c>
      <c r="AE195" t="s">
        <v>57</v>
      </c>
      <c r="AF195" s="2" t="str">
        <f>CLEAN(TRIM(Working_Sales[[#This Row],[Total Amount]]))</f>
        <v>500</v>
      </c>
      <c r="AG195" s="2">
        <f>INT(Working_Sales[[#This Row],[Total_Amount_Whitespace_Removed]])</f>
        <v>500</v>
      </c>
      <c r="AH19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196" spans="1:34" x14ac:dyDescent="0.35">
      <c r="A196" t="s">
        <v>509</v>
      </c>
      <c r="B196" s="6" t="str">
        <f>CLEAN(TRIM(Working_Sales[[#This Row],[Transaction ID]]))</f>
        <v>16</v>
      </c>
      <c r="C196" t="s">
        <v>510</v>
      </c>
      <c r="D196" s="2" t="str">
        <f>CLEAN(TRIM(Working_Sales[[#This Row],[Date]]))</f>
        <v>17/02/2023</v>
      </c>
      <c r="E19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44974</v>
      </c>
      <c r="F19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44974</v>
      </c>
      <c r="G19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44974</v>
      </c>
      <c r="H196" t="s">
        <v>2484</v>
      </c>
      <c r="I196" s="2" t="str">
        <f>CLEAN(TRIM(Working_Sales[[#This Row],[Customer ID]]))</f>
        <v>CUST164</v>
      </c>
      <c r="J19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CUST164</v>
      </c>
      <c r="K19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CUST164</v>
      </c>
      <c r="L196" t="s">
        <v>268</v>
      </c>
      <c r="M196" s="4" t="str">
        <f>CLEAN(TRIM(Working_Sales[[#This Row],[Gender]]))</f>
        <v>M</v>
      </c>
      <c r="N196" s="4" t="str" cm="1">
        <f t="array" ref="N196">_xlfn.SWITCH(
   Working_Sales[[#This Row],[Gender_Whitespace_Removed]],
   "m", "Male",
   "f", "Female",
   Working_Sales[[#This Row],[Gender_Whitespace_Removed]]
)</f>
        <v>Male</v>
      </c>
      <c r="O196" s="6" t="str">
        <f>PROPER(Working_Sales[[#This Row],[Gender_Abbreviation_Expanded]])</f>
        <v>Male</v>
      </c>
      <c r="P196">
        <v>19</v>
      </c>
      <c r="Q196" s="2" t="str">
        <f>CLEAN(TRIM(Working_Sales[[#This Row],[Age]]))</f>
        <v>19</v>
      </c>
      <c r="R196" s="6">
        <f>INT(SUBSTITUTE(Working_Sales[[#This Row],[Age_Whitespace_Removed]],".",","))</f>
        <v>19</v>
      </c>
      <c r="S196" t="s">
        <v>400</v>
      </c>
      <c r="T196" s="2" t="str">
        <f>CLEAN(TRIM(Working_Sales[[#This Row],[Product Category]]))</f>
        <v>Clothing</v>
      </c>
      <c r="U196" s="6" t="str">
        <f>PROPER(Working_Sales[[#This Row],[Product_Category_Whitespace_Removed]])</f>
        <v>Clothing</v>
      </c>
      <c r="V196" t="s">
        <v>29</v>
      </c>
      <c r="W196" s="2" t="str">
        <f>CLEAN(TRIM(Working_Sales[[#This Row],[Quantity]]))</f>
        <v>3</v>
      </c>
      <c r="X196" s="2">
        <f>INT(Working_Sales[[#This Row],[`]])</f>
        <v>3</v>
      </c>
      <c r="Y196" s="6">
        <f>IFERROR(
   Working_Sales[[#This Row],[Quantity_Converted_To_Integer]],
   Working_Sales[[#This Row],[Total_Amount_Whitespace_Removed]]/Working_Sales[[#This Row],[Price_Per_Unit_Decimal_Separator_Fixed]])</f>
        <v>3</v>
      </c>
      <c r="Z196" t="s">
        <v>57</v>
      </c>
      <c r="AA196" s="2" t="str">
        <f>CLEAN(TRIM(Working_Sales[[#This Row],[Price per Unit]]))</f>
        <v>500</v>
      </c>
      <c r="AB196" s="2">
        <f>INT(
   SUBSTITUTE(Working_Sales[[#This Row],[Price_Per_Unit_Whitespace_Removed]],
   "$",
   ""
   )
)</f>
        <v>500</v>
      </c>
      <c r="AC196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196" s="8">
        <f>IFERROR(
   Working_Sales[[#This Row],[Price_Per_Unit_Decimal_Separator_Fixed]],
   Working_Sales[[#This Row],[Total_Amount_Converted_To_Integer]]/Working_Sales[[#This Row],[Quantity_Converted_To_Integer]]
)</f>
        <v>500</v>
      </c>
      <c r="AE196" t="s">
        <v>85</v>
      </c>
      <c r="AF196" s="2" t="str">
        <f>CLEAN(TRIM(Working_Sales[[#This Row],[Total Amount]]))</f>
        <v>1500</v>
      </c>
      <c r="AG196" s="2">
        <f>INT(Working_Sales[[#This Row],[Total_Amount_Whitespace_Removed]])</f>
        <v>1500</v>
      </c>
      <c r="AH19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197" spans="1:34" x14ac:dyDescent="0.35">
      <c r="A197" t="s">
        <v>512</v>
      </c>
      <c r="B197" s="6" t="str">
        <f>CLEAN(TRIM(Working_Sales[[#This Row],[Transaction ID]]))</f>
        <v>644</v>
      </c>
      <c r="C197" t="s">
        <v>513</v>
      </c>
      <c r="D197" s="2" t="str">
        <f>CLEAN(TRIM(Working_Sales[[#This Row],[Date]]))</f>
        <v>2023-09-06</v>
      </c>
      <c r="E19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45175</v>
      </c>
      <c r="F19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45175</v>
      </c>
      <c r="G19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45175</v>
      </c>
      <c r="H197" t="s">
        <v>2485</v>
      </c>
      <c r="I197" s="2" t="str">
        <f>CLEAN(TRIM(Working_Sales[[#This Row],[Customer ID]]))</f>
        <v>CUST165</v>
      </c>
      <c r="J19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CUST165</v>
      </c>
      <c r="K19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CUST165</v>
      </c>
      <c r="L197" t="s">
        <v>34</v>
      </c>
      <c r="M197" s="4" t="str">
        <f>CLEAN(TRIM(Working_Sales[[#This Row],[Gender]]))</f>
        <v>Male</v>
      </c>
      <c r="N197" s="4" t="str" cm="1">
        <f t="array" ref="N197">_xlfn.SWITCH(
   Working_Sales[[#This Row],[Gender_Whitespace_Removed]],
   "m", "Male",
   "f", "Female",
   Working_Sales[[#This Row],[Gender_Whitespace_Removed]]
)</f>
        <v>Male</v>
      </c>
      <c r="O197" s="6" t="str">
        <f>PROPER(Working_Sales[[#This Row],[Gender_Abbreviation_Expanded]])</f>
        <v>Male</v>
      </c>
      <c r="P197">
        <v>23</v>
      </c>
      <c r="Q197" s="2" t="str">
        <f>CLEAN(TRIM(Working_Sales[[#This Row],[Age]]))</f>
        <v>23</v>
      </c>
      <c r="R197" s="6">
        <f>INT(SUBSTITUTE(Working_Sales[[#This Row],[Age_Whitespace_Removed]],".",","))</f>
        <v>23</v>
      </c>
      <c r="S197" t="s">
        <v>36</v>
      </c>
      <c r="T197" s="2" t="str">
        <f>CLEAN(TRIM(Working_Sales[[#This Row],[Product Category]]))</f>
        <v>Beauty</v>
      </c>
      <c r="U197" s="6" t="str">
        <f>PROPER(Working_Sales[[#This Row],[Product_Category_Whitespace_Removed]])</f>
        <v>Beauty</v>
      </c>
      <c r="V197" t="s">
        <v>29</v>
      </c>
      <c r="W197" s="2" t="str">
        <f>CLEAN(TRIM(Working_Sales[[#This Row],[Quantity]]))</f>
        <v>3</v>
      </c>
      <c r="X197" s="2">
        <f>INT(Working_Sales[[#This Row],[`]])</f>
        <v>3</v>
      </c>
      <c r="Y197" s="6">
        <f>IFERROR(
   Working_Sales[[#This Row],[Quantity_Converted_To_Integer]],
   Working_Sales[[#This Row],[Total_Amount_Whitespace_Removed]]/Working_Sales[[#This Row],[Price_Per_Unit_Decimal_Separator_Fixed]])</f>
        <v>3</v>
      </c>
      <c r="Z197" t="s">
        <v>30</v>
      </c>
      <c r="AA197" s="2" t="str">
        <f>CLEAN(TRIM(Working_Sales[[#This Row],[Price per Unit]]))</f>
        <v>25</v>
      </c>
      <c r="AB197" s="2">
        <f>INT(
   SUBSTITUTE(Working_Sales[[#This Row],[Price_Per_Unit_Whitespace_Removed]],
   "$",
   ""
   )
)</f>
        <v>25</v>
      </c>
      <c r="AC197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197" s="8">
        <f>IFERROR(
   Working_Sales[[#This Row],[Price_Per_Unit_Decimal_Separator_Fixed]],
   Working_Sales[[#This Row],[Total_Amount_Converted_To_Integer]]/Working_Sales[[#This Row],[Quantity_Converted_To_Integer]]
)</f>
        <v>25</v>
      </c>
      <c r="AE197" t="s">
        <v>31</v>
      </c>
      <c r="AF197" s="2" t="str">
        <f>CLEAN(TRIM(Working_Sales[[#This Row],[Total Amount]]))</f>
        <v>75</v>
      </c>
      <c r="AG197" s="2">
        <f>INT(Working_Sales[[#This Row],[Total_Amount_Whitespace_Removed]])</f>
        <v>75</v>
      </c>
      <c r="AH19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198" spans="1:34" x14ac:dyDescent="0.35">
      <c r="A198" t="s">
        <v>514</v>
      </c>
      <c r="B198" s="6" t="str">
        <f>CLEAN(TRIM(Working_Sales[[#This Row],[Transaction ID]]))</f>
        <v>160</v>
      </c>
      <c r="C198" t="s">
        <v>515</v>
      </c>
      <c r="D198" s="2" t="str">
        <f>CLEAN(TRIM(Working_Sales[[#This Row],[Date]]))</f>
        <v>2023-08-11</v>
      </c>
      <c r="E19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45149</v>
      </c>
      <c r="F19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45149</v>
      </c>
      <c r="G19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45149</v>
      </c>
      <c r="H198" t="s">
        <v>2453</v>
      </c>
      <c r="I198" s="2" t="str">
        <f>CLEAN(TRIM(Working_Sales[[#This Row],[Customer ID]]))</f>
        <v>cust137</v>
      </c>
      <c r="J19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19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CUST137</v>
      </c>
      <c r="L198" t="s">
        <v>26</v>
      </c>
      <c r="M198" s="4" t="str">
        <f>CLEAN(TRIM(Working_Sales[[#This Row],[Gender]]))</f>
        <v>Female</v>
      </c>
      <c r="N198" s="4" t="str" cm="1">
        <f t="array" ref="N198">_xlfn.SWITCH(
   Working_Sales[[#This Row],[Gender_Whitespace_Removed]],
   "m", "Male",
   "f", "Female",
   Working_Sales[[#This Row],[Gender_Whitespace_Removed]]
)</f>
        <v>Female</v>
      </c>
      <c r="O198" s="6" t="str">
        <f>PROPER(Working_Sales[[#This Row],[Gender_Abbreviation_Expanded]])</f>
        <v>Female</v>
      </c>
      <c r="P198">
        <v>43</v>
      </c>
      <c r="Q198" s="2" t="str">
        <f>CLEAN(TRIM(Working_Sales[[#This Row],[Age]]))</f>
        <v>43</v>
      </c>
      <c r="R198" s="6">
        <f>INT(SUBSTITUTE(Working_Sales[[#This Row],[Age_Whitespace_Removed]],".",","))</f>
        <v>43</v>
      </c>
      <c r="S198" t="s">
        <v>400</v>
      </c>
      <c r="T198" s="2" t="str">
        <f>CLEAN(TRIM(Working_Sales[[#This Row],[Product Category]]))</f>
        <v>Clothing</v>
      </c>
      <c r="U198" s="6" t="str">
        <f>PROPER(Working_Sales[[#This Row],[Product_Category_Whitespace_Removed]])</f>
        <v>Clothing</v>
      </c>
      <c r="V198" t="s">
        <v>37</v>
      </c>
      <c r="W198" s="2" t="str">
        <f>CLEAN(TRIM(Working_Sales[[#This Row],[Quantity]]))</f>
        <v>2</v>
      </c>
      <c r="X198" s="2">
        <f>INT(Working_Sales[[#This Row],[`]])</f>
        <v>2</v>
      </c>
      <c r="Y198" s="6">
        <f>IFERROR(
   Working_Sales[[#This Row],[Quantity_Converted_To_Integer]],
   Working_Sales[[#This Row],[Total_Amount_Whitespace_Removed]]/Working_Sales[[#This Row],[Price_Per_Unit_Decimal_Separator_Fixed]])</f>
        <v>2</v>
      </c>
      <c r="Z198" t="s">
        <v>15</v>
      </c>
      <c r="AA198" s="2" t="str">
        <f>CLEAN(TRIM(Working_Sales[[#This Row],[Price per Unit]]))</f>
        <v>50</v>
      </c>
      <c r="AB198" s="2">
        <f>INT(
   SUBSTITUTE(Working_Sales[[#This Row],[Price_Per_Unit_Whitespace_Removed]],
   "$",
   ""
   )
)</f>
        <v>50</v>
      </c>
      <c r="AC198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198" s="8">
        <f>IFERROR(
   Working_Sales[[#This Row],[Price_Per_Unit_Decimal_Separator_Fixed]],
   Working_Sales[[#This Row],[Total_Amount_Converted_To_Integer]]/Working_Sales[[#This Row],[Quantity_Converted_To_Integer]]
)</f>
        <v>50</v>
      </c>
      <c r="AE198" t="s">
        <v>38</v>
      </c>
      <c r="AF198" s="2" t="str">
        <f>CLEAN(TRIM(Working_Sales[[#This Row],[Total Amount]]))</f>
        <v>100</v>
      </c>
      <c r="AG198" s="2">
        <f>INT(Working_Sales[[#This Row],[Total_Amount_Whitespace_Removed]])</f>
        <v>100</v>
      </c>
      <c r="AH19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199" spans="1:34" x14ac:dyDescent="0.35">
      <c r="A199" t="s">
        <v>517</v>
      </c>
      <c r="B199" s="6" t="str">
        <f>CLEAN(TRIM(Working_Sales[[#This Row],[Transaction ID]]))</f>
        <v>819</v>
      </c>
      <c r="C199" t="s">
        <v>518</v>
      </c>
      <c r="D199" s="2" t="str">
        <f>CLEAN(TRIM(Working_Sales[[#This Row],[Date]]))</f>
        <v>06/15/2023</v>
      </c>
      <c r="E199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19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45092</v>
      </c>
      <c r="G19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45092</v>
      </c>
      <c r="H199" t="s">
        <v>2486</v>
      </c>
      <c r="I199" s="2" t="str">
        <f>CLEAN(TRIM(Working_Sales[[#This Row],[Customer ID]]))</f>
        <v>CUST166</v>
      </c>
      <c r="J19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CUST166</v>
      </c>
      <c r="K19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CUST166</v>
      </c>
      <c r="L199" t="s">
        <v>140</v>
      </c>
      <c r="M199" s="4" t="str">
        <f>CLEAN(TRIM(Working_Sales[[#This Row],[Gender]]))</f>
        <v>FEMALE</v>
      </c>
      <c r="N199" s="4" t="str" cm="1">
        <f t="array" ref="N199">_xlfn.SWITCH(
   Working_Sales[[#This Row],[Gender_Whitespace_Removed]],
   "m", "Male",
   "f", "Female",
   Working_Sales[[#This Row],[Gender_Whitespace_Removed]]
)</f>
        <v>FEMALE</v>
      </c>
      <c r="O199" s="6" t="str">
        <f>PROPER(Working_Sales[[#This Row],[Gender_Abbreviation_Expanded]])</f>
        <v>Female</v>
      </c>
      <c r="P199" t="s">
        <v>519</v>
      </c>
      <c r="Q199" s="2" t="str">
        <f>CLEAN(TRIM(Working_Sales[[#This Row],[Age]]))</f>
        <v>35.0</v>
      </c>
      <c r="R199" s="6">
        <f>INT(SUBSTITUTE(Working_Sales[[#This Row],[Age_Whitespace_Removed]],".",","))</f>
        <v>35</v>
      </c>
      <c r="S199" t="s">
        <v>36</v>
      </c>
      <c r="T199" s="2" t="str">
        <f>CLEAN(TRIM(Working_Sales[[#This Row],[Product Category]]))</f>
        <v>Beauty</v>
      </c>
      <c r="U199" s="6" t="str">
        <f>PROPER(Working_Sales[[#This Row],[Product_Category_Whitespace_Removed]])</f>
        <v>Beauty</v>
      </c>
      <c r="V199" t="s">
        <v>37</v>
      </c>
      <c r="W199" s="2" t="str">
        <f>CLEAN(TRIM(Working_Sales[[#This Row],[Quantity]]))</f>
        <v>2</v>
      </c>
      <c r="X199" s="2">
        <f>INT(Working_Sales[[#This Row],[`]])</f>
        <v>2</v>
      </c>
      <c r="Y199" s="6">
        <f>IFERROR(
   Working_Sales[[#This Row],[Quantity_Converted_To_Integer]],
   Working_Sales[[#This Row],[Total_Amount_Whitespace_Removed]]/Working_Sales[[#This Row],[Price_Per_Unit_Decimal_Separator_Fixed]])</f>
        <v>2</v>
      </c>
      <c r="Z199" t="s">
        <v>15</v>
      </c>
      <c r="AA199" s="2" t="str">
        <f>CLEAN(TRIM(Working_Sales[[#This Row],[Price per Unit]]))</f>
        <v>50</v>
      </c>
      <c r="AB199" s="2">
        <f>INT(
   SUBSTITUTE(Working_Sales[[#This Row],[Price_Per_Unit_Whitespace_Removed]],
   "$",
   ""
   )
)</f>
        <v>50</v>
      </c>
      <c r="AC199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199" s="8">
        <f>IFERROR(
   Working_Sales[[#This Row],[Price_Per_Unit_Decimal_Separator_Fixed]],
   Working_Sales[[#This Row],[Total_Amount_Converted_To_Integer]]/Working_Sales[[#This Row],[Quantity_Converted_To_Integer]]
)</f>
        <v>50</v>
      </c>
      <c r="AE199" t="s">
        <v>38</v>
      </c>
      <c r="AF199" s="2" t="str">
        <f>CLEAN(TRIM(Working_Sales[[#This Row],[Total Amount]]))</f>
        <v>100</v>
      </c>
      <c r="AG199" s="2">
        <f>INT(Working_Sales[[#This Row],[Total_Amount_Whitespace_Removed]])</f>
        <v>100</v>
      </c>
      <c r="AH19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200" spans="1:34" x14ac:dyDescent="0.35">
      <c r="A200" t="s">
        <v>520</v>
      </c>
      <c r="B200" s="6" t="str">
        <f>CLEAN(TRIM(Working_Sales[[#This Row],[Transaction ID]]))</f>
        <v>956</v>
      </c>
      <c r="C200" t="s">
        <v>1203</v>
      </c>
      <c r="D200" s="2" t="str">
        <f>CLEAN(TRIM(Working_Sales[[#This Row],[Date]]))</f>
        <v>08/19/2023</v>
      </c>
      <c r="E200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20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45157</v>
      </c>
      <c r="G20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45157</v>
      </c>
      <c r="H200" t="s">
        <v>2487</v>
      </c>
      <c r="I200" s="2" t="str">
        <f>CLEAN(TRIM(Working_Sales[[#This Row],[Customer ID]]))</f>
        <v>CUST167</v>
      </c>
      <c r="J20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CUST167</v>
      </c>
      <c r="K20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CUST167</v>
      </c>
      <c r="L200" t="s">
        <v>20</v>
      </c>
      <c r="M200" s="4" t="str">
        <f>CLEAN(TRIM(Working_Sales[[#This Row],[Gender]]))</f>
        <v>male</v>
      </c>
      <c r="N200" s="4" t="str" cm="1">
        <f t="array" ref="N200">_xlfn.SWITCH(
   Working_Sales[[#This Row],[Gender_Whitespace_Removed]],
   "m", "Male",
   "f", "Female",
   Working_Sales[[#This Row],[Gender_Whitespace_Removed]]
)</f>
        <v>male</v>
      </c>
      <c r="O200" s="6" t="str">
        <f>PROPER(Working_Sales[[#This Row],[Gender_Abbreviation_Expanded]])</f>
        <v>Male</v>
      </c>
      <c r="P200">
        <v>30</v>
      </c>
      <c r="Q200" s="2" t="str">
        <f>CLEAN(TRIM(Working_Sales[[#This Row],[Age]]))</f>
        <v>30</v>
      </c>
      <c r="R200" s="6">
        <f>INT(SUBSTITUTE(Working_Sales[[#This Row],[Age_Whitespace_Removed]],".",","))</f>
        <v>30</v>
      </c>
      <c r="S200" t="s">
        <v>56</v>
      </c>
      <c r="T200" s="2" t="str">
        <f>CLEAN(TRIM(Working_Sales[[#This Row],[Product Category]]))</f>
        <v>Clothing</v>
      </c>
      <c r="U200" s="6" t="str">
        <f>PROPER(Working_Sales[[#This Row],[Product_Category_Whitespace_Removed]])</f>
        <v>Clothing</v>
      </c>
      <c r="V200" t="s">
        <v>29</v>
      </c>
      <c r="W200" s="2" t="str">
        <f>CLEAN(TRIM(Working_Sales[[#This Row],[Quantity]]))</f>
        <v>3</v>
      </c>
      <c r="X200" s="2">
        <f>INT(Working_Sales[[#This Row],[`]])</f>
        <v>3</v>
      </c>
      <c r="Y200" s="6">
        <f>IFERROR(
   Working_Sales[[#This Row],[Quantity_Converted_To_Integer]],
   Working_Sales[[#This Row],[Total_Amount_Whitespace_Removed]]/Working_Sales[[#This Row],[Price_Per_Unit_Decimal_Separator_Fixed]])</f>
        <v>3</v>
      </c>
      <c r="AA200" s="2" t="str">
        <f>CLEAN(TRIM(Working_Sales[[#This Row],[Price per Unit]]))</f>
        <v/>
      </c>
      <c r="AB200" s="2" t="e">
        <f>INT(
   SUBSTITUTE(Working_Sales[[#This Row],[Price_Per_Unit_Whitespace_Removed]],
   "$",
   ""
   )
)</f>
        <v>#VALUE!</v>
      </c>
      <c r="AC200" s="2" t="e">
        <f>INT(
   IFERROR(
      Working_Sales[[#This Row],[Price_Per_Unit_Dollar_Sign_Removed]],
      SUBSTITUTE(
         Working_Sales[[#This Row],[Price_Per_Unit_Whitespace_Removed]],
        ".",
         ","
      )
   )
)</f>
        <v>#VALUE!</v>
      </c>
      <c r="AD200" s="8">
        <f>IFERROR(
   Working_Sales[[#This Row],[Price_Per_Unit_Decimal_Separator_Fixed]],
   Working_Sales[[#This Row],[Total_Amount_Converted_To_Integer]]/Working_Sales[[#This Row],[Quantity_Converted_To_Integer]]
)</f>
        <v>500</v>
      </c>
      <c r="AE200" t="s">
        <v>85</v>
      </c>
      <c r="AF200" s="2" t="str">
        <f>CLEAN(TRIM(Working_Sales[[#This Row],[Total Amount]]))</f>
        <v>1500</v>
      </c>
      <c r="AG200" s="2">
        <f>INT(Working_Sales[[#This Row],[Total_Amount_Whitespace_Removed]])</f>
        <v>1500</v>
      </c>
      <c r="AH20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201" spans="1:34" x14ac:dyDescent="0.35">
      <c r="A201" t="s">
        <v>521</v>
      </c>
      <c r="B201" s="6" t="str">
        <f>CLEAN(TRIM(Working_Sales[[#This Row],[Transaction ID]]))</f>
        <v>925</v>
      </c>
      <c r="C201" t="s">
        <v>2048</v>
      </c>
      <c r="D201" s="2" t="str">
        <f>CLEAN(TRIM(Working_Sales[[#This Row],[Date]]))</f>
        <v>03-Sep-2023</v>
      </c>
      <c r="E20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45172</v>
      </c>
      <c r="F20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45172</v>
      </c>
      <c r="G20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45172</v>
      </c>
      <c r="H201" t="s">
        <v>2488</v>
      </c>
      <c r="I201" s="2" t="str">
        <f>CLEAN(TRIM(Working_Sales[[#This Row],[Customer ID]]))</f>
        <v>CUST-153</v>
      </c>
      <c r="J20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0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CUST153</v>
      </c>
      <c r="L201" t="s">
        <v>34</v>
      </c>
      <c r="M201" s="4" t="str">
        <f>CLEAN(TRIM(Working_Sales[[#This Row],[Gender]]))</f>
        <v>Male</v>
      </c>
      <c r="N201" s="4" t="str" cm="1">
        <f t="array" ref="N201">_xlfn.SWITCH(
   Working_Sales[[#This Row],[Gender_Whitespace_Removed]],
   "m", "Male",
   "f", "Female",
   Working_Sales[[#This Row],[Gender_Whitespace_Removed]]
)</f>
        <v>Male</v>
      </c>
      <c r="O201" s="6" t="str">
        <f>PROPER(Working_Sales[[#This Row],[Gender_Abbreviation_Expanded]])</f>
        <v>Male</v>
      </c>
      <c r="P201">
        <v>25</v>
      </c>
      <c r="Q201" s="2" t="str">
        <f>CLEAN(TRIM(Working_Sales[[#This Row],[Age]]))</f>
        <v>25</v>
      </c>
      <c r="R201" s="6">
        <f>INT(SUBSTITUTE(Working_Sales[[#This Row],[Age_Whitespace_Removed]],".",","))</f>
        <v>25</v>
      </c>
      <c r="S201" t="s">
        <v>13</v>
      </c>
      <c r="T201" s="2" t="str">
        <f>CLEAN(TRIM(Working_Sales[[#This Row],[Product Category]]))</f>
        <v>Electronics</v>
      </c>
      <c r="U201" s="6" t="str">
        <f>PROPER(Working_Sales[[#This Row],[Product_Category_Whitespace_Removed]])</f>
        <v>Electronics</v>
      </c>
      <c r="V201" t="s">
        <v>22</v>
      </c>
      <c r="W201" s="2" t="str">
        <f>CLEAN(TRIM(Working_Sales[[#This Row],[Quantity]]))</f>
        <v>1</v>
      </c>
      <c r="X201" s="2">
        <f>INT(Working_Sales[[#This Row],[`]])</f>
        <v>1</v>
      </c>
      <c r="Y201" s="6">
        <f>IFERROR(
   Working_Sales[[#This Row],[Quantity_Converted_To_Integer]],
   Working_Sales[[#This Row],[Total_Amount_Whitespace_Removed]]/Working_Sales[[#This Row],[Price_Per_Unit_Decimal_Separator_Fixed]])</f>
        <v>1</v>
      </c>
      <c r="Z201" t="s">
        <v>23</v>
      </c>
      <c r="AA201" s="2" t="str">
        <f>CLEAN(TRIM(Working_Sales[[#This Row],[Price per Unit]]))</f>
        <v>300</v>
      </c>
      <c r="AB201" s="2">
        <f>INT(
   SUBSTITUTE(Working_Sales[[#This Row],[Price_Per_Unit_Whitespace_Removed]],
   "$",
   ""
   )
)</f>
        <v>300</v>
      </c>
      <c r="AC201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201" s="8">
        <f>IFERROR(
   Working_Sales[[#This Row],[Price_Per_Unit_Decimal_Separator_Fixed]],
   Working_Sales[[#This Row],[Total_Amount_Converted_To_Integer]]/Working_Sales[[#This Row],[Quantity_Converted_To_Integer]]
)</f>
        <v>300</v>
      </c>
      <c r="AE201" t="s">
        <v>23</v>
      </c>
      <c r="AF201" s="2" t="str">
        <f>CLEAN(TRIM(Working_Sales[[#This Row],[Total Amount]]))</f>
        <v>300</v>
      </c>
      <c r="AG201" s="2">
        <f>INT(Working_Sales[[#This Row],[Total_Amount_Whitespace_Removed]])</f>
        <v>300</v>
      </c>
      <c r="AH20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202" spans="1:34" x14ac:dyDescent="0.35">
      <c r="A202" t="s">
        <v>202</v>
      </c>
      <c r="B202" s="6" t="str">
        <f>CLEAN(TRIM(Working_Sales[[#This Row],[Transaction ID]]))</f>
        <v>49</v>
      </c>
      <c r="C202" t="s">
        <v>2049</v>
      </c>
      <c r="D202" s="2" t="str">
        <f>CLEAN(TRIM(Working_Sales[[#This Row],[Date]]))</f>
        <v>23/01/2023</v>
      </c>
      <c r="E20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44949</v>
      </c>
      <c r="F20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44949</v>
      </c>
      <c r="G20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44949</v>
      </c>
      <c r="H202" t="s">
        <v>2489</v>
      </c>
      <c r="I202" s="2" t="str">
        <f>CLEAN(TRIM(Working_Sales[[#This Row],[Customer ID]]))</f>
        <v>CUST168</v>
      </c>
      <c r="J20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0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CUST168</v>
      </c>
      <c r="L202" t="s">
        <v>26</v>
      </c>
      <c r="M202" s="4" t="str">
        <f>CLEAN(TRIM(Working_Sales[[#This Row],[Gender]]))</f>
        <v>Female</v>
      </c>
      <c r="N202" s="4" t="str" cm="1">
        <f t="array" ref="N202">_xlfn.SWITCH(
   Working_Sales[[#This Row],[Gender_Whitespace_Removed]],
   "m", "Male",
   "f", "Female",
   Working_Sales[[#This Row],[Gender_Whitespace_Removed]]
)</f>
        <v>Female</v>
      </c>
      <c r="O202" s="6" t="str">
        <f>PROPER(Working_Sales[[#This Row],[Gender_Abbreviation_Expanded]])</f>
        <v>Female</v>
      </c>
      <c r="P202">
        <v>54</v>
      </c>
      <c r="Q202" s="2" t="str">
        <f>CLEAN(TRIM(Working_Sales[[#This Row],[Age]]))</f>
        <v>54</v>
      </c>
      <c r="R202" s="6">
        <f>INT(SUBSTITUTE(Working_Sales[[#This Row],[Age_Whitespace_Removed]],".",","))</f>
        <v>54</v>
      </c>
      <c r="S202" t="s">
        <v>99</v>
      </c>
      <c r="T202" s="2" t="str">
        <f>CLEAN(TRIM(Working_Sales[[#This Row],[Product Category]]))</f>
        <v>ELECTRONICS</v>
      </c>
      <c r="U202" s="6" t="str">
        <f>PROPER(Working_Sales[[#This Row],[Product_Category_Whitespace_Removed]])</f>
        <v>Electronics</v>
      </c>
      <c r="V202" t="s">
        <v>37</v>
      </c>
      <c r="W202" s="2" t="str">
        <f>CLEAN(TRIM(Working_Sales[[#This Row],[Quantity]]))</f>
        <v>2</v>
      </c>
      <c r="X202" s="2">
        <f>INT(Working_Sales[[#This Row],[`]])</f>
        <v>2</v>
      </c>
      <c r="Y202" s="6">
        <f>IFERROR(
   Working_Sales[[#This Row],[Quantity_Converted_To_Integer]],
   Working_Sales[[#This Row],[Total_Amount_Whitespace_Removed]]/Working_Sales[[#This Row],[Price_Per_Unit_Decimal_Separator_Fixed]])</f>
        <v>2</v>
      </c>
      <c r="Z202" t="s">
        <v>57</v>
      </c>
      <c r="AA202" s="2" t="str">
        <f>CLEAN(TRIM(Working_Sales[[#This Row],[Price per Unit]]))</f>
        <v>500</v>
      </c>
      <c r="AB202" s="2">
        <f>INT(
   SUBSTITUTE(Working_Sales[[#This Row],[Price_Per_Unit_Whitespace_Removed]],
   "$",
   ""
   )
)</f>
        <v>500</v>
      </c>
      <c r="AC202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202" s="8">
        <f>IFERROR(
   Working_Sales[[#This Row],[Price_Per_Unit_Decimal_Separator_Fixed]],
   Working_Sales[[#This Row],[Total_Amount_Converted_To_Integer]]/Working_Sales[[#This Row],[Quantity_Converted_To_Integer]]
)</f>
        <v>500</v>
      </c>
      <c r="AE202" t="s">
        <v>163</v>
      </c>
      <c r="AF202" s="2" t="str">
        <f>CLEAN(TRIM(Working_Sales[[#This Row],[Total Amount]]))</f>
        <v>1000</v>
      </c>
      <c r="AG202" s="2">
        <f>INT(Working_Sales[[#This Row],[Total_Amount_Whitespace_Removed]])</f>
        <v>1000</v>
      </c>
      <c r="AH20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203" spans="1:34" x14ac:dyDescent="0.35">
      <c r="A203" t="s">
        <v>522</v>
      </c>
      <c r="B203" s="6" t="str">
        <f>CLEAN(TRIM(Working_Sales[[#This Row],[Transaction ID]]))</f>
        <v>398</v>
      </c>
      <c r="C203" t="s">
        <v>139</v>
      </c>
      <c r="D203" s="2" t="str">
        <f>CLEAN(TRIM(Working_Sales[[#This Row],[Date]]))</f>
        <v>16/05/2023</v>
      </c>
      <c r="E20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45062</v>
      </c>
      <c r="F20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45062</v>
      </c>
      <c r="G20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45062</v>
      </c>
      <c r="H203" t="s">
        <v>2490</v>
      </c>
      <c r="I203" s="2" t="str">
        <f>CLEAN(TRIM(Working_Sales[[#This Row],[Customer ID]]))</f>
        <v>CUST-169</v>
      </c>
      <c r="J20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0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CUST169</v>
      </c>
      <c r="L203" t="s">
        <v>26</v>
      </c>
      <c r="M203" s="4" t="str">
        <f>CLEAN(TRIM(Working_Sales[[#This Row],[Gender]]))</f>
        <v>Female</v>
      </c>
      <c r="N203" s="4" t="str" cm="1">
        <f t="array" ref="N203">_xlfn.SWITCH(
   Working_Sales[[#This Row],[Gender_Whitespace_Removed]],
   "m", "Male",
   "f", "Female",
   Working_Sales[[#This Row],[Gender_Whitespace_Removed]]
)</f>
        <v>Female</v>
      </c>
      <c r="O203" s="6" t="str">
        <f>PROPER(Working_Sales[[#This Row],[Gender_Abbreviation_Expanded]])</f>
        <v>Female</v>
      </c>
      <c r="P203" t="s">
        <v>524</v>
      </c>
      <c r="Q203" s="2" t="str">
        <f>CLEAN(TRIM(Working_Sales[[#This Row],[Age]]))</f>
        <v>48</v>
      </c>
      <c r="R203" s="6">
        <f>INT(SUBSTITUTE(Working_Sales[[#This Row],[Age_Whitespace_Removed]],".",","))</f>
        <v>48</v>
      </c>
      <c r="S203" t="s">
        <v>56</v>
      </c>
      <c r="T203" s="2" t="str">
        <f>CLEAN(TRIM(Working_Sales[[#This Row],[Product Category]]))</f>
        <v>Clothing</v>
      </c>
      <c r="U203" s="6" t="str">
        <f>PROPER(Working_Sales[[#This Row],[Product_Category_Whitespace_Removed]])</f>
        <v>Clothing</v>
      </c>
      <c r="V203" t="s">
        <v>37</v>
      </c>
      <c r="W203" s="2" t="str">
        <f>CLEAN(TRIM(Working_Sales[[#This Row],[Quantity]]))</f>
        <v>2</v>
      </c>
      <c r="X203" s="2">
        <f>INT(Working_Sales[[#This Row],[`]])</f>
        <v>2</v>
      </c>
      <c r="Y203" s="6">
        <f>IFERROR(
   Working_Sales[[#This Row],[Quantity_Converted_To_Integer]],
   Working_Sales[[#This Row],[Total_Amount_Whitespace_Removed]]/Working_Sales[[#This Row],[Price_Per_Unit_Decimal_Separator_Fixed]])</f>
        <v>2</v>
      </c>
      <c r="Z203" t="s">
        <v>23</v>
      </c>
      <c r="AA203" s="2" t="str">
        <f>CLEAN(TRIM(Working_Sales[[#This Row],[Price per Unit]]))</f>
        <v>300</v>
      </c>
      <c r="AB203" s="2">
        <f>INT(
   SUBSTITUTE(Working_Sales[[#This Row],[Price_Per_Unit_Whitespace_Removed]],
   "$",
   ""
   )
)</f>
        <v>300</v>
      </c>
      <c r="AC203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203" s="8">
        <f>IFERROR(
   Working_Sales[[#This Row],[Price_Per_Unit_Decimal_Separator_Fixed]],
   Working_Sales[[#This Row],[Total_Amount_Converted_To_Integer]]/Working_Sales[[#This Row],[Quantity_Converted_To_Integer]]
)</f>
        <v>300</v>
      </c>
      <c r="AE203" t="s">
        <v>107</v>
      </c>
      <c r="AF203" s="2" t="str">
        <f>CLEAN(TRIM(Working_Sales[[#This Row],[Total Amount]]))</f>
        <v>600</v>
      </c>
      <c r="AG203" s="2">
        <f>INT(Working_Sales[[#This Row],[Total_Amount_Whitespace_Removed]])</f>
        <v>600</v>
      </c>
      <c r="AH20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600</v>
      </c>
    </row>
    <row r="204" spans="1:34" x14ac:dyDescent="0.35">
      <c r="A204" t="s">
        <v>31</v>
      </c>
      <c r="B204" s="6" t="str">
        <f>CLEAN(TRIM(Working_Sales[[#This Row],[Transaction ID]]))</f>
        <v>75</v>
      </c>
      <c r="C204" t="s">
        <v>2050</v>
      </c>
      <c r="D204" s="2" t="str">
        <f>CLEAN(TRIM(Working_Sales[[#This Row],[Date]]))</f>
        <v>06-Jul-2023</v>
      </c>
      <c r="E20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45113</v>
      </c>
      <c r="F20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45113</v>
      </c>
      <c r="G20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45113</v>
      </c>
      <c r="H204" t="s">
        <v>2491</v>
      </c>
      <c r="I204" s="2" t="str">
        <f>CLEAN(TRIM(Working_Sales[[#This Row],[Customer ID]]))</f>
        <v>CUST170</v>
      </c>
      <c r="J20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CUST170</v>
      </c>
      <c r="K20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CUST170</v>
      </c>
      <c r="L204" t="s">
        <v>34</v>
      </c>
      <c r="M204" s="4" t="str">
        <f>CLEAN(TRIM(Working_Sales[[#This Row],[Gender]]))</f>
        <v>Male</v>
      </c>
      <c r="N204" s="4" t="str" cm="1">
        <f t="array" ref="N204">_xlfn.SWITCH(
   Working_Sales[[#This Row],[Gender_Whitespace_Removed]],
   "m", "Male",
   "f", "Female",
   Working_Sales[[#This Row],[Gender_Whitespace_Removed]]
)</f>
        <v>Male</v>
      </c>
      <c r="O204" s="6" t="str">
        <f>PROPER(Working_Sales[[#This Row],[Gender_Abbreviation_Expanded]])</f>
        <v>Male</v>
      </c>
      <c r="P204" t="s">
        <v>407</v>
      </c>
      <c r="Q204" s="2" t="str">
        <f>CLEAN(TRIM(Working_Sales[[#This Row],[Age]]))</f>
        <v>61.0</v>
      </c>
      <c r="R204" s="6">
        <f>INT(SUBSTITUTE(Working_Sales[[#This Row],[Age_Whitespace_Removed]],".",","))</f>
        <v>61</v>
      </c>
      <c r="S204" t="s">
        <v>69</v>
      </c>
      <c r="T204" s="2" t="str">
        <f>CLEAN(TRIM(Working_Sales[[#This Row],[Product Category]]))</f>
        <v>BEAUTY</v>
      </c>
      <c r="U204" s="6" t="str">
        <f>PROPER(Working_Sales[[#This Row],[Product_Category_Whitespace_Removed]])</f>
        <v>Beauty</v>
      </c>
      <c r="V204" t="s">
        <v>14</v>
      </c>
      <c r="W204" s="2" t="str">
        <f>CLEAN(TRIM(Working_Sales[[#This Row],[Quantity]]))</f>
        <v>4</v>
      </c>
      <c r="X204" s="2">
        <f>INT(Working_Sales[[#This Row],[`]])</f>
        <v>4</v>
      </c>
      <c r="Y204" s="6">
        <f>IFERROR(
   Working_Sales[[#This Row],[Quantity_Converted_To_Integer]],
   Working_Sales[[#This Row],[Total_Amount_Whitespace_Removed]]/Working_Sales[[#This Row],[Price_Per_Unit_Decimal_Separator_Fixed]])</f>
        <v>4</v>
      </c>
      <c r="Z204" t="s">
        <v>15</v>
      </c>
      <c r="AA204" s="2" t="str">
        <f>CLEAN(TRIM(Working_Sales[[#This Row],[Price per Unit]]))</f>
        <v>50</v>
      </c>
      <c r="AB204" s="2">
        <f>INT(
   SUBSTITUTE(Working_Sales[[#This Row],[Price_Per_Unit_Whitespace_Removed]],
   "$",
   ""
   )
)</f>
        <v>50</v>
      </c>
      <c r="AC204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204" s="8">
        <f>IFERROR(
   Working_Sales[[#This Row],[Price_Per_Unit_Decimal_Separator_Fixed]],
   Working_Sales[[#This Row],[Total_Amount_Converted_To_Integer]]/Working_Sales[[#This Row],[Quantity_Converted_To_Integer]]
)</f>
        <v>50</v>
      </c>
      <c r="AE204" t="s">
        <v>16</v>
      </c>
      <c r="AF204" s="2" t="str">
        <f>CLEAN(TRIM(Working_Sales[[#This Row],[Total Amount]]))</f>
        <v>200</v>
      </c>
      <c r="AG204" s="2">
        <f>INT(Working_Sales[[#This Row],[Total_Amount_Whitespace_Removed]])</f>
        <v>200</v>
      </c>
      <c r="AH20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205" spans="1:34" x14ac:dyDescent="0.35">
      <c r="A205" t="s">
        <v>525</v>
      </c>
      <c r="B205" s="6" t="str">
        <f>CLEAN(TRIM(Working_Sales[[#This Row],[Transaction ID]]))</f>
        <v>173</v>
      </c>
      <c r="C205" t="s">
        <v>2051</v>
      </c>
      <c r="D205" s="2" t="str">
        <f>CLEAN(TRIM(Working_Sales[[#This Row],[Date]]))</f>
        <v>08-Nov-2023</v>
      </c>
      <c r="E20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45238</v>
      </c>
      <c r="F20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45238</v>
      </c>
      <c r="G20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45238</v>
      </c>
      <c r="H205" t="s">
        <v>2438</v>
      </c>
      <c r="I205" s="2" t="str">
        <f>CLEAN(TRIM(Working_Sales[[#This Row],[Customer ID]]))</f>
        <v>CUST125</v>
      </c>
      <c r="J20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CUST125</v>
      </c>
      <c r="K20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CUST125</v>
      </c>
      <c r="L205" t="s">
        <v>34</v>
      </c>
      <c r="M205" s="4" t="str">
        <f>CLEAN(TRIM(Working_Sales[[#This Row],[Gender]]))</f>
        <v>Male</v>
      </c>
      <c r="N205" s="4" t="str" cm="1">
        <f t="array" ref="N205">_xlfn.SWITCH(
   Working_Sales[[#This Row],[Gender_Whitespace_Removed]],
   "m", "Male",
   "f", "Female",
   Working_Sales[[#This Row],[Gender_Whitespace_Removed]]
)</f>
        <v>Male</v>
      </c>
      <c r="O205" s="6" t="str">
        <f>PROPER(Working_Sales[[#This Row],[Gender_Abbreviation_Expanded]])</f>
        <v>Male</v>
      </c>
      <c r="P205">
        <v>64</v>
      </c>
      <c r="Q205" s="2" t="str">
        <f>CLEAN(TRIM(Working_Sales[[#This Row],[Age]]))</f>
        <v>64</v>
      </c>
      <c r="R205" s="6">
        <f>INT(SUBSTITUTE(Working_Sales[[#This Row],[Age_Whitespace_Removed]],".",","))</f>
        <v>64</v>
      </c>
      <c r="S205" t="s">
        <v>13</v>
      </c>
      <c r="T205" s="2" t="str">
        <f>CLEAN(TRIM(Working_Sales[[#This Row],[Product Category]]))</f>
        <v>Electronics</v>
      </c>
      <c r="U205" s="6" t="str">
        <f>PROPER(Working_Sales[[#This Row],[Product_Category_Whitespace_Removed]])</f>
        <v>Electronics</v>
      </c>
      <c r="V205" t="s">
        <v>14</v>
      </c>
      <c r="W205" s="2" t="str">
        <f>CLEAN(TRIM(Working_Sales[[#This Row],[Quantity]]))</f>
        <v>4</v>
      </c>
      <c r="X205" s="2">
        <f>INT(Working_Sales[[#This Row],[`]])</f>
        <v>4</v>
      </c>
      <c r="Y205" s="6">
        <f>IFERROR(
   Working_Sales[[#This Row],[Quantity_Converted_To_Integer]],
   Working_Sales[[#This Row],[Total_Amount_Whitespace_Removed]]/Working_Sales[[#This Row],[Price_Per_Unit_Decimal_Separator_Fixed]])</f>
        <v>4</v>
      </c>
      <c r="Z205" t="s">
        <v>70</v>
      </c>
      <c r="AA205" s="2" t="str">
        <f>CLEAN(TRIM(Working_Sales[[#This Row],[Price per Unit]]))</f>
        <v>30</v>
      </c>
      <c r="AB205" s="2">
        <f>INT(
   SUBSTITUTE(Working_Sales[[#This Row],[Price_Per_Unit_Whitespace_Removed]],
   "$",
   ""
   )
)</f>
        <v>30</v>
      </c>
      <c r="AC205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205" s="8">
        <f>IFERROR(
   Working_Sales[[#This Row],[Price_Per_Unit_Decimal_Separator_Fixed]],
   Working_Sales[[#This Row],[Total_Amount_Converted_To_Integer]]/Working_Sales[[#This Row],[Quantity_Converted_To_Integer]]
)</f>
        <v>30</v>
      </c>
      <c r="AE205" t="s">
        <v>44</v>
      </c>
      <c r="AF205" s="2" t="str">
        <f>CLEAN(TRIM(Working_Sales[[#This Row],[Total Amount]]))</f>
        <v>120</v>
      </c>
      <c r="AG205" s="2">
        <f>INT(Working_Sales[[#This Row],[Total_Amount_Whitespace_Removed]])</f>
        <v>120</v>
      </c>
      <c r="AH20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206" spans="1:34" x14ac:dyDescent="0.35">
      <c r="A206" t="s">
        <v>527</v>
      </c>
      <c r="B206" s="6" t="str">
        <f>CLEAN(TRIM(Working_Sales[[#This Row],[Transaction ID]]))</f>
        <v>245</v>
      </c>
      <c r="C206" t="s">
        <v>513</v>
      </c>
      <c r="D206" s="2" t="str">
        <f>CLEAN(TRIM(Working_Sales[[#This Row],[Date]]))</f>
        <v>2023-09-06</v>
      </c>
      <c r="E20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45175</v>
      </c>
      <c r="F20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45175</v>
      </c>
      <c r="G20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45175</v>
      </c>
      <c r="H206" t="s">
        <v>2492</v>
      </c>
      <c r="I206" s="2" t="str">
        <f>CLEAN(TRIM(Working_Sales[[#This Row],[Customer ID]]))</f>
        <v>CUST171</v>
      </c>
      <c r="J20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CUST171</v>
      </c>
      <c r="K20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CUST171</v>
      </c>
      <c r="L206" t="s">
        <v>34</v>
      </c>
      <c r="M206" s="4" t="str">
        <f>CLEAN(TRIM(Working_Sales[[#This Row],[Gender]]))</f>
        <v>Male</v>
      </c>
      <c r="N206" s="4" t="str" cm="1">
        <f t="array" ref="N206">_xlfn.SWITCH(
   Working_Sales[[#This Row],[Gender_Whitespace_Removed]],
   "m", "Male",
   "f", "Female",
   Working_Sales[[#This Row],[Gender_Whitespace_Removed]]
)</f>
        <v>Male</v>
      </c>
      <c r="O206" s="6" t="str">
        <f>PROPER(Working_Sales[[#This Row],[Gender_Abbreviation_Expanded]])</f>
        <v>Male</v>
      </c>
      <c r="P206">
        <v>47</v>
      </c>
      <c r="Q206" s="2" t="str">
        <f>CLEAN(TRIM(Working_Sales[[#This Row],[Age]]))</f>
        <v>47</v>
      </c>
      <c r="R206" s="6">
        <f>INT(SUBSTITUTE(Working_Sales[[#This Row],[Age_Whitespace_Removed]],".",","))</f>
        <v>47</v>
      </c>
      <c r="S206" t="s">
        <v>56</v>
      </c>
      <c r="T206" s="2" t="str">
        <f>CLEAN(TRIM(Working_Sales[[#This Row],[Product Category]]))</f>
        <v>Clothing</v>
      </c>
      <c r="U206" s="6" t="str">
        <f>PROPER(Working_Sales[[#This Row],[Product_Category_Whitespace_Removed]])</f>
        <v>Clothing</v>
      </c>
      <c r="V206" t="s">
        <v>29</v>
      </c>
      <c r="W206" s="2" t="str">
        <f>CLEAN(TRIM(Working_Sales[[#This Row],[Quantity]]))</f>
        <v>3</v>
      </c>
      <c r="X206" s="2">
        <f>INT(Working_Sales[[#This Row],[`]])</f>
        <v>3</v>
      </c>
      <c r="Y206" s="6">
        <f>IFERROR(
   Working_Sales[[#This Row],[Quantity_Converted_To_Integer]],
   Working_Sales[[#This Row],[Total_Amount_Whitespace_Removed]]/Working_Sales[[#This Row],[Price_Per_Unit_Decimal_Separator_Fixed]])</f>
        <v>3</v>
      </c>
      <c r="Z206" t="s">
        <v>100</v>
      </c>
      <c r="AA206" s="2" t="str">
        <f>CLEAN(TRIM(Working_Sales[[#This Row],[Price per Unit]]))</f>
        <v>30</v>
      </c>
      <c r="AB206" s="2">
        <f>INT(
   SUBSTITUTE(Working_Sales[[#This Row],[Price_Per_Unit_Whitespace_Removed]],
   "$",
   ""
   )
)</f>
        <v>30</v>
      </c>
      <c r="AC206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206" s="8">
        <f>IFERROR(
   Working_Sales[[#This Row],[Price_Per_Unit_Decimal_Separator_Fixed]],
   Working_Sales[[#This Row],[Total_Amount_Converted_To_Integer]]/Working_Sales[[#This Row],[Quantity_Converted_To_Integer]]
)</f>
        <v>30</v>
      </c>
      <c r="AE206" t="s">
        <v>191</v>
      </c>
      <c r="AF206" s="2" t="str">
        <f>CLEAN(TRIM(Working_Sales[[#This Row],[Total Amount]]))</f>
        <v>90</v>
      </c>
      <c r="AG206" s="2">
        <f>INT(Working_Sales[[#This Row],[Total_Amount_Whitespace_Removed]])</f>
        <v>90</v>
      </c>
      <c r="AH20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207" spans="1:34" x14ac:dyDescent="0.35">
      <c r="A207" t="s">
        <v>529</v>
      </c>
      <c r="B207" s="6" t="str">
        <f>CLEAN(TRIM(Working_Sales[[#This Row],[Transaction ID]]))</f>
        <v>358</v>
      </c>
      <c r="C207" t="s">
        <v>210</v>
      </c>
      <c r="D207" s="2" t="str">
        <f>CLEAN(TRIM(Working_Sales[[#This Row],[Date]]))</f>
        <v>2023-05-16</v>
      </c>
      <c r="E20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45062</v>
      </c>
      <c r="F20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45062</v>
      </c>
      <c r="G20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45062</v>
      </c>
      <c r="H207" t="s">
        <v>2493</v>
      </c>
      <c r="I207" s="2" t="str">
        <f>CLEAN(TRIM(Working_Sales[[#This Row],[Customer ID]]))</f>
        <v>CUST172</v>
      </c>
      <c r="J20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CUST172</v>
      </c>
      <c r="K20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CUST172</v>
      </c>
      <c r="L207" t="s">
        <v>26</v>
      </c>
      <c r="M207" s="4" t="str">
        <f>CLEAN(TRIM(Working_Sales[[#This Row],[Gender]]))</f>
        <v>Female</v>
      </c>
      <c r="N207" s="4" t="str" cm="1">
        <f t="array" ref="N207">_xlfn.SWITCH(
   Working_Sales[[#This Row],[Gender_Whitespace_Removed]],
   "m", "Male",
   "f", "Female",
   Working_Sales[[#This Row],[Gender_Whitespace_Removed]]
)</f>
        <v>Female</v>
      </c>
      <c r="O207" s="6" t="str">
        <f>PROPER(Working_Sales[[#This Row],[Gender_Abbreviation_Expanded]])</f>
        <v>Female</v>
      </c>
      <c r="P207">
        <v>32</v>
      </c>
      <c r="Q207" s="2" t="str">
        <f>CLEAN(TRIM(Working_Sales[[#This Row],[Age]]))</f>
        <v>32</v>
      </c>
      <c r="R207" s="6">
        <f>INT(SUBSTITUTE(Working_Sales[[#This Row],[Age_Whitespace_Removed]],".",","))</f>
        <v>32</v>
      </c>
      <c r="S207" t="s">
        <v>62</v>
      </c>
      <c r="T207" s="2" t="str">
        <f>CLEAN(TRIM(Working_Sales[[#This Row],[Product Category]]))</f>
        <v>beauty</v>
      </c>
      <c r="U207" s="6" t="str">
        <f>PROPER(Working_Sales[[#This Row],[Product_Category_Whitespace_Removed]])</f>
        <v>Beauty</v>
      </c>
      <c r="V207" t="s">
        <v>22</v>
      </c>
      <c r="W207" s="2" t="str">
        <f>CLEAN(TRIM(Working_Sales[[#This Row],[Quantity]]))</f>
        <v>1</v>
      </c>
      <c r="X207" s="2">
        <f>INT(Working_Sales[[#This Row],[`]])</f>
        <v>1</v>
      </c>
      <c r="Y207" s="6">
        <f>IFERROR(
   Working_Sales[[#This Row],[Quantity_Converted_To_Integer]],
   Working_Sales[[#This Row],[Total_Amount_Whitespace_Removed]]/Working_Sales[[#This Row],[Price_Per_Unit_Decimal_Separator_Fixed]])</f>
        <v>1</v>
      </c>
      <c r="Z207" t="s">
        <v>186</v>
      </c>
      <c r="AA207" s="2" t="str">
        <f>CLEAN(TRIM(Working_Sales[[#This Row],[Price per Unit]]))</f>
        <v>$300</v>
      </c>
      <c r="AB207" s="2">
        <f>INT(
   SUBSTITUTE(Working_Sales[[#This Row],[Price_Per_Unit_Whitespace_Removed]],
   "$",
   ""
   )
)</f>
        <v>300</v>
      </c>
      <c r="AC207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207" s="8">
        <f>IFERROR(
   Working_Sales[[#This Row],[Price_Per_Unit_Decimal_Separator_Fixed]],
   Working_Sales[[#This Row],[Total_Amount_Converted_To_Integer]]/Working_Sales[[#This Row],[Quantity_Converted_To_Integer]]
)</f>
        <v>300</v>
      </c>
      <c r="AE207" t="s">
        <v>23</v>
      </c>
      <c r="AF207" s="2" t="str">
        <f>CLEAN(TRIM(Working_Sales[[#This Row],[Total Amount]]))</f>
        <v>300</v>
      </c>
      <c r="AG207" s="2">
        <f>INT(Working_Sales[[#This Row],[Total_Amount_Whitespace_Removed]])</f>
        <v>300</v>
      </c>
      <c r="AH20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208" spans="1:34" x14ac:dyDescent="0.35">
      <c r="A208" t="s">
        <v>531</v>
      </c>
      <c r="B208" s="6" t="str">
        <f>CLEAN(TRIM(Working_Sales[[#This Row],[Transaction ID]]))</f>
        <v>759</v>
      </c>
      <c r="C208" t="s">
        <v>532</v>
      </c>
      <c r="D208" s="2" t="str">
        <f>CLEAN(TRIM(Working_Sales[[#This Row],[Date]]))</f>
        <v>2023-07-08</v>
      </c>
      <c r="E20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45115</v>
      </c>
      <c r="F20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45115</v>
      </c>
      <c r="G20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45115</v>
      </c>
      <c r="H208" t="s">
        <v>2494</v>
      </c>
      <c r="I208" s="2" t="str">
        <f>CLEAN(TRIM(Working_Sales[[#This Row],[Customer ID]]))</f>
        <v>CUST-021</v>
      </c>
      <c r="J20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0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CUST021</v>
      </c>
      <c r="L208" t="s">
        <v>34</v>
      </c>
      <c r="M208" s="4" t="str">
        <f>CLEAN(TRIM(Working_Sales[[#This Row],[Gender]]))</f>
        <v>Male</v>
      </c>
      <c r="N208" s="4" t="str" cm="1">
        <f t="array" ref="N208">_xlfn.SWITCH(
   Working_Sales[[#This Row],[Gender_Whitespace_Removed]],
   "m", "Male",
   "f", "Female",
   Working_Sales[[#This Row],[Gender_Whitespace_Removed]]
)</f>
        <v>Male</v>
      </c>
      <c r="O208" s="6" t="str">
        <f>PROPER(Working_Sales[[#This Row],[Gender_Abbreviation_Expanded]])</f>
        <v>Male</v>
      </c>
      <c r="P208">
        <v>49</v>
      </c>
      <c r="Q208" s="2" t="str">
        <f>CLEAN(TRIM(Working_Sales[[#This Row],[Age]]))</f>
        <v>49</v>
      </c>
      <c r="R208" s="6">
        <f>INT(SUBSTITUTE(Working_Sales[[#This Row],[Age_Whitespace_Removed]],".",","))</f>
        <v>49</v>
      </c>
      <c r="S208" t="s">
        <v>13</v>
      </c>
      <c r="T208" s="2" t="str">
        <f>CLEAN(TRIM(Working_Sales[[#This Row],[Product Category]]))</f>
        <v>Electronics</v>
      </c>
      <c r="U208" s="6" t="str">
        <f>PROPER(Working_Sales[[#This Row],[Product_Category_Whitespace_Removed]])</f>
        <v>Electronics</v>
      </c>
      <c r="V208" t="s">
        <v>37</v>
      </c>
      <c r="W208" s="2" t="str">
        <f>CLEAN(TRIM(Working_Sales[[#This Row],[Quantity]]))</f>
        <v>2</v>
      </c>
      <c r="X208" s="2">
        <f>INT(Working_Sales[[#This Row],[`]])</f>
        <v>2</v>
      </c>
      <c r="Y208" s="6">
        <f>IFERROR(
   Working_Sales[[#This Row],[Quantity_Converted_To_Integer]],
   Working_Sales[[#This Row],[Total_Amount_Whitespace_Removed]]/Working_Sales[[#This Row],[Price_Per_Unit_Decimal_Separator_Fixed]])</f>
        <v>2</v>
      </c>
      <c r="Z208" t="s">
        <v>15</v>
      </c>
      <c r="AA208" s="2" t="str">
        <f>CLEAN(TRIM(Working_Sales[[#This Row],[Price per Unit]]))</f>
        <v>50</v>
      </c>
      <c r="AB208" s="2">
        <f>INT(
   SUBSTITUTE(Working_Sales[[#This Row],[Price_Per_Unit_Whitespace_Removed]],
   "$",
   ""
   )
)</f>
        <v>50</v>
      </c>
      <c r="AC208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208" s="8">
        <f>IFERROR(
   Working_Sales[[#This Row],[Price_Per_Unit_Decimal_Separator_Fixed]],
   Working_Sales[[#This Row],[Total_Amount_Converted_To_Integer]]/Working_Sales[[#This Row],[Quantity_Converted_To_Integer]]
)</f>
        <v>50</v>
      </c>
      <c r="AE208" t="s">
        <v>38</v>
      </c>
      <c r="AF208" s="2" t="str">
        <f>CLEAN(TRIM(Working_Sales[[#This Row],[Total Amount]]))</f>
        <v>100</v>
      </c>
      <c r="AG208" s="2">
        <f>INT(Working_Sales[[#This Row],[Total_Amount_Whitespace_Removed]])</f>
        <v>100</v>
      </c>
      <c r="AH20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209" spans="1:34" x14ac:dyDescent="0.35">
      <c r="A209" t="s">
        <v>533</v>
      </c>
      <c r="B209" s="6" t="str">
        <f>CLEAN(TRIM(Working_Sales[[#This Row],[Transaction ID]]))</f>
        <v>799</v>
      </c>
      <c r="C209" t="s">
        <v>1547</v>
      </c>
      <c r="D209" s="2" t="str">
        <f>CLEAN(TRIM(Working_Sales[[#This Row],[Date]]))</f>
        <v>08-Sep-2023</v>
      </c>
      <c r="E20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45177</v>
      </c>
      <c r="F20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45177</v>
      </c>
      <c r="G20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45177</v>
      </c>
      <c r="H209" t="s">
        <v>2495</v>
      </c>
      <c r="I209" s="2" t="str">
        <f>CLEAN(TRIM(Working_Sales[[#This Row],[Customer ID]]))</f>
        <v>CUST173</v>
      </c>
      <c r="J20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CUST173</v>
      </c>
      <c r="K20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CUST173</v>
      </c>
      <c r="L209" t="s">
        <v>34</v>
      </c>
      <c r="M209" s="4" t="str">
        <f>CLEAN(TRIM(Working_Sales[[#This Row],[Gender]]))</f>
        <v>Male</v>
      </c>
      <c r="N209" s="4" t="str" cm="1">
        <f t="array" ref="N209">_xlfn.SWITCH(
   Working_Sales[[#This Row],[Gender_Whitespace_Removed]],
   "m", "Male",
   "f", "Female",
   Working_Sales[[#This Row],[Gender_Whitespace_Removed]]
)</f>
        <v>Male</v>
      </c>
      <c r="O209" s="6" t="str">
        <f>PROPER(Working_Sales[[#This Row],[Gender_Abbreviation_Expanded]])</f>
        <v>Male</v>
      </c>
      <c r="P209">
        <v>56</v>
      </c>
      <c r="Q209" s="2" t="str">
        <f>CLEAN(TRIM(Working_Sales[[#This Row],[Age]]))</f>
        <v>56</v>
      </c>
      <c r="R209" s="6">
        <f>INT(SUBSTITUTE(Working_Sales[[#This Row],[Age_Whitespace_Removed]],".",","))</f>
        <v>56</v>
      </c>
      <c r="S209" t="s">
        <v>117</v>
      </c>
      <c r="T209" s="2" t="str">
        <f>CLEAN(TRIM(Working_Sales[[#This Row],[Product Category]]))</f>
        <v>Electronics</v>
      </c>
      <c r="U209" s="6" t="str">
        <f>PROPER(Working_Sales[[#This Row],[Product_Category_Whitespace_Removed]])</f>
        <v>Electronics</v>
      </c>
      <c r="V209" t="s">
        <v>37</v>
      </c>
      <c r="W209" s="2" t="str">
        <f>CLEAN(TRIM(Working_Sales[[#This Row],[Quantity]]))</f>
        <v>2</v>
      </c>
      <c r="X209" s="2">
        <f>INT(Working_Sales[[#This Row],[`]])</f>
        <v>2</v>
      </c>
      <c r="Y209" s="6">
        <f>IFERROR(
   Working_Sales[[#This Row],[Quantity_Converted_To_Integer]],
   Working_Sales[[#This Row],[Total_Amount_Whitespace_Removed]]/Working_Sales[[#This Row],[Price_Per_Unit_Decimal_Separator_Fixed]])</f>
        <v>2</v>
      </c>
      <c r="Z209" t="s">
        <v>15</v>
      </c>
      <c r="AA209" s="2" t="str">
        <f>CLEAN(TRIM(Working_Sales[[#This Row],[Price per Unit]]))</f>
        <v>50</v>
      </c>
      <c r="AB209" s="2">
        <f>INT(
   SUBSTITUTE(Working_Sales[[#This Row],[Price_Per_Unit_Whitespace_Removed]],
   "$",
   ""
   )
)</f>
        <v>50</v>
      </c>
      <c r="AC209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209" s="8">
        <f>IFERROR(
   Working_Sales[[#This Row],[Price_Per_Unit_Decimal_Separator_Fixed]],
   Working_Sales[[#This Row],[Total_Amount_Converted_To_Integer]]/Working_Sales[[#This Row],[Quantity_Converted_To_Integer]]
)</f>
        <v>50</v>
      </c>
      <c r="AE209" t="s">
        <v>38</v>
      </c>
      <c r="AF209" s="2" t="str">
        <f>CLEAN(TRIM(Working_Sales[[#This Row],[Total Amount]]))</f>
        <v>100</v>
      </c>
      <c r="AG209" s="2">
        <f>INT(Working_Sales[[#This Row],[Total_Amount_Whitespace_Removed]])</f>
        <v>100</v>
      </c>
      <c r="AH20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210" spans="1:34" x14ac:dyDescent="0.35">
      <c r="A210" t="s">
        <v>534</v>
      </c>
      <c r="B210" s="6" t="str">
        <f>CLEAN(TRIM(Working_Sales[[#This Row],[Transaction ID]]))</f>
        <v>286</v>
      </c>
      <c r="C210" t="s">
        <v>535</v>
      </c>
      <c r="D210" s="2" t="str">
        <f>CLEAN(TRIM(Working_Sales[[#This Row],[Date]]))</f>
        <v>October 09, 2023</v>
      </c>
      <c r="E210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210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21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45208</v>
      </c>
      <c r="H210" t="s">
        <v>2496</v>
      </c>
      <c r="I210" s="2" t="str">
        <f>CLEAN(TRIM(Working_Sales[[#This Row],[Customer ID]]))</f>
        <v>CUST174</v>
      </c>
      <c r="J21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CUST174</v>
      </c>
      <c r="K21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CUST174</v>
      </c>
      <c r="L210" t="s">
        <v>34</v>
      </c>
      <c r="M210" s="4" t="str">
        <f>CLEAN(TRIM(Working_Sales[[#This Row],[Gender]]))</f>
        <v>Male</v>
      </c>
      <c r="N210" s="4" t="str" cm="1">
        <f t="array" ref="N210">_xlfn.SWITCH(
   Working_Sales[[#This Row],[Gender_Whitespace_Removed]],
   "m", "Male",
   "f", "Female",
   Working_Sales[[#This Row],[Gender_Whitespace_Removed]]
)</f>
        <v>Male</v>
      </c>
      <c r="O210" s="6" t="str">
        <f>PROPER(Working_Sales[[#This Row],[Gender_Abbreviation_Expanded]])</f>
        <v>Male</v>
      </c>
      <c r="P210">
        <v>55</v>
      </c>
      <c r="Q210" s="2" t="str">
        <f>CLEAN(TRIM(Working_Sales[[#This Row],[Age]]))</f>
        <v>55</v>
      </c>
      <c r="R210" s="6">
        <f>INT(SUBSTITUTE(Working_Sales[[#This Row],[Age_Whitespace_Removed]],".",","))</f>
        <v>55</v>
      </c>
      <c r="S210" t="s">
        <v>48</v>
      </c>
      <c r="T210" s="2" t="str">
        <f>CLEAN(TRIM(Working_Sales[[#This Row],[Product Category]]))</f>
        <v>electronics</v>
      </c>
      <c r="U210" s="6" t="str">
        <f>PROPER(Working_Sales[[#This Row],[Product_Category_Whitespace_Removed]])</f>
        <v>Electronics</v>
      </c>
      <c r="V210" t="s">
        <v>37</v>
      </c>
      <c r="W210" s="2" t="str">
        <f>CLEAN(TRIM(Working_Sales[[#This Row],[Quantity]]))</f>
        <v>2</v>
      </c>
      <c r="X210" s="2">
        <f>INT(Working_Sales[[#This Row],[`]])</f>
        <v>2</v>
      </c>
      <c r="Y210" s="6">
        <f>IFERROR(
   Working_Sales[[#This Row],[Quantity_Converted_To_Integer]],
   Working_Sales[[#This Row],[Total_Amount_Whitespace_Removed]]/Working_Sales[[#This Row],[Price_Per_Unit_Decimal_Separator_Fixed]])</f>
        <v>2</v>
      </c>
      <c r="Z210" t="s">
        <v>30</v>
      </c>
      <c r="AA210" s="2" t="str">
        <f>CLEAN(TRIM(Working_Sales[[#This Row],[Price per Unit]]))</f>
        <v>25</v>
      </c>
      <c r="AB210" s="2">
        <f>INT(
   SUBSTITUTE(Working_Sales[[#This Row],[Price_Per_Unit_Whitespace_Removed]],
   "$",
   ""
   )
)</f>
        <v>25</v>
      </c>
      <c r="AC210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210" s="8">
        <f>IFERROR(
   Working_Sales[[#This Row],[Price_Per_Unit_Decimal_Separator_Fixed]],
   Working_Sales[[#This Row],[Total_Amount_Converted_To_Integer]]/Working_Sales[[#This Row],[Quantity_Converted_To_Integer]]
)</f>
        <v>25</v>
      </c>
      <c r="AE210" t="s">
        <v>15</v>
      </c>
      <c r="AF210" s="2" t="str">
        <f>CLEAN(TRIM(Working_Sales[[#This Row],[Total Amount]]))</f>
        <v>50</v>
      </c>
      <c r="AG210" s="2">
        <f>INT(Working_Sales[[#This Row],[Total_Amount_Whitespace_Removed]])</f>
        <v>50</v>
      </c>
      <c r="AH21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211" spans="1:34" x14ac:dyDescent="0.35">
      <c r="A211" t="s">
        <v>537</v>
      </c>
      <c r="B211" s="6" t="str">
        <f>CLEAN(TRIM(Working_Sales[[#This Row],[Transaction ID]]))</f>
        <v>361</v>
      </c>
      <c r="C211" t="s">
        <v>1052</v>
      </c>
      <c r="D211" s="2" t="str">
        <f>CLEAN(TRIM(Working_Sales[[#This Row],[Date]]))</f>
        <v>10-Dec-2023</v>
      </c>
      <c r="E21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45270</v>
      </c>
      <c r="F21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45270</v>
      </c>
      <c r="G21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45270</v>
      </c>
      <c r="H211" t="s">
        <v>2497</v>
      </c>
      <c r="I211" s="2" t="str">
        <f>CLEAN(TRIM(Working_Sales[[#This Row],[Customer ID]]))</f>
        <v>CUST139</v>
      </c>
      <c r="J21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CUST139</v>
      </c>
      <c r="K21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CUST139</v>
      </c>
      <c r="L211" t="s">
        <v>26</v>
      </c>
      <c r="M211" s="4" t="str">
        <f>CLEAN(TRIM(Working_Sales[[#This Row],[Gender]]))</f>
        <v>Female</v>
      </c>
      <c r="N211" s="4" t="str" cm="1">
        <f t="array" ref="N211">_xlfn.SWITCH(
   Working_Sales[[#This Row],[Gender_Whitespace_Removed]],
   "m", "Male",
   "f", "Female",
   Working_Sales[[#This Row],[Gender_Whitespace_Removed]]
)</f>
        <v>Female</v>
      </c>
      <c r="O211" s="6" t="str">
        <f>PROPER(Working_Sales[[#This Row],[Gender_Abbreviation_Expanded]])</f>
        <v>Female</v>
      </c>
      <c r="P211">
        <v>34</v>
      </c>
      <c r="Q211" s="2" t="str">
        <f>CLEAN(TRIM(Working_Sales[[#This Row],[Age]]))</f>
        <v>34</v>
      </c>
      <c r="R211" s="6">
        <f>INT(SUBSTITUTE(Working_Sales[[#This Row],[Age_Whitespace_Removed]],".",","))</f>
        <v>34</v>
      </c>
      <c r="S211" t="s">
        <v>13</v>
      </c>
      <c r="T211" s="2" t="str">
        <f>CLEAN(TRIM(Working_Sales[[#This Row],[Product Category]]))</f>
        <v>Electronics</v>
      </c>
      <c r="U211" s="6" t="str">
        <f>PROPER(Working_Sales[[#This Row],[Product_Category_Whitespace_Removed]])</f>
        <v>Electronics</v>
      </c>
      <c r="V211" t="s">
        <v>14</v>
      </c>
      <c r="W211" s="2" t="str">
        <f>CLEAN(TRIM(Working_Sales[[#This Row],[Quantity]]))</f>
        <v>4</v>
      </c>
      <c r="X211" s="2">
        <f>INT(Working_Sales[[#This Row],[`]])</f>
        <v>4</v>
      </c>
      <c r="Y211" s="6">
        <f>IFERROR(
   Working_Sales[[#This Row],[Quantity_Converted_To_Integer]],
   Working_Sales[[#This Row],[Total_Amount_Whitespace_Removed]]/Working_Sales[[#This Row],[Price_Per_Unit_Decimal_Separator_Fixed]])</f>
        <v>4</v>
      </c>
      <c r="Z211" t="s">
        <v>23</v>
      </c>
      <c r="AA211" s="2" t="str">
        <f>CLEAN(TRIM(Working_Sales[[#This Row],[Price per Unit]]))</f>
        <v>300</v>
      </c>
      <c r="AB211" s="2">
        <f>INT(
   SUBSTITUTE(Working_Sales[[#This Row],[Price_Per_Unit_Whitespace_Removed]],
   "$",
   ""
   )
)</f>
        <v>300</v>
      </c>
      <c r="AC211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211" s="8">
        <f>IFERROR(
   Working_Sales[[#This Row],[Price_Per_Unit_Decimal_Separator_Fixed]],
   Working_Sales[[#This Row],[Total_Amount_Converted_To_Integer]]/Working_Sales[[#This Row],[Quantity_Converted_To_Integer]]
)</f>
        <v>300</v>
      </c>
      <c r="AE211" t="s">
        <v>79</v>
      </c>
      <c r="AF211" s="2" t="str">
        <f>CLEAN(TRIM(Working_Sales[[#This Row],[Total Amount]]))</f>
        <v>1200</v>
      </c>
      <c r="AG211" s="2">
        <f>INT(Working_Sales[[#This Row],[Total_Amount_Whitespace_Removed]])</f>
        <v>1200</v>
      </c>
      <c r="AH21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212" spans="1:34" x14ac:dyDescent="0.35">
      <c r="A212" t="s">
        <v>539</v>
      </c>
      <c r="B212" s="6" t="str">
        <f>CLEAN(TRIM(Working_Sales[[#This Row],[Transaction ID]]))</f>
        <v>626</v>
      </c>
      <c r="C212" t="s">
        <v>2052</v>
      </c>
      <c r="D212" s="2" t="str">
        <f>CLEAN(TRIM(Working_Sales[[#This Row],[Date]]))</f>
        <v>09/29/2023</v>
      </c>
      <c r="E212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21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45198</v>
      </c>
      <c r="G21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45198</v>
      </c>
      <c r="H212" t="s">
        <v>2498</v>
      </c>
      <c r="I212" s="2" t="str">
        <f>CLEAN(TRIM(Working_Sales[[#This Row],[Customer ID]]))</f>
        <v>Cust175</v>
      </c>
      <c r="J21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1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CUST175</v>
      </c>
      <c r="L212" t="s">
        <v>140</v>
      </c>
      <c r="M212" s="4" t="str">
        <f>CLEAN(TRIM(Working_Sales[[#This Row],[Gender]]))</f>
        <v>FEMALE</v>
      </c>
      <c r="N212" s="4" t="str" cm="1">
        <f t="array" ref="N212">_xlfn.SWITCH(
   Working_Sales[[#This Row],[Gender_Whitespace_Removed]],
   "m", "Male",
   "f", "Female",
   Working_Sales[[#This Row],[Gender_Whitespace_Removed]]
)</f>
        <v>FEMALE</v>
      </c>
      <c r="O212" s="6" t="str">
        <f>PROPER(Working_Sales[[#This Row],[Gender_Abbreviation_Expanded]])</f>
        <v>Female</v>
      </c>
      <c r="P212">
        <v>26</v>
      </c>
      <c r="Q212" s="2" t="str">
        <f>CLEAN(TRIM(Working_Sales[[#This Row],[Age]]))</f>
        <v>26</v>
      </c>
      <c r="R212" s="6">
        <f>INT(SUBSTITUTE(Working_Sales[[#This Row],[Age_Whitespace_Removed]],".",","))</f>
        <v>26</v>
      </c>
      <c r="S212" t="s">
        <v>56</v>
      </c>
      <c r="T212" s="2" t="str">
        <f>CLEAN(TRIM(Working_Sales[[#This Row],[Product Category]]))</f>
        <v>Clothing</v>
      </c>
      <c r="U212" s="6" t="str">
        <f>PROPER(Working_Sales[[#This Row],[Product_Category_Whitespace_Removed]])</f>
        <v>Clothing</v>
      </c>
      <c r="V212" t="s">
        <v>14</v>
      </c>
      <c r="W212" s="2" t="str">
        <f>CLEAN(TRIM(Working_Sales[[#This Row],[Quantity]]))</f>
        <v>4</v>
      </c>
      <c r="X212" s="2">
        <f>INT(Working_Sales[[#This Row],[`]])</f>
        <v>4</v>
      </c>
      <c r="Y212" s="6">
        <f>IFERROR(
   Working_Sales[[#This Row],[Quantity_Converted_To_Integer]],
   Working_Sales[[#This Row],[Total_Amount_Whitespace_Removed]]/Working_Sales[[#This Row],[Price_Per_Unit_Decimal_Separator_Fixed]])</f>
        <v>4</v>
      </c>
      <c r="Z212" t="s">
        <v>162</v>
      </c>
      <c r="AA212" s="2" t="str">
        <f>CLEAN(TRIM(Working_Sales[[#This Row],[Price per Unit]]))</f>
        <v>$500</v>
      </c>
      <c r="AB212" s="2">
        <f>INT(
   SUBSTITUTE(Working_Sales[[#This Row],[Price_Per_Unit_Whitespace_Removed]],
   "$",
   ""
   )
)</f>
        <v>500</v>
      </c>
      <c r="AC212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212" s="8">
        <f>IFERROR(
   Working_Sales[[#This Row],[Price_Per_Unit_Decimal_Separator_Fixed]],
   Working_Sales[[#This Row],[Total_Amount_Converted_To_Integer]]/Working_Sales[[#This Row],[Quantity_Converted_To_Integer]]
)</f>
        <v>500</v>
      </c>
      <c r="AE212" t="s">
        <v>232</v>
      </c>
      <c r="AF212" s="2" t="str">
        <f>CLEAN(TRIM(Working_Sales[[#This Row],[Total Amount]]))</f>
        <v>2000</v>
      </c>
      <c r="AG212" s="2">
        <f>INT(Working_Sales[[#This Row],[Total_Amount_Whitespace_Removed]])</f>
        <v>2000</v>
      </c>
      <c r="AH21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213" spans="1:34" x14ac:dyDescent="0.35">
      <c r="A213" t="s">
        <v>540</v>
      </c>
      <c r="B213" s="6" t="str">
        <f>CLEAN(TRIM(Working_Sales[[#This Row],[Transaction ID]]))</f>
        <v>510</v>
      </c>
      <c r="C213" t="s">
        <v>81</v>
      </c>
      <c r="D213" s="2" t="str">
        <f>CLEAN(TRIM(Working_Sales[[#This Row],[Date]]))</f>
        <v>2023-06-10</v>
      </c>
      <c r="E21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45087</v>
      </c>
      <c r="F21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45087</v>
      </c>
      <c r="G21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45087</v>
      </c>
      <c r="H213" t="s">
        <v>2499</v>
      </c>
      <c r="I213" s="2" t="str">
        <f>CLEAN(TRIM(Working_Sales[[#This Row],[Customer ID]]))</f>
        <v>CUST176</v>
      </c>
      <c r="J21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CUST176</v>
      </c>
      <c r="K21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CUST176</v>
      </c>
      <c r="L213" t="s">
        <v>26</v>
      </c>
      <c r="M213" s="4" t="str">
        <f>CLEAN(TRIM(Working_Sales[[#This Row],[Gender]]))</f>
        <v>Female</v>
      </c>
      <c r="N213" s="4" t="str" cm="1">
        <f t="array" ref="N213">_xlfn.SWITCH(
   Working_Sales[[#This Row],[Gender_Whitespace_Removed]],
   "m", "Male",
   "f", "Female",
   Working_Sales[[#This Row],[Gender_Whitespace_Removed]]
)</f>
        <v>Female</v>
      </c>
      <c r="O213" s="6" t="str">
        <f>PROPER(Working_Sales[[#This Row],[Gender_Abbreviation_Expanded]])</f>
        <v>Female</v>
      </c>
      <c r="P213" t="s">
        <v>541</v>
      </c>
      <c r="Q213" s="2" t="str">
        <f>CLEAN(TRIM(Working_Sales[[#This Row],[Age]]))</f>
        <v>39</v>
      </c>
      <c r="R213" s="6">
        <f>INT(SUBSTITUTE(Working_Sales[[#This Row],[Age_Whitespace_Removed]],".",","))</f>
        <v>39</v>
      </c>
      <c r="S213" t="s">
        <v>36</v>
      </c>
      <c r="T213" s="2" t="str">
        <f>CLEAN(TRIM(Working_Sales[[#This Row],[Product Category]]))</f>
        <v>Beauty</v>
      </c>
      <c r="U213" s="6" t="str">
        <f>PROPER(Working_Sales[[#This Row],[Product_Category_Whitespace_Removed]])</f>
        <v>Beauty</v>
      </c>
      <c r="V213" t="s">
        <v>14</v>
      </c>
      <c r="W213" s="2" t="str">
        <f>CLEAN(TRIM(Working_Sales[[#This Row],[Quantity]]))</f>
        <v>4</v>
      </c>
      <c r="X213" s="2">
        <f>INT(Working_Sales[[#This Row],[`]])</f>
        <v>4</v>
      </c>
      <c r="Y213" s="6">
        <f>IFERROR(
   Working_Sales[[#This Row],[Quantity_Converted_To_Integer]],
   Working_Sales[[#This Row],[Total_Amount_Whitespace_Removed]]/Working_Sales[[#This Row],[Price_Per_Unit_Decimal_Separator_Fixed]])</f>
        <v>4</v>
      </c>
      <c r="Z213" t="s">
        <v>75</v>
      </c>
      <c r="AA213" s="2" t="str">
        <f>CLEAN(TRIM(Working_Sales[[#This Row],[Price per Unit]]))</f>
        <v>50</v>
      </c>
      <c r="AB213" s="2">
        <f>INT(
   SUBSTITUTE(Working_Sales[[#This Row],[Price_Per_Unit_Whitespace_Removed]],
   "$",
   ""
   )
)</f>
        <v>50</v>
      </c>
      <c r="AC213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213" s="8">
        <f>IFERROR(
   Working_Sales[[#This Row],[Price_Per_Unit_Decimal_Separator_Fixed]],
   Working_Sales[[#This Row],[Total_Amount_Converted_To_Integer]]/Working_Sales[[#This Row],[Quantity_Converted_To_Integer]]
)</f>
        <v>50</v>
      </c>
      <c r="AE213" t="s">
        <v>16</v>
      </c>
      <c r="AF213" s="2" t="str">
        <f>CLEAN(TRIM(Working_Sales[[#This Row],[Total Amount]]))</f>
        <v>200</v>
      </c>
      <c r="AG213" s="2">
        <f>INT(Working_Sales[[#This Row],[Total_Amount_Whitespace_Removed]])</f>
        <v>200</v>
      </c>
      <c r="AH21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214" spans="1:34" x14ac:dyDescent="0.35">
      <c r="A214" t="s">
        <v>542</v>
      </c>
      <c r="B214" s="6" t="str">
        <f>CLEAN(TRIM(Working_Sales[[#This Row],[Transaction ID]]))</f>
        <v>257</v>
      </c>
      <c r="C214" t="s">
        <v>373</v>
      </c>
      <c r="D214" s="2" t="str">
        <f>CLEAN(TRIM(Working_Sales[[#This Row],[Date]]))</f>
        <v>2023-02-19</v>
      </c>
      <c r="E21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44976</v>
      </c>
      <c r="F21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44976</v>
      </c>
      <c r="G21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44976</v>
      </c>
      <c r="H214" t="s">
        <v>2500</v>
      </c>
      <c r="I214" s="2" t="str">
        <f>CLEAN(TRIM(Working_Sales[[#This Row],[Customer ID]]))</f>
        <v>CUST177</v>
      </c>
      <c r="J21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CUST177</v>
      </c>
      <c r="K21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CUST177</v>
      </c>
      <c r="L214" t="s">
        <v>34</v>
      </c>
      <c r="M214" s="4" t="str">
        <f>CLEAN(TRIM(Working_Sales[[#This Row],[Gender]]))</f>
        <v>Male</v>
      </c>
      <c r="N214" s="4" t="str" cm="1">
        <f t="array" ref="N214">_xlfn.SWITCH(
   Working_Sales[[#This Row],[Gender_Whitespace_Removed]],
   "m", "Male",
   "f", "Female",
   Working_Sales[[#This Row],[Gender_Whitespace_Removed]]
)</f>
        <v>Male</v>
      </c>
      <c r="O214" s="6" t="str">
        <f>PROPER(Working_Sales[[#This Row],[Gender_Abbreviation_Expanded]])</f>
        <v>Male</v>
      </c>
      <c r="P214">
        <v>19</v>
      </c>
      <c r="Q214" s="2" t="str">
        <f>CLEAN(TRIM(Working_Sales[[#This Row],[Age]]))</f>
        <v>19</v>
      </c>
      <c r="R214" s="6">
        <f>INT(SUBSTITUTE(Working_Sales[[#This Row],[Age_Whitespace_Removed]],".",","))</f>
        <v>19</v>
      </c>
      <c r="S214" t="s">
        <v>36</v>
      </c>
      <c r="T214" s="2" t="str">
        <f>CLEAN(TRIM(Working_Sales[[#This Row],[Product Category]]))</f>
        <v>Beauty</v>
      </c>
      <c r="U214" s="6" t="str">
        <f>PROPER(Working_Sales[[#This Row],[Product_Category_Whitespace_Removed]])</f>
        <v>Beauty</v>
      </c>
      <c r="V214" t="s">
        <v>14</v>
      </c>
      <c r="W214" s="2" t="str">
        <f>CLEAN(TRIM(Working_Sales[[#This Row],[Quantity]]))</f>
        <v>4</v>
      </c>
      <c r="X214" s="2">
        <f>INT(Working_Sales[[#This Row],[`]])</f>
        <v>4</v>
      </c>
      <c r="Y214" s="6">
        <f>IFERROR(
   Working_Sales[[#This Row],[Quantity_Converted_To_Integer]],
   Working_Sales[[#This Row],[Total_Amount_Whitespace_Removed]]/Working_Sales[[#This Row],[Price_Per_Unit_Decimal_Separator_Fixed]])</f>
        <v>4</v>
      </c>
      <c r="Z214" t="s">
        <v>57</v>
      </c>
      <c r="AA214" s="2" t="str">
        <f>CLEAN(TRIM(Working_Sales[[#This Row],[Price per Unit]]))</f>
        <v>500</v>
      </c>
      <c r="AB214" s="2">
        <f>INT(
   SUBSTITUTE(Working_Sales[[#This Row],[Price_Per_Unit_Whitespace_Removed]],
   "$",
   ""
   )
)</f>
        <v>500</v>
      </c>
      <c r="AC214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214" s="8">
        <f>IFERROR(
   Working_Sales[[#This Row],[Price_Per_Unit_Decimal_Separator_Fixed]],
   Working_Sales[[#This Row],[Total_Amount_Converted_To_Integer]]/Working_Sales[[#This Row],[Quantity_Converted_To_Integer]]
)</f>
        <v>500</v>
      </c>
      <c r="AE214" t="s">
        <v>232</v>
      </c>
      <c r="AF214" s="2" t="str">
        <f>CLEAN(TRIM(Working_Sales[[#This Row],[Total Amount]]))</f>
        <v>2000</v>
      </c>
      <c r="AG214" s="2">
        <f>INT(Working_Sales[[#This Row],[Total_Amount_Whitespace_Removed]])</f>
        <v>2000</v>
      </c>
      <c r="AH21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215" spans="1:34" x14ac:dyDescent="0.35">
      <c r="A215" t="s">
        <v>404</v>
      </c>
      <c r="B215" s="6" t="str">
        <f>CLEAN(TRIM(Working_Sales[[#This Row],[Transaction ID]]))</f>
        <v>55</v>
      </c>
      <c r="C215" t="s">
        <v>2053</v>
      </c>
      <c r="D215" s="2" t="str">
        <f>CLEAN(TRIM(Working_Sales[[#This Row],[Date]]))</f>
        <v>10-Oct-2023</v>
      </c>
      <c r="E21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45209</v>
      </c>
      <c r="F21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45209</v>
      </c>
      <c r="G21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45209</v>
      </c>
      <c r="H215" t="s">
        <v>2487</v>
      </c>
      <c r="I215" s="2" t="str">
        <f>CLEAN(TRIM(Working_Sales[[#This Row],[Customer ID]]))</f>
        <v>CUST167</v>
      </c>
      <c r="J21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CUST167</v>
      </c>
      <c r="K21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CUST167</v>
      </c>
      <c r="L215" t="s">
        <v>34</v>
      </c>
      <c r="M215" s="4" t="str">
        <f>CLEAN(TRIM(Working_Sales[[#This Row],[Gender]]))</f>
        <v>Male</v>
      </c>
      <c r="N215" s="4" t="str" cm="1">
        <f t="array" ref="N215">_xlfn.SWITCH(
   Working_Sales[[#This Row],[Gender_Whitespace_Removed]],
   "m", "Male",
   "f", "Female",
   Working_Sales[[#This Row],[Gender_Whitespace_Removed]]
)</f>
        <v>Male</v>
      </c>
      <c r="O215" s="6" t="str">
        <f>PROPER(Working_Sales[[#This Row],[Gender_Abbreviation_Expanded]])</f>
        <v>Male</v>
      </c>
      <c r="P215">
        <v>31</v>
      </c>
      <c r="Q215" s="2" t="str">
        <f>CLEAN(TRIM(Working_Sales[[#This Row],[Age]]))</f>
        <v>31</v>
      </c>
      <c r="R215" s="6">
        <f>INT(SUBSTITUTE(Working_Sales[[#This Row],[Age_Whitespace_Removed]],".",","))</f>
        <v>31</v>
      </c>
      <c r="S215" t="s">
        <v>69</v>
      </c>
      <c r="T215" s="2" t="str">
        <f>CLEAN(TRIM(Working_Sales[[#This Row],[Product Category]]))</f>
        <v>BEAUTY</v>
      </c>
      <c r="U215" s="6" t="str">
        <f>PROPER(Working_Sales[[#This Row],[Product_Category_Whitespace_Removed]])</f>
        <v>Beauty</v>
      </c>
      <c r="V215" t="s">
        <v>14</v>
      </c>
      <c r="W215" s="2" t="str">
        <f>CLEAN(TRIM(Working_Sales[[#This Row],[Quantity]]))</f>
        <v>4</v>
      </c>
      <c r="X215" s="2">
        <f>INT(Working_Sales[[#This Row],[`]])</f>
        <v>4</v>
      </c>
      <c r="Y215" s="6">
        <f>IFERROR(
   Working_Sales[[#This Row],[Quantity_Converted_To_Integer]],
   Working_Sales[[#This Row],[Total_Amount_Whitespace_Removed]]/Working_Sales[[#This Row],[Price_Per_Unit_Decimal_Separator_Fixed]])</f>
        <v>4</v>
      </c>
      <c r="Z215" t="s">
        <v>70</v>
      </c>
      <c r="AA215" s="2" t="str">
        <f>CLEAN(TRIM(Working_Sales[[#This Row],[Price per Unit]]))</f>
        <v>30</v>
      </c>
      <c r="AB215" s="2">
        <f>INT(
   SUBSTITUTE(Working_Sales[[#This Row],[Price_Per_Unit_Whitespace_Removed]],
   "$",
   ""
   )
)</f>
        <v>30</v>
      </c>
      <c r="AC215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215" s="8">
        <f>IFERROR(
   Working_Sales[[#This Row],[Price_Per_Unit_Decimal_Separator_Fixed]],
   Working_Sales[[#This Row],[Total_Amount_Converted_To_Integer]]/Working_Sales[[#This Row],[Quantity_Converted_To_Integer]]
)</f>
        <v>30</v>
      </c>
      <c r="AE215" t="s">
        <v>44</v>
      </c>
      <c r="AF215" s="2" t="str">
        <f>CLEAN(TRIM(Working_Sales[[#This Row],[Total Amount]]))</f>
        <v>120</v>
      </c>
      <c r="AG215" s="2">
        <f>INT(Working_Sales[[#This Row],[Total_Amount_Whitespace_Removed]])</f>
        <v>120</v>
      </c>
      <c r="AH21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216" spans="1:34" x14ac:dyDescent="0.35">
      <c r="A216" t="s">
        <v>544</v>
      </c>
      <c r="B216" s="6" t="str">
        <f>CLEAN(TRIM(Working_Sales[[#This Row],[Transaction ID]]))</f>
        <v>631</v>
      </c>
      <c r="C216" t="s">
        <v>545</v>
      </c>
      <c r="D216" s="2" t="str">
        <f>CLEAN(TRIM(Working_Sales[[#This Row],[Date]]))</f>
        <v>November 10, 2023</v>
      </c>
      <c r="E216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216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21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45240</v>
      </c>
      <c r="H216" t="s">
        <v>2501</v>
      </c>
      <c r="I216" s="2" t="str">
        <f>CLEAN(TRIM(Working_Sales[[#This Row],[Customer ID]]))</f>
        <v>cust178</v>
      </c>
      <c r="J21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1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CUST178</v>
      </c>
      <c r="L216" t="s">
        <v>11</v>
      </c>
      <c r="M216" s="4" t="str">
        <f>CLEAN(TRIM(Working_Sales[[#This Row],[Gender]]))</f>
        <v>MALE</v>
      </c>
      <c r="N216" s="4" t="str" cm="1">
        <f t="array" ref="N216">_xlfn.SWITCH(
   Working_Sales[[#This Row],[Gender_Whitespace_Removed]],
   "m", "Male",
   "f", "Female",
   Working_Sales[[#This Row],[Gender_Whitespace_Removed]]
)</f>
        <v>MALE</v>
      </c>
      <c r="O216" s="6" t="str">
        <f>PROPER(Working_Sales[[#This Row],[Gender_Abbreviation_Expanded]])</f>
        <v>Male</v>
      </c>
      <c r="P216">
        <v>56</v>
      </c>
      <c r="Q216" s="2" t="str">
        <f>CLEAN(TRIM(Working_Sales[[#This Row],[Age]]))</f>
        <v>56</v>
      </c>
      <c r="R216" s="6">
        <f>INT(SUBSTITUTE(Working_Sales[[#This Row],[Age_Whitespace_Removed]],".",","))</f>
        <v>56</v>
      </c>
      <c r="S216" t="s">
        <v>13</v>
      </c>
      <c r="T216" s="2" t="str">
        <f>CLEAN(TRIM(Working_Sales[[#This Row],[Product Category]]))</f>
        <v>Electronics</v>
      </c>
      <c r="U216" s="6" t="str">
        <f>PROPER(Working_Sales[[#This Row],[Product_Category_Whitespace_Removed]])</f>
        <v>Electronics</v>
      </c>
      <c r="V216" t="s">
        <v>29</v>
      </c>
      <c r="W216" s="2" t="str">
        <f>CLEAN(TRIM(Working_Sales[[#This Row],[Quantity]]))</f>
        <v>3</v>
      </c>
      <c r="X216" s="2">
        <f>INT(Working_Sales[[#This Row],[`]])</f>
        <v>3</v>
      </c>
      <c r="Y216" s="6">
        <f>IFERROR(
   Working_Sales[[#This Row],[Quantity_Converted_To_Integer]],
   Working_Sales[[#This Row],[Total_Amount_Whitespace_Removed]]/Working_Sales[[#This Row],[Price_Per_Unit_Decimal_Separator_Fixed]])</f>
        <v>3</v>
      </c>
      <c r="Z216" t="s">
        <v>70</v>
      </c>
      <c r="AA216" s="2" t="str">
        <f>CLEAN(TRIM(Working_Sales[[#This Row],[Price per Unit]]))</f>
        <v>30</v>
      </c>
      <c r="AB216" s="2">
        <f>INT(
   SUBSTITUTE(Working_Sales[[#This Row],[Price_Per_Unit_Whitespace_Removed]],
   "$",
   ""
   )
)</f>
        <v>30</v>
      </c>
      <c r="AC216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216" s="8">
        <f>IFERROR(
   Working_Sales[[#This Row],[Price_Per_Unit_Decimal_Separator_Fixed]],
   Working_Sales[[#This Row],[Total_Amount_Converted_To_Integer]]/Working_Sales[[#This Row],[Quantity_Converted_To_Integer]]
)</f>
        <v>30</v>
      </c>
      <c r="AE216" t="s">
        <v>191</v>
      </c>
      <c r="AF216" s="2" t="str">
        <f>CLEAN(TRIM(Working_Sales[[#This Row],[Total Amount]]))</f>
        <v>90</v>
      </c>
      <c r="AG216" s="2">
        <f>INT(Working_Sales[[#This Row],[Total_Amount_Whitespace_Removed]])</f>
        <v>90</v>
      </c>
      <c r="AH21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217" spans="1:34" x14ac:dyDescent="0.35">
      <c r="A217" t="s">
        <v>546</v>
      </c>
      <c r="B217" s="6" t="str">
        <f>CLEAN(TRIM(Working_Sales[[#This Row],[Transaction ID]]))</f>
        <v>98</v>
      </c>
      <c r="C217" t="s">
        <v>547</v>
      </c>
      <c r="D217" s="2" t="str">
        <f>CLEAN(TRIM(Working_Sales[[#This Row],[Date]]))</f>
        <v>23/04/2023</v>
      </c>
      <c r="E21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45039</v>
      </c>
      <c r="F21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45039</v>
      </c>
      <c r="G21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45039</v>
      </c>
      <c r="H217" t="s">
        <v>2502</v>
      </c>
      <c r="I217" s="2" t="str">
        <f>CLEAN(TRIM(Working_Sales[[#This Row],[Customer ID]]))</f>
        <v>CUST-179</v>
      </c>
      <c r="J21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1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CUST179</v>
      </c>
      <c r="L217" t="s">
        <v>140</v>
      </c>
      <c r="M217" s="4" t="str">
        <f>CLEAN(TRIM(Working_Sales[[#This Row],[Gender]]))</f>
        <v>FEMALE</v>
      </c>
      <c r="N217" s="4" t="str" cm="1">
        <f t="array" ref="N217">_xlfn.SWITCH(
   Working_Sales[[#This Row],[Gender_Whitespace_Removed]],
   "m", "Male",
   "f", "Female",
   Working_Sales[[#This Row],[Gender_Whitespace_Removed]]
)</f>
        <v>FEMALE</v>
      </c>
      <c r="O217" s="6" t="str">
        <f>PROPER(Working_Sales[[#This Row],[Gender_Abbreviation_Expanded]])</f>
        <v>Female</v>
      </c>
      <c r="P217">
        <v>55</v>
      </c>
      <c r="Q217" s="2" t="str">
        <f>CLEAN(TRIM(Working_Sales[[#This Row],[Age]]))</f>
        <v>55</v>
      </c>
      <c r="R217" s="6">
        <f>INT(SUBSTITUTE(Working_Sales[[#This Row],[Age_Whitespace_Removed]],".",","))</f>
        <v>55</v>
      </c>
      <c r="S217" t="s">
        <v>36</v>
      </c>
      <c r="T217" s="2" t="str">
        <f>CLEAN(TRIM(Working_Sales[[#This Row],[Product Category]]))</f>
        <v>Beauty</v>
      </c>
      <c r="U217" s="6" t="str">
        <f>PROPER(Working_Sales[[#This Row],[Product_Category_Whitespace_Removed]])</f>
        <v>Beauty</v>
      </c>
      <c r="V217" t="s">
        <v>37</v>
      </c>
      <c r="W217" s="2" t="str">
        <f>CLEAN(TRIM(Working_Sales[[#This Row],[Quantity]]))</f>
        <v>2</v>
      </c>
      <c r="X217" s="2">
        <f>INT(Working_Sales[[#This Row],[`]])</f>
        <v>2</v>
      </c>
      <c r="Y217" s="6">
        <f>IFERROR(
   Working_Sales[[#This Row],[Quantity_Converted_To_Integer]],
   Working_Sales[[#This Row],[Total_Amount_Whitespace_Removed]]/Working_Sales[[#This Row],[Price_Per_Unit_Decimal_Separator_Fixed]])</f>
        <v>2</v>
      </c>
      <c r="Z217" t="s">
        <v>75</v>
      </c>
      <c r="AA217" s="2" t="str">
        <f>CLEAN(TRIM(Working_Sales[[#This Row],[Price per Unit]]))</f>
        <v>50</v>
      </c>
      <c r="AB217" s="2">
        <f>INT(
   SUBSTITUTE(Working_Sales[[#This Row],[Price_Per_Unit_Whitespace_Removed]],
   "$",
   ""
   )
)</f>
        <v>50</v>
      </c>
      <c r="AC217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217" s="8">
        <f>IFERROR(
   Working_Sales[[#This Row],[Price_Per_Unit_Decimal_Separator_Fixed]],
   Working_Sales[[#This Row],[Total_Amount_Converted_To_Integer]]/Working_Sales[[#This Row],[Quantity_Converted_To_Integer]]
)</f>
        <v>50</v>
      </c>
      <c r="AE217" t="s">
        <v>38</v>
      </c>
      <c r="AF217" s="2" t="str">
        <f>CLEAN(TRIM(Working_Sales[[#This Row],[Total Amount]]))</f>
        <v>100</v>
      </c>
      <c r="AG217" s="2">
        <f>INT(Working_Sales[[#This Row],[Total_Amount_Whitespace_Removed]])</f>
        <v>100</v>
      </c>
      <c r="AH21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218" spans="1:34" x14ac:dyDescent="0.35">
      <c r="A218" t="s">
        <v>549</v>
      </c>
      <c r="B218" s="6" t="str">
        <f>CLEAN(TRIM(Working_Sales[[#This Row],[Transaction ID]]))</f>
        <v>298</v>
      </c>
      <c r="C218" t="s">
        <v>550</v>
      </c>
      <c r="D218" s="2" t="str">
        <f>CLEAN(TRIM(Working_Sales[[#This Row],[Date]]))</f>
        <v>2023-04-20</v>
      </c>
      <c r="E21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45036</v>
      </c>
      <c r="F21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45036</v>
      </c>
      <c r="G21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45036</v>
      </c>
      <c r="H218" t="s">
        <v>1001</v>
      </c>
      <c r="I218" s="2" t="str">
        <f>CLEAN(TRIM(Working_Sales[[#This Row],[Customer ID]]))</f>
        <v>CUST005</v>
      </c>
      <c r="J21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CUST005</v>
      </c>
      <c r="K21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CUST005</v>
      </c>
      <c r="L218" t="s">
        <v>34</v>
      </c>
      <c r="M218" s="4" t="str">
        <f>CLEAN(TRIM(Working_Sales[[#This Row],[Gender]]))</f>
        <v>Male</v>
      </c>
      <c r="N218" s="4" t="str" cm="1">
        <f t="array" ref="N218">_xlfn.SWITCH(
   Working_Sales[[#This Row],[Gender_Whitespace_Removed]],
   "m", "Male",
   "f", "Female",
   Working_Sales[[#This Row],[Gender_Whitespace_Removed]]
)</f>
        <v>Male</v>
      </c>
      <c r="O218" s="6" t="str">
        <f>PROPER(Working_Sales[[#This Row],[Gender_Abbreviation_Expanded]])</f>
        <v>Male</v>
      </c>
      <c r="P218">
        <v>27</v>
      </c>
      <c r="Q218" s="2" t="str">
        <f>CLEAN(TRIM(Working_Sales[[#This Row],[Age]]))</f>
        <v>27</v>
      </c>
      <c r="R218" s="6">
        <f>INT(SUBSTITUTE(Working_Sales[[#This Row],[Age_Whitespace_Removed]],".",","))</f>
        <v>27</v>
      </c>
      <c r="S218" t="s">
        <v>69</v>
      </c>
      <c r="T218" s="2" t="str">
        <f>CLEAN(TRIM(Working_Sales[[#This Row],[Product Category]]))</f>
        <v>BEAUTY</v>
      </c>
      <c r="U218" s="6" t="str">
        <f>PROPER(Working_Sales[[#This Row],[Product_Category_Whitespace_Removed]])</f>
        <v>Beauty</v>
      </c>
      <c r="V218" t="s">
        <v>14</v>
      </c>
      <c r="W218" s="2" t="str">
        <f>CLEAN(TRIM(Working_Sales[[#This Row],[Quantity]]))</f>
        <v>4</v>
      </c>
      <c r="X218" s="2">
        <f>INT(Working_Sales[[#This Row],[`]])</f>
        <v>4</v>
      </c>
      <c r="Y218" s="6">
        <f>IFERROR(
   Working_Sales[[#This Row],[Quantity_Converted_To_Integer]],
   Working_Sales[[#This Row],[Total_Amount_Whitespace_Removed]]/Working_Sales[[#This Row],[Price_Per_Unit_Decimal_Separator_Fixed]])</f>
        <v>4</v>
      </c>
      <c r="Z218" t="s">
        <v>186</v>
      </c>
      <c r="AA218" s="2" t="str">
        <f>CLEAN(TRIM(Working_Sales[[#This Row],[Price per Unit]]))</f>
        <v>$300</v>
      </c>
      <c r="AB218" s="2">
        <f>INT(
   SUBSTITUTE(Working_Sales[[#This Row],[Price_Per_Unit_Whitespace_Removed]],
   "$",
   ""
   )
)</f>
        <v>300</v>
      </c>
      <c r="AC218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218" s="8">
        <f>IFERROR(
   Working_Sales[[#This Row],[Price_Per_Unit_Decimal_Separator_Fixed]],
   Working_Sales[[#This Row],[Total_Amount_Converted_To_Integer]]/Working_Sales[[#This Row],[Quantity_Converted_To_Integer]]
)</f>
        <v>300</v>
      </c>
      <c r="AE218" t="s">
        <v>79</v>
      </c>
      <c r="AF218" s="2" t="str">
        <f>CLEAN(TRIM(Working_Sales[[#This Row],[Total Amount]]))</f>
        <v>1200</v>
      </c>
      <c r="AG218" s="2">
        <f>INT(Working_Sales[[#This Row],[Total_Amount_Whitespace_Removed]])</f>
        <v>1200</v>
      </c>
      <c r="AH21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219" spans="1:34" x14ac:dyDescent="0.35">
      <c r="A219" t="s">
        <v>552</v>
      </c>
      <c r="B219" s="6" t="str">
        <f>CLEAN(TRIM(Working_Sales[[#This Row],[Transaction ID]]))</f>
        <v>464</v>
      </c>
      <c r="C219" t="s">
        <v>553</v>
      </c>
      <c r="D219" s="2" t="str">
        <f>CLEAN(TRIM(Working_Sales[[#This Row],[Date]]))</f>
        <v>2023-01-13</v>
      </c>
      <c r="E21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44939</v>
      </c>
      <c r="F21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44939</v>
      </c>
      <c r="G21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44939</v>
      </c>
      <c r="H219" t="s">
        <v>608</v>
      </c>
      <c r="I219" s="2" t="str">
        <f>CLEAN(TRIM(Working_Sales[[#This Row],[Customer ID]]))</f>
        <v>CUST180</v>
      </c>
      <c r="J21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CUST180</v>
      </c>
      <c r="K21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CUST180</v>
      </c>
      <c r="L219" t="s">
        <v>34</v>
      </c>
      <c r="M219" s="4" t="str">
        <f>CLEAN(TRIM(Working_Sales[[#This Row],[Gender]]))</f>
        <v>Male</v>
      </c>
      <c r="N219" s="4" t="str" cm="1">
        <f t="array" ref="N219">_xlfn.SWITCH(
   Working_Sales[[#This Row],[Gender_Whitespace_Removed]],
   "m", "Male",
   "f", "Female",
   Working_Sales[[#This Row],[Gender_Whitespace_Removed]]
)</f>
        <v>Male</v>
      </c>
      <c r="O219" s="6" t="str">
        <f>PROPER(Working_Sales[[#This Row],[Gender_Abbreviation_Expanded]])</f>
        <v>Male</v>
      </c>
      <c r="P219">
        <v>38</v>
      </c>
      <c r="Q219" s="2" t="str">
        <f>CLEAN(TRIM(Working_Sales[[#This Row],[Age]]))</f>
        <v>38</v>
      </c>
      <c r="R219" s="6">
        <f>INT(SUBSTITUTE(Working_Sales[[#This Row],[Age_Whitespace_Removed]],".",","))</f>
        <v>38</v>
      </c>
      <c r="S219" t="s">
        <v>13</v>
      </c>
      <c r="T219" s="2" t="str">
        <f>CLEAN(TRIM(Working_Sales[[#This Row],[Product Category]]))</f>
        <v>Electronics</v>
      </c>
      <c r="U219" s="6" t="str">
        <f>PROPER(Working_Sales[[#This Row],[Product_Category_Whitespace_Removed]])</f>
        <v>Electronics</v>
      </c>
      <c r="V219" t="s">
        <v>37</v>
      </c>
      <c r="W219" s="2" t="str">
        <f>CLEAN(TRIM(Working_Sales[[#This Row],[Quantity]]))</f>
        <v>2</v>
      </c>
      <c r="X219" s="2">
        <f>INT(Working_Sales[[#This Row],[`]])</f>
        <v>2</v>
      </c>
      <c r="Y219" s="6">
        <f>IFERROR(
   Working_Sales[[#This Row],[Quantity_Converted_To_Integer]],
   Working_Sales[[#This Row],[Total_Amount_Whitespace_Removed]]/Working_Sales[[#This Row],[Price_Per_Unit_Decimal_Separator_Fixed]])</f>
        <v>2</v>
      </c>
      <c r="Z219" t="s">
        <v>23</v>
      </c>
      <c r="AA219" s="2" t="str">
        <f>CLEAN(TRIM(Working_Sales[[#This Row],[Price per Unit]]))</f>
        <v>300</v>
      </c>
      <c r="AB219" s="2">
        <f>INT(
   SUBSTITUTE(Working_Sales[[#This Row],[Price_Per_Unit_Whitespace_Removed]],
   "$",
   ""
   )
)</f>
        <v>300</v>
      </c>
      <c r="AC219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219" s="8">
        <f>IFERROR(
   Working_Sales[[#This Row],[Price_Per_Unit_Decimal_Separator_Fixed]],
   Working_Sales[[#This Row],[Total_Amount_Converted_To_Integer]]/Working_Sales[[#This Row],[Quantity_Converted_To_Integer]]
)</f>
        <v>300</v>
      </c>
      <c r="AE219" t="s">
        <v>107</v>
      </c>
      <c r="AF219" s="2" t="str">
        <f>CLEAN(TRIM(Working_Sales[[#This Row],[Total Amount]]))</f>
        <v>600</v>
      </c>
      <c r="AG219" s="2">
        <f>INT(Working_Sales[[#This Row],[Total_Amount_Whitespace_Removed]])</f>
        <v>600</v>
      </c>
      <c r="AH21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600</v>
      </c>
    </row>
    <row r="220" spans="1:34" x14ac:dyDescent="0.35">
      <c r="A220" t="s">
        <v>555</v>
      </c>
      <c r="B220" s="6" t="str">
        <f>CLEAN(TRIM(Working_Sales[[#This Row],[Transaction ID]]))</f>
        <v>443</v>
      </c>
      <c r="C220" t="s">
        <v>2054</v>
      </c>
      <c r="D220" s="2" t="str">
        <f>CLEAN(TRIM(Working_Sales[[#This Row],[Date]]))</f>
        <v>09-Aug-2023</v>
      </c>
      <c r="E22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45147</v>
      </c>
      <c r="F22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45147</v>
      </c>
      <c r="G22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45147</v>
      </c>
      <c r="H220" t="s">
        <v>2503</v>
      </c>
      <c r="I220" s="2" t="str">
        <f>CLEAN(TRIM(Working_Sales[[#This Row],[Customer ID]]))</f>
        <v>CUST181</v>
      </c>
      <c r="J22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CUST181</v>
      </c>
      <c r="K22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CUST181</v>
      </c>
      <c r="L220" t="s">
        <v>34</v>
      </c>
      <c r="M220" s="4" t="str">
        <f>CLEAN(TRIM(Working_Sales[[#This Row],[Gender]]))</f>
        <v>Male</v>
      </c>
      <c r="N220" s="4" t="str" cm="1">
        <f t="array" ref="N220">_xlfn.SWITCH(
   Working_Sales[[#This Row],[Gender_Whitespace_Removed]],
   "m", "Male",
   "f", "Female",
   Working_Sales[[#This Row],[Gender_Whitespace_Removed]]
)</f>
        <v>Male</v>
      </c>
      <c r="O220" s="6" t="str">
        <f>PROPER(Working_Sales[[#This Row],[Gender_Abbreviation_Expanded]])</f>
        <v>Male</v>
      </c>
      <c r="P220">
        <v>29</v>
      </c>
      <c r="Q220" s="2" t="str">
        <f>CLEAN(TRIM(Working_Sales[[#This Row],[Age]]))</f>
        <v>29</v>
      </c>
      <c r="R220" s="6">
        <f>INT(SUBSTITUTE(Working_Sales[[#This Row],[Age_Whitespace_Removed]],".",","))</f>
        <v>29</v>
      </c>
      <c r="S220" t="s">
        <v>56</v>
      </c>
      <c r="T220" s="2" t="str">
        <f>CLEAN(TRIM(Working_Sales[[#This Row],[Product Category]]))</f>
        <v>Clothing</v>
      </c>
      <c r="U220" s="6" t="str">
        <f>PROPER(Working_Sales[[#This Row],[Product_Category_Whitespace_Removed]])</f>
        <v>Clothing</v>
      </c>
      <c r="V220" t="s">
        <v>37</v>
      </c>
      <c r="W220" s="2" t="str">
        <f>CLEAN(TRIM(Working_Sales[[#This Row],[Quantity]]))</f>
        <v>2</v>
      </c>
      <c r="X220" s="2">
        <f>INT(Working_Sales[[#This Row],[`]])</f>
        <v>2</v>
      </c>
      <c r="Y220" s="6">
        <f>IFERROR(
   Working_Sales[[#This Row],[Quantity_Converted_To_Integer]],
   Working_Sales[[#This Row],[Total_Amount_Whitespace_Removed]]/Working_Sales[[#This Row],[Price_Per_Unit_Decimal_Separator_Fixed]])</f>
        <v>2</v>
      </c>
      <c r="Z220" t="s">
        <v>23</v>
      </c>
      <c r="AA220" s="2" t="str">
        <f>CLEAN(TRIM(Working_Sales[[#This Row],[Price per Unit]]))</f>
        <v>300</v>
      </c>
      <c r="AB220" s="2">
        <f>INT(
   SUBSTITUTE(Working_Sales[[#This Row],[Price_Per_Unit_Whitespace_Removed]],
   "$",
   ""
   )
)</f>
        <v>300</v>
      </c>
      <c r="AC220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220" s="8">
        <f>IFERROR(
   Working_Sales[[#This Row],[Price_Per_Unit_Decimal_Separator_Fixed]],
   Working_Sales[[#This Row],[Total_Amount_Converted_To_Integer]]/Working_Sales[[#This Row],[Quantity_Converted_To_Integer]]
)</f>
        <v>300</v>
      </c>
      <c r="AE220" t="s">
        <v>107</v>
      </c>
      <c r="AF220" s="2" t="str">
        <f>CLEAN(TRIM(Working_Sales[[#This Row],[Total Amount]]))</f>
        <v>600</v>
      </c>
      <c r="AG220" s="2">
        <f>INT(Working_Sales[[#This Row],[Total_Amount_Whitespace_Removed]])</f>
        <v>600</v>
      </c>
      <c r="AH22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600</v>
      </c>
    </row>
    <row r="221" spans="1:34" x14ac:dyDescent="0.35">
      <c r="A221" t="s">
        <v>23</v>
      </c>
      <c r="B221" s="6" t="str">
        <f>CLEAN(TRIM(Working_Sales[[#This Row],[Transaction ID]]))</f>
        <v>300</v>
      </c>
      <c r="C221" t="s">
        <v>2055</v>
      </c>
      <c r="D221" s="2" t="str">
        <f>CLEAN(TRIM(Working_Sales[[#This Row],[Date]]))</f>
        <v>01/31/2023</v>
      </c>
      <c r="E221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22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44957</v>
      </c>
      <c r="G22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44957</v>
      </c>
      <c r="H221" t="s">
        <v>2504</v>
      </c>
      <c r="I221" s="2" t="str">
        <f>CLEAN(TRIM(Working_Sales[[#This Row],[Customer ID]]))</f>
        <v>cust182</v>
      </c>
      <c r="J22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2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CUST182</v>
      </c>
      <c r="L221" t="s">
        <v>26</v>
      </c>
      <c r="M221" s="4" t="str">
        <f>CLEAN(TRIM(Working_Sales[[#This Row],[Gender]]))</f>
        <v>Female</v>
      </c>
      <c r="N221" s="4" t="str" cm="1">
        <f t="array" ref="N221">_xlfn.SWITCH(
   Working_Sales[[#This Row],[Gender_Whitespace_Removed]],
   "m", "Male",
   "f", "Female",
   Working_Sales[[#This Row],[Gender_Whitespace_Removed]]
)</f>
        <v>Female</v>
      </c>
      <c r="O221" s="6" t="str">
        <f>PROPER(Working_Sales[[#This Row],[Gender_Abbreviation_Expanded]])</f>
        <v>Female</v>
      </c>
      <c r="P221">
        <v>19</v>
      </c>
      <c r="Q221" s="2" t="str">
        <f>CLEAN(TRIM(Working_Sales[[#This Row],[Age]]))</f>
        <v>19</v>
      </c>
      <c r="R221" s="6">
        <f>INT(SUBSTITUTE(Working_Sales[[#This Row],[Age_Whitespace_Removed]],".",","))</f>
        <v>19</v>
      </c>
      <c r="S221" t="s">
        <v>48</v>
      </c>
      <c r="T221" s="2" t="str">
        <f>CLEAN(TRIM(Working_Sales[[#This Row],[Product Category]]))</f>
        <v>electronics</v>
      </c>
      <c r="U221" s="6" t="str">
        <f>PROPER(Working_Sales[[#This Row],[Product_Category_Whitespace_Removed]])</f>
        <v>Electronics</v>
      </c>
      <c r="V221" t="s">
        <v>14</v>
      </c>
      <c r="W221" s="2" t="str">
        <f>CLEAN(TRIM(Working_Sales[[#This Row],[Quantity]]))</f>
        <v>4</v>
      </c>
      <c r="X221" s="2">
        <f>INT(Working_Sales[[#This Row],[`]])</f>
        <v>4</v>
      </c>
      <c r="Y221" s="6">
        <f>IFERROR(
   Working_Sales[[#This Row],[Quantity_Converted_To_Integer]],
   Working_Sales[[#This Row],[Total_Amount_Whitespace_Removed]]/Working_Sales[[#This Row],[Price_Per_Unit_Decimal_Separator_Fixed]])</f>
        <v>4</v>
      </c>
      <c r="Z221" t="s">
        <v>15</v>
      </c>
      <c r="AA221" s="2" t="str">
        <f>CLEAN(TRIM(Working_Sales[[#This Row],[Price per Unit]]))</f>
        <v>50</v>
      </c>
      <c r="AB221" s="2">
        <f>INT(
   SUBSTITUTE(Working_Sales[[#This Row],[Price_Per_Unit_Whitespace_Removed]],
   "$",
   ""
   )
)</f>
        <v>50</v>
      </c>
      <c r="AC221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221" s="8">
        <f>IFERROR(
   Working_Sales[[#This Row],[Price_Per_Unit_Decimal_Separator_Fixed]],
   Working_Sales[[#This Row],[Total_Amount_Converted_To_Integer]]/Working_Sales[[#This Row],[Quantity_Converted_To_Integer]]
)</f>
        <v>50</v>
      </c>
      <c r="AE221" t="s">
        <v>16</v>
      </c>
      <c r="AF221" s="2" t="str">
        <f>CLEAN(TRIM(Working_Sales[[#This Row],[Total Amount]]))</f>
        <v>200</v>
      </c>
      <c r="AG221" s="2">
        <f>INT(Working_Sales[[#This Row],[Total_Amount_Whitespace_Removed]])</f>
        <v>200</v>
      </c>
      <c r="AH22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222" spans="1:34" x14ac:dyDescent="0.35">
      <c r="A222" t="s">
        <v>559</v>
      </c>
      <c r="B222" s="6" t="str">
        <f>CLEAN(TRIM(Working_Sales[[#This Row],[Transaction ID]]))</f>
        <v>128</v>
      </c>
      <c r="C222" t="s">
        <v>560</v>
      </c>
      <c r="D222" s="2" t="str">
        <f>CLEAN(TRIM(Working_Sales[[#This Row],[Date]]))</f>
        <v>July 05, 2023</v>
      </c>
      <c r="E222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222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22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45112</v>
      </c>
      <c r="H222" t="s">
        <v>2505</v>
      </c>
      <c r="I222" s="2" t="str">
        <f>CLEAN(TRIM(Working_Sales[[#This Row],[Customer ID]]))</f>
        <v>CUST183</v>
      </c>
      <c r="J22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CUST183</v>
      </c>
      <c r="K22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CUST183</v>
      </c>
      <c r="L222" t="s">
        <v>34</v>
      </c>
      <c r="M222" s="4" t="str">
        <f>CLEAN(TRIM(Working_Sales[[#This Row],[Gender]]))</f>
        <v>Male</v>
      </c>
      <c r="N222" s="4" t="str" cm="1">
        <f t="array" ref="N222">_xlfn.SWITCH(
   Working_Sales[[#This Row],[Gender_Whitespace_Removed]],
   "m", "Male",
   "f", "Female",
   Working_Sales[[#This Row],[Gender_Whitespace_Removed]]
)</f>
        <v>Male</v>
      </c>
      <c r="O222" s="6" t="str">
        <f>PROPER(Working_Sales[[#This Row],[Gender_Abbreviation_Expanded]])</f>
        <v>Male</v>
      </c>
      <c r="P222">
        <v>25</v>
      </c>
      <c r="Q222" s="2" t="str">
        <f>CLEAN(TRIM(Working_Sales[[#This Row],[Age]]))</f>
        <v>25</v>
      </c>
      <c r="R222" s="6">
        <f>INT(SUBSTITUTE(Working_Sales[[#This Row],[Age_Whitespace_Removed]],".",","))</f>
        <v>25</v>
      </c>
      <c r="S222" t="s">
        <v>62</v>
      </c>
      <c r="T222" s="2" t="str">
        <f>CLEAN(TRIM(Working_Sales[[#This Row],[Product Category]]))</f>
        <v>beauty</v>
      </c>
      <c r="U222" s="6" t="str">
        <f>PROPER(Working_Sales[[#This Row],[Product_Category_Whitespace_Removed]])</f>
        <v>Beauty</v>
      </c>
      <c r="V222" t="s">
        <v>22</v>
      </c>
      <c r="W222" s="2" t="str">
        <f>CLEAN(TRIM(Working_Sales[[#This Row],[Quantity]]))</f>
        <v>1</v>
      </c>
      <c r="X222" s="2">
        <f>INT(Working_Sales[[#This Row],[`]])</f>
        <v>1</v>
      </c>
      <c r="Y222" s="6">
        <f>IFERROR(
   Working_Sales[[#This Row],[Quantity_Converted_To_Integer]],
   Working_Sales[[#This Row],[Total_Amount_Whitespace_Removed]]/Working_Sales[[#This Row],[Price_Per_Unit_Decimal_Separator_Fixed]])</f>
        <v>1</v>
      </c>
      <c r="Z222" t="s">
        <v>57</v>
      </c>
      <c r="AA222" s="2" t="str">
        <f>CLEAN(TRIM(Working_Sales[[#This Row],[Price per Unit]]))</f>
        <v>500</v>
      </c>
      <c r="AB222" s="2">
        <f>INT(
   SUBSTITUTE(Working_Sales[[#This Row],[Price_Per_Unit_Whitespace_Removed]],
   "$",
   ""
   )
)</f>
        <v>500</v>
      </c>
      <c r="AC222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222" s="8">
        <f>IFERROR(
   Working_Sales[[#This Row],[Price_Per_Unit_Decimal_Separator_Fixed]],
   Working_Sales[[#This Row],[Total_Amount_Converted_To_Integer]]/Working_Sales[[#This Row],[Quantity_Converted_To_Integer]]
)</f>
        <v>500</v>
      </c>
      <c r="AE222" t="s">
        <v>57</v>
      </c>
      <c r="AF222" s="2" t="str">
        <f>CLEAN(TRIM(Working_Sales[[#This Row],[Total Amount]]))</f>
        <v>500</v>
      </c>
      <c r="AG222" s="2">
        <f>INT(Working_Sales[[#This Row],[Total_Amount_Whitespace_Removed]])</f>
        <v>500</v>
      </c>
      <c r="AH22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223" spans="1:34" x14ac:dyDescent="0.35">
      <c r="A223" t="s">
        <v>561</v>
      </c>
      <c r="B223" s="6" t="str">
        <f>CLEAN(TRIM(Working_Sales[[#This Row],[Transaction ID]]))</f>
        <v>390</v>
      </c>
      <c r="C223" t="s">
        <v>562</v>
      </c>
      <c r="D223" s="2" t="str">
        <f>CLEAN(TRIM(Working_Sales[[#This Row],[Date]]))</f>
        <v>09/28/2023</v>
      </c>
      <c r="E223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22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45197</v>
      </c>
      <c r="G22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45197</v>
      </c>
      <c r="H223" t="s">
        <v>2506</v>
      </c>
      <c r="I223" s="2" t="str">
        <f>CLEAN(TRIM(Working_Sales[[#This Row],[Customer ID]]))</f>
        <v>CUST184</v>
      </c>
      <c r="J22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CUST184</v>
      </c>
      <c r="K22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CUST184</v>
      </c>
      <c r="L223" t="s">
        <v>34</v>
      </c>
      <c r="M223" s="4" t="str">
        <f>CLEAN(TRIM(Working_Sales[[#This Row],[Gender]]))</f>
        <v>Male</v>
      </c>
      <c r="N223" s="4" t="str" cm="1">
        <f t="array" ref="N223">_xlfn.SWITCH(
   Working_Sales[[#This Row],[Gender_Whitespace_Removed]],
   "m", "Male",
   "f", "Female",
   Working_Sales[[#This Row],[Gender_Whitespace_Removed]]
)</f>
        <v>Male</v>
      </c>
      <c r="O223" s="6" t="str">
        <f>PROPER(Working_Sales[[#This Row],[Gender_Abbreviation_Expanded]])</f>
        <v>Male</v>
      </c>
      <c r="P223">
        <v>39</v>
      </c>
      <c r="Q223" s="2" t="str">
        <f>CLEAN(TRIM(Working_Sales[[#This Row],[Age]]))</f>
        <v>39</v>
      </c>
      <c r="R223" s="6">
        <f>INT(SUBSTITUTE(Working_Sales[[#This Row],[Age_Whitespace_Removed]],".",","))</f>
        <v>39</v>
      </c>
      <c r="S223" t="s">
        <v>13</v>
      </c>
      <c r="T223" s="2" t="str">
        <f>CLEAN(TRIM(Working_Sales[[#This Row],[Product Category]]))</f>
        <v>Electronics</v>
      </c>
      <c r="U223" s="6" t="str">
        <f>PROPER(Working_Sales[[#This Row],[Product_Category_Whitespace_Removed]])</f>
        <v>Electronics</v>
      </c>
      <c r="V223" t="s">
        <v>37</v>
      </c>
      <c r="W223" s="2" t="str">
        <f>CLEAN(TRIM(Working_Sales[[#This Row],[Quantity]]))</f>
        <v>2</v>
      </c>
      <c r="X223" s="2">
        <f>INT(Working_Sales[[#This Row],[`]])</f>
        <v>2</v>
      </c>
      <c r="Y223" s="6">
        <f>IFERROR(
   Working_Sales[[#This Row],[Quantity_Converted_To_Integer]],
   Working_Sales[[#This Row],[Total_Amount_Whitespace_Removed]]/Working_Sales[[#This Row],[Price_Per_Unit_Decimal_Separator_Fixed]])</f>
        <v>2</v>
      </c>
      <c r="Z223" t="s">
        <v>15</v>
      </c>
      <c r="AA223" s="2" t="str">
        <f>CLEAN(TRIM(Working_Sales[[#This Row],[Price per Unit]]))</f>
        <v>50</v>
      </c>
      <c r="AB223" s="2">
        <f>INT(
   SUBSTITUTE(Working_Sales[[#This Row],[Price_Per_Unit_Whitespace_Removed]],
   "$",
   ""
   )
)</f>
        <v>50</v>
      </c>
      <c r="AC223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223" s="8">
        <f>IFERROR(
   Working_Sales[[#This Row],[Price_Per_Unit_Decimal_Separator_Fixed]],
   Working_Sales[[#This Row],[Total_Amount_Converted_To_Integer]]/Working_Sales[[#This Row],[Quantity_Converted_To_Integer]]
)</f>
        <v>50</v>
      </c>
      <c r="AE223" t="s">
        <v>38</v>
      </c>
      <c r="AF223" s="2" t="str">
        <f>CLEAN(TRIM(Working_Sales[[#This Row],[Total Amount]]))</f>
        <v>100</v>
      </c>
      <c r="AG223" s="2">
        <f>INT(Working_Sales[[#This Row],[Total_Amount_Whitespace_Removed]])</f>
        <v>100</v>
      </c>
      <c r="AH22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224" spans="1:34" x14ac:dyDescent="0.35">
      <c r="A224" t="s">
        <v>563</v>
      </c>
      <c r="B224" s="6" t="str">
        <f>CLEAN(TRIM(Working_Sales[[#This Row],[Transaction ID]]))</f>
        <v>467</v>
      </c>
      <c r="C224" t="s">
        <v>564</v>
      </c>
      <c r="D224" s="2" t="str">
        <f>CLEAN(TRIM(Working_Sales[[#This Row],[Date]]))</f>
        <v>2023-07-30</v>
      </c>
      <c r="E22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45137</v>
      </c>
      <c r="F22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45137</v>
      </c>
      <c r="G22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45137</v>
      </c>
      <c r="H224" t="s">
        <v>2507</v>
      </c>
      <c r="I224" s="2" t="str">
        <f>CLEAN(TRIM(Working_Sales[[#This Row],[Customer ID]]))</f>
        <v>CUST-185</v>
      </c>
      <c r="J22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2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CUST185</v>
      </c>
      <c r="L224" t="s">
        <v>26</v>
      </c>
      <c r="M224" s="4" t="str">
        <f>CLEAN(TRIM(Working_Sales[[#This Row],[Gender]]))</f>
        <v>Female</v>
      </c>
      <c r="N224" s="4" t="str" cm="1">
        <f t="array" ref="N224">_xlfn.SWITCH(
   Working_Sales[[#This Row],[Gender_Whitespace_Removed]],
   "m", "Male",
   "f", "Female",
   Working_Sales[[#This Row],[Gender_Whitespace_Removed]]
)</f>
        <v>Female</v>
      </c>
      <c r="O224" s="6" t="str">
        <f>PROPER(Working_Sales[[#This Row],[Gender_Abbreviation_Expanded]])</f>
        <v>Female</v>
      </c>
      <c r="P224">
        <v>53</v>
      </c>
      <c r="Q224" s="2" t="str">
        <f>CLEAN(TRIM(Working_Sales[[#This Row],[Age]]))</f>
        <v>53</v>
      </c>
      <c r="R224" s="6">
        <f>INT(SUBSTITUTE(Working_Sales[[#This Row],[Age_Whitespace_Removed]],".",","))</f>
        <v>53</v>
      </c>
      <c r="S224" t="s">
        <v>13</v>
      </c>
      <c r="T224" s="2" t="str">
        <f>CLEAN(TRIM(Working_Sales[[#This Row],[Product Category]]))</f>
        <v>Electronics</v>
      </c>
      <c r="U224" s="6" t="str">
        <f>PROPER(Working_Sales[[#This Row],[Product_Category_Whitespace_Removed]])</f>
        <v>Electronics</v>
      </c>
      <c r="V224" t="s">
        <v>29</v>
      </c>
      <c r="W224" s="2" t="str">
        <f>CLEAN(TRIM(Working_Sales[[#This Row],[Quantity]]))</f>
        <v>3</v>
      </c>
      <c r="X224" s="2">
        <f>INT(Working_Sales[[#This Row],[`]])</f>
        <v>3</v>
      </c>
      <c r="Y224" s="6">
        <f>IFERROR(
   Working_Sales[[#This Row],[Quantity_Converted_To_Integer]],
   Working_Sales[[#This Row],[Total_Amount_Whitespace_Removed]]/Working_Sales[[#This Row],[Price_Per_Unit_Decimal_Separator_Fixed]])</f>
        <v>3</v>
      </c>
      <c r="Z224" t="s">
        <v>96</v>
      </c>
      <c r="AA224" s="2" t="str">
        <f>CLEAN(TRIM(Working_Sales[[#This Row],[Price per Unit]]))</f>
        <v>$50</v>
      </c>
      <c r="AB224" s="2">
        <f>INT(
   SUBSTITUTE(Working_Sales[[#This Row],[Price_Per_Unit_Whitespace_Removed]],
   "$",
   ""
   )
)</f>
        <v>50</v>
      </c>
      <c r="AC224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224" s="8">
        <f>IFERROR(
   Working_Sales[[#This Row],[Price_Per_Unit_Decimal_Separator_Fixed]],
   Working_Sales[[#This Row],[Total_Amount_Converted_To_Integer]]/Working_Sales[[#This Row],[Quantity_Converted_To_Integer]]
)</f>
        <v>50</v>
      </c>
      <c r="AE224" t="s">
        <v>130</v>
      </c>
      <c r="AF224" s="2" t="str">
        <f>CLEAN(TRIM(Working_Sales[[#This Row],[Total Amount]]))</f>
        <v>150</v>
      </c>
      <c r="AG224" s="2">
        <f>INT(Working_Sales[[#This Row],[Total_Amount_Whitespace_Removed]])</f>
        <v>150</v>
      </c>
      <c r="AH22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225" spans="1:34" x14ac:dyDescent="0.35">
      <c r="A225" t="s">
        <v>566</v>
      </c>
      <c r="B225" s="6" t="str">
        <f>CLEAN(TRIM(Working_Sales[[#This Row],[Transaction ID]]))</f>
        <v>340</v>
      </c>
      <c r="C225" t="s">
        <v>567</v>
      </c>
      <c r="D225" s="2" t="str">
        <f>CLEAN(TRIM(Working_Sales[[#This Row],[Date]]))</f>
        <v>2023-10-19</v>
      </c>
      <c r="E22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45218</v>
      </c>
      <c r="F22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45218</v>
      </c>
      <c r="G22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45218</v>
      </c>
      <c r="H225" t="s">
        <v>2508</v>
      </c>
      <c r="I225" s="2" t="str">
        <f>CLEAN(TRIM(Working_Sales[[#This Row],[Customer ID]]))</f>
        <v>CUST-186</v>
      </c>
      <c r="J22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2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CUST186</v>
      </c>
      <c r="L225" t="s">
        <v>26</v>
      </c>
      <c r="M225" s="4" t="str">
        <f>CLEAN(TRIM(Working_Sales[[#This Row],[Gender]]))</f>
        <v>Female</v>
      </c>
      <c r="N225" s="4" t="str" cm="1">
        <f t="array" ref="N225">_xlfn.SWITCH(
   Working_Sales[[#This Row],[Gender_Whitespace_Removed]],
   "m", "Male",
   "f", "Female",
   Working_Sales[[#This Row],[Gender_Whitespace_Removed]]
)</f>
        <v>Female</v>
      </c>
      <c r="O225" s="6" t="str">
        <f>PROPER(Working_Sales[[#This Row],[Gender_Abbreviation_Expanded]])</f>
        <v>Female</v>
      </c>
      <c r="P225">
        <v>36</v>
      </c>
      <c r="Q225" s="2" t="str">
        <f>CLEAN(TRIM(Working_Sales[[#This Row],[Age]]))</f>
        <v>36</v>
      </c>
      <c r="R225" s="6">
        <f>INT(SUBSTITUTE(Working_Sales[[#This Row],[Age_Whitespace_Removed]],".",","))</f>
        <v>36</v>
      </c>
      <c r="S225" t="s">
        <v>56</v>
      </c>
      <c r="T225" s="2" t="str">
        <f>CLEAN(TRIM(Working_Sales[[#This Row],[Product Category]]))</f>
        <v>Clothing</v>
      </c>
      <c r="U225" s="6" t="str">
        <f>PROPER(Working_Sales[[#This Row],[Product_Category_Whitespace_Removed]])</f>
        <v>Clothing</v>
      </c>
      <c r="V225" t="s">
        <v>14</v>
      </c>
      <c r="W225" s="2" t="str">
        <f>CLEAN(TRIM(Working_Sales[[#This Row],[Quantity]]))</f>
        <v>4</v>
      </c>
      <c r="X225" s="2">
        <f>INT(Working_Sales[[#This Row],[`]])</f>
        <v>4</v>
      </c>
      <c r="Y225" s="6">
        <f>IFERROR(
   Working_Sales[[#This Row],[Quantity_Converted_To_Integer]],
   Working_Sales[[#This Row],[Total_Amount_Whitespace_Removed]]/Working_Sales[[#This Row],[Price_Per_Unit_Decimal_Separator_Fixed]])</f>
        <v>4</v>
      </c>
      <c r="Z225" t="s">
        <v>288</v>
      </c>
      <c r="AA225" s="2" t="str">
        <f>CLEAN(TRIM(Working_Sales[[#This Row],[Price per Unit]]))</f>
        <v>300.00</v>
      </c>
      <c r="AB225" s="2" t="e">
        <f>INT(
   SUBSTITUTE(Working_Sales[[#This Row],[Price_Per_Unit_Whitespace_Removed]],
   "$",
   ""
   )
)</f>
        <v>#VALUE!</v>
      </c>
      <c r="AC225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225" s="8">
        <f>IFERROR(
   Working_Sales[[#This Row],[Price_Per_Unit_Decimal_Separator_Fixed]],
   Working_Sales[[#This Row],[Total_Amount_Converted_To_Integer]]/Working_Sales[[#This Row],[Quantity_Converted_To_Integer]]
)</f>
        <v>300</v>
      </c>
      <c r="AE225" t="s">
        <v>79</v>
      </c>
      <c r="AF225" s="2" t="str">
        <f>CLEAN(TRIM(Working_Sales[[#This Row],[Total Amount]]))</f>
        <v>1200</v>
      </c>
      <c r="AG225" s="2">
        <f>INT(Working_Sales[[#This Row],[Total_Amount_Whitespace_Removed]])</f>
        <v>1200</v>
      </c>
      <c r="AH22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226" spans="1:34" x14ac:dyDescent="0.35">
      <c r="A226" t="s">
        <v>569</v>
      </c>
      <c r="B226" s="6" t="str">
        <f>CLEAN(TRIM(Working_Sales[[#This Row],[Transaction ID]]))</f>
        <v>628</v>
      </c>
      <c r="C226" t="s">
        <v>570</v>
      </c>
      <c r="D226" s="2" t="str">
        <f>CLEAN(TRIM(Working_Sales[[#This Row],[Date]]))</f>
        <v>2023-11-01</v>
      </c>
      <c r="E22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45231</v>
      </c>
      <c r="F22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45231</v>
      </c>
      <c r="G22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45231</v>
      </c>
      <c r="H226" t="s">
        <v>2511</v>
      </c>
      <c r="I226" s="2" t="str">
        <f>CLEAN(TRIM(Working_Sales[[#This Row],[Customer ID]]))</f>
        <v>CUST189</v>
      </c>
      <c r="J22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CUST189</v>
      </c>
      <c r="K22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CUST189</v>
      </c>
      <c r="L226" t="s">
        <v>26</v>
      </c>
      <c r="M226" s="4" t="str">
        <f>CLEAN(TRIM(Working_Sales[[#This Row],[Gender]]))</f>
        <v>Female</v>
      </c>
      <c r="N226" s="4" t="str" cm="1">
        <f t="array" ref="N226">_xlfn.SWITCH(
   Working_Sales[[#This Row],[Gender_Whitespace_Removed]],
   "m", "Male",
   "f", "Female",
   Working_Sales[[#This Row],[Gender_Whitespace_Removed]]
)</f>
        <v>Female</v>
      </c>
      <c r="O226" s="6" t="str">
        <f>PROPER(Working_Sales[[#This Row],[Gender_Abbreviation_Expanded]])</f>
        <v>Female</v>
      </c>
      <c r="P226">
        <v>19</v>
      </c>
      <c r="Q226" s="2" t="str">
        <f>CLEAN(TRIM(Working_Sales[[#This Row],[Age]]))</f>
        <v>19</v>
      </c>
      <c r="R226" s="6">
        <f>INT(SUBSTITUTE(Working_Sales[[#This Row],[Age_Whitespace_Removed]],".",","))</f>
        <v>19</v>
      </c>
      <c r="S226" t="s">
        <v>42</v>
      </c>
      <c r="T226" s="2" t="str">
        <f>CLEAN(TRIM(Working_Sales[[#This Row],[Product Category]]))</f>
        <v>Beauty</v>
      </c>
      <c r="U226" s="6" t="str">
        <f>PROPER(Working_Sales[[#This Row],[Product_Category_Whitespace_Removed]])</f>
        <v>Beauty</v>
      </c>
      <c r="V226" t="s">
        <v>14</v>
      </c>
      <c r="W226" s="2" t="str">
        <f>CLEAN(TRIM(Working_Sales[[#This Row],[Quantity]]))</f>
        <v>4</v>
      </c>
      <c r="X226" s="2">
        <f>INT(Working_Sales[[#This Row],[`]])</f>
        <v>4</v>
      </c>
      <c r="Y226" s="6">
        <f>IFERROR(
   Working_Sales[[#This Row],[Quantity_Converted_To_Integer]],
   Working_Sales[[#This Row],[Total_Amount_Whitespace_Removed]]/Working_Sales[[#This Row],[Price_Per_Unit_Decimal_Separator_Fixed]])</f>
        <v>4</v>
      </c>
      <c r="Z226" t="s">
        <v>15</v>
      </c>
      <c r="AA226" s="2" t="str">
        <f>CLEAN(TRIM(Working_Sales[[#This Row],[Price per Unit]]))</f>
        <v>50</v>
      </c>
      <c r="AB226" s="2">
        <f>INT(
   SUBSTITUTE(Working_Sales[[#This Row],[Price_Per_Unit_Whitespace_Removed]],
   "$",
   ""
   )
)</f>
        <v>50</v>
      </c>
      <c r="AC226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226" s="8">
        <f>IFERROR(
   Working_Sales[[#This Row],[Price_Per_Unit_Decimal_Separator_Fixed]],
   Working_Sales[[#This Row],[Total_Amount_Converted_To_Integer]]/Working_Sales[[#This Row],[Quantity_Converted_To_Integer]]
)</f>
        <v>50</v>
      </c>
      <c r="AE226" t="s">
        <v>16</v>
      </c>
      <c r="AF226" s="2" t="str">
        <f>CLEAN(TRIM(Working_Sales[[#This Row],[Total Amount]]))</f>
        <v>200</v>
      </c>
      <c r="AG226" s="2">
        <f>INT(Working_Sales[[#This Row],[Total_Amount_Whitespace_Removed]])</f>
        <v>200</v>
      </c>
      <c r="AH22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227" spans="1:34" x14ac:dyDescent="0.35">
      <c r="A227" t="s">
        <v>571</v>
      </c>
      <c r="B227" s="6" t="str">
        <f>CLEAN(TRIM(Working_Sales[[#This Row],[Transaction ID]]))</f>
        <v>418</v>
      </c>
      <c r="C227" t="s">
        <v>1062</v>
      </c>
      <c r="D227" s="2" t="str">
        <f>CLEAN(TRIM(Working_Sales[[#This Row],[Date]]))</f>
        <v>05-Aug-2023</v>
      </c>
      <c r="E22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45143</v>
      </c>
      <c r="F22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45143</v>
      </c>
      <c r="G22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45143</v>
      </c>
      <c r="H227" t="s">
        <v>2512</v>
      </c>
      <c r="I227" s="2" t="str">
        <f>CLEAN(TRIM(Working_Sales[[#This Row],[Customer ID]]))</f>
        <v>cust190</v>
      </c>
      <c r="J22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2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CUST190</v>
      </c>
      <c r="L227" t="s">
        <v>26</v>
      </c>
      <c r="M227" s="4" t="str">
        <f>CLEAN(TRIM(Working_Sales[[#This Row],[Gender]]))</f>
        <v>Female</v>
      </c>
      <c r="N227" s="4" t="str" cm="1">
        <f t="array" ref="N227">_xlfn.SWITCH(
   Working_Sales[[#This Row],[Gender_Whitespace_Removed]],
   "m", "Male",
   "f", "Female",
   Working_Sales[[#This Row],[Gender_Whitespace_Removed]]
)</f>
        <v>Female</v>
      </c>
      <c r="O227" s="6" t="str">
        <f>PROPER(Working_Sales[[#This Row],[Gender_Abbreviation_Expanded]])</f>
        <v>Female</v>
      </c>
      <c r="P227">
        <v>60</v>
      </c>
      <c r="Q227" s="2" t="str">
        <f>CLEAN(TRIM(Working_Sales[[#This Row],[Age]]))</f>
        <v>60</v>
      </c>
      <c r="R227" s="6">
        <f>INT(SUBSTITUTE(Working_Sales[[#This Row],[Age_Whitespace_Removed]],".",","))</f>
        <v>60</v>
      </c>
      <c r="S227" t="s">
        <v>13</v>
      </c>
      <c r="T227" s="2" t="str">
        <f>CLEAN(TRIM(Working_Sales[[#This Row],[Product Category]]))</f>
        <v>Electronics</v>
      </c>
      <c r="U227" s="6" t="str">
        <f>PROPER(Working_Sales[[#This Row],[Product_Category_Whitespace_Removed]])</f>
        <v>Electronics</v>
      </c>
      <c r="V227" t="s">
        <v>37</v>
      </c>
      <c r="W227" s="2" t="str">
        <f>CLEAN(TRIM(Working_Sales[[#This Row],[Quantity]]))</f>
        <v>2</v>
      </c>
      <c r="X227" s="2">
        <f>INT(Working_Sales[[#This Row],[`]])</f>
        <v>2</v>
      </c>
      <c r="Y227" s="6">
        <f>IFERROR(
   Working_Sales[[#This Row],[Quantity_Converted_To_Integer]],
   Working_Sales[[#This Row],[Total_Amount_Whitespace_Removed]]/Working_Sales[[#This Row],[Price_Per_Unit_Decimal_Separator_Fixed]])</f>
        <v>2</v>
      </c>
      <c r="Z227" t="s">
        <v>57</v>
      </c>
      <c r="AA227" s="2" t="str">
        <f>CLEAN(TRIM(Working_Sales[[#This Row],[Price per Unit]]))</f>
        <v>500</v>
      </c>
      <c r="AB227" s="2">
        <f>INT(
   SUBSTITUTE(Working_Sales[[#This Row],[Price_Per_Unit_Whitespace_Removed]],
   "$",
   ""
   )
)</f>
        <v>500</v>
      </c>
      <c r="AC227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227" s="8">
        <f>IFERROR(
   Working_Sales[[#This Row],[Price_Per_Unit_Decimal_Separator_Fixed]],
   Working_Sales[[#This Row],[Total_Amount_Converted_To_Integer]]/Working_Sales[[#This Row],[Quantity_Converted_To_Integer]]
)</f>
        <v>500</v>
      </c>
      <c r="AE227" t="s">
        <v>163</v>
      </c>
      <c r="AF227" s="2" t="str">
        <f>CLEAN(TRIM(Working_Sales[[#This Row],[Total Amount]]))</f>
        <v>1000</v>
      </c>
      <c r="AG227" s="2">
        <f>INT(Working_Sales[[#This Row],[Total_Amount_Whitespace_Removed]])</f>
        <v>1000</v>
      </c>
      <c r="AH22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228" spans="1:34" x14ac:dyDescent="0.35">
      <c r="A228" t="s">
        <v>573</v>
      </c>
      <c r="B228" s="6" t="str">
        <f>CLEAN(TRIM(Working_Sales[[#This Row],[Transaction ID]]))</f>
        <v>81</v>
      </c>
      <c r="C228" t="s">
        <v>574</v>
      </c>
      <c r="D228" s="2" t="str">
        <f>CLEAN(TRIM(Working_Sales[[#This Row],[Date]]))</f>
        <v>17/05/2023</v>
      </c>
      <c r="E22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45063</v>
      </c>
      <c r="F22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45063</v>
      </c>
      <c r="G22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45063</v>
      </c>
      <c r="H228" t="s">
        <v>2513</v>
      </c>
      <c r="I228" s="2" t="str">
        <f>CLEAN(TRIM(Working_Sales[[#This Row],[Customer ID]]))</f>
        <v>CUST191</v>
      </c>
      <c r="J22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CUST191</v>
      </c>
      <c r="K22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CUST191</v>
      </c>
      <c r="L228" t="s">
        <v>34</v>
      </c>
      <c r="M228" s="4" t="str">
        <f>CLEAN(TRIM(Working_Sales[[#This Row],[Gender]]))</f>
        <v>Male</v>
      </c>
      <c r="N228" s="4" t="str" cm="1">
        <f t="array" ref="N228">_xlfn.SWITCH(
   Working_Sales[[#This Row],[Gender_Whitespace_Removed]],
   "m", "Male",
   "f", "Female",
   Working_Sales[[#This Row],[Gender_Whitespace_Removed]]
)</f>
        <v>Male</v>
      </c>
      <c r="O228" s="6" t="str">
        <f>PROPER(Working_Sales[[#This Row],[Gender_Abbreviation_Expanded]])</f>
        <v>Male</v>
      </c>
      <c r="P228">
        <v>40</v>
      </c>
      <c r="Q228" s="2" t="str">
        <f>CLEAN(TRIM(Working_Sales[[#This Row],[Age]]))</f>
        <v>40</v>
      </c>
      <c r="R228" s="6">
        <f>INT(SUBSTITUTE(Working_Sales[[#This Row],[Age_Whitespace_Removed]],".",","))</f>
        <v>40</v>
      </c>
      <c r="S228" t="s">
        <v>13</v>
      </c>
      <c r="T228" s="2" t="str">
        <f>CLEAN(TRIM(Working_Sales[[#This Row],[Product Category]]))</f>
        <v>Electronics</v>
      </c>
      <c r="U228" s="6" t="str">
        <f>PROPER(Working_Sales[[#This Row],[Product_Category_Whitespace_Removed]])</f>
        <v>Electronics</v>
      </c>
      <c r="V228" t="s">
        <v>22</v>
      </c>
      <c r="W228" s="2" t="str">
        <f>CLEAN(TRIM(Working_Sales[[#This Row],[Quantity]]))</f>
        <v>1</v>
      </c>
      <c r="X228" s="2">
        <f>INT(Working_Sales[[#This Row],[`]])</f>
        <v>1</v>
      </c>
      <c r="Y228" s="6">
        <f>IFERROR(
   Working_Sales[[#This Row],[Quantity_Converted_To_Integer]],
   Working_Sales[[#This Row],[Total_Amount_Whitespace_Removed]]/Working_Sales[[#This Row],[Price_Per_Unit_Decimal_Separator_Fixed]])</f>
        <v>1</v>
      </c>
      <c r="Z228" t="s">
        <v>15</v>
      </c>
      <c r="AA228" s="2" t="str">
        <f>CLEAN(TRIM(Working_Sales[[#This Row],[Price per Unit]]))</f>
        <v>50</v>
      </c>
      <c r="AB228" s="2">
        <f>INT(
   SUBSTITUTE(Working_Sales[[#This Row],[Price_Per_Unit_Whitespace_Removed]],
   "$",
   ""
   )
)</f>
        <v>50</v>
      </c>
      <c r="AC228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228" s="8">
        <f>IFERROR(
   Working_Sales[[#This Row],[Price_Per_Unit_Decimal_Separator_Fixed]],
   Working_Sales[[#This Row],[Total_Amount_Converted_To_Integer]]/Working_Sales[[#This Row],[Quantity_Converted_To_Integer]]
)</f>
        <v>50</v>
      </c>
      <c r="AE228" t="s">
        <v>15</v>
      </c>
      <c r="AF228" s="2" t="str">
        <f>CLEAN(TRIM(Working_Sales[[#This Row],[Total Amount]]))</f>
        <v>50</v>
      </c>
      <c r="AG228" s="2">
        <f>INT(Working_Sales[[#This Row],[Total_Amount_Whitespace_Removed]])</f>
        <v>50</v>
      </c>
      <c r="AH22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229" spans="1:34" x14ac:dyDescent="0.35">
      <c r="A229" t="s">
        <v>576</v>
      </c>
      <c r="B229" s="6" t="str">
        <f>CLEAN(TRIM(Working_Sales[[#This Row],[Transaction ID]]))</f>
        <v>159</v>
      </c>
      <c r="C229" t="s">
        <v>577</v>
      </c>
      <c r="D229" s="2" t="str">
        <f>CLEAN(TRIM(Working_Sales[[#This Row],[Date]]))</f>
        <v>2023-05-31</v>
      </c>
      <c r="E22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45077</v>
      </c>
      <c r="F22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45077</v>
      </c>
      <c r="G22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45077</v>
      </c>
      <c r="H229" t="s">
        <v>2514</v>
      </c>
      <c r="I229" s="2" t="str">
        <f>CLEAN(TRIM(Working_Sales[[#This Row],[Customer ID]]))</f>
        <v>cust192</v>
      </c>
      <c r="J22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2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CUST192</v>
      </c>
      <c r="L229" t="s">
        <v>34</v>
      </c>
      <c r="M229" s="4" t="str">
        <f>CLEAN(TRIM(Working_Sales[[#This Row],[Gender]]))</f>
        <v>Male</v>
      </c>
      <c r="N229" s="4" t="str" cm="1">
        <f t="array" ref="N229">_xlfn.SWITCH(
   Working_Sales[[#This Row],[Gender_Whitespace_Removed]],
   "m", "Male",
   "f", "Female",
   Working_Sales[[#This Row],[Gender_Whitespace_Removed]]
)</f>
        <v>Male</v>
      </c>
      <c r="O229" s="6" t="str">
        <f>PROPER(Working_Sales[[#This Row],[Gender_Abbreviation_Expanded]])</f>
        <v>Male</v>
      </c>
      <c r="P229">
        <v>26</v>
      </c>
      <c r="Q229" s="2" t="str">
        <f>CLEAN(TRIM(Working_Sales[[#This Row],[Age]]))</f>
        <v>26</v>
      </c>
      <c r="R229" s="6">
        <f>INT(SUBSTITUTE(Working_Sales[[#This Row],[Age_Whitespace_Removed]],".",","))</f>
        <v>26</v>
      </c>
      <c r="S229" t="s">
        <v>28</v>
      </c>
      <c r="T229" s="2" t="str">
        <f>CLEAN(TRIM(Working_Sales[[#This Row],[Product Category]]))</f>
        <v>clothing</v>
      </c>
      <c r="U229" s="6" t="str">
        <f>PROPER(Working_Sales[[#This Row],[Product_Category_Whitespace_Removed]])</f>
        <v>Clothing</v>
      </c>
      <c r="V229" t="s">
        <v>14</v>
      </c>
      <c r="W229" s="2" t="str">
        <f>CLEAN(TRIM(Working_Sales[[#This Row],[Quantity]]))</f>
        <v>4</v>
      </c>
      <c r="X229" s="2">
        <f>INT(Working_Sales[[#This Row],[`]])</f>
        <v>4</v>
      </c>
      <c r="Y229" s="6">
        <f>IFERROR(
   Working_Sales[[#This Row],[Quantity_Converted_To_Integer]],
   Working_Sales[[#This Row],[Total_Amount_Whitespace_Removed]]/Working_Sales[[#This Row],[Price_Per_Unit_Decimal_Separator_Fixed]])</f>
        <v>4</v>
      </c>
      <c r="Z229" t="s">
        <v>15</v>
      </c>
      <c r="AA229" s="2" t="str">
        <f>CLEAN(TRIM(Working_Sales[[#This Row],[Price per Unit]]))</f>
        <v>50</v>
      </c>
      <c r="AB229" s="2">
        <f>INT(
   SUBSTITUTE(Working_Sales[[#This Row],[Price_Per_Unit_Whitespace_Removed]],
   "$",
   ""
   )
)</f>
        <v>50</v>
      </c>
      <c r="AC229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229" s="8">
        <f>IFERROR(
   Working_Sales[[#This Row],[Price_Per_Unit_Decimal_Separator_Fixed]],
   Working_Sales[[#This Row],[Total_Amount_Converted_To_Integer]]/Working_Sales[[#This Row],[Quantity_Converted_To_Integer]]
)</f>
        <v>50</v>
      </c>
      <c r="AE229" t="s">
        <v>16</v>
      </c>
      <c r="AF229" s="2" t="str">
        <f>CLEAN(TRIM(Working_Sales[[#This Row],[Total Amount]]))</f>
        <v>200</v>
      </c>
      <c r="AG229" s="2">
        <f>INT(Working_Sales[[#This Row],[Total_Amount_Whitespace_Removed]])</f>
        <v>200</v>
      </c>
      <c r="AH22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230" spans="1:34" x14ac:dyDescent="0.35">
      <c r="A230" t="s">
        <v>578</v>
      </c>
      <c r="B230" s="6" t="str">
        <f>CLEAN(TRIM(Working_Sales[[#This Row],[Transaction ID]]))</f>
        <v>989</v>
      </c>
      <c r="C230" t="s">
        <v>579</v>
      </c>
      <c r="D230" s="2" t="str">
        <f>CLEAN(TRIM(Working_Sales[[#This Row],[Date]]))</f>
        <v>12/28/2023</v>
      </c>
      <c r="E230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23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45288</v>
      </c>
      <c r="G23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45288</v>
      </c>
      <c r="H230" t="s">
        <v>2515</v>
      </c>
      <c r="I230" s="2" t="str">
        <f>CLEAN(TRIM(Working_Sales[[#This Row],[Customer ID]]))</f>
        <v>CUST193</v>
      </c>
      <c r="J23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CUST193</v>
      </c>
      <c r="K23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CUST193</v>
      </c>
      <c r="L230" t="s">
        <v>26</v>
      </c>
      <c r="M230" s="4" t="str">
        <f>CLEAN(TRIM(Working_Sales[[#This Row],[Gender]]))</f>
        <v>Female</v>
      </c>
      <c r="N230" s="4" t="str" cm="1">
        <f t="array" ref="N230">_xlfn.SWITCH(
   Working_Sales[[#This Row],[Gender_Whitespace_Removed]],
   "m", "Male",
   "f", "Female",
   Working_Sales[[#This Row],[Gender_Whitespace_Removed]]
)</f>
        <v>Female</v>
      </c>
      <c r="O230" s="6" t="str">
        <f>PROPER(Working_Sales[[#This Row],[Gender_Abbreviation_Expanded]])</f>
        <v>Female</v>
      </c>
      <c r="P230">
        <v>44</v>
      </c>
      <c r="Q230" s="2" t="str">
        <f>CLEAN(TRIM(Working_Sales[[#This Row],[Age]]))</f>
        <v>44</v>
      </c>
      <c r="R230" s="6">
        <f>INT(SUBSTITUTE(Working_Sales[[#This Row],[Age_Whitespace_Removed]],".",","))</f>
        <v>44</v>
      </c>
      <c r="S230" t="s">
        <v>13</v>
      </c>
      <c r="T230" s="2" t="str">
        <f>CLEAN(TRIM(Working_Sales[[#This Row],[Product Category]]))</f>
        <v>Electronics</v>
      </c>
      <c r="U230" s="6" t="str">
        <f>PROPER(Working_Sales[[#This Row],[Product_Category_Whitespace_Removed]])</f>
        <v>Electronics</v>
      </c>
      <c r="V230" t="s">
        <v>22</v>
      </c>
      <c r="W230" s="2" t="str">
        <f>CLEAN(TRIM(Working_Sales[[#This Row],[Quantity]]))</f>
        <v>1</v>
      </c>
      <c r="X230" s="2">
        <f>INT(Working_Sales[[#This Row],[`]])</f>
        <v>1</v>
      </c>
      <c r="Y230" s="6">
        <f>IFERROR(
   Working_Sales[[#This Row],[Quantity_Converted_To_Integer]],
   Working_Sales[[#This Row],[Total_Amount_Whitespace_Removed]]/Working_Sales[[#This Row],[Price_Per_Unit_Decimal_Separator_Fixed]])</f>
        <v>1</v>
      </c>
      <c r="Z230" t="s">
        <v>30</v>
      </c>
      <c r="AA230" s="2" t="str">
        <f>CLEAN(TRIM(Working_Sales[[#This Row],[Price per Unit]]))</f>
        <v>25</v>
      </c>
      <c r="AB230" s="2">
        <f>INT(
   SUBSTITUTE(Working_Sales[[#This Row],[Price_Per_Unit_Whitespace_Removed]],
   "$",
   ""
   )
)</f>
        <v>25</v>
      </c>
      <c r="AC230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230" s="8">
        <f>IFERROR(
   Working_Sales[[#This Row],[Price_Per_Unit_Decimal_Separator_Fixed]],
   Working_Sales[[#This Row],[Total_Amount_Converted_To_Integer]]/Working_Sales[[#This Row],[Quantity_Converted_To_Integer]]
)</f>
        <v>25</v>
      </c>
      <c r="AE230" t="s">
        <v>30</v>
      </c>
      <c r="AF230" s="2" t="str">
        <f>CLEAN(TRIM(Working_Sales[[#This Row],[Total Amount]]))</f>
        <v>25</v>
      </c>
      <c r="AG230" s="2">
        <f>INT(Working_Sales[[#This Row],[Total_Amount_Whitespace_Removed]])</f>
        <v>25</v>
      </c>
      <c r="AH23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231" spans="1:34" x14ac:dyDescent="0.35">
      <c r="A231" t="s">
        <v>580</v>
      </c>
      <c r="B231" s="6" t="str">
        <f>CLEAN(TRIM(Working_Sales[[#This Row],[Transaction ID]]))</f>
        <v>755</v>
      </c>
      <c r="C231" t="s">
        <v>581</v>
      </c>
      <c r="D231" s="2" t="str">
        <f>CLEAN(TRIM(Working_Sales[[#This Row],[Date]]))</f>
        <v>April 22, 2023</v>
      </c>
      <c r="E231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231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23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45038</v>
      </c>
      <c r="H231" t="s">
        <v>984</v>
      </c>
      <c r="I231" s="2" t="str">
        <f>CLEAN(TRIM(Working_Sales[[#This Row],[Customer ID]]))</f>
        <v>CUST-004</v>
      </c>
      <c r="J23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3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CUST004</v>
      </c>
      <c r="L231" t="s">
        <v>26</v>
      </c>
      <c r="M231" s="4" t="str">
        <f>CLEAN(TRIM(Working_Sales[[#This Row],[Gender]]))</f>
        <v>Female</v>
      </c>
      <c r="N231" s="4" t="str" cm="1">
        <f t="array" ref="N231">_xlfn.SWITCH(
   Working_Sales[[#This Row],[Gender_Whitespace_Removed]],
   "m", "Male",
   "f", "Female",
   Working_Sales[[#This Row],[Gender_Whitespace_Removed]]
)</f>
        <v>Female</v>
      </c>
      <c r="O231" s="6" t="str">
        <f>PROPER(Working_Sales[[#This Row],[Gender_Abbreviation_Expanded]])</f>
        <v>Female</v>
      </c>
      <c r="P231">
        <v>58</v>
      </c>
      <c r="Q231" s="2" t="str">
        <f>CLEAN(TRIM(Working_Sales[[#This Row],[Age]]))</f>
        <v>58</v>
      </c>
      <c r="R231" s="6">
        <f>INT(SUBSTITUTE(Working_Sales[[#This Row],[Age_Whitespace_Removed]],".",","))</f>
        <v>58</v>
      </c>
      <c r="S231" t="s">
        <v>56</v>
      </c>
      <c r="T231" s="2" t="str">
        <f>CLEAN(TRIM(Working_Sales[[#This Row],[Product Category]]))</f>
        <v>Clothing</v>
      </c>
      <c r="U231" s="6" t="str">
        <f>PROPER(Working_Sales[[#This Row],[Product_Category_Whitespace_Removed]])</f>
        <v>Clothing</v>
      </c>
      <c r="V231" t="s">
        <v>29</v>
      </c>
      <c r="W231" s="2" t="str">
        <f>CLEAN(TRIM(Working_Sales[[#This Row],[Quantity]]))</f>
        <v>3</v>
      </c>
      <c r="X231" s="2">
        <f>INT(Working_Sales[[#This Row],[`]])</f>
        <v>3</v>
      </c>
      <c r="Y231" s="6">
        <f>IFERROR(
   Working_Sales[[#This Row],[Quantity_Converted_To_Integer]],
   Working_Sales[[#This Row],[Total_Amount_Whitespace_Removed]]/Working_Sales[[#This Row],[Price_Per_Unit_Decimal_Separator_Fixed]])</f>
        <v>3</v>
      </c>
      <c r="Z231" t="s">
        <v>30</v>
      </c>
      <c r="AA231" s="2" t="str">
        <f>CLEAN(TRIM(Working_Sales[[#This Row],[Price per Unit]]))</f>
        <v>25</v>
      </c>
      <c r="AB231" s="2">
        <f>INT(
   SUBSTITUTE(Working_Sales[[#This Row],[Price_Per_Unit_Whitespace_Removed]],
   "$",
   ""
   )
)</f>
        <v>25</v>
      </c>
      <c r="AC231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231" s="8">
        <f>IFERROR(
   Working_Sales[[#This Row],[Price_Per_Unit_Decimal_Separator_Fixed]],
   Working_Sales[[#This Row],[Total_Amount_Converted_To_Integer]]/Working_Sales[[#This Row],[Quantity_Converted_To_Integer]]
)</f>
        <v>25</v>
      </c>
      <c r="AE231" t="s">
        <v>31</v>
      </c>
      <c r="AF231" s="2" t="str">
        <f>CLEAN(TRIM(Working_Sales[[#This Row],[Total Amount]]))</f>
        <v>75</v>
      </c>
      <c r="AG231" s="2">
        <f>INT(Working_Sales[[#This Row],[Total_Amount_Whitespace_Removed]])</f>
        <v>75</v>
      </c>
      <c r="AH23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232" spans="1:34" x14ac:dyDescent="0.35">
      <c r="A232" t="s">
        <v>582</v>
      </c>
      <c r="B232" s="6" t="str">
        <f>CLEAN(TRIM(Working_Sales[[#This Row],[Transaction ID]]))</f>
        <v>654</v>
      </c>
      <c r="C232" t="s">
        <v>583</v>
      </c>
      <c r="D232" s="2" t="str">
        <f>CLEAN(TRIM(Working_Sales[[#This Row],[Date]]))</f>
        <v>21/06/2023</v>
      </c>
      <c r="E23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45098</v>
      </c>
      <c r="F23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45098</v>
      </c>
      <c r="G23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45098</v>
      </c>
      <c r="H232" t="s">
        <v>2423</v>
      </c>
      <c r="I232" s="2" t="str">
        <f>CLEAN(TRIM(Working_Sales[[#This Row],[Customer ID]]))</f>
        <v>CUST105</v>
      </c>
      <c r="J23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CUST105</v>
      </c>
      <c r="K23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CUST105</v>
      </c>
      <c r="L232" t="s">
        <v>34</v>
      </c>
      <c r="M232" s="4" t="str">
        <f>CLEAN(TRIM(Working_Sales[[#This Row],[Gender]]))</f>
        <v>Male</v>
      </c>
      <c r="N232" s="4" t="str" cm="1">
        <f t="array" ref="N232">_xlfn.SWITCH(
   Working_Sales[[#This Row],[Gender_Whitespace_Removed]],
   "m", "Male",
   "f", "Female",
   Working_Sales[[#This Row],[Gender_Whitespace_Removed]]
)</f>
        <v>Male</v>
      </c>
      <c r="O232" s="6" t="str">
        <f>PROPER(Working_Sales[[#This Row],[Gender_Abbreviation_Expanded]])</f>
        <v>Male</v>
      </c>
      <c r="P232" t="s">
        <v>316</v>
      </c>
      <c r="Q232" s="2" t="str">
        <f>CLEAN(TRIM(Working_Sales[[#This Row],[Age]]))</f>
        <v>42.0</v>
      </c>
      <c r="R232" s="6">
        <f>INT(SUBSTITUTE(Working_Sales[[#This Row],[Age_Whitespace_Removed]],".",","))</f>
        <v>42</v>
      </c>
      <c r="S232" t="s">
        <v>56</v>
      </c>
      <c r="T232" s="2" t="str">
        <f>CLEAN(TRIM(Working_Sales[[#This Row],[Product Category]]))</f>
        <v>Clothing</v>
      </c>
      <c r="U232" s="6" t="str">
        <f>PROPER(Working_Sales[[#This Row],[Product_Category_Whitespace_Removed]])</f>
        <v>Clothing</v>
      </c>
      <c r="V232" t="s">
        <v>29</v>
      </c>
      <c r="W232" s="2" t="str">
        <f>CLEAN(TRIM(Working_Sales[[#This Row],[Quantity]]))</f>
        <v>3</v>
      </c>
      <c r="X232" s="2">
        <f>INT(Working_Sales[[#This Row],[`]])</f>
        <v>3</v>
      </c>
      <c r="Y232" s="6">
        <f>IFERROR(
   Working_Sales[[#This Row],[Quantity_Converted_To_Integer]],
   Working_Sales[[#This Row],[Total_Amount_Whitespace_Removed]]/Working_Sales[[#This Row],[Price_Per_Unit_Decimal_Separator_Fixed]])</f>
        <v>3</v>
      </c>
      <c r="Z232" t="s">
        <v>30</v>
      </c>
      <c r="AA232" s="2" t="str">
        <f>CLEAN(TRIM(Working_Sales[[#This Row],[Price per Unit]]))</f>
        <v>25</v>
      </c>
      <c r="AB232" s="2">
        <f>INT(
   SUBSTITUTE(Working_Sales[[#This Row],[Price_Per_Unit_Whitespace_Removed]],
   "$",
   ""
   )
)</f>
        <v>25</v>
      </c>
      <c r="AC232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232" s="8">
        <f>IFERROR(
   Working_Sales[[#This Row],[Price_Per_Unit_Decimal_Separator_Fixed]],
   Working_Sales[[#This Row],[Total_Amount_Converted_To_Integer]]/Working_Sales[[#This Row],[Quantity_Converted_To_Integer]]
)</f>
        <v>25</v>
      </c>
      <c r="AE232" t="s">
        <v>31</v>
      </c>
      <c r="AF232" s="2" t="str">
        <f>CLEAN(TRIM(Working_Sales[[#This Row],[Total Amount]]))</f>
        <v>75</v>
      </c>
      <c r="AG232" s="2">
        <f>INT(Working_Sales[[#This Row],[Total_Amount_Whitespace_Removed]])</f>
        <v>75</v>
      </c>
      <c r="AH23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233" spans="1:34" x14ac:dyDescent="0.35">
      <c r="A233" t="s">
        <v>584</v>
      </c>
      <c r="B233" s="6" t="str">
        <f>CLEAN(TRIM(Working_Sales[[#This Row],[Transaction ID]]))</f>
        <v>690</v>
      </c>
      <c r="C233" t="s">
        <v>2056</v>
      </c>
      <c r="D233" s="2" t="str">
        <f>CLEAN(TRIM(Working_Sales[[#This Row],[Date]]))</f>
        <v>05-Nov-2023</v>
      </c>
      <c r="E23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45235</v>
      </c>
      <c r="F23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45235</v>
      </c>
      <c r="G23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45235</v>
      </c>
      <c r="H233" t="s">
        <v>2466</v>
      </c>
      <c r="I233" s="2" t="str">
        <f>CLEAN(TRIM(Working_Sales[[#This Row],[Customer ID]]))</f>
        <v>cust148</v>
      </c>
      <c r="J23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3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CUST148</v>
      </c>
      <c r="L233" t="s">
        <v>112</v>
      </c>
      <c r="M233" s="4" t="str">
        <f>CLEAN(TRIM(Working_Sales[[#This Row],[Gender]]))</f>
        <v>female</v>
      </c>
      <c r="N233" s="4" t="str" cm="1">
        <f t="array" ref="N233">_xlfn.SWITCH(
   Working_Sales[[#This Row],[Gender_Whitespace_Removed]],
   "m", "Male",
   "f", "Female",
   Working_Sales[[#This Row],[Gender_Whitespace_Removed]]
)</f>
        <v>female</v>
      </c>
      <c r="O233" s="6" t="str">
        <f>PROPER(Working_Sales[[#This Row],[Gender_Abbreviation_Expanded]])</f>
        <v>Female</v>
      </c>
      <c r="P233">
        <v>52</v>
      </c>
      <c r="Q233" s="2" t="str">
        <f>CLEAN(TRIM(Working_Sales[[#This Row],[Age]]))</f>
        <v>52</v>
      </c>
      <c r="R233" s="6">
        <f>INT(SUBSTITUTE(Working_Sales[[#This Row],[Age_Whitespace_Removed]],".",","))</f>
        <v>52</v>
      </c>
      <c r="S233" t="s">
        <v>56</v>
      </c>
      <c r="T233" s="2" t="str">
        <f>CLEAN(TRIM(Working_Sales[[#This Row],[Product Category]]))</f>
        <v>Clothing</v>
      </c>
      <c r="U233" s="6" t="str">
        <f>PROPER(Working_Sales[[#This Row],[Product_Category_Whitespace_Removed]])</f>
        <v>Clothing</v>
      </c>
      <c r="V233" t="s">
        <v>29</v>
      </c>
      <c r="W233" s="2" t="str">
        <f>CLEAN(TRIM(Working_Sales[[#This Row],[Quantity]]))</f>
        <v>3</v>
      </c>
      <c r="X233" s="2">
        <f>INT(Working_Sales[[#This Row],[`]])</f>
        <v>3</v>
      </c>
      <c r="Y233" s="6">
        <f>IFERROR(
   Working_Sales[[#This Row],[Quantity_Converted_To_Integer]],
   Working_Sales[[#This Row],[Total_Amount_Whitespace_Removed]]/Working_Sales[[#This Row],[Price_Per_Unit_Decimal_Separator_Fixed]])</f>
        <v>3</v>
      </c>
      <c r="Z233" t="s">
        <v>23</v>
      </c>
      <c r="AA233" s="2" t="str">
        <f>CLEAN(TRIM(Working_Sales[[#This Row],[Price per Unit]]))</f>
        <v>300</v>
      </c>
      <c r="AB233" s="2">
        <f>INT(
   SUBSTITUTE(Working_Sales[[#This Row],[Price_Per_Unit_Whitespace_Removed]],
   "$",
   ""
   )
)</f>
        <v>300</v>
      </c>
      <c r="AC233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233" s="8">
        <f>IFERROR(
   Working_Sales[[#This Row],[Price_Per_Unit_Decimal_Separator_Fixed]],
   Working_Sales[[#This Row],[Total_Amount_Converted_To_Integer]]/Working_Sales[[#This Row],[Quantity_Converted_To_Integer]]
)</f>
        <v>300</v>
      </c>
      <c r="AE233" t="s">
        <v>128</v>
      </c>
      <c r="AF233" s="2" t="str">
        <f>CLEAN(TRIM(Working_Sales[[#This Row],[Total Amount]]))</f>
        <v>900</v>
      </c>
      <c r="AG233" s="2">
        <f>INT(Working_Sales[[#This Row],[Total_Amount_Whitespace_Removed]])</f>
        <v>900</v>
      </c>
      <c r="AH23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234" spans="1:34" x14ac:dyDescent="0.35">
      <c r="A234" t="s">
        <v>585</v>
      </c>
      <c r="B234" s="6" t="str">
        <f>CLEAN(TRIM(Working_Sales[[#This Row],[Transaction ID]]))</f>
        <v>893</v>
      </c>
      <c r="C234" t="s">
        <v>586</v>
      </c>
      <c r="D234" s="2" t="str">
        <f>CLEAN(TRIM(Working_Sales[[#This Row],[Date]]))</f>
        <v>2023-04-21</v>
      </c>
      <c r="E23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45037</v>
      </c>
      <c r="F23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45037</v>
      </c>
      <c r="G23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45037</v>
      </c>
      <c r="H234" t="s">
        <v>947</v>
      </c>
      <c r="I234" s="2" t="str">
        <f>CLEAN(TRIM(Working_Sales[[#This Row],[Customer ID]]))</f>
        <v>CUST194</v>
      </c>
      <c r="J23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CUST194</v>
      </c>
      <c r="K23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CUST194</v>
      </c>
      <c r="L234" t="s">
        <v>34</v>
      </c>
      <c r="M234" s="4" t="str">
        <f>CLEAN(TRIM(Working_Sales[[#This Row],[Gender]]))</f>
        <v>Male</v>
      </c>
      <c r="N234" s="4" t="str" cm="1">
        <f t="array" ref="N234">_xlfn.SWITCH(
   Working_Sales[[#This Row],[Gender_Whitespace_Removed]],
   "m", "Male",
   "f", "Female",
   Working_Sales[[#This Row],[Gender_Whitespace_Removed]]
)</f>
        <v>Male</v>
      </c>
      <c r="O234" s="6" t="str">
        <f>PROPER(Working_Sales[[#This Row],[Gender_Abbreviation_Expanded]])</f>
        <v>Male</v>
      </c>
      <c r="P234">
        <v>49</v>
      </c>
      <c r="Q234" s="2" t="str">
        <f>CLEAN(TRIM(Working_Sales[[#This Row],[Age]]))</f>
        <v>49</v>
      </c>
      <c r="R234" s="6">
        <f>INT(SUBSTITUTE(Working_Sales[[#This Row],[Age_Whitespace_Removed]],".",","))</f>
        <v>49</v>
      </c>
      <c r="S234" t="s">
        <v>13</v>
      </c>
      <c r="T234" s="2" t="str">
        <f>CLEAN(TRIM(Working_Sales[[#This Row],[Product Category]]))</f>
        <v>Electronics</v>
      </c>
      <c r="U234" s="6" t="str">
        <f>PROPER(Working_Sales[[#This Row],[Product_Category_Whitespace_Removed]])</f>
        <v>Electronics</v>
      </c>
      <c r="V234" t="s">
        <v>22</v>
      </c>
      <c r="W234" s="2" t="str">
        <f>CLEAN(TRIM(Working_Sales[[#This Row],[Quantity]]))</f>
        <v>1</v>
      </c>
      <c r="X234" s="2">
        <f>INT(Working_Sales[[#This Row],[`]])</f>
        <v>1</v>
      </c>
      <c r="Y234" s="6">
        <f>IFERROR(
   Working_Sales[[#This Row],[Quantity_Converted_To_Integer]],
   Working_Sales[[#This Row],[Total_Amount_Whitespace_Removed]]/Working_Sales[[#This Row],[Price_Per_Unit_Decimal_Separator_Fixed]])</f>
        <v>1</v>
      </c>
      <c r="Z234" t="s">
        <v>75</v>
      </c>
      <c r="AA234" s="2" t="str">
        <f>CLEAN(TRIM(Working_Sales[[#This Row],[Price per Unit]]))</f>
        <v>50</v>
      </c>
      <c r="AB234" s="2">
        <f>INT(
   SUBSTITUTE(Working_Sales[[#This Row],[Price_Per_Unit_Whitespace_Removed]],
   "$",
   ""
   )
)</f>
        <v>50</v>
      </c>
      <c r="AC234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234" s="8">
        <f>IFERROR(
   Working_Sales[[#This Row],[Price_Per_Unit_Decimal_Separator_Fixed]],
   Working_Sales[[#This Row],[Total_Amount_Converted_To_Integer]]/Working_Sales[[#This Row],[Quantity_Converted_To_Integer]]
)</f>
        <v>50</v>
      </c>
      <c r="AE234" t="s">
        <v>15</v>
      </c>
      <c r="AF234" s="2" t="str">
        <f>CLEAN(TRIM(Working_Sales[[#This Row],[Total Amount]]))</f>
        <v>50</v>
      </c>
      <c r="AG234" s="2">
        <f>INT(Working_Sales[[#This Row],[Total_Amount_Whitespace_Removed]])</f>
        <v>50</v>
      </c>
      <c r="AH23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235" spans="1:34" x14ac:dyDescent="0.35">
      <c r="A235" t="s">
        <v>587</v>
      </c>
      <c r="B235" s="6" t="str">
        <f>CLEAN(TRIM(Working_Sales[[#This Row],[Transaction ID]]))</f>
        <v>677</v>
      </c>
      <c r="C235" t="s">
        <v>588</v>
      </c>
      <c r="D235" s="2" t="str">
        <f>CLEAN(TRIM(Working_Sales[[#This Row],[Date]]))</f>
        <v>10/27/2023</v>
      </c>
      <c r="E235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23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45226</v>
      </c>
      <c r="G23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45226</v>
      </c>
      <c r="H235" t="s">
        <v>2516</v>
      </c>
      <c r="I235" s="2" t="str">
        <f>CLEAN(TRIM(Working_Sales[[#This Row],[Customer ID]]))</f>
        <v>cust195</v>
      </c>
      <c r="J23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3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CUST195</v>
      </c>
      <c r="L235" t="s">
        <v>140</v>
      </c>
      <c r="M235" s="4" t="str">
        <f>CLEAN(TRIM(Working_Sales[[#This Row],[Gender]]))</f>
        <v>FEMALE</v>
      </c>
      <c r="N235" s="4" t="str" cm="1">
        <f t="array" ref="N235">_xlfn.SWITCH(
   Working_Sales[[#This Row],[Gender_Whitespace_Removed]],
   "m", "Male",
   "f", "Female",
   Working_Sales[[#This Row],[Gender_Whitespace_Removed]]
)</f>
        <v>FEMALE</v>
      </c>
      <c r="O235" s="6" t="str">
        <f>PROPER(Working_Sales[[#This Row],[Gender_Abbreviation_Expanded]])</f>
        <v>Female</v>
      </c>
      <c r="P235">
        <v>19</v>
      </c>
      <c r="Q235" s="2" t="str">
        <f>CLEAN(TRIM(Working_Sales[[#This Row],[Age]]))</f>
        <v>19</v>
      </c>
      <c r="R235" s="6">
        <f>INT(SUBSTITUTE(Working_Sales[[#This Row],[Age_Whitespace_Removed]],".",","))</f>
        <v>19</v>
      </c>
      <c r="S235" t="s">
        <v>36</v>
      </c>
      <c r="T235" s="2" t="str">
        <f>CLEAN(TRIM(Working_Sales[[#This Row],[Product Category]]))</f>
        <v>Beauty</v>
      </c>
      <c r="U235" s="6" t="str">
        <f>PROPER(Working_Sales[[#This Row],[Product_Category_Whitespace_Removed]])</f>
        <v>Beauty</v>
      </c>
      <c r="V235" t="s">
        <v>29</v>
      </c>
      <c r="W235" s="2" t="str">
        <f>CLEAN(TRIM(Working_Sales[[#This Row],[Quantity]]))</f>
        <v>3</v>
      </c>
      <c r="X235" s="2">
        <f>INT(Working_Sales[[#This Row],[`]])</f>
        <v>3</v>
      </c>
      <c r="Y235" s="6">
        <f>IFERROR(
   Working_Sales[[#This Row],[Quantity_Converted_To_Integer]],
   Working_Sales[[#This Row],[Total_Amount_Whitespace_Removed]]/Working_Sales[[#This Row],[Price_Per_Unit_Decimal_Separator_Fixed]])</f>
        <v>3</v>
      </c>
      <c r="Z235" t="s">
        <v>84</v>
      </c>
      <c r="AA235" s="2" t="str">
        <f>CLEAN(TRIM(Working_Sales[[#This Row],[Price per Unit]]))</f>
        <v>500.00</v>
      </c>
      <c r="AB235" s="2" t="e">
        <f>INT(
   SUBSTITUTE(Working_Sales[[#This Row],[Price_Per_Unit_Whitespace_Removed]],
   "$",
   ""
   )
)</f>
        <v>#VALUE!</v>
      </c>
      <c r="AC235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235" s="8">
        <f>IFERROR(
   Working_Sales[[#This Row],[Price_Per_Unit_Decimal_Separator_Fixed]],
   Working_Sales[[#This Row],[Total_Amount_Converted_To_Integer]]/Working_Sales[[#This Row],[Quantity_Converted_To_Integer]]
)</f>
        <v>500</v>
      </c>
      <c r="AE235" t="s">
        <v>85</v>
      </c>
      <c r="AF235" s="2" t="str">
        <f>CLEAN(TRIM(Working_Sales[[#This Row],[Total Amount]]))</f>
        <v>1500</v>
      </c>
      <c r="AG235" s="2">
        <f>INT(Working_Sales[[#This Row],[Total_Amount_Whitespace_Removed]])</f>
        <v>1500</v>
      </c>
      <c r="AH23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236" spans="1:34" x14ac:dyDescent="0.35">
      <c r="A236" t="s">
        <v>589</v>
      </c>
      <c r="B236" s="6" t="str">
        <f>CLEAN(TRIM(Working_Sales[[#This Row],[Transaction ID]]))</f>
        <v>524</v>
      </c>
      <c r="C236" t="s">
        <v>2057</v>
      </c>
      <c r="D236" s="2" t="str">
        <f>CLEAN(TRIM(Working_Sales[[#This Row],[Date]]))</f>
        <v>October 03, 2023</v>
      </c>
      <c r="E236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236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23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45202</v>
      </c>
      <c r="H236" t="s">
        <v>2517</v>
      </c>
      <c r="I236" s="2" t="str">
        <f>CLEAN(TRIM(Working_Sales[[#This Row],[Customer ID]]))</f>
        <v>CUST-196</v>
      </c>
      <c r="J23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3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CUST196</v>
      </c>
      <c r="L236" t="s">
        <v>34</v>
      </c>
      <c r="M236" s="4" t="str">
        <f>CLEAN(TRIM(Working_Sales[[#This Row],[Gender]]))</f>
        <v>Male</v>
      </c>
      <c r="N236" s="4" t="str" cm="1">
        <f t="array" ref="N236">_xlfn.SWITCH(
   Working_Sales[[#This Row],[Gender_Whitespace_Removed]],
   "m", "Male",
   "f", "Female",
   Working_Sales[[#This Row],[Gender_Whitespace_Removed]]
)</f>
        <v>Male</v>
      </c>
      <c r="O236" s="6" t="str">
        <f>PROPER(Working_Sales[[#This Row],[Gender_Abbreviation_Expanded]])</f>
        <v>Male</v>
      </c>
      <c r="P236">
        <v>46</v>
      </c>
      <c r="Q236" s="2" t="str">
        <f>CLEAN(TRIM(Working_Sales[[#This Row],[Age]]))</f>
        <v>46</v>
      </c>
      <c r="R236" s="6">
        <f>INT(SUBSTITUTE(Working_Sales[[#This Row],[Age_Whitespace_Removed]],".",","))</f>
        <v>46</v>
      </c>
      <c r="S236" t="s">
        <v>62</v>
      </c>
      <c r="T236" s="2" t="str">
        <f>CLEAN(TRIM(Working_Sales[[#This Row],[Product Category]]))</f>
        <v>beauty</v>
      </c>
      <c r="U236" s="6" t="str">
        <f>PROPER(Working_Sales[[#This Row],[Product_Category_Whitespace_Removed]])</f>
        <v>Beauty</v>
      </c>
      <c r="V236" t="s">
        <v>14</v>
      </c>
      <c r="W236" s="2" t="str">
        <f>CLEAN(TRIM(Working_Sales[[#This Row],[Quantity]]))</f>
        <v>4</v>
      </c>
      <c r="X236" s="2">
        <f>INT(Working_Sales[[#This Row],[`]])</f>
        <v>4</v>
      </c>
      <c r="Y236" s="6">
        <f>IFERROR(
   Working_Sales[[#This Row],[Quantity_Converted_To_Integer]],
   Working_Sales[[#This Row],[Total_Amount_Whitespace_Removed]]/Working_Sales[[#This Row],[Price_Per_Unit_Decimal_Separator_Fixed]])</f>
        <v>4</v>
      </c>
      <c r="Z236" t="s">
        <v>23</v>
      </c>
      <c r="AA236" s="2" t="str">
        <f>CLEAN(TRIM(Working_Sales[[#This Row],[Price per Unit]]))</f>
        <v>300</v>
      </c>
      <c r="AB236" s="2">
        <f>INT(
   SUBSTITUTE(Working_Sales[[#This Row],[Price_Per_Unit_Whitespace_Removed]],
   "$",
   ""
   )
)</f>
        <v>300</v>
      </c>
      <c r="AC236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236" s="8">
        <f>IFERROR(
   Working_Sales[[#This Row],[Price_Per_Unit_Decimal_Separator_Fixed]],
   Working_Sales[[#This Row],[Total_Amount_Converted_To_Integer]]/Working_Sales[[#This Row],[Quantity_Converted_To_Integer]]
)</f>
        <v>300</v>
      </c>
      <c r="AE236" t="s">
        <v>79</v>
      </c>
      <c r="AF236" s="2" t="str">
        <f>CLEAN(TRIM(Working_Sales[[#This Row],[Total Amount]]))</f>
        <v>1200</v>
      </c>
      <c r="AG236" s="2">
        <f>INT(Working_Sales[[#This Row],[Total_Amount_Whitespace_Removed]])</f>
        <v>1200</v>
      </c>
      <c r="AH23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237" spans="1:34" x14ac:dyDescent="0.35">
      <c r="A237" t="s">
        <v>591</v>
      </c>
      <c r="B237" s="6" t="str">
        <f>CLEAN(TRIM(Working_Sales[[#This Row],[Transaction ID]]))</f>
        <v>514</v>
      </c>
      <c r="C237" t="s">
        <v>592</v>
      </c>
      <c r="D237" s="2" t="str">
        <f>CLEAN(TRIM(Working_Sales[[#This Row],[Date]]))</f>
        <v>2023-03-01</v>
      </c>
      <c r="E23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44986</v>
      </c>
      <c r="F23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44986</v>
      </c>
      <c r="G23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44986</v>
      </c>
      <c r="H237" t="s">
        <v>2518</v>
      </c>
      <c r="I237" s="2" t="str">
        <f>CLEAN(TRIM(Working_Sales[[#This Row],[Customer ID]]))</f>
        <v>cust197</v>
      </c>
      <c r="J23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3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CUST197</v>
      </c>
      <c r="L237" t="s">
        <v>26</v>
      </c>
      <c r="M237" s="4" t="str">
        <f>CLEAN(TRIM(Working_Sales[[#This Row],[Gender]]))</f>
        <v>Female</v>
      </c>
      <c r="N237" s="4" t="str" cm="1">
        <f t="array" ref="N237">_xlfn.SWITCH(
   Working_Sales[[#This Row],[Gender_Whitespace_Removed]],
   "m", "Male",
   "f", "Female",
   Working_Sales[[#This Row],[Gender_Whitespace_Removed]]
)</f>
        <v>Female</v>
      </c>
      <c r="O237" s="6" t="str">
        <f>PROPER(Working_Sales[[#This Row],[Gender_Abbreviation_Expanded]])</f>
        <v>Female</v>
      </c>
      <c r="P237">
        <v>18</v>
      </c>
      <c r="Q237" s="2" t="str">
        <f>CLEAN(TRIM(Working_Sales[[#This Row],[Age]]))</f>
        <v>18</v>
      </c>
      <c r="R237" s="6">
        <f>INT(SUBSTITUTE(Working_Sales[[#This Row],[Age_Whitespace_Removed]],".",","))</f>
        <v>18</v>
      </c>
      <c r="S237" t="s">
        <v>48</v>
      </c>
      <c r="T237" s="2" t="str">
        <f>CLEAN(TRIM(Working_Sales[[#This Row],[Product Category]]))</f>
        <v>electronics</v>
      </c>
      <c r="U237" s="6" t="str">
        <f>PROPER(Working_Sales[[#This Row],[Product_Category_Whitespace_Removed]])</f>
        <v>Electronics</v>
      </c>
      <c r="V237" t="s">
        <v>22</v>
      </c>
      <c r="W237" s="2" t="str">
        <f>CLEAN(TRIM(Working_Sales[[#This Row],[Quantity]]))</f>
        <v>1</v>
      </c>
      <c r="X237" s="2">
        <f>INT(Working_Sales[[#This Row],[`]])</f>
        <v>1</v>
      </c>
      <c r="Y237" s="6">
        <f>IFERROR(
   Working_Sales[[#This Row],[Quantity_Converted_To_Integer]],
   Working_Sales[[#This Row],[Total_Amount_Whitespace_Removed]]/Working_Sales[[#This Row],[Price_Per_Unit_Decimal_Separator_Fixed]])</f>
        <v>1</v>
      </c>
      <c r="Z237" t="s">
        <v>23</v>
      </c>
      <c r="AA237" s="2" t="str">
        <f>CLEAN(TRIM(Working_Sales[[#This Row],[Price per Unit]]))</f>
        <v>300</v>
      </c>
      <c r="AB237" s="2">
        <f>INT(
   SUBSTITUTE(Working_Sales[[#This Row],[Price_Per_Unit_Whitespace_Removed]],
   "$",
   ""
   )
)</f>
        <v>300</v>
      </c>
      <c r="AC237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237" s="8">
        <f>IFERROR(
   Working_Sales[[#This Row],[Price_Per_Unit_Decimal_Separator_Fixed]],
   Working_Sales[[#This Row],[Total_Amount_Converted_To_Integer]]/Working_Sales[[#This Row],[Quantity_Converted_To_Integer]]
)</f>
        <v>300</v>
      </c>
      <c r="AE237" t="s">
        <v>23</v>
      </c>
      <c r="AF237" s="2" t="str">
        <f>CLEAN(TRIM(Working_Sales[[#This Row],[Total Amount]]))</f>
        <v>300</v>
      </c>
      <c r="AG237" s="2">
        <f>INT(Working_Sales[[#This Row],[Total_Amount_Whitespace_Removed]])</f>
        <v>300</v>
      </c>
      <c r="AH23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238" spans="1:34" x14ac:dyDescent="0.35">
      <c r="A238" t="s">
        <v>593</v>
      </c>
      <c r="B238" s="6" t="str">
        <f>CLEAN(TRIM(Working_Sales[[#This Row],[Transaction ID]]))</f>
        <v>272</v>
      </c>
      <c r="C238" t="s">
        <v>594</v>
      </c>
      <c r="D238" s="2" t="str">
        <f>CLEAN(TRIM(Working_Sales[[#This Row],[Date]]))</f>
        <v>2023-02-25</v>
      </c>
      <c r="E23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44982</v>
      </c>
      <c r="F23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44982</v>
      </c>
      <c r="G23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44982</v>
      </c>
      <c r="H238" t="s">
        <v>2519</v>
      </c>
      <c r="I238" s="2" t="str">
        <f>CLEAN(TRIM(Working_Sales[[#This Row],[Customer ID]]))</f>
        <v>cust198</v>
      </c>
      <c r="J23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3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CUST198</v>
      </c>
      <c r="L238" t="s">
        <v>26</v>
      </c>
      <c r="M238" s="4" t="str">
        <f>CLEAN(TRIM(Working_Sales[[#This Row],[Gender]]))</f>
        <v>Female</v>
      </c>
      <c r="N238" s="4" t="str" cm="1">
        <f t="array" ref="N238">_xlfn.SWITCH(
   Working_Sales[[#This Row],[Gender_Whitespace_Removed]],
   "m", "Male",
   "f", "Female",
   Working_Sales[[#This Row],[Gender_Whitespace_Removed]]
)</f>
        <v>Female</v>
      </c>
      <c r="O238" s="6" t="str">
        <f>PROPER(Working_Sales[[#This Row],[Gender_Abbreviation_Expanded]])</f>
        <v>Female</v>
      </c>
      <c r="P238" t="s">
        <v>596</v>
      </c>
      <c r="Q238" s="2" t="str">
        <f>CLEAN(TRIM(Working_Sales[[#This Row],[Age]]))</f>
        <v>61</v>
      </c>
      <c r="R238" s="6">
        <f>INT(SUBSTITUTE(Working_Sales[[#This Row],[Age_Whitespace_Removed]],".",","))</f>
        <v>61</v>
      </c>
      <c r="S238" t="s">
        <v>99</v>
      </c>
      <c r="T238" s="2" t="str">
        <f>CLEAN(TRIM(Working_Sales[[#This Row],[Product Category]]))</f>
        <v>ELECTRONICS</v>
      </c>
      <c r="U238" s="6" t="str">
        <f>PROPER(Working_Sales[[#This Row],[Product_Category_Whitespace_Removed]])</f>
        <v>Electronics</v>
      </c>
      <c r="V238" t="s">
        <v>37</v>
      </c>
      <c r="W238" s="2" t="str">
        <f>CLEAN(TRIM(Working_Sales[[#This Row],[Quantity]]))</f>
        <v>2</v>
      </c>
      <c r="X238" s="2">
        <f>INT(Working_Sales[[#This Row],[`]])</f>
        <v>2</v>
      </c>
      <c r="Y238" s="6">
        <f>IFERROR(
   Working_Sales[[#This Row],[Quantity_Converted_To_Integer]],
   Working_Sales[[#This Row],[Total_Amount_Whitespace_Removed]]/Working_Sales[[#This Row],[Price_Per_Unit_Decimal_Separator_Fixed]])</f>
        <v>2</v>
      </c>
      <c r="Z238" t="s">
        <v>15</v>
      </c>
      <c r="AA238" s="2" t="str">
        <f>CLEAN(TRIM(Working_Sales[[#This Row],[Price per Unit]]))</f>
        <v>50</v>
      </c>
      <c r="AB238" s="2">
        <f>INT(
   SUBSTITUTE(Working_Sales[[#This Row],[Price_Per_Unit_Whitespace_Removed]],
   "$",
   ""
   )
)</f>
        <v>50</v>
      </c>
      <c r="AC238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238" s="8">
        <f>IFERROR(
   Working_Sales[[#This Row],[Price_Per_Unit_Decimal_Separator_Fixed]],
   Working_Sales[[#This Row],[Total_Amount_Converted_To_Integer]]/Working_Sales[[#This Row],[Quantity_Converted_To_Integer]]
)</f>
        <v>50</v>
      </c>
      <c r="AE238" t="s">
        <v>38</v>
      </c>
      <c r="AF238" s="2" t="str">
        <f>CLEAN(TRIM(Working_Sales[[#This Row],[Total Amount]]))</f>
        <v>100</v>
      </c>
      <c r="AG238" s="2">
        <f>INT(Working_Sales[[#This Row],[Total_Amount_Whitespace_Removed]])</f>
        <v>100</v>
      </c>
      <c r="AH23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239" spans="1:34" x14ac:dyDescent="0.35">
      <c r="A239" t="s">
        <v>597</v>
      </c>
      <c r="B239" s="6" t="str">
        <f>CLEAN(TRIM(Working_Sales[[#This Row],[Transaction ID]]))</f>
        <v>725</v>
      </c>
      <c r="C239" t="s">
        <v>598</v>
      </c>
      <c r="D239" s="2" t="str">
        <f>CLEAN(TRIM(Working_Sales[[#This Row],[Date]]))</f>
        <v>August 21, 2023</v>
      </c>
      <c r="E239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239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23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45159</v>
      </c>
      <c r="H239" t="s">
        <v>2520</v>
      </c>
      <c r="I239" s="2" t="str">
        <f>CLEAN(TRIM(Working_Sales[[#This Row],[Customer ID]]))</f>
        <v>Cust199</v>
      </c>
      <c r="J23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3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CUST199</v>
      </c>
      <c r="L239" t="s">
        <v>34</v>
      </c>
      <c r="M239" s="4" t="str">
        <f>CLEAN(TRIM(Working_Sales[[#This Row],[Gender]]))</f>
        <v>Male</v>
      </c>
      <c r="N239" s="4" t="str" cm="1">
        <f t="array" ref="N239">_xlfn.SWITCH(
   Working_Sales[[#This Row],[Gender_Whitespace_Removed]],
   "m", "Male",
   "f", "Female",
   Working_Sales[[#This Row],[Gender_Whitespace_Removed]]
)</f>
        <v>Male</v>
      </c>
      <c r="O239" s="6" t="str">
        <f>PROPER(Working_Sales[[#This Row],[Gender_Abbreviation_Expanded]])</f>
        <v>Male</v>
      </c>
      <c r="P239">
        <v>61</v>
      </c>
      <c r="Q239" s="2" t="str">
        <f>CLEAN(TRIM(Working_Sales[[#This Row],[Age]]))</f>
        <v>61</v>
      </c>
      <c r="R239" s="6">
        <f>INT(SUBSTITUTE(Working_Sales[[#This Row],[Age_Whitespace_Removed]],".",","))</f>
        <v>61</v>
      </c>
      <c r="S239" t="s">
        <v>13</v>
      </c>
      <c r="T239" s="2" t="str">
        <f>CLEAN(TRIM(Working_Sales[[#This Row],[Product Category]]))</f>
        <v>Electronics</v>
      </c>
      <c r="U239" s="6" t="str">
        <f>PROPER(Working_Sales[[#This Row],[Product_Category_Whitespace_Removed]])</f>
        <v>Electronics</v>
      </c>
      <c r="V239" t="s">
        <v>22</v>
      </c>
      <c r="W239" s="2" t="str">
        <f>CLEAN(TRIM(Working_Sales[[#This Row],[Quantity]]))</f>
        <v>1</v>
      </c>
      <c r="X239" s="2">
        <f>INT(Working_Sales[[#This Row],[`]])</f>
        <v>1</v>
      </c>
      <c r="Y239" s="6">
        <f>IFERROR(
   Working_Sales[[#This Row],[Quantity_Converted_To_Integer]],
   Working_Sales[[#This Row],[Total_Amount_Whitespace_Removed]]/Working_Sales[[#This Row],[Price_Per_Unit_Decimal_Separator_Fixed]])</f>
        <v>1</v>
      </c>
      <c r="Z239" t="s">
        <v>23</v>
      </c>
      <c r="AA239" s="2" t="str">
        <f>CLEAN(TRIM(Working_Sales[[#This Row],[Price per Unit]]))</f>
        <v>300</v>
      </c>
      <c r="AB239" s="2">
        <f>INT(
   SUBSTITUTE(Working_Sales[[#This Row],[Price_Per_Unit_Whitespace_Removed]],
   "$",
   ""
   )
)</f>
        <v>300</v>
      </c>
      <c r="AC239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239" s="8">
        <f>IFERROR(
   Working_Sales[[#This Row],[Price_Per_Unit_Decimal_Separator_Fixed]],
   Working_Sales[[#This Row],[Total_Amount_Converted_To_Integer]]/Working_Sales[[#This Row],[Quantity_Converted_To_Integer]]
)</f>
        <v>300</v>
      </c>
      <c r="AE239" t="s">
        <v>23</v>
      </c>
      <c r="AF239" s="2" t="str">
        <f>CLEAN(TRIM(Working_Sales[[#This Row],[Total Amount]]))</f>
        <v>300</v>
      </c>
      <c r="AG239" s="2">
        <f>INT(Working_Sales[[#This Row],[Total_Amount_Whitespace_Removed]])</f>
        <v>300</v>
      </c>
      <c r="AH23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240" spans="1:34" x14ac:dyDescent="0.35">
      <c r="A240" t="s">
        <v>599</v>
      </c>
      <c r="B240" s="6" t="str">
        <f>CLEAN(TRIM(Working_Sales[[#This Row],[Transaction ID]]))</f>
        <v>702</v>
      </c>
      <c r="C240" t="s">
        <v>2058</v>
      </c>
      <c r="D240" s="2" t="str">
        <f>CLEAN(TRIM(Working_Sales[[#This Row],[Date]]))</f>
        <v>27-Jul-2023</v>
      </c>
      <c r="E24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45134</v>
      </c>
      <c r="F24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45134</v>
      </c>
      <c r="G24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45134</v>
      </c>
      <c r="H240" t="s">
        <v>2521</v>
      </c>
      <c r="I240" s="2" t="str">
        <f>CLEAN(TRIM(Working_Sales[[#This Row],[Customer ID]]))</f>
        <v>CUST018</v>
      </c>
      <c r="J24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CUST018</v>
      </c>
      <c r="K24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CUST018</v>
      </c>
      <c r="L240" t="s">
        <v>26</v>
      </c>
      <c r="M240" s="4" t="str">
        <f>CLEAN(TRIM(Working_Sales[[#This Row],[Gender]]))</f>
        <v>Female</v>
      </c>
      <c r="N240" s="4" t="str" cm="1">
        <f t="array" ref="N240">_xlfn.SWITCH(
   Working_Sales[[#This Row],[Gender_Whitespace_Removed]],
   "m", "Male",
   "f", "Female",
   Working_Sales[[#This Row],[Gender_Whitespace_Removed]]
)</f>
        <v>Female</v>
      </c>
      <c r="O240" s="6" t="str">
        <f>PROPER(Working_Sales[[#This Row],[Gender_Abbreviation_Expanded]])</f>
        <v>Female</v>
      </c>
      <c r="P240" t="s">
        <v>600</v>
      </c>
      <c r="Q240" s="2" t="str">
        <f>CLEAN(TRIM(Working_Sales[[#This Row],[Age]]))</f>
        <v>60</v>
      </c>
      <c r="R240" s="6">
        <f>INT(SUBSTITUTE(Working_Sales[[#This Row],[Age_Whitespace_Removed]],".",","))</f>
        <v>60</v>
      </c>
      <c r="S240" t="s">
        <v>56</v>
      </c>
      <c r="T240" s="2" t="str">
        <f>CLEAN(TRIM(Working_Sales[[#This Row],[Product Category]]))</f>
        <v>Clothing</v>
      </c>
      <c r="U240" s="6" t="str">
        <f>PROPER(Working_Sales[[#This Row],[Product_Category_Whitespace_Removed]])</f>
        <v>Clothing</v>
      </c>
      <c r="V240" t="s">
        <v>37</v>
      </c>
      <c r="W240" s="2" t="str">
        <f>CLEAN(TRIM(Working_Sales[[#This Row],[Quantity]]))</f>
        <v>2</v>
      </c>
      <c r="X240" s="2">
        <f>INT(Working_Sales[[#This Row],[`]])</f>
        <v>2</v>
      </c>
      <c r="Y240" s="6">
        <f>IFERROR(
   Working_Sales[[#This Row],[Quantity_Converted_To_Integer]],
   Working_Sales[[#This Row],[Total_Amount_Whitespace_Removed]]/Working_Sales[[#This Row],[Price_Per_Unit_Decimal_Separator_Fixed]])</f>
        <v>2</v>
      </c>
      <c r="Z240" t="s">
        <v>186</v>
      </c>
      <c r="AA240" s="2" t="str">
        <f>CLEAN(TRIM(Working_Sales[[#This Row],[Price per Unit]]))</f>
        <v>$300</v>
      </c>
      <c r="AB240" s="2">
        <f>INT(
   SUBSTITUTE(Working_Sales[[#This Row],[Price_Per_Unit_Whitespace_Removed]],
   "$",
   ""
   )
)</f>
        <v>300</v>
      </c>
      <c r="AC240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240" s="8">
        <f>IFERROR(
   Working_Sales[[#This Row],[Price_Per_Unit_Decimal_Separator_Fixed]],
   Working_Sales[[#This Row],[Total_Amount_Converted_To_Integer]]/Working_Sales[[#This Row],[Quantity_Converted_To_Integer]]
)</f>
        <v>300</v>
      </c>
      <c r="AE240" t="s">
        <v>107</v>
      </c>
      <c r="AF240" s="2" t="str">
        <f>CLEAN(TRIM(Working_Sales[[#This Row],[Total Amount]]))</f>
        <v>600</v>
      </c>
      <c r="AG240" s="2">
        <f>INT(Working_Sales[[#This Row],[Total_Amount_Whitespace_Removed]])</f>
        <v>600</v>
      </c>
      <c r="AH24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600</v>
      </c>
    </row>
    <row r="241" spans="1:34" x14ac:dyDescent="0.35">
      <c r="A241" t="s">
        <v>601</v>
      </c>
      <c r="B241" s="6" t="str">
        <f>CLEAN(TRIM(Working_Sales[[#This Row],[Transaction ID]]))</f>
        <v>964</v>
      </c>
      <c r="C241" t="s">
        <v>557</v>
      </c>
      <c r="D241" s="2" t="str">
        <f>CLEAN(TRIM(Working_Sales[[#This Row],[Date]]))</f>
        <v>31-Jan-2023</v>
      </c>
      <c r="E24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44957</v>
      </c>
      <c r="F24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44957</v>
      </c>
      <c r="G24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44957</v>
      </c>
      <c r="H241" t="s">
        <v>2522</v>
      </c>
      <c r="I241" s="2" t="str">
        <f>CLEAN(TRIM(Working_Sales[[#This Row],[Customer ID]]))</f>
        <v>cust200</v>
      </c>
      <c r="J24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4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CUST200</v>
      </c>
      <c r="L241" t="s">
        <v>34</v>
      </c>
      <c r="M241" s="4" t="str">
        <f>CLEAN(TRIM(Working_Sales[[#This Row],[Gender]]))</f>
        <v>Male</v>
      </c>
      <c r="N241" s="4" t="str" cm="1">
        <f t="array" ref="N241">_xlfn.SWITCH(
   Working_Sales[[#This Row],[Gender_Whitespace_Removed]],
   "m", "Male",
   "f", "Female",
   Working_Sales[[#This Row],[Gender_Whitespace_Removed]]
)</f>
        <v>Male</v>
      </c>
      <c r="O241" s="6" t="str">
        <f>PROPER(Working_Sales[[#This Row],[Gender_Abbreviation_Expanded]])</f>
        <v>Male</v>
      </c>
      <c r="P241">
        <v>24</v>
      </c>
      <c r="Q241" s="2" t="str">
        <f>CLEAN(TRIM(Working_Sales[[#This Row],[Age]]))</f>
        <v>24</v>
      </c>
      <c r="R241" s="6">
        <f>INT(SUBSTITUTE(Working_Sales[[#This Row],[Age_Whitespace_Removed]],".",","))</f>
        <v>24</v>
      </c>
      <c r="S241" t="s">
        <v>56</v>
      </c>
      <c r="T241" s="2" t="str">
        <f>CLEAN(TRIM(Working_Sales[[#This Row],[Product Category]]))</f>
        <v>Clothing</v>
      </c>
      <c r="U241" s="6" t="str">
        <f>PROPER(Working_Sales[[#This Row],[Product_Category_Whitespace_Removed]])</f>
        <v>Clothing</v>
      </c>
      <c r="V241" t="s">
        <v>29</v>
      </c>
      <c r="W241" s="2" t="str">
        <f>CLEAN(TRIM(Working_Sales[[#This Row],[Quantity]]))</f>
        <v>3</v>
      </c>
      <c r="X241" s="2">
        <f>INT(Working_Sales[[#This Row],[`]])</f>
        <v>3</v>
      </c>
      <c r="Y241" s="6">
        <f>IFERROR(
   Working_Sales[[#This Row],[Quantity_Converted_To_Integer]],
   Working_Sales[[#This Row],[Total_Amount_Whitespace_Removed]]/Working_Sales[[#This Row],[Price_Per_Unit_Decimal_Separator_Fixed]])</f>
        <v>3</v>
      </c>
      <c r="Z241" t="s">
        <v>23</v>
      </c>
      <c r="AA241" s="2" t="str">
        <f>CLEAN(TRIM(Working_Sales[[#This Row],[Price per Unit]]))</f>
        <v>300</v>
      </c>
      <c r="AB241" s="2">
        <f>INT(
   SUBSTITUTE(Working_Sales[[#This Row],[Price_Per_Unit_Whitespace_Removed]],
   "$",
   ""
   )
)</f>
        <v>300</v>
      </c>
      <c r="AC241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241" s="8">
        <f>IFERROR(
   Working_Sales[[#This Row],[Price_Per_Unit_Decimal_Separator_Fixed]],
   Working_Sales[[#This Row],[Total_Amount_Converted_To_Integer]]/Working_Sales[[#This Row],[Quantity_Converted_To_Integer]]
)</f>
        <v>300</v>
      </c>
      <c r="AE241" t="s">
        <v>128</v>
      </c>
      <c r="AF241" s="2" t="str">
        <f>CLEAN(TRIM(Working_Sales[[#This Row],[Total Amount]]))</f>
        <v>900</v>
      </c>
      <c r="AG241" s="2">
        <f>INT(Working_Sales[[#This Row],[Total_Amount_Whitespace_Removed]])</f>
        <v>900</v>
      </c>
      <c r="AH24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242" spans="1:34" x14ac:dyDescent="0.35">
      <c r="A242" t="s">
        <v>602</v>
      </c>
      <c r="B242" s="6" t="str">
        <f>CLEAN(TRIM(Working_Sales[[#This Row],[Transaction ID]]))</f>
        <v>515</v>
      </c>
      <c r="C242" t="s">
        <v>2059</v>
      </c>
      <c r="D242" s="2" t="str">
        <f>CLEAN(TRIM(Working_Sales[[#This Row],[Date]]))</f>
        <v>07/17/2023</v>
      </c>
      <c r="E242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24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45124</v>
      </c>
      <c r="G24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45124</v>
      </c>
      <c r="H242" t="s">
        <v>1068</v>
      </c>
      <c r="I242" s="2" t="str">
        <f>CLEAN(TRIM(Working_Sales[[#This Row],[Customer ID]]))</f>
        <v>CUST201</v>
      </c>
      <c r="J24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4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CUST201</v>
      </c>
      <c r="L242" t="s">
        <v>112</v>
      </c>
      <c r="M242" s="4" t="str">
        <f>CLEAN(TRIM(Working_Sales[[#This Row],[Gender]]))</f>
        <v>female</v>
      </c>
      <c r="N242" s="4" t="str" cm="1">
        <f t="array" ref="N242">_xlfn.SWITCH(
   Working_Sales[[#This Row],[Gender_Whitespace_Removed]],
   "m", "Male",
   "f", "Female",
   Working_Sales[[#This Row],[Gender_Whitespace_Removed]]
)</f>
        <v>female</v>
      </c>
      <c r="O242" s="6" t="str">
        <f>PROPER(Working_Sales[[#This Row],[Gender_Abbreviation_Expanded]])</f>
        <v>Female</v>
      </c>
      <c r="P242">
        <v>49</v>
      </c>
      <c r="Q242" s="2" t="str">
        <f>CLEAN(TRIM(Working_Sales[[#This Row],[Age]]))</f>
        <v>49</v>
      </c>
      <c r="R242" s="6">
        <f>INT(SUBSTITUTE(Working_Sales[[#This Row],[Age_Whitespace_Removed]],".",","))</f>
        <v>49</v>
      </c>
      <c r="S242" t="s">
        <v>56</v>
      </c>
      <c r="T242" s="2" t="str">
        <f>CLEAN(TRIM(Working_Sales[[#This Row],[Product Category]]))</f>
        <v>Clothing</v>
      </c>
      <c r="U242" s="6" t="str">
        <f>PROPER(Working_Sales[[#This Row],[Product_Category_Whitespace_Removed]])</f>
        <v>Clothing</v>
      </c>
      <c r="V242" t="s">
        <v>29</v>
      </c>
      <c r="W242" s="2" t="str">
        <f>CLEAN(TRIM(Working_Sales[[#This Row],[Quantity]]))</f>
        <v>3</v>
      </c>
      <c r="X242" s="2">
        <f>INT(Working_Sales[[#This Row],[`]])</f>
        <v>3</v>
      </c>
      <c r="Y242" s="6">
        <f>IFERROR(
   Working_Sales[[#This Row],[Quantity_Converted_To_Integer]],
   Working_Sales[[#This Row],[Total_Amount_Whitespace_Removed]]/Working_Sales[[#This Row],[Price_Per_Unit_Decimal_Separator_Fixed]])</f>
        <v>3</v>
      </c>
      <c r="Z242" t="s">
        <v>23</v>
      </c>
      <c r="AA242" s="2" t="str">
        <f>CLEAN(TRIM(Working_Sales[[#This Row],[Price per Unit]]))</f>
        <v>300</v>
      </c>
      <c r="AB242" s="2">
        <f>INT(
   SUBSTITUTE(Working_Sales[[#This Row],[Price_Per_Unit_Whitespace_Removed]],
   "$",
   ""
   )
)</f>
        <v>300</v>
      </c>
      <c r="AC242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242" s="8">
        <f>IFERROR(
   Working_Sales[[#This Row],[Price_Per_Unit_Decimal_Separator_Fixed]],
   Working_Sales[[#This Row],[Total_Amount_Converted_To_Integer]]/Working_Sales[[#This Row],[Quantity_Converted_To_Integer]]
)</f>
        <v>300</v>
      </c>
      <c r="AE242" t="s">
        <v>128</v>
      </c>
      <c r="AF242" s="2" t="str">
        <f>CLEAN(TRIM(Working_Sales[[#This Row],[Total Amount]]))</f>
        <v>900</v>
      </c>
      <c r="AG242" s="2">
        <f>INT(Working_Sales[[#This Row],[Total_Amount_Whitespace_Removed]])</f>
        <v>900</v>
      </c>
      <c r="AH24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243" spans="1:34" x14ac:dyDescent="0.35">
      <c r="A243" t="s">
        <v>603</v>
      </c>
      <c r="B243" s="6" t="str">
        <f>CLEAN(TRIM(Working_Sales[[#This Row],[Transaction ID]]))</f>
        <v>709</v>
      </c>
      <c r="C243" t="s">
        <v>604</v>
      </c>
      <c r="D243" s="2" t="str">
        <f>CLEAN(TRIM(Working_Sales[[#This Row],[Date]]))</f>
        <v>2023-07-21</v>
      </c>
      <c r="E24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45128</v>
      </c>
      <c r="F24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45128</v>
      </c>
      <c r="G24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45128</v>
      </c>
      <c r="H243" t="s">
        <v>2523</v>
      </c>
      <c r="I243" s="2" t="str">
        <f>CLEAN(TRIM(Working_Sales[[#This Row],[Customer ID]]))</f>
        <v>Cust202</v>
      </c>
      <c r="J24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4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CUST202</v>
      </c>
      <c r="L243" t="s">
        <v>26</v>
      </c>
      <c r="M243" s="4" t="str">
        <f>CLEAN(TRIM(Working_Sales[[#This Row],[Gender]]))</f>
        <v>Female</v>
      </c>
      <c r="N243" s="4" t="str" cm="1">
        <f t="array" ref="N243">_xlfn.SWITCH(
   Working_Sales[[#This Row],[Gender_Whitespace_Removed]],
   "m", "Male",
   "f", "Female",
   Working_Sales[[#This Row],[Gender_Whitespace_Removed]]
)</f>
        <v>Female</v>
      </c>
      <c r="O243" s="6" t="str">
        <f>PROPER(Working_Sales[[#This Row],[Gender_Abbreviation_Expanded]])</f>
        <v>Female</v>
      </c>
      <c r="P243">
        <v>19</v>
      </c>
      <c r="Q243" s="2" t="str">
        <f>CLEAN(TRIM(Working_Sales[[#This Row],[Age]]))</f>
        <v>19</v>
      </c>
      <c r="R243" s="6">
        <f>INT(SUBSTITUTE(Working_Sales[[#This Row],[Age_Whitespace_Removed]],".",","))</f>
        <v>19</v>
      </c>
      <c r="S243" t="s">
        <v>13</v>
      </c>
      <c r="T243" s="2" t="str">
        <f>CLEAN(TRIM(Working_Sales[[#This Row],[Product Category]]))</f>
        <v>Electronics</v>
      </c>
      <c r="U243" s="6" t="str">
        <f>PROPER(Working_Sales[[#This Row],[Product_Category_Whitespace_Removed]])</f>
        <v>Electronics</v>
      </c>
      <c r="V243" t="s">
        <v>37</v>
      </c>
      <c r="W243" s="2" t="str">
        <f>CLEAN(TRIM(Working_Sales[[#This Row],[Quantity]]))</f>
        <v>2</v>
      </c>
      <c r="X243" s="2">
        <f>INT(Working_Sales[[#This Row],[`]])</f>
        <v>2</v>
      </c>
      <c r="Y243" s="6">
        <f>IFERROR(
   Working_Sales[[#This Row],[Quantity_Converted_To_Integer]],
   Working_Sales[[#This Row],[Total_Amount_Whitespace_Removed]]/Working_Sales[[#This Row],[Price_Per_Unit_Decimal_Separator_Fixed]])</f>
        <v>2</v>
      </c>
      <c r="Z243" t="s">
        <v>57</v>
      </c>
      <c r="AA243" s="2" t="str">
        <f>CLEAN(TRIM(Working_Sales[[#This Row],[Price per Unit]]))</f>
        <v>500</v>
      </c>
      <c r="AB243" s="2">
        <f>INT(
   SUBSTITUTE(Working_Sales[[#This Row],[Price_Per_Unit_Whitespace_Removed]],
   "$",
   ""
   )
)</f>
        <v>500</v>
      </c>
      <c r="AC243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243" s="8">
        <f>IFERROR(
   Working_Sales[[#This Row],[Price_Per_Unit_Decimal_Separator_Fixed]],
   Working_Sales[[#This Row],[Total_Amount_Converted_To_Integer]]/Working_Sales[[#This Row],[Quantity_Converted_To_Integer]]
)</f>
        <v>500</v>
      </c>
      <c r="AE243" t="s">
        <v>163</v>
      </c>
      <c r="AF243" s="2" t="str">
        <f>CLEAN(TRIM(Working_Sales[[#This Row],[Total Amount]]))</f>
        <v>1000</v>
      </c>
      <c r="AG243" s="2">
        <f>INT(Working_Sales[[#This Row],[Total_Amount_Whitespace_Removed]])</f>
        <v>1000</v>
      </c>
      <c r="AH24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244" spans="1:34" x14ac:dyDescent="0.35">
      <c r="A244" t="s">
        <v>605</v>
      </c>
      <c r="B244" s="6" t="str">
        <f>CLEAN(TRIM(Working_Sales[[#This Row],[Transaction ID]]))</f>
        <v>669</v>
      </c>
      <c r="C244" t="s">
        <v>606</v>
      </c>
      <c r="D244" s="2" t="str">
        <f>CLEAN(TRIM(Working_Sales[[#This Row],[Date]]))</f>
        <v>19/06/2023</v>
      </c>
      <c r="E24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45096</v>
      </c>
      <c r="F24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45096</v>
      </c>
      <c r="G24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45096</v>
      </c>
      <c r="H244" t="s">
        <v>2524</v>
      </c>
      <c r="I244" s="2" t="str">
        <f>CLEAN(TRIM(Working_Sales[[#This Row],[Customer ID]]))</f>
        <v>CUST-044</v>
      </c>
      <c r="J24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4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CUST044</v>
      </c>
      <c r="L244" t="s">
        <v>20</v>
      </c>
      <c r="M244" s="4" t="str">
        <f>CLEAN(TRIM(Working_Sales[[#This Row],[Gender]]))</f>
        <v>male</v>
      </c>
      <c r="N244" s="4" t="str" cm="1">
        <f t="array" ref="N244">_xlfn.SWITCH(
   Working_Sales[[#This Row],[Gender_Whitespace_Removed]],
   "m", "Male",
   "f", "Female",
   Working_Sales[[#This Row],[Gender_Whitespace_Removed]]
)</f>
        <v>male</v>
      </c>
      <c r="O244" s="6" t="str">
        <f>PROPER(Working_Sales[[#This Row],[Gender_Abbreviation_Expanded]])</f>
        <v>Male</v>
      </c>
      <c r="P244">
        <v>24</v>
      </c>
      <c r="Q244" s="2" t="str">
        <f>CLEAN(TRIM(Working_Sales[[#This Row],[Age]]))</f>
        <v>24</v>
      </c>
      <c r="R244" s="6">
        <f>INT(SUBSTITUTE(Working_Sales[[#This Row],[Age_Whitespace_Removed]],".",","))</f>
        <v>24</v>
      </c>
      <c r="S244" t="s">
        <v>62</v>
      </c>
      <c r="T244" s="2" t="str">
        <f>CLEAN(TRIM(Working_Sales[[#This Row],[Product Category]]))</f>
        <v>beauty</v>
      </c>
      <c r="U244" s="6" t="str">
        <f>PROPER(Working_Sales[[#This Row],[Product_Category_Whitespace_Removed]])</f>
        <v>Beauty</v>
      </c>
      <c r="V244" t="s">
        <v>14</v>
      </c>
      <c r="W244" s="2" t="str">
        <f>CLEAN(TRIM(Working_Sales[[#This Row],[Quantity]]))</f>
        <v>4</v>
      </c>
      <c r="X244" s="2">
        <f>INT(Working_Sales[[#This Row],[`]])</f>
        <v>4</v>
      </c>
      <c r="Y244" s="6">
        <f>IFERROR(
   Working_Sales[[#This Row],[Quantity_Converted_To_Integer]],
   Working_Sales[[#This Row],[Total_Amount_Whitespace_Removed]]/Working_Sales[[#This Row],[Price_Per_Unit_Decimal_Separator_Fixed]])</f>
        <v>4</v>
      </c>
      <c r="Z244" t="s">
        <v>23</v>
      </c>
      <c r="AA244" s="2" t="str">
        <f>CLEAN(TRIM(Working_Sales[[#This Row],[Price per Unit]]))</f>
        <v>300</v>
      </c>
      <c r="AB244" s="2">
        <f>INT(
   SUBSTITUTE(Working_Sales[[#This Row],[Price_Per_Unit_Whitespace_Removed]],
   "$",
   ""
   )
)</f>
        <v>300</v>
      </c>
      <c r="AC244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244" s="8">
        <f>IFERROR(
   Working_Sales[[#This Row],[Price_Per_Unit_Decimal_Separator_Fixed]],
   Working_Sales[[#This Row],[Total_Amount_Converted_To_Integer]]/Working_Sales[[#This Row],[Quantity_Converted_To_Integer]]
)</f>
        <v>300</v>
      </c>
      <c r="AE244" t="s">
        <v>79</v>
      </c>
      <c r="AF244" s="2" t="str">
        <f>CLEAN(TRIM(Working_Sales[[#This Row],[Total Amount]]))</f>
        <v>1200</v>
      </c>
      <c r="AG244" s="2">
        <f>INT(Working_Sales[[#This Row],[Total_Amount_Whitespace_Removed]])</f>
        <v>1200</v>
      </c>
      <c r="AH24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245" spans="1:34" x14ac:dyDescent="0.35">
      <c r="A245" t="s">
        <v>607</v>
      </c>
      <c r="B245" s="6" t="str">
        <f>CLEAN(TRIM(Working_Sales[[#This Row],[Transaction ID]]))</f>
        <v>180</v>
      </c>
      <c r="C245" t="s">
        <v>261</v>
      </c>
      <c r="D245" s="2" t="str">
        <f>CLEAN(TRIM(Working_Sales[[#This Row],[Date]]))</f>
        <v>01-Jan-2023</v>
      </c>
      <c r="E24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44927</v>
      </c>
      <c r="F24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44927</v>
      </c>
      <c r="G24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44927</v>
      </c>
      <c r="H245" t="s">
        <v>2525</v>
      </c>
      <c r="I245" s="2" t="str">
        <f>CLEAN(TRIM(Working_Sales[[#This Row],[Customer ID]]))</f>
        <v>cust203</v>
      </c>
      <c r="J24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4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CUST203</v>
      </c>
      <c r="L245" t="s">
        <v>34</v>
      </c>
      <c r="M245" s="4" t="str">
        <f>CLEAN(TRIM(Working_Sales[[#This Row],[Gender]]))</f>
        <v>Male</v>
      </c>
      <c r="N245" s="4" t="str" cm="1">
        <f t="array" ref="N245">_xlfn.SWITCH(
   Working_Sales[[#This Row],[Gender_Whitespace_Removed]],
   "m", "Male",
   "f", "Female",
   Working_Sales[[#This Row],[Gender_Whitespace_Removed]]
)</f>
        <v>Male</v>
      </c>
      <c r="O245" s="6" t="str">
        <f>PROPER(Working_Sales[[#This Row],[Gender_Abbreviation_Expanded]])</f>
        <v>Male</v>
      </c>
      <c r="P245">
        <v>41</v>
      </c>
      <c r="Q245" s="2" t="str">
        <f>CLEAN(TRIM(Working_Sales[[#This Row],[Age]]))</f>
        <v>41</v>
      </c>
      <c r="R245" s="6">
        <f>INT(SUBSTITUTE(Working_Sales[[#This Row],[Age_Whitespace_Removed]],".",","))</f>
        <v>41</v>
      </c>
      <c r="S245" t="s">
        <v>56</v>
      </c>
      <c r="T245" s="2" t="str">
        <f>CLEAN(TRIM(Working_Sales[[#This Row],[Product Category]]))</f>
        <v>Clothing</v>
      </c>
      <c r="U245" s="6" t="str">
        <f>PROPER(Working_Sales[[#This Row],[Product_Category_Whitespace_Removed]])</f>
        <v>Clothing</v>
      </c>
      <c r="V245" t="s">
        <v>29</v>
      </c>
      <c r="W245" s="2" t="str">
        <f>CLEAN(TRIM(Working_Sales[[#This Row],[Quantity]]))</f>
        <v>3</v>
      </c>
      <c r="X245" s="2">
        <f>INT(Working_Sales[[#This Row],[`]])</f>
        <v>3</v>
      </c>
      <c r="Y245" s="6">
        <f>IFERROR(
   Working_Sales[[#This Row],[Quantity_Converted_To_Integer]],
   Working_Sales[[#This Row],[Total_Amount_Whitespace_Removed]]/Working_Sales[[#This Row],[Price_Per_Unit_Decimal_Separator_Fixed]])</f>
        <v>3</v>
      </c>
      <c r="Z245" t="s">
        <v>23</v>
      </c>
      <c r="AA245" s="2" t="str">
        <f>CLEAN(TRIM(Working_Sales[[#This Row],[Price per Unit]]))</f>
        <v>300</v>
      </c>
      <c r="AB245" s="2">
        <f>INT(
   SUBSTITUTE(Working_Sales[[#This Row],[Price_Per_Unit_Whitespace_Removed]],
   "$",
   ""
   )
)</f>
        <v>300</v>
      </c>
      <c r="AC245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245" s="8">
        <f>IFERROR(
   Working_Sales[[#This Row],[Price_Per_Unit_Decimal_Separator_Fixed]],
   Working_Sales[[#This Row],[Total_Amount_Converted_To_Integer]]/Working_Sales[[#This Row],[Quantity_Converted_To_Integer]]
)</f>
        <v>300</v>
      </c>
      <c r="AE245" t="s">
        <v>128</v>
      </c>
      <c r="AF245" s="2" t="str">
        <f>CLEAN(TRIM(Working_Sales[[#This Row],[Total Amount]]))</f>
        <v>900</v>
      </c>
      <c r="AG245" s="2">
        <f>INT(Working_Sales[[#This Row],[Total_Amount_Whitespace_Removed]])</f>
        <v>900</v>
      </c>
      <c r="AH24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246" spans="1:34" x14ac:dyDescent="0.35">
      <c r="A246" t="s">
        <v>609</v>
      </c>
      <c r="B246" s="6" t="str">
        <f>CLEAN(TRIM(Working_Sales[[#This Row],[Transaction ID]]))</f>
        <v>481</v>
      </c>
      <c r="C246" t="s">
        <v>241</v>
      </c>
      <c r="D246" s="2" t="str">
        <f>CLEAN(TRIM(Working_Sales[[#This Row],[Date]]))</f>
        <v>2023-06-06</v>
      </c>
      <c r="E24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45083</v>
      </c>
      <c r="F24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45083</v>
      </c>
      <c r="G24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45083</v>
      </c>
      <c r="H246" t="s">
        <v>2526</v>
      </c>
      <c r="I246" s="2" t="str">
        <f>CLEAN(TRIM(Working_Sales[[#This Row],[Customer ID]]))</f>
        <v>Cust204</v>
      </c>
      <c r="J24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4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CUST204</v>
      </c>
      <c r="L246" t="s">
        <v>26</v>
      </c>
      <c r="M246" s="4" t="str">
        <f>CLEAN(TRIM(Working_Sales[[#This Row],[Gender]]))</f>
        <v>Female</v>
      </c>
      <c r="N246" s="4" t="str" cm="1">
        <f t="array" ref="N246">_xlfn.SWITCH(
   Working_Sales[[#This Row],[Gender_Whitespace_Removed]],
   "m", "Male",
   "f", "Female",
   Working_Sales[[#This Row],[Gender_Whitespace_Removed]]
)</f>
        <v>Female</v>
      </c>
      <c r="O246" s="6" t="str">
        <f>PROPER(Working_Sales[[#This Row],[Gender_Abbreviation_Expanded]])</f>
        <v>Female</v>
      </c>
      <c r="P246">
        <v>43</v>
      </c>
      <c r="Q246" s="2" t="str">
        <f>CLEAN(TRIM(Working_Sales[[#This Row],[Age]]))</f>
        <v>43</v>
      </c>
      <c r="R246" s="6">
        <f>INT(SUBSTITUTE(Working_Sales[[#This Row],[Age_Whitespace_Removed]],".",","))</f>
        <v>43</v>
      </c>
      <c r="S246" t="s">
        <v>13</v>
      </c>
      <c r="T246" s="2" t="str">
        <f>CLEAN(TRIM(Working_Sales[[#This Row],[Product Category]]))</f>
        <v>Electronics</v>
      </c>
      <c r="U246" s="6" t="str">
        <f>PROPER(Working_Sales[[#This Row],[Product_Category_Whitespace_Removed]])</f>
        <v>Electronics</v>
      </c>
      <c r="V246" t="s">
        <v>14</v>
      </c>
      <c r="W246" s="2" t="str">
        <f>CLEAN(TRIM(Working_Sales[[#This Row],[Quantity]]))</f>
        <v>4</v>
      </c>
      <c r="X246" s="2">
        <f>INT(Working_Sales[[#This Row],[`]])</f>
        <v>4</v>
      </c>
      <c r="Y246" s="6">
        <f>IFERROR(
   Working_Sales[[#This Row],[Quantity_Converted_To_Integer]],
   Working_Sales[[#This Row],[Total_Amount_Whitespace_Removed]]/Working_Sales[[#This Row],[Price_Per_Unit_Decimal_Separator_Fixed]])</f>
        <v>4</v>
      </c>
      <c r="Z246" t="s">
        <v>23</v>
      </c>
      <c r="AA246" s="2" t="str">
        <f>CLEAN(TRIM(Working_Sales[[#This Row],[Price per Unit]]))</f>
        <v>300</v>
      </c>
      <c r="AB246" s="2">
        <f>INT(
   SUBSTITUTE(Working_Sales[[#This Row],[Price_Per_Unit_Whitespace_Removed]],
   "$",
   ""
   )
)</f>
        <v>300</v>
      </c>
      <c r="AC246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246" s="8">
        <f>IFERROR(
   Working_Sales[[#This Row],[Price_Per_Unit_Decimal_Separator_Fixed]],
   Working_Sales[[#This Row],[Total_Amount_Converted_To_Integer]]/Working_Sales[[#This Row],[Quantity_Converted_To_Integer]]
)</f>
        <v>300</v>
      </c>
      <c r="AE246" t="s">
        <v>79</v>
      </c>
      <c r="AF246" s="2" t="str">
        <f>CLEAN(TRIM(Working_Sales[[#This Row],[Total Amount]]))</f>
        <v>1200</v>
      </c>
      <c r="AG246" s="2">
        <f>INT(Working_Sales[[#This Row],[Total_Amount_Whitespace_Removed]])</f>
        <v>1200</v>
      </c>
      <c r="AH24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247" spans="1:34" x14ac:dyDescent="0.35">
      <c r="A247" t="s">
        <v>611</v>
      </c>
      <c r="B247" s="6" t="str">
        <f>CLEAN(TRIM(Working_Sales[[#This Row],[Transaction ID]]))</f>
        <v>373</v>
      </c>
      <c r="C247" t="s">
        <v>590</v>
      </c>
      <c r="D247" s="2" t="str">
        <f>CLEAN(TRIM(Working_Sales[[#This Row],[Date]]))</f>
        <v>03-Oct-2023</v>
      </c>
      <c r="E24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45202</v>
      </c>
      <c r="F24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45202</v>
      </c>
      <c r="G24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45202</v>
      </c>
      <c r="H247" t="s">
        <v>2527</v>
      </c>
      <c r="I247" s="2" t="str">
        <f>CLEAN(TRIM(Working_Sales[[#This Row],[Customer ID]]))</f>
        <v>cust137</v>
      </c>
      <c r="J24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4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CUST137</v>
      </c>
      <c r="L247" t="s">
        <v>26</v>
      </c>
      <c r="M247" s="4" t="str">
        <f>CLEAN(TRIM(Working_Sales[[#This Row],[Gender]]))</f>
        <v>Female</v>
      </c>
      <c r="N247" s="4" t="str" cm="1">
        <f t="array" ref="N247">_xlfn.SWITCH(
   Working_Sales[[#This Row],[Gender_Whitespace_Removed]],
   "m", "Male",
   "f", "Female",
   Working_Sales[[#This Row],[Gender_Whitespace_Removed]]
)</f>
        <v>Female</v>
      </c>
      <c r="O247" s="6" t="str">
        <f>PROPER(Working_Sales[[#This Row],[Gender_Abbreviation_Expanded]])</f>
        <v>Female</v>
      </c>
      <c r="P247">
        <v>25</v>
      </c>
      <c r="Q247" s="2" t="str">
        <f>CLEAN(TRIM(Working_Sales[[#This Row],[Age]]))</f>
        <v>25</v>
      </c>
      <c r="R247" s="6">
        <f>INT(SUBSTITUTE(Working_Sales[[#This Row],[Age_Whitespace_Removed]],".",","))</f>
        <v>25</v>
      </c>
      <c r="S247" t="s">
        <v>36</v>
      </c>
      <c r="T247" s="2" t="str">
        <f>CLEAN(TRIM(Working_Sales[[#This Row],[Product Category]]))</f>
        <v>Beauty</v>
      </c>
      <c r="U247" s="6" t="str">
        <f>PROPER(Working_Sales[[#This Row],[Product_Category_Whitespace_Removed]])</f>
        <v>Beauty</v>
      </c>
      <c r="W247" s="2" t="str">
        <f>CLEAN(TRIM(Working_Sales[[#This Row],[Quantity]]))</f>
        <v/>
      </c>
      <c r="X247" s="2" t="e">
        <f>INT(Working_Sales[[#This Row],[`]])</f>
        <v>#VALUE!</v>
      </c>
      <c r="Y247" s="6">
        <f>IFERROR(
   Working_Sales[[#This Row],[Quantity_Converted_To_Integer]],
   Working_Sales[[#This Row],[Total_Amount_Whitespace_Removed]]/Working_Sales[[#This Row],[Price_Per_Unit_Decimal_Separator_Fixed]])</f>
        <v>2</v>
      </c>
      <c r="Z247" t="s">
        <v>23</v>
      </c>
      <c r="AA247" s="2" t="str">
        <f>CLEAN(TRIM(Working_Sales[[#This Row],[Price per Unit]]))</f>
        <v>300</v>
      </c>
      <c r="AB247" s="2">
        <f>INT(
   SUBSTITUTE(Working_Sales[[#This Row],[Price_Per_Unit_Whitespace_Removed]],
   "$",
   ""
   )
)</f>
        <v>300</v>
      </c>
      <c r="AC247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247" s="8">
        <f>IFERROR(
   Working_Sales[[#This Row],[Price_Per_Unit_Decimal_Separator_Fixed]],
   Working_Sales[[#This Row],[Total_Amount_Converted_To_Integer]]/Working_Sales[[#This Row],[Quantity_Converted_To_Integer]]
)</f>
        <v>300</v>
      </c>
      <c r="AE247" t="s">
        <v>107</v>
      </c>
      <c r="AF247" s="2" t="str">
        <f>CLEAN(TRIM(Working_Sales[[#This Row],[Total Amount]]))</f>
        <v>600</v>
      </c>
      <c r="AG247" s="2">
        <f>INT(Working_Sales[[#This Row],[Total_Amount_Whitespace_Removed]])</f>
        <v>600</v>
      </c>
      <c r="AH24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600</v>
      </c>
    </row>
    <row r="248" spans="1:34" x14ac:dyDescent="0.35">
      <c r="A248" t="s">
        <v>613</v>
      </c>
      <c r="B248" s="6" t="str">
        <f>CLEAN(TRIM(Working_Sales[[#This Row],[Transaction ID]]))</f>
        <v>447</v>
      </c>
      <c r="C248" t="s">
        <v>2050</v>
      </c>
      <c r="D248" s="2" t="str">
        <f>CLEAN(TRIM(Working_Sales[[#This Row],[Date]]))</f>
        <v>06-Jul-2023</v>
      </c>
      <c r="E24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45113</v>
      </c>
      <c r="F24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45113</v>
      </c>
      <c r="G24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45113</v>
      </c>
      <c r="H248" t="s">
        <v>2520</v>
      </c>
      <c r="I248" s="2" t="str">
        <f>CLEAN(TRIM(Working_Sales[[#This Row],[Customer ID]]))</f>
        <v>Cust199</v>
      </c>
      <c r="J24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4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CUST199</v>
      </c>
      <c r="L248" t="s">
        <v>34</v>
      </c>
      <c r="M248" s="4" t="str">
        <f>CLEAN(TRIM(Working_Sales[[#This Row],[Gender]]))</f>
        <v>Male</v>
      </c>
      <c r="N248" s="4" t="str" cm="1">
        <f t="array" ref="N248">_xlfn.SWITCH(
   Working_Sales[[#This Row],[Gender_Whitespace_Removed]],
   "m", "Male",
   "f", "Female",
   Working_Sales[[#This Row],[Gender_Whitespace_Removed]]
)</f>
        <v>Male</v>
      </c>
      <c r="O248" s="6" t="str">
        <f>PROPER(Working_Sales[[#This Row],[Gender_Abbreviation_Expanded]])</f>
        <v>Male</v>
      </c>
      <c r="P248" t="s">
        <v>615</v>
      </c>
      <c r="Q248" s="2" t="str">
        <f>CLEAN(TRIM(Working_Sales[[#This Row],[Age]]))</f>
        <v>22</v>
      </c>
      <c r="R248" s="6">
        <f>INT(SUBSTITUTE(Working_Sales[[#This Row],[Age_Whitespace_Removed]],".",","))</f>
        <v>22</v>
      </c>
      <c r="S248" t="s">
        <v>36</v>
      </c>
      <c r="T248" s="2" t="str">
        <f>CLEAN(TRIM(Working_Sales[[#This Row],[Product Category]]))</f>
        <v>Beauty</v>
      </c>
      <c r="U248" s="6" t="str">
        <f>PROPER(Working_Sales[[#This Row],[Product_Category_Whitespace_Removed]])</f>
        <v>Beauty</v>
      </c>
      <c r="W248" s="2" t="str">
        <f>CLEAN(TRIM(Working_Sales[[#This Row],[Quantity]]))</f>
        <v/>
      </c>
      <c r="X248" s="2" t="e">
        <f>INT(Working_Sales[[#This Row],[`]])</f>
        <v>#VALUE!</v>
      </c>
      <c r="Y248" s="6">
        <f>IFERROR(
   Working_Sales[[#This Row],[Quantity_Converted_To_Integer]],
   Working_Sales[[#This Row],[Total_Amount_Whitespace_Removed]]/Working_Sales[[#This Row],[Price_Per_Unit_Decimal_Separator_Fixed]])</f>
        <v>4</v>
      </c>
      <c r="Z248" t="s">
        <v>282</v>
      </c>
      <c r="AA248" s="2" t="str">
        <f>CLEAN(TRIM(Working_Sales[[#This Row],[Price per Unit]]))</f>
        <v>500</v>
      </c>
      <c r="AB248" s="2">
        <f>INT(
   SUBSTITUTE(Working_Sales[[#This Row],[Price_Per_Unit_Whitespace_Removed]],
   "$",
   ""
   )
)</f>
        <v>500</v>
      </c>
      <c r="AC248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248" s="8">
        <f>IFERROR(
   Working_Sales[[#This Row],[Price_Per_Unit_Decimal_Separator_Fixed]],
   Working_Sales[[#This Row],[Total_Amount_Converted_To_Integer]]/Working_Sales[[#This Row],[Quantity_Converted_To_Integer]]
)</f>
        <v>500</v>
      </c>
      <c r="AE248" t="s">
        <v>232</v>
      </c>
      <c r="AF248" s="2" t="str">
        <f>CLEAN(TRIM(Working_Sales[[#This Row],[Total Amount]]))</f>
        <v>2000</v>
      </c>
      <c r="AG248" s="2">
        <f>INT(Working_Sales[[#This Row],[Total_Amount_Whitespace_Removed]])</f>
        <v>2000</v>
      </c>
      <c r="AH24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249" spans="1:34" x14ac:dyDescent="0.35">
      <c r="A249" t="s">
        <v>616</v>
      </c>
      <c r="B249" s="6" t="str">
        <f>CLEAN(TRIM(Working_Sales[[#This Row],[Transaction ID]]))</f>
        <v>123</v>
      </c>
      <c r="C249" t="s">
        <v>2060</v>
      </c>
      <c r="D249" s="2" t="str">
        <f>CLEAN(TRIM(Working_Sales[[#This Row],[Date]]))</f>
        <v>05/15/2023</v>
      </c>
      <c r="E249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24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45061</v>
      </c>
      <c r="G24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45061</v>
      </c>
      <c r="H249" t="s">
        <v>2528</v>
      </c>
      <c r="I249" s="2" t="str">
        <f>CLEAN(TRIM(Working_Sales[[#This Row],[Customer ID]]))</f>
        <v>cust205</v>
      </c>
      <c r="J24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4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CUST205</v>
      </c>
      <c r="L249" t="s">
        <v>26</v>
      </c>
      <c r="M249" s="4" t="str">
        <f>CLEAN(TRIM(Working_Sales[[#This Row],[Gender]]))</f>
        <v>Female</v>
      </c>
      <c r="N249" s="4" t="str" cm="1">
        <f t="array" ref="N249">_xlfn.SWITCH(
   Working_Sales[[#This Row],[Gender_Whitespace_Removed]],
   "m", "Male",
   "f", "Female",
   Working_Sales[[#This Row],[Gender_Whitespace_Removed]]
)</f>
        <v>Female</v>
      </c>
      <c r="O249" s="6" t="str">
        <f>PROPER(Working_Sales[[#This Row],[Gender_Abbreviation_Expanded]])</f>
        <v>Female</v>
      </c>
      <c r="P249">
        <v>40</v>
      </c>
      <c r="Q249" s="2" t="str">
        <f>CLEAN(TRIM(Working_Sales[[#This Row],[Age]]))</f>
        <v>40</v>
      </c>
      <c r="R249" s="6">
        <f>INT(SUBSTITUTE(Working_Sales[[#This Row],[Age_Whitespace_Removed]],".",","))</f>
        <v>40</v>
      </c>
      <c r="S249" t="s">
        <v>13</v>
      </c>
      <c r="T249" s="2" t="str">
        <f>CLEAN(TRIM(Working_Sales[[#This Row],[Product Category]]))</f>
        <v>Electronics</v>
      </c>
      <c r="U249" s="6" t="str">
        <f>PROPER(Working_Sales[[#This Row],[Product_Category_Whitespace_Removed]])</f>
        <v>Electronics</v>
      </c>
      <c r="V249" t="s">
        <v>37</v>
      </c>
      <c r="W249" s="2" t="str">
        <f>CLEAN(TRIM(Working_Sales[[#This Row],[Quantity]]))</f>
        <v>2</v>
      </c>
      <c r="X249" s="2">
        <f>INT(Working_Sales[[#This Row],[`]])</f>
        <v>2</v>
      </c>
      <c r="Y249" s="6">
        <f>IFERROR(
   Working_Sales[[#This Row],[Quantity_Converted_To_Integer]],
   Working_Sales[[#This Row],[Total_Amount_Whitespace_Removed]]/Working_Sales[[#This Row],[Price_Per_Unit_Decimal_Separator_Fixed]])</f>
        <v>2</v>
      </c>
      <c r="Z249" t="s">
        <v>70</v>
      </c>
      <c r="AA249" s="2" t="str">
        <f>CLEAN(TRIM(Working_Sales[[#This Row],[Price per Unit]]))</f>
        <v>30</v>
      </c>
      <c r="AB249" s="2">
        <f>INT(
   SUBSTITUTE(Working_Sales[[#This Row],[Price_Per_Unit_Whitespace_Removed]],
   "$",
   ""
   )
)</f>
        <v>30</v>
      </c>
      <c r="AC249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249" s="8">
        <f>IFERROR(
   Working_Sales[[#This Row],[Price_Per_Unit_Decimal_Separator_Fixed]],
   Working_Sales[[#This Row],[Total_Amount_Converted_To_Integer]]/Working_Sales[[#This Row],[Quantity_Converted_To_Integer]]
)</f>
        <v>30</v>
      </c>
      <c r="AE249" t="s">
        <v>71</v>
      </c>
      <c r="AF249" s="2" t="str">
        <f>CLEAN(TRIM(Working_Sales[[#This Row],[Total Amount]]))</f>
        <v>60</v>
      </c>
      <c r="AG249" s="2">
        <f>INT(Working_Sales[[#This Row],[Total_Amount_Whitespace_Removed]])</f>
        <v>60</v>
      </c>
      <c r="AH24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250" spans="1:34" x14ac:dyDescent="0.35">
      <c r="A250" t="s">
        <v>618</v>
      </c>
      <c r="B250" s="6" t="str">
        <f>CLEAN(TRIM(Working_Sales[[#This Row],[Transaction ID]]))</f>
        <v>529</v>
      </c>
      <c r="C250" t="s">
        <v>619</v>
      </c>
      <c r="D250" s="2" t="str">
        <f>CLEAN(TRIM(Working_Sales[[#This Row],[Date]]))</f>
        <v>2023-08-09</v>
      </c>
      <c r="E25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45147</v>
      </c>
      <c r="F25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45147</v>
      </c>
      <c r="G25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45147</v>
      </c>
      <c r="H250" t="s">
        <v>2529</v>
      </c>
      <c r="I250" s="2" t="str">
        <f>CLEAN(TRIM(Working_Sales[[#This Row],[Customer ID]]))</f>
        <v>CUST136</v>
      </c>
      <c r="J25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5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CUST136</v>
      </c>
      <c r="L250" t="s">
        <v>140</v>
      </c>
      <c r="M250" s="4" t="str">
        <f>CLEAN(TRIM(Working_Sales[[#This Row],[Gender]]))</f>
        <v>FEMALE</v>
      </c>
      <c r="N250" s="4" t="str" cm="1">
        <f t="array" ref="N250">_xlfn.SWITCH(
   Working_Sales[[#This Row],[Gender_Whitespace_Removed]],
   "m", "Male",
   "f", "Female",
   Working_Sales[[#This Row],[Gender_Whitespace_Removed]]
)</f>
        <v>FEMALE</v>
      </c>
      <c r="O250" s="6" t="str">
        <f>PROPER(Working_Sales[[#This Row],[Gender_Abbreviation_Expanded]])</f>
        <v>Female</v>
      </c>
      <c r="P250">
        <v>35</v>
      </c>
      <c r="Q250" s="2" t="str">
        <f>CLEAN(TRIM(Working_Sales[[#This Row],[Age]]))</f>
        <v>35</v>
      </c>
      <c r="R250" s="6">
        <f>INT(SUBSTITUTE(Working_Sales[[#This Row],[Age_Whitespace_Removed]],".",","))</f>
        <v>35</v>
      </c>
      <c r="S250" t="s">
        <v>400</v>
      </c>
      <c r="T250" s="2" t="str">
        <f>CLEAN(TRIM(Working_Sales[[#This Row],[Product Category]]))</f>
        <v>Clothing</v>
      </c>
      <c r="U250" s="6" t="str">
        <f>PROPER(Working_Sales[[#This Row],[Product_Category_Whitespace_Removed]])</f>
        <v>Clothing</v>
      </c>
      <c r="V250" t="s">
        <v>29</v>
      </c>
      <c r="W250" s="2" t="str">
        <f>CLEAN(TRIM(Working_Sales[[#This Row],[Quantity]]))</f>
        <v>3</v>
      </c>
      <c r="X250" s="2">
        <f>INT(Working_Sales[[#This Row],[`]])</f>
        <v>3</v>
      </c>
      <c r="Y250" s="6">
        <f>IFERROR(
   Working_Sales[[#This Row],[Quantity_Converted_To_Integer]],
   Working_Sales[[#This Row],[Total_Amount_Whitespace_Removed]]/Working_Sales[[#This Row],[Price_Per_Unit_Decimal_Separator_Fixed]])</f>
        <v>3</v>
      </c>
      <c r="Z250" t="s">
        <v>15</v>
      </c>
      <c r="AA250" s="2" t="str">
        <f>CLEAN(TRIM(Working_Sales[[#This Row],[Price per Unit]]))</f>
        <v>50</v>
      </c>
      <c r="AB250" s="2">
        <f>INT(
   SUBSTITUTE(Working_Sales[[#This Row],[Price_Per_Unit_Whitespace_Removed]],
   "$",
   ""
   )
)</f>
        <v>50</v>
      </c>
      <c r="AC250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250" s="8">
        <f>IFERROR(
   Working_Sales[[#This Row],[Price_Per_Unit_Decimal_Separator_Fixed]],
   Working_Sales[[#This Row],[Total_Amount_Converted_To_Integer]]/Working_Sales[[#This Row],[Quantity_Converted_To_Integer]]
)</f>
        <v>50</v>
      </c>
      <c r="AE250" t="s">
        <v>130</v>
      </c>
      <c r="AF250" s="2" t="str">
        <f>CLEAN(TRIM(Working_Sales[[#This Row],[Total Amount]]))</f>
        <v>150</v>
      </c>
      <c r="AG250" s="2">
        <f>INT(Working_Sales[[#This Row],[Total_Amount_Whitespace_Removed]])</f>
        <v>150</v>
      </c>
      <c r="AH25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251" spans="1:34" x14ac:dyDescent="0.35">
      <c r="A251" t="s">
        <v>620</v>
      </c>
      <c r="B251" s="6" t="str">
        <f>CLEAN(TRIM(Working_Sales[[#This Row],[Transaction ID]]))</f>
        <v>479</v>
      </c>
      <c r="C251" t="s">
        <v>2061</v>
      </c>
      <c r="D251" s="2" t="str">
        <f>CLEAN(TRIM(Working_Sales[[#This Row],[Date]]))</f>
        <v>08/24/2023</v>
      </c>
      <c r="E251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25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45162</v>
      </c>
      <c r="G25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45162</v>
      </c>
      <c r="H251" t="s">
        <v>2530</v>
      </c>
      <c r="I251" s="2" t="str">
        <f>CLEAN(TRIM(Working_Sales[[#This Row],[Customer ID]]))</f>
        <v>CUST092</v>
      </c>
      <c r="J25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5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CUST092</v>
      </c>
      <c r="L251" t="s">
        <v>34</v>
      </c>
      <c r="M251" s="4" t="str">
        <f>CLEAN(TRIM(Working_Sales[[#This Row],[Gender]]))</f>
        <v>Male</v>
      </c>
      <c r="N251" s="4" t="str" cm="1">
        <f t="array" ref="N251">_xlfn.SWITCH(
   Working_Sales[[#This Row],[Gender_Whitespace_Removed]],
   "m", "Male",
   "f", "Female",
   Working_Sales[[#This Row],[Gender_Whitespace_Removed]]
)</f>
        <v>Male</v>
      </c>
      <c r="O251" s="6" t="str">
        <f>PROPER(Working_Sales[[#This Row],[Gender_Abbreviation_Expanded]])</f>
        <v>Male</v>
      </c>
      <c r="P251">
        <v>52</v>
      </c>
      <c r="Q251" s="2" t="str">
        <f>CLEAN(TRIM(Working_Sales[[#This Row],[Age]]))</f>
        <v>52</v>
      </c>
      <c r="R251" s="6">
        <f>INT(SUBSTITUTE(Working_Sales[[#This Row],[Age_Whitespace_Removed]],".",","))</f>
        <v>52</v>
      </c>
      <c r="S251" t="s">
        <v>48</v>
      </c>
      <c r="T251" s="2" t="str">
        <f>CLEAN(TRIM(Working_Sales[[#This Row],[Product Category]]))</f>
        <v>electronics</v>
      </c>
      <c r="U251" s="6" t="str">
        <f>PROPER(Working_Sales[[#This Row],[Product_Category_Whitespace_Removed]])</f>
        <v>Electronics</v>
      </c>
      <c r="V251" t="s">
        <v>14</v>
      </c>
      <c r="W251" s="2" t="str">
        <f>CLEAN(TRIM(Working_Sales[[#This Row],[Quantity]]))</f>
        <v>4</v>
      </c>
      <c r="X251" s="2">
        <f>INT(Working_Sales[[#This Row],[`]])</f>
        <v>4</v>
      </c>
      <c r="Y251" s="6">
        <f>IFERROR(
   Working_Sales[[#This Row],[Quantity_Converted_To_Integer]],
   Working_Sales[[#This Row],[Total_Amount_Whitespace_Removed]]/Working_Sales[[#This Row],[Price_Per_Unit_Decimal_Separator_Fixed]])</f>
        <v>4</v>
      </c>
      <c r="Z251" t="s">
        <v>23</v>
      </c>
      <c r="AA251" s="2" t="str">
        <f>CLEAN(TRIM(Working_Sales[[#This Row],[Price per Unit]]))</f>
        <v>300</v>
      </c>
      <c r="AB251" s="2">
        <f>INT(
   SUBSTITUTE(Working_Sales[[#This Row],[Price_Per_Unit_Whitespace_Removed]],
   "$",
   ""
   )
)</f>
        <v>300</v>
      </c>
      <c r="AC251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251" s="8">
        <f>IFERROR(
   Working_Sales[[#This Row],[Price_Per_Unit_Decimal_Separator_Fixed]],
   Working_Sales[[#This Row],[Total_Amount_Converted_To_Integer]]/Working_Sales[[#This Row],[Quantity_Converted_To_Integer]]
)</f>
        <v>300</v>
      </c>
      <c r="AE251" t="s">
        <v>79</v>
      </c>
      <c r="AF251" s="2" t="str">
        <f>CLEAN(TRIM(Working_Sales[[#This Row],[Total Amount]]))</f>
        <v>1200</v>
      </c>
      <c r="AG251" s="2">
        <f>INT(Working_Sales[[#This Row],[Total_Amount_Whitespace_Removed]])</f>
        <v>1200</v>
      </c>
      <c r="AH25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252" spans="1:34" x14ac:dyDescent="0.35">
      <c r="A252" t="s">
        <v>622</v>
      </c>
      <c r="B252" s="6" t="str">
        <f>CLEAN(TRIM(Working_Sales[[#This Row],[Transaction ID]]))</f>
        <v>762</v>
      </c>
      <c r="C252" t="s">
        <v>145</v>
      </c>
      <c r="D252" s="2" t="str">
        <f>CLEAN(TRIM(Working_Sales[[#This Row],[Date]]))</f>
        <v>07-Nov-2023</v>
      </c>
      <c r="E25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45237</v>
      </c>
      <c r="F25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45237</v>
      </c>
      <c r="G25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45237</v>
      </c>
      <c r="H252" t="s">
        <v>2531</v>
      </c>
      <c r="I252" s="2" t="str">
        <f>CLEAN(TRIM(Working_Sales[[#This Row],[Customer ID]]))</f>
        <v>CUST147</v>
      </c>
      <c r="J25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5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CUST147</v>
      </c>
      <c r="L252" t="s">
        <v>26</v>
      </c>
      <c r="M252" s="4" t="str">
        <f>CLEAN(TRIM(Working_Sales[[#This Row],[Gender]]))</f>
        <v>Female</v>
      </c>
      <c r="N252" s="4" t="str" cm="1">
        <f t="array" ref="N252">_xlfn.SWITCH(
   Working_Sales[[#This Row],[Gender_Whitespace_Removed]],
   "m", "Male",
   "f", "Female",
   Working_Sales[[#This Row],[Gender_Whitespace_Removed]]
)</f>
        <v>Female</v>
      </c>
      <c r="O252" s="6" t="str">
        <f>PROPER(Working_Sales[[#This Row],[Gender_Abbreviation_Expanded]])</f>
        <v>Female</v>
      </c>
      <c r="P252">
        <v>24</v>
      </c>
      <c r="Q252" s="2" t="str">
        <f>CLEAN(TRIM(Working_Sales[[#This Row],[Age]]))</f>
        <v>24</v>
      </c>
      <c r="R252" s="6">
        <f>INT(SUBSTITUTE(Working_Sales[[#This Row],[Age_Whitespace_Removed]],".",","))</f>
        <v>24</v>
      </c>
      <c r="S252" t="s">
        <v>13</v>
      </c>
      <c r="T252" s="2" t="str">
        <f>CLEAN(TRIM(Working_Sales[[#This Row],[Product Category]]))</f>
        <v>Electronics</v>
      </c>
      <c r="U252" s="6" t="str">
        <f>PROPER(Working_Sales[[#This Row],[Product_Category_Whitespace_Removed]])</f>
        <v>Electronics</v>
      </c>
      <c r="V252" t="s">
        <v>37</v>
      </c>
      <c r="W252" s="2" t="str">
        <f>CLEAN(TRIM(Working_Sales[[#This Row],[Quantity]]))</f>
        <v>2</v>
      </c>
      <c r="X252" s="2">
        <f>INT(Working_Sales[[#This Row],[`]])</f>
        <v>2</v>
      </c>
      <c r="Y252" s="6">
        <f>IFERROR(
   Working_Sales[[#This Row],[Quantity_Converted_To_Integer]],
   Working_Sales[[#This Row],[Total_Amount_Whitespace_Removed]]/Working_Sales[[#This Row],[Price_Per_Unit_Decimal_Separator_Fixed]])</f>
        <v>2</v>
      </c>
      <c r="Z252" t="s">
        <v>30</v>
      </c>
      <c r="AA252" s="2" t="str">
        <f>CLEAN(TRIM(Working_Sales[[#This Row],[Price per Unit]]))</f>
        <v>25</v>
      </c>
      <c r="AB252" s="2">
        <f>INT(
   SUBSTITUTE(Working_Sales[[#This Row],[Price_Per_Unit_Whitespace_Removed]],
   "$",
   ""
   )
)</f>
        <v>25</v>
      </c>
      <c r="AC252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252" s="8">
        <f>IFERROR(
   Working_Sales[[#This Row],[Price_Per_Unit_Decimal_Separator_Fixed]],
   Working_Sales[[#This Row],[Total_Amount_Converted_To_Integer]]/Working_Sales[[#This Row],[Quantity_Converted_To_Integer]]
)</f>
        <v>25</v>
      </c>
      <c r="AE252" t="s">
        <v>15</v>
      </c>
      <c r="AF252" s="2" t="str">
        <f>CLEAN(TRIM(Working_Sales[[#This Row],[Total Amount]]))</f>
        <v>50</v>
      </c>
      <c r="AG252" s="2">
        <f>INT(Working_Sales[[#This Row],[Total_Amount_Whitespace_Removed]])</f>
        <v>50</v>
      </c>
      <c r="AH25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253" spans="1:34" x14ac:dyDescent="0.35">
      <c r="A253" t="s">
        <v>623</v>
      </c>
      <c r="B253" s="6" t="str">
        <f>CLEAN(TRIM(Working_Sales[[#This Row],[Transaction ID]]))</f>
        <v>891</v>
      </c>
      <c r="C253" t="s">
        <v>2062</v>
      </c>
      <c r="D253" s="2" t="str">
        <f>CLEAN(TRIM(Working_Sales[[#This Row],[Date]]))</f>
        <v>05-Apr-2023</v>
      </c>
      <c r="E25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45021</v>
      </c>
      <c r="F25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45021</v>
      </c>
      <c r="G25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45021</v>
      </c>
      <c r="H253" t="s">
        <v>406</v>
      </c>
      <c r="I253" s="2" t="str">
        <f>CLEAN(TRIM(Working_Sales[[#This Row],[Customer ID]]))</f>
        <v>CUST206</v>
      </c>
      <c r="J25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CUST206</v>
      </c>
      <c r="K25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CUST206</v>
      </c>
      <c r="L253" t="s">
        <v>34</v>
      </c>
      <c r="M253" s="4" t="str">
        <f>CLEAN(TRIM(Working_Sales[[#This Row],[Gender]]))</f>
        <v>Male</v>
      </c>
      <c r="N253" s="4" t="str" cm="1">
        <f t="array" ref="N253">_xlfn.SWITCH(
   Working_Sales[[#This Row],[Gender_Whitespace_Removed]],
   "m", "Male",
   "f", "Female",
   Working_Sales[[#This Row],[Gender_Whitespace_Removed]]
)</f>
        <v>Male</v>
      </c>
      <c r="O253" s="6" t="str">
        <f>PROPER(Working_Sales[[#This Row],[Gender_Abbreviation_Expanded]])</f>
        <v>Male</v>
      </c>
      <c r="P253" t="s">
        <v>624</v>
      </c>
      <c r="Q253" s="2" t="str">
        <f>CLEAN(TRIM(Working_Sales[[#This Row],[Age]]))</f>
        <v>41</v>
      </c>
      <c r="R253" s="6">
        <f>INT(SUBSTITUTE(Working_Sales[[#This Row],[Age_Whitespace_Removed]],".",","))</f>
        <v>41</v>
      </c>
      <c r="S253" t="s">
        <v>13</v>
      </c>
      <c r="T253" s="2" t="str">
        <f>CLEAN(TRIM(Working_Sales[[#This Row],[Product Category]]))</f>
        <v>Electronics</v>
      </c>
      <c r="U253" s="6" t="str">
        <f>PROPER(Working_Sales[[#This Row],[Product_Category_Whitespace_Removed]])</f>
        <v>Electronics</v>
      </c>
      <c r="V253" t="s">
        <v>29</v>
      </c>
      <c r="W253" s="2" t="str">
        <f>CLEAN(TRIM(Working_Sales[[#This Row],[Quantity]]))</f>
        <v>3</v>
      </c>
      <c r="X253" s="2">
        <f>INT(Working_Sales[[#This Row],[`]])</f>
        <v>3</v>
      </c>
      <c r="Y253" s="6">
        <f>IFERROR(
   Working_Sales[[#This Row],[Quantity_Converted_To_Integer]],
   Working_Sales[[#This Row],[Total_Amount_Whitespace_Removed]]/Working_Sales[[#This Row],[Price_Per_Unit_Decimal_Separator_Fixed]])</f>
        <v>3</v>
      </c>
      <c r="Z253" t="s">
        <v>23</v>
      </c>
      <c r="AA253" s="2" t="str">
        <f>CLEAN(TRIM(Working_Sales[[#This Row],[Price per Unit]]))</f>
        <v>300</v>
      </c>
      <c r="AB253" s="2">
        <f>INT(
   SUBSTITUTE(Working_Sales[[#This Row],[Price_Per_Unit_Whitespace_Removed]],
   "$",
   ""
   )
)</f>
        <v>300</v>
      </c>
      <c r="AC253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253" s="8">
        <f>IFERROR(
   Working_Sales[[#This Row],[Price_Per_Unit_Decimal_Separator_Fixed]],
   Working_Sales[[#This Row],[Total_Amount_Converted_To_Integer]]/Working_Sales[[#This Row],[Quantity_Converted_To_Integer]]
)</f>
        <v>300</v>
      </c>
      <c r="AE253" t="s">
        <v>128</v>
      </c>
      <c r="AF253" s="2" t="str">
        <f>CLEAN(TRIM(Working_Sales[[#This Row],[Total Amount]]))</f>
        <v>900</v>
      </c>
      <c r="AG253" s="2">
        <f>INT(Working_Sales[[#This Row],[Total_Amount_Whitespace_Removed]])</f>
        <v>900</v>
      </c>
      <c r="AH25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254" spans="1:34" x14ac:dyDescent="0.35">
      <c r="A254" t="s">
        <v>625</v>
      </c>
      <c r="B254" s="6" t="str">
        <f>CLEAN(TRIM(Working_Sales[[#This Row],[Transaction ID]]))</f>
        <v>385</v>
      </c>
      <c r="C254" t="s">
        <v>2063</v>
      </c>
      <c r="D254" s="2" t="str">
        <f>CLEAN(TRIM(Working_Sales[[#This Row],[Date]]))</f>
        <v>2023-10-06</v>
      </c>
      <c r="E25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45205</v>
      </c>
      <c r="F25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45205</v>
      </c>
      <c r="G25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45205</v>
      </c>
      <c r="H254" t="s">
        <v>2532</v>
      </c>
      <c r="I254" s="2" t="str">
        <f>CLEAN(TRIM(Working_Sales[[#This Row],[Customer ID]]))</f>
        <v>CUST207</v>
      </c>
      <c r="J25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5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CUST207</v>
      </c>
      <c r="L254" t="s">
        <v>34</v>
      </c>
      <c r="M254" s="4" t="str">
        <f>CLEAN(TRIM(Working_Sales[[#This Row],[Gender]]))</f>
        <v>Male</v>
      </c>
      <c r="N254" s="4" t="str" cm="1">
        <f t="array" ref="N254">_xlfn.SWITCH(
   Working_Sales[[#This Row],[Gender_Whitespace_Removed]],
   "m", "Male",
   "f", "Female",
   Working_Sales[[#This Row],[Gender_Whitespace_Removed]]
)</f>
        <v>Male</v>
      </c>
      <c r="O254" s="6" t="str">
        <f>PROPER(Working_Sales[[#This Row],[Gender_Abbreviation_Expanded]])</f>
        <v>Male</v>
      </c>
      <c r="P254">
        <v>50</v>
      </c>
      <c r="Q254" s="2" t="str">
        <f>CLEAN(TRIM(Working_Sales[[#This Row],[Age]]))</f>
        <v>50</v>
      </c>
      <c r="R254" s="6">
        <f>INT(SUBSTITUTE(Working_Sales[[#This Row],[Age_Whitespace_Removed]],".",","))</f>
        <v>50</v>
      </c>
      <c r="S254" t="s">
        <v>13</v>
      </c>
      <c r="T254" s="2" t="str">
        <f>CLEAN(TRIM(Working_Sales[[#This Row],[Product Category]]))</f>
        <v>Electronics</v>
      </c>
      <c r="U254" s="6" t="str">
        <f>PROPER(Working_Sales[[#This Row],[Product_Category_Whitespace_Removed]])</f>
        <v>Electronics</v>
      </c>
      <c r="V254" t="s">
        <v>29</v>
      </c>
      <c r="W254" s="2" t="str">
        <f>CLEAN(TRIM(Working_Sales[[#This Row],[Quantity]]))</f>
        <v>3</v>
      </c>
      <c r="X254" s="2">
        <f>INT(Working_Sales[[#This Row],[`]])</f>
        <v>3</v>
      </c>
      <c r="Y254" s="6">
        <f>IFERROR(
   Working_Sales[[#This Row],[Quantity_Converted_To_Integer]],
   Working_Sales[[#This Row],[Total_Amount_Whitespace_Removed]]/Working_Sales[[#This Row],[Price_Per_Unit_Decimal_Separator_Fixed]])</f>
        <v>3</v>
      </c>
      <c r="Z254" t="s">
        <v>57</v>
      </c>
      <c r="AA254" s="2" t="str">
        <f>CLEAN(TRIM(Working_Sales[[#This Row],[Price per Unit]]))</f>
        <v>500</v>
      </c>
      <c r="AB254" s="2">
        <f>INT(
   SUBSTITUTE(Working_Sales[[#This Row],[Price_Per_Unit_Whitespace_Removed]],
   "$",
   ""
   )
)</f>
        <v>500</v>
      </c>
      <c r="AC254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254" s="8">
        <f>IFERROR(
   Working_Sales[[#This Row],[Price_Per_Unit_Decimal_Separator_Fixed]],
   Working_Sales[[#This Row],[Total_Amount_Converted_To_Integer]]/Working_Sales[[#This Row],[Quantity_Converted_To_Integer]]
)</f>
        <v>500</v>
      </c>
      <c r="AE254" t="s">
        <v>85</v>
      </c>
      <c r="AF254" s="2" t="str">
        <f>CLEAN(TRIM(Working_Sales[[#This Row],[Total Amount]]))</f>
        <v>1500</v>
      </c>
      <c r="AG254" s="2">
        <f>INT(Working_Sales[[#This Row],[Total_Amount_Whitespace_Removed]])</f>
        <v>1500</v>
      </c>
      <c r="AH25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255" spans="1:34" x14ac:dyDescent="0.35">
      <c r="A255" t="s">
        <v>627</v>
      </c>
      <c r="B255" s="6" t="str">
        <f>CLEAN(TRIM(Working_Sales[[#This Row],[Transaction ID]]))</f>
        <v>888</v>
      </c>
      <c r="C255" t="s">
        <v>1824</v>
      </c>
      <c r="D255" s="2" t="str">
        <f>CLEAN(TRIM(Working_Sales[[#This Row],[Date]]))</f>
        <v>2023-03-03</v>
      </c>
      <c r="E25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44988</v>
      </c>
      <c r="F25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44988</v>
      </c>
      <c r="G25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44988</v>
      </c>
      <c r="H255" t="s">
        <v>2533</v>
      </c>
      <c r="I255" s="2" t="str">
        <f>CLEAN(TRIM(Working_Sales[[#This Row],[Customer ID]]))</f>
        <v>cust208</v>
      </c>
      <c r="J25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5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CUST208</v>
      </c>
      <c r="L255" t="s">
        <v>26</v>
      </c>
      <c r="M255" s="4" t="str">
        <f>CLEAN(TRIM(Working_Sales[[#This Row],[Gender]]))</f>
        <v>Female</v>
      </c>
      <c r="N255" s="4" t="str" cm="1">
        <f t="array" ref="N255">_xlfn.SWITCH(
   Working_Sales[[#This Row],[Gender_Whitespace_Removed]],
   "m", "Male",
   "f", "Female",
   Working_Sales[[#This Row],[Gender_Whitespace_Removed]]
)</f>
        <v>Female</v>
      </c>
      <c r="O255" s="6" t="str">
        <f>PROPER(Working_Sales[[#This Row],[Gender_Abbreviation_Expanded]])</f>
        <v>Female</v>
      </c>
      <c r="P255">
        <v>52</v>
      </c>
      <c r="Q255" s="2" t="str">
        <f>CLEAN(TRIM(Working_Sales[[#This Row],[Age]]))</f>
        <v>52</v>
      </c>
      <c r="R255" s="6">
        <f>INT(SUBSTITUTE(Working_Sales[[#This Row],[Age_Whitespace_Removed]],".",","))</f>
        <v>52</v>
      </c>
      <c r="S255" t="s">
        <v>109</v>
      </c>
      <c r="T255" s="2" t="str">
        <f>CLEAN(TRIM(Working_Sales[[#This Row],[Product Category]]))</f>
        <v>Electronics</v>
      </c>
      <c r="U255" s="6" t="str">
        <f>PROPER(Working_Sales[[#This Row],[Product_Category_Whitespace_Removed]])</f>
        <v>Electronics</v>
      </c>
      <c r="V255" t="s">
        <v>14</v>
      </c>
      <c r="W255" s="2" t="str">
        <f>CLEAN(TRIM(Working_Sales[[#This Row],[Quantity]]))</f>
        <v>4</v>
      </c>
      <c r="X255" s="2">
        <f>INT(Working_Sales[[#This Row],[`]])</f>
        <v>4</v>
      </c>
      <c r="Y255" s="6">
        <f>IFERROR(
   Working_Sales[[#This Row],[Quantity_Converted_To_Integer]],
   Working_Sales[[#This Row],[Total_Amount_Whitespace_Removed]]/Working_Sales[[#This Row],[Price_Per_Unit_Decimal_Separator_Fixed]])</f>
        <v>4</v>
      </c>
      <c r="Z255" t="s">
        <v>30</v>
      </c>
      <c r="AA255" s="2" t="str">
        <f>CLEAN(TRIM(Working_Sales[[#This Row],[Price per Unit]]))</f>
        <v>25</v>
      </c>
      <c r="AB255" s="2">
        <f>INT(
   SUBSTITUTE(Working_Sales[[#This Row],[Price_Per_Unit_Whitespace_Removed]],
   "$",
   ""
   )
)</f>
        <v>25</v>
      </c>
      <c r="AC255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255" s="8">
        <f>IFERROR(
   Working_Sales[[#This Row],[Price_Per_Unit_Decimal_Separator_Fixed]],
   Working_Sales[[#This Row],[Total_Amount_Converted_To_Integer]]/Working_Sales[[#This Row],[Quantity_Converted_To_Integer]]
)</f>
        <v>25</v>
      </c>
      <c r="AF255" s="2" t="str">
        <f>CLEAN(TRIM(Working_Sales[[#This Row],[Total Amount]]))</f>
        <v/>
      </c>
      <c r="AG255" s="2" t="e">
        <f>INT(Working_Sales[[#This Row],[Total_Amount_Whitespace_Removed]])</f>
        <v>#VALUE!</v>
      </c>
      <c r="AH25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256" spans="1:34" x14ac:dyDescent="0.35">
      <c r="A256" t="s">
        <v>628</v>
      </c>
      <c r="B256" s="6" t="str">
        <f>CLEAN(TRIM(Working_Sales[[#This Row],[Transaction ID]]))</f>
        <v>687</v>
      </c>
      <c r="C256" t="s">
        <v>2064</v>
      </c>
      <c r="D256" s="2" t="str">
        <f>CLEAN(TRIM(Working_Sales[[#This Row],[Date]]))</f>
        <v>03-Aug-2023</v>
      </c>
      <c r="E25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45141</v>
      </c>
      <c r="F25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45141</v>
      </c>
      <c r="G25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45141</v>
      </c>
      <c r="H256" t="s">
        <v>2534</v>
      </c>
      <c r="I256" s="2" t="str">
        <f>CLEAN(TRIM(Working_Sales[[#This Row],[Customer ID]]))</f>
        <v>CUST209</v>
      </c>
      <c r="J25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5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CUST209</v>
      </c>
      <c r="L256" t="s">
        <v>140</v>
      </c>
      <c r="M256" s="4" t="str">
        <f>CLEAN(TRIM(Working_Sales[[#This Row],[Gender]]))</f>
        <v>FEMALE</v>
      </c>
      <c r="N256" s="4" t="str" cm="1">
        <f t="array" ref="N256">_xlfn.SWITCH(
   Working_Sales[[#This Row],[Gender_Whitespace_Removed]],
   "m", "Male",
   "f", "Female",
   Working_Sales[[#This Row],[Gender_Whitespace_Removed]]
)</f>
        <v>FEMALE</v>
      </c>
      <c r="O256" s="6" t="str">
        <f>PROPER(Working_Sales[[#This Row],[Gender_Abbreviation_Expanded]])</f>
        <v>Female</v>
      </c>
      <c r="P256">
        <v>53</v>
      </c>
      <c r="Q256" s="2" t="str">
        <f>CLEAN(TRIM(Working_Sales[[#This Row],[Age]]))</f>
        <v>53</v>
      </c>
      <c r="R256" s="6">
        <f>INT(SUBSTITUTE(Working_Sales[[#This Row],[Age_Whitespace_Removed]],".",","))</f>
        <v>53</v>
      </c>
      <c r="S256" t="s">
        <v>13</v>
      </c>
      <c r="T256" s="2" t="str">
        <f>CLEAN(TRIM(Working_Sales[[#This Row],[Product Category]]))</f>
        <v>Electronics</v>
      </c>
      <c r="U256" s="6" t="str">
        <f>PROPER(Working_Sales[[#This Row],[Product_Category_Whitespace_Removed]])</f>
        <v>Electronics</v>
      </c>
      <c r="V256" t="s">
        <v>22</v>
      </c>
      <c r="W256" s="2" t="str">
        <f>CLEAN(TRIM(Working_Sales[[#This Row],[Quantity]]))</f>
        <v>1</v>
      </c>
      <c r="X256" s="2">
        <f>INT(Working_Sales[[#This Row],[`]])</f>
        <v>1</v>
      </c>
      <c r="Y256" s="6">
        <f>IFERROR(
   Working_Sales[[#This Row],[Quantity_Converted_To_Integer]],
   Working_Sales[[#This Row],[Total_Amount_Whitespace_Removed]]/Working_Sales[[#This Row],[Price_Per_Unit_Decimal_Separator_Fixed]])</f>
        <v>1</v>
      </c>
      <c r="Z256" t="s">
        <v>23</v>
      </c>
      <c r="AA256" s="2" t="str">
        <f>CLEAN(TRIM(Working_Sales[[#This Row],[Price per Unit]]))</f>
        <v>300</v>
      </c>
      <c r="AB256" s="2">
        <f>INT(
   SUBSTITUTE(Working_Sales[[#This Row],[Price_Per_Unit_Whitespace_Removed]],
   "$",
   ""
   )
)</f>
        <v>300</v>
      </c>
      <c r="AC256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256" s="8">
        <f>IFERROR(
   Working_Sales[[#This Row],[Price_Per_Unit_Decimal_Separator_Fixed]],
   Working_Sales[[#This Row],[Total_Amount_Converted_To_Integer]]/Working_Sales[[#This Row],[Quantity_Converted_To_Integer]]
)</f>
        <v>300</v>
      </c>
      <c r="AE256" t="s">
        <v>23</v>
      </c>
      <c r="AF256" s="2" t="str">
        <f>CLEAN(TRIM(Working_Sales[[#This Row],[Total Amount]]))</f>
        <v>300</v>
      </c>
      <c r="AG256" s="2">
        <f>INT(Working_Sales[[#This Row],[Total_Amount_Whitespace_Removed]])</f>
        <v>300</v>
      </c>
      <c r="AH25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257" spans="1:34" x14ac:dyDescent="0.35">
      <c r="A257" t="s">
        <v>629</v>
      </c>
      <c r="B257" s="6" t="str">
        <f>CLEAN(TRIM(Working_Sales[[#This Row],[Transaction ID]]))</f>
        <v>404</v>
      </c>
      <c r="C257" t="s">
        <v>2065</v>
      </c>
      <c r="D257" s="2" t="str">
        <f>CLEAN(TRIM(Working_Sales[[#This Row],[Date]]))</f>
        <v>25-May-2023</v>
      </c>
      <c r="E25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45071</v>
      </c>
      <c r="F25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45071</v>
      </c>
      <c r="G25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45071</v>
      </c>
      <c r="H257" t="s">
        <v>2535</v>
      </c>
      <c r="I257" s="2" t="str">
        <f>CLEAN(TRIM(Working_Sales[[#This Row],[Customer ID]]))</f>
        <v>cust189</v>
      </c>
      <c r="J25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5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CUST189</v>
      </c>
      <c r="L257" t="s">
        <v>34</v>
      </c>
      <c r="M257" s="4" t="str">
        <f>CLEAN(TRIM(Working_Sales[[#This Row],[Gender]]))</f>
        <v>Male</v>
      </c>
      <c r="N257" s="4" t="str" cm="1">
        <f t="array" ref="N257">_xlfn.SWITCH(
   Working_Sales[[#This Row],[Gender_Whitespace_Removed]],
   "m", "Male",
   "f", "Female",
   Working_Sales[[#This Row],[Gender_Whitespace_Removed]]
)</f>
        <v>Male</v>
      </c>
      <c r="O257" s="6" t="str">
        <f>PROPER(Working_Sales[[#This Row],[Gender_Abbreviation_Expanded]])</f>
        <v>Male</v>
      </c>
      <c r="P257">
        <v>46</v>
      </c>
      <c r="Q257" s="2" t="str">
        <f>CLEAN(TRIM(Working_Sales[[#This Row],[Age]]))</f>
        <v>46</v>
      </c>
      <c r="R257" s="6">
        <f>INT(SUBSTITUTE(Working_Sales[[#This Row],[Age_Whitespace_Removed]],".",","))</f>
        <v>46</v>
      </c>
      <c r="S257" t="s">
        <v>13</v>
      </c>
      <c r="T257" s="2" t="str">
        <f>CLEAN(TRIM(Working_Sales[[#This Row],[Product Category]]))</f>
        <v>Electronics</v>
      </c>
      <c r="U257" s="6" t="str">
        <f>PROPER(Working_Sales[[#This Row],[Product_Category_Whitespace_Removed]])</f>
        <v>Electronics</v>
      </c>
      <c r="V257" t="s">
        <v>37</v>
      </c>
      <c r="W257" s="2" t="str">
        <f>CLEAN(TRIM(Working_Sales[[#This Row],[Quantity]]))</f>
        <v>2</v>
      </c>
      <c r="X257" s="2">
        <f>INT(Working_Sales[[#This Row],[`]])</f>
        <v>2</v>
      </c>
      <c r="Y257" s="6">
        <f>IFERROR(
   Working_Sales[[#This Row],[Quantity_Converted_To_Integer]],
   Working_Sales[[#This Row],[Total_Amount_Whitespace_Removed]]/Working_Sales[[#This Row],[Price_Per_Unit_Decimal_Separator_Fixed]])</f>
        <v>2</v>
      </c>
      <c r="Z257" t="s">
        <v>57</v>
      </c>
      <c r="AA257" s="2" t="str">
        <f>CLEAN(TRIM(Working_Sales[[#This Row],[Price per Unit]]))</f>
        <v>500</v>
      </c>
      <c r="AB257" s="2">
        <f>INT(
   SUBSTITUTE(Working_Sales[[#This Row],[Price_Per_Unit_Whitespace_Removed]],
   "$",
   ""
   )
)</f>
        <v>500</v>
      </c>
      <c r="AC257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257" s="8">
        <f>IFERROR(
   Working_Sales[[#This Row],[Price_Per_Unit_Decimal_Separator_Fixed]],
   Working_Sales[[#This Row],[Total_Amount_Converted_To_Integer]]/Working_Sales[[#This Row],[Quantity_Converted_To_Integer]]
)</f>
        <v>500</v>
      </c>
      <c r="AE257" t="s">
        <v>163</v>
      </c>
      <c r="AF257" s="2" t="str">
        <f>CLEAN(TRIM(Working_Sales[[#This Row],[Total Amount]]))</f>
        <v>1000</v>
      </c>
      <c r="AG257" s="2">
        <f>INT(Working_Sales[[#This Row],[Total_Amount_Whitespace_Removed]])</f>
        <v>1000</v>
      </c>
      <c r="AH25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258" spans="1:34" x14ac:dyDescent="0.35">
      <c r="A258" t="s">
        <v>630</v>
      </c>
      <c r="B258" s="6" t="str">
        <f>CLEAN(TRIM(Working_Sales[[#This Row],[Transaction ID]]))</f>
        <v>994</v>
      </c>
      <c r="C258" t="s">
        <v>631</v>
      </c>
      <c r="D258" s="2" t="str">
        <f>CLEAN(TRIM(Working_Sales[[#This Row],[Date]]))</f>
        <v>18/12/2023</v>
      </c>
      <c r="E25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45278</v>
      </c>
      <c r="F25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45278</v>
      </c>
      <c r="G25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45278</v>
      </c>
      <c r="H258" t="s">
        <v>2536</v>
      </c>
      <c r="I258" s="2" t="str">
        <f>CLEAN(TRIM(Working_Sales[[#This Row],[Customer ID]]))</f>
        <v>CUST-170</v>
      </c>
      <c r="J25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5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CUST170</v>
      </c>
      <c r="L258" t="s">
        <v>26</v>
      </c>
      <c r="M258" s="4" t="str">
        <f>CLEAN(TRIM(Working_Sales[[#This Row],[Gender]]))</f>
        <v>Female</v>
      </c>
      <c r="N258" s="4" t="str" cm="1">
        <f t="array" ref="N258">_xlfn.SWITCH(
   Working_Sales[[#This Row],[Gender_Whitespace_Removed]],
   "m", "Male",
   "f", "Female",
   Working_Sales[[#This Row],[Gender_Whitespace_Removed]]
)</f>
        <v>Female</v>
      </c>
      <c r="O258" s="6" t="str">
        <f>PROPER(Working_Sales[[#This Row],[Gender_Abbreviation_Expanded]])</f>
        <v>Female</v>
      </c>
      <c r="P258">
        <v>51</v>
      </c>
      <c r="Q258" s="2" t="str">
        <f>CLEAN(TRIM(Working_Sales[[#This Row],[Age]]))</f>
        <v>51</v>
      </c>
      <c r="R258" s="6">
        <f>INT(SUBSTITUTE(Working_Sales[[#This Row],[Age_Whitespace_Removed]],".",","))</f>
        <v>51</v>
      </c>
      <c r="S258" t="s">
        <v>42</v>
      </c>
      <c r="T258" s="2" t="str">
        <f>CLEAN(TRIM(Working_Sales[[#This Row],[Product Category]]))</f>
        <v>Beauty</v>
      </c>
      <c r="U258" s="6" t="str">
        <f>PROPER(Working_Sales[[#This Row],[Product_Category_Whitespace_Removed]])</f>
        <v>Beauty</v>
      </c>
      <c r="V258" t="s">
        <v>37</v>
      </c>
      <c r="W258" s="2" t="str">
        <f>CLEAN(TRIM(Working_Sales[[#This Row],[Quantity]]))</f>
        <v>2</v>
      </c>
      <c r="X258" s="2">
        <f>INT(Working_Sales[[#This Row],[`]])</f>
        <v>2</v>
      </c>
      <c r="Y258" s="6">
        <f>IFERROR(
   Working_Sales[[#This Row],[Quantity_Converted_To_Integer]],
   Working_Sales[[#This Row],[Total_Amount_Whitespace_Removed]]/Working_Sales[[#This Row],[Price_Per_Unit_Decimal_Separator_Fixed]])</f>
        <v>2</v>
      </c>
      <c r="Z258" t="s">
        <v>57</v>
      </c>
      <c r="AA258" s="2" t="str">
        <f>CLEAN(TRIM(Working_Sales[[#This Row],[Price per Unit]]))</f>
        <v>500</v>
      </c>
      <c r="AB258" s="2">
        <f>INT(
   SUBSTITUTE(Working_Sales[[#This Row],[Price_Per_Unit_Whitespace_Removed]],
   "$",
   ""
   )
)</f>
        <v>500</v>
      </c>
      <c r="AC258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258" s="8">
        <f>IFERROR(
   Working_Sales[[#This Row],[Price_Per_Unit_Decimal_Separator_Fixed]],
   Working_Sales[[#This Row],[Total_Amount_Converted_To_Integer]]/Working_Sales[[#This Row],[Quantity_Converted_To_Integer]]
)</f>
        <v>500</v>
      </c>
      <c r="AE258" t="s">
        <v>163</v>
      </c>
      <c r="AF258" s="2" t="str">
        <f>CLEAN(TRIM(Working_Sales[[#This Row],[Total Amount]]))</f>
        <v>1000</v>
      </c>
      <c r="AG258" s="2">
        <f>INT(Working_Sales[[#This Row],[Total_Amount_Whitespace_Removed]])</f>
        <v>1000</v>
      </c>
      <c r="AH25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259" spans="1:34" x14ac:dyDescent="0.35">
      <c r="A259" t="s">
        <v>632</v>
      </c>
      <c r="B259" s="6" t="str">
        <f>CLEAN(TRIM(Working_Sales[[#This Row],[Transaction ID]]))</f>
        <v>692</v>
      </c>
      <c r="C259" t="s">
        <v>2029</v>
      </c>
      <c r="D259" s="2" t="str">
        <f>CLEAN(TRIM(Working_Sales[[#This Row],[Date]]))</f>
        <v>07-Sep-2023</v>
      </c>
      <c r="E25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45176</v>
      </c>
      <c r="F25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45176</v>
      </c>
      <c r="G25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45176</v>
      </c>
      <c r="H259" t="s">
        <v>2537</v>
      </c>
      <c r="I259" s="2" t="str">
        <f>CLEAN(TRIM(Working_Sales[[#This Row],[Customer ID]]))</f>
        <v>CUST210</v>
      </c>
      <c r="J25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5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CUST210</v>
      </c>
      <c r="L259" t="s">
        <v>112</v>
      </c>
      <c r="M259" s="4" t="str">
        <f>CLEAN(TRIM(Working_Sales[[#This Row],[Gender]]))</f>
        <v>female</v>
      </c>
      <c r="N259" s="4" t="str" cm="1">
        <f t="array" ref="N259">_xlfn.SWITCH(
   Working_Sales[[#This Row],[Gender_Whitespace_Removed]],
   "m", "Male",
   "f", "Female",
   Working_Sales[[#This Row],[Gender_Whitespace_Removed]]
)</f>
        <v>female</v>
      </c>
      <c r="O259" s="6" t="str">
        <f>PROPER(Working_Sales[[#This Row],[Gender_Abbreviation_Expanded]])</f>
        <v>Female</v>
      </c>
      <c r="P259">
        <v>64</v>
      </c>
      <c r="Q259" s="2" t="str">
        <f>CLEAN(TRIM(Working_Sales[[#This Row],[Age]]))</f>
        <v>64</v>
      </c>
      <c r="R259" s="6">
        <f>INT(SUBSTITUTE(Working_Sales[[#This Row],[Age_Whitespace_Removed]],".",","))</f>
        <v>64</v>
      </c>
      <c r="S259" t="s">
        <v>56</v>
      </c>
      <c r="T259" s="2" t="str">
        <f>CLEAN(TRIM(Working_Sales[[#This Row],[Product Category]]))</f>
        <v>Clothing</v>
      </c>
      <c r="U259" s="6" t="str">
        <f>PROPER(Working_Sales[[#This Row],[Product_Category_Whitespace_Removed]])</f>
        <v>Clothing</v>
      </c>
      <c r="V259" t="s">
        <v>37</v>
      </c>
      <c r="W259" s="2" t="str">
        <f>CLEAN(TRIM(Working_Sales[[#This Row],[Quantity]]))</f>
        <v>2</v>
      </c>
      <c r="X259" s="2">
        <f>INT(Working_Sales[[#This Row],[`]])</f>
        <v>2</v>
      </c>
      <c r="Y259" s="6">
        <f>IFERROR(
   Working_Sales[[#This Row],[Quantity_Converted_To_Integer]],
   Working_Sales[[#This Row],[Total_Amount_Whitespace_Removed]]/Working_Sales[[#This Row],[Price_Per_Unit_Decimal_Separator_Fixed]])</f>
        <v>2</v>
      </c>
      <c r="Z259" t="s">
        <v>15</v>
      </c>
      <c r="AA259" s="2" t="str">
        <f>CLEAN(TRIM(Working_Sales[[#This Row],[Price per Unit]]))</f>
        <v>50</v>
      </c>
      <c r="AB259" s="2">
        <f>INT(
   SUBSTITUTE(Working_Sales[[#This Row],[Price_Per_Unit_Whitespace_Removed]],
   "$",
   ""
   )
)</f>
        <v>50</v>
      </c>
      <c r="AC259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259" s="8">
        <f>IFERROR(
   Working_Sales[[#This Row],[Price_Per_Unit_Decimal_Separator_Fixed]],
   Working_Sales[[#This Row],[Total_Amount_Converted_To_Integer]]/Working_Sales[[#This Row],[Quantity_Converted_To_Integer]]
)</f>
        <v>50</v>
      </c>
      <c r="AE259" t="s">
        <v>38</v>
      </c>
      <c r="AF259" s="2" t="str">
        <f>CLEAN(TRIM(Working_Sales[[#This Row],[Total Amount]]))</f>
        <v>100</v>
      </c>
      <c r="AG259" s="2">
        <f>INT(Working_Sales[[#This Row],[Total_Amount_Whitespace_Removed]])</f>
        <v>100</v>
      </c>
      <c r="AH25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260" spans="1:34" x14ac:dyDescent="0.35">
      <c r="A260" t="s">
        <v>633</v>
      </c>
      <c r="B260" s="6" t="str">
        <f>CLEAN(TRIM(Working_Sales[[#This Row],[Transaction ID]]))</f>
        <v>806</v>
      </c>
      <c r="C260" t="s">
        <v>634</v>
      </c>
      <c r="D260" s="2" t="str">
        <f>CLEAN(TRIM(Working_Sales[[#This Row],[Date]]))</f>
        <v>2023-03-20</v>
      </c>
      <c r="E26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45005</v>
      </c>
      <c r="F26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45005</v>
      </c>
      <c r="G26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45005</v>
      </c>
      <c r="H260" t="s">
        <v>2538</v>
      </c>
      <c r="I260" s="2" t="str">
        <f>CLEAN(TRIM(Working_Sales[[#This Row],[Customer ID]]))</f>
        <v>CUST191</v>
      </c>
      <c r="J26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CUST191</v>
      </c>
      <c r="K26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CUST191</v>
      </c>
      <c r="L260" t="s">
        <v>26</v>
      </c>
      <c r="M260" s="4" t="str">
        <f>CLEAN(TRIM(Working_Sales[[#This Row],[Gender]]))</f>
        <v>Female</v>
      </c>
      <c r="N260" s="4" t="str" cm="1">
        <f t="array" ref="N260">_xlfn.SWITCH(
   Working_Sales[[#This Row],[Gender_Whitespace_Removed]],
   "m", "Male",
   "f", "Female",
   Working_Sales[[#This Row],[Gender_Whitespace_Removed]]
)</f>
        <v>Female</v>
      </c>
      <c r="O260" s="6" t="str">
        <f>PROPER(Working_Sales[[#This Row],[Gender_Abbreviation_Expanded]])</f>
        <v>Female</v>
      </c>
      <c r="P260">
        <v>35</v>
      </c>
      <c r="Q260" s="2" t="str">
        <f>CLEAN(TRIM(Working_Sales[[#This Row],[Age]]))</f>
        <v>35</v>
      </c>
      <c r="R260" s="6">
        <f>INT(SUBSTITUTE(Working_Sales[[#This Row],[Age_Whitespace_Removed]],".",","))</f>
        <v>35</v>
      </c>
      <c r="S260" t="s">
        <v>36</v>
      </c>
      <c r="T260" s="2" t="str">
        <f>CLEAN(TRIM(Working_Sales[[#This Row],[Product Category]]))</f>
        <v>Beauty</v>
      </c>
      <c r="U260" s="6" t="str">
        <f>PROPER(Working_Sales[[#This Row],[Product_Category_Whitespace_Removed]])</f>
        <v>Beauty</v>
      </c>
      <c r="V260" t="s">
        <v>29</v>
      </c>
      <c r="W260" s="2" t="str">
        <f>CLEAN(TRIM(Working_Sales[[#This Row],[Quantity]]))</f>
        <v>3</v>
      </c>
      <c r="X260" s="2">
        <f>INT(Working_Sales[[#This Row],[`]])</f>
        <v>3</v>
      </c>
      <c r="Y260" s="6">
        <f>IFERROR(
   Working_Sales[[#This Row],[Quantity_Converted_To_Integer]],
   Working_Sales[[#This Row],[Total_Amount_Whitespace_Removed]]/Working_Sales[[#This Row],[Price_Per_Unit_Decimal_Separator_Fixed]])</f>
        <v>3</v>
      </c>
      <c r="Z260" t="s">
        <v>23</v>
      </c>
      <c r="AA260" s="2" t="str">
        <f>CLEAN(TRIM(Working_Sales[[#This Row],[Price per Unit]]))</f>
        <v>300</v>
      </c>
      <c r="AB260" s="2">
        <f>INT(
   SUBSTITUTE(Working_Sales[[#This Row],[Price_Per_Unit_Whitespace_Removed]],
   "$",
   ""
   )
)</f>
        <v>300</v>
      </c>
      <c r="AC260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260" s="8">
        <f>IFERROR(
   Working_Sales[[#This Row],[Price_Per_Unit_Decimal_Separator_Fixed]],
   Working_Sales[[#This Row],[Total_Amount_Converted_To_Integer]]/Working_Sales[[#This Row],[Quantity_Converted_To_Integer]]
)</f>
        <v>300</v>
      </c>
      <c r="AE260" t="s">
        <v>128</v>
      </c>
      <c r="AF260" s="2" t="str">
        <f>CLEAN(TRIM(Working_Sales[[#This Row],[Total Amount]]))</f>
        <v>900</v>
      </c>
      <c r="AG260" s="2">
        <f>INT(Working_Sales[[#This Row],[Total_Amount_Whitespace_Removed]])</f>
        <v>900</v>
      </c>
      <c r="AH26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261" spans="1:34" x14ac:dyDescent="0.35">
      <c r="A261" t="s">
        <v>635</v>
      </c>
      <c r="B261" s="6" t="str">
        <f>CLEAN(TRIM(Working_Sales[[#This Row],[Transaction ID]]))</f>
        <v>864</v>
      </c>
      <c r="C261" t="s">
        <v>2058</v>
      </c>
      <c r="D261" s="2" t="str">
        <f>CLEAN(TRIM(Working_Sales[[#This Row],[Date]]))</f>
        <v>27-Jul-2023</v>
      </c>
      <c r="E26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45134</v>
      </c>
      <c r="F26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45134</v>
      </c>
      <c r="G26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45134</v>
      </c>
      <c r="H261" t="s">
        <v>2539</v>
      </c>
      <c r="I261" s="2" t="str">
        <f>CLEAN(TRIM(Working_Sales[[#This Row],[Customer ID]]))</f>
        <v>CUST211</v>
      </c>
      <c r="J26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CUST211</v>
      </c>
      <c r="K26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CUST211</v>
      </c>
      <c r="L261" t="s">
        <v>26</v>
      </c>
      <c r="M261" s="4" t="str">
        <f>CLEAN(TRIM(Working_Sales[[#This Row],[Gender]]))</f>
        <v>Female</v>
      </c>
      <c r="N261" s="4" t="str" cm="1">
        <f t="array" ref="N261">_xlfn.SWITCH(
   Working_Sales[[#This Row],[Gender_Whitespace_Removed]],
   "m", "Male",
   "f", "Female",
   Working_Sales[[#This Row],[Gender_Whitespace_Removed]]
)</f>
        <v>Female</v>
      </c>
      <c r="O261" s="6" t="str">
        <f>PROPER(Working_Sales[[#This Row],[Gender_Abbreviation_Expanded]])</f>
        <v>Female</v>
      </c>
      <c r="P261">
        <v>51</v>
      </c>
      <c r="Q261" s="2" t="str">
        <f>CLEAN(TRIM(Working_Sales[[#This Row],[Age]]))</f>
        <v>51</v>
      </c>
      <c r="R261" s="6">
        <f>INT(SUBSTITUTE(Working_Sales[[#This Row],[Age_Whitespace_Removed]],".",","))</f>
        <v>51</v>
      </c>
      <c r="S261" t="s">
        <v>13</v>
      </c>
      <c r="T261" s="2" t="str">
        <f>CLEAN(TRIM(Working_Sales[[#This Row],[Product Category]]))</f>
        <v>Electronics</v>
      </c>
      <c r="U261" s="6" t="str">
        <f>PROPER(Working_Sales[[#This Row],[Product_Category_Whitespace_Removed]])</f>
        <v>Electronics</v>
      </c>
      <c r="V261" t="s">
        <v>22</v>
      </c>
      <c r="W261" s="2" t="str">
        <f>CLEAN(TRIM(Working_Sales[[#This Row],[Quantity]]))</f>
        <v>1</v>
      </c>
      <c r="X261" s="2">
        <f>INT(Working_Sales[[#This Row],[`]])</f>
        <v>1</v>
      </c>
      <c r="Y261" s="6">
        <f>IFERROR(
   Working_Sales[[#This Row],[Quantity_Converted_To_Integer]],
   Working_Sales[[#This Row],[Total_Amount_Whitespace_Removed]]/Working_Sales[[#This Row],[Price_Per_Unit_Decimal_Separator_Fixed]])</f>
        <v>1</v>
      </c>
      <c r="Z261" t="s">
        <v>57</v>
      </c>
      <c r="AA261" s="2" t="str">
        <f>CLEAN(TRIM(Working_Sales[[#This Row],[Price per Unit]]))</f>
        <v>500</v>
      </c>
      <c r="AB261" s="2">
        <f>INT(
   SUBSTITUTE(Working_Sales[[#This Row],[Price_Per_Unit_Whitespace_Removed]],
   "$",
   ""
   )
)</f>
        <v>500</v>
      </c>
      <c r="AC261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261" s="8">
        <f>IFERROR(
   Working_Sales[[#This Row],[Price_Per_Unit_Decimal_Separator_Fixed]],
   Working_Sales[[#This Row],[Total_Amount_Converted_To_Integer]]/Working_Sales[[#This Row],[Quantity_Converted_To_Integer]]
)</f>
        <v>500</v>
      </c>
      <c r="AE261" t="s">
        <v>57</v>
      </c>
      <c r="AF261" s="2" t="str">
        <f>CLEAN(TRIM(Working_Sales[[#This Row],[Total Amount]]))</f>
        <v>500</v>
      </c>
      <c r="AG261" s="2">
        <f>INT(Working_Sales[[#This Row],[Total_Amount_Whitespace_Removed]])</f>
        <v>500</v>
      </c>
      <c r="AH26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262" spans="1:34" x14ac:dyDescent="0.35">
      <c r="A262" t="s">
        <v>636</v>
      </c>
      <c r="B262" s="6" t="str">
        <f>CLEAN(TRIM(Working_Sales[[#This Row],[Transaction ID]]))</f>
        <v>378</v>
      </c>
      <c r="C262" t="s">
        <v>637</v>
      </c>
      <c r="D262" s="2" t="str">
        <f>CLEAN(TRIM(Working_Sales[[#This Row],[Date]]))</f>
        <v>2023-06-28</v>
      </c>
      <c r="E26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45105</v>
      </c>
      <c r="F26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45105</v>
      </c>
      <c r="G26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45105</v>
      </c>
      <c r="H262" t="s">
        <v>2540</v>
      </c>
      <c r="I262" s="2" t="str">
        <f>CLEAN(TRIM(Working_Sales[[#This Row],[Customer ID]]))</f>
        <v>CUST212</v>
      </c>
      <c r="J26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6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CUST212</v>
      </c>
      <c r="L262" t="s">
        <v>34</v>
      </c>
      <c r="M262" s="4" t="str">
        <f>CLEAN(TRIM(Working_Sales[[#This Row],[Gender]]))</f>
        <v>Male</v>
      </c>
      <c r="N262" s="4" t="str" cm="1">
        <f t="array" ref="N262">_xlfn.SWITCH(
   Working_Sales[[#This Row],[Gender_Whitespace_Removed]],
   "m", "Male",
   "f", "Female",
   Working_Sales[[#This Row],[Gender_Whitespace_Removed]]
)</f>
        <v>Male</v>
      </c>
      <c r="O262" s="6" t="str">
        <f>PROPER(Working_Sales[[#This Row],[Gender_Abbreviation_Expanded]])</f>
        <v>Male</v>
      </c>
      <c r="P262">
        <v>50</v>
      </c>
      <c r="Q262" s="2" t="str">
        <f>CLEAN(TRIM(Working_Sales[[#This Row],[Age]]))</f>
        <v>50</v>
      </c>
      <c r="R262" s="6">
        <f>INT(SUBSTITUTE(Working_Sales[[#This Row],[Age_Whitespace_Removed]],".",","))</f>
        <v>50</v>
      </c>
      <c r="S262" t="s">
        <v>69</v>
      </c>
      <c r="T262" s="2" t="str">
        <f>CLEAN(TRIM(Working_Sales[[#This Row],[Product Category]]))</f>
        <v>BEAUTY</v>
      </c>
      <c r="U262" s="6" t="str">
        <f>PROPER(Working_Sales[[#This Row],[Product_Category_Whitespace_Removed]])</f>
        <v>Beauty</v>
      </c>
      <c r="V262" t="s">
        <v>22</v>
      </c>
      <c r="W262" s="2" t="str">
        <f>CLEAN(TRIM(Working_Sales[[#This Row],[Quantity]]))</f>
        <v>1</v>
      </c>
      <c r="X262" s="2">
        <f>INT(Working_Sales[[#This Row],[`]])</f>
        <v>1</v>
      </c>
      <c r="Y262" s="6">
        <f>IFERROR(
   Working_Sales[[#This Row],[Quantity_Converted_To_Integer]],
   Working_Sales[[#This Row],[Total_Amount_Whitespace_Removed]]/Working_Sales[[#This Row],[Price_Per_Unit_Decimal_Separator_Fixed]])</f>
        <v>1</v>
      </c>
      <c r="Z262" t="s">
        <v>23</v>
      </c>
      <c r="AA262" s="2" t="str">
        <f>CLEAN(TRIM(Working_Sales[[#This Row],[Price per Unit]]))</f>
        <v>300</v>
      </c>
      <c r="AB262" s="2">
        <f>INT(
   SUBSTITUTE(Working_Sales[[#This Row],[Price_Per_Unit_Whitespace_Removed]],
   "$",
   ""
   )
)</f>
        <v>300</v>
      </c>
      <c r="AC262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262" s="8">
        <f>IFERROR(
   Working_Sales[[#This Row],[Price_Per_Unit_Decimal_Separator_Fixed]],
   Working_Sales[[#This Row],[Total_Amount_Converted_To_Integer]]/Working_Sales[[#This Row],[Quantity_Converted_To_Integer]]
)</f>
        <v>300</v>
      </c>
      <c r="AE262" t="s">
        <v>23</v>
      </c>
      <c r="AF262" s="2" t="str">
        <f>CLEAN(TRIM(Working_Sales[[#This Row],[Total Amount]]))</f>
        <v>300</v>
      </c>
      <c r="AG262" s="2">
        <f>INT(Working_Sales[[#This Row],[Total_Amount_Whitespace_Removed]])</f>
        <v>300</v>
      </c>
      <c r="AH26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263" spans="1:34" x14ac:dyDescent="0.35">
      <c r="A263" t="s">
        <v>638</v>
      </c>
      <c r="B263" s="6" t="str">
        <f>CLEAN(TRIM(Working_Sales[[#This Row],[Transaction ID]]))</f>
        <v>807</v>
      </c>
      <c r="C263" t="s">
        <v>2066</v>
      </c>
      <c r="D263" s="2" t="str">
        <f>CLEAN(TRIM(Working_Sales[[#This Row],[Date]]))</f>
        <v>11-Aug-2023</v>
      </c>
      <c r="E26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45149</v>
      </c>
      <c r="F26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45149</v>
      </c>
      <c r="G26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45149</v>
      </c>
      <c r="H263" t="s">
        <v>2271</v>
      </c>
      <c r="I263" s="2" t="str">
        <f>CLEAN(TRIM(Working_Sales[[#This Row],[Customer ID]]))</f>
        <v>CUST213</v>
      </c>
      <c r="J26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CUST213</v>
      </c>
      <c r="K26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CUST213</v>
      </c>
      <c r="L263" t="s">
        <v>26</v>
      </c>
      <c r="M263" s="4" t="str">
        <f>CLEAN(TRIM(Working_Sales[[#This Row],[Gender]]))</f>
        <v>Female</v>
      </c>
      <c r="N263" s="4" t="str" cm="1">
        <f t="array" ref="N263">_xlfn.SWITCH(
   Working_Sales[[#This Row],[Gender_Whitespace_Removed]],
   "m", "Male",
   "f", "Female",
   Working_Sales[[#This Row],[Gender_Whitespace_Removed]]
)</f>
        <v>Female</v>
      </c>
      <c r="O263" s="6" t="str">
        <f>PROPER(Working_Sales[[#This Row],[Gender_Abbreviation_Expanded]])</f>
        <v>Female</v>
      </c>
      <c r="P263">
        <v>50</v>
      </c>
      <c r="Q263" s="2" t="str">
        <f>CLEAN(TRIM(Working_Sales[[#This Row],[Age]]))</f>
        <v>50</v>
      </c>
      <c r="R263" s="6">
        <f>INT(SUBSTITUTE(Working_Sales[[#This Row],[Age_Whitespace_Removed]],".",","))</f>
        <v>50</v>
      </c>
      <c r="S263" t="s">
        <v>13</v>
      </c>
      <c r="T263" s="2" t="str">
        <f>CLEAN(TRIM(Working_Sales[[#This Row],[Product Category]]))</f>
        <v>Electronics</v>
      </c>
      <c r="U263" s="6" t="str">
        <f>PROPER(Working_Sales[[#This Row],[Product_Category_Whitespace_Removed]])</f>
        <v>Electronics</v>
      </c>
      <c r="V263" t="s">
        <v>14</v>
      </c>
      <c r="W263" s="2" t="str">
        <f>CLEAN(TRIM(Working_Sales[[#This Row],[Quantity]]))</f>
        <v>4</v>
      </c>
      <c r="X263" s="2">
        <f>INT(Working_Sales[[#This Row],[`]])</f>
        <v>4</v>
      </c>
      <c r="Y263" s="6">
        <f>IFERROR(
   Working_Sales[[#This Row],[Quantity_Converted_To_Integer]],
   Working_Sales[[#This Row],[Total_Amount_Whitespace_Removed]]/Working_Sales[[#This Row],[Price_Per_Unit_Decimal_Separator_Fixed]])</f>
        <v>4</v>
      </c>
      <c r="Z263" t="s">
        <v>15</v>
      </c>
      <c r="AA263" s="2" t="str">
        <f>CLEAN(TRIM(Working_Sales[[#This Row],[Price per Unit]]))</f>
        <v>50</v>
      </c>
      <c r="AB263" s="2">
        <f>INT(
   SUBSTITUTE(Working_Sales[[#This Row],[Price_Per_Unit_Whitespace_Removed]],
   "$",
   ""
   )
)</f>
        <v>50</v>
      </c>
      <c r="AC263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263" s="8">
        <f>IFERROR(
   Working_Sales[[#This Row],[Price_Per_Unit_Decimal_Separator_Fixed]],
   Working_Sales[[#This Row],[Total_Amount_Converted_To_Integer]]/Working_Sales[[#This Row],[Quantity_Converted_To_Integer]]
)</f>
        <v>50</v>
      </c>
      <c r="AE263" t="s">
        <v>16</v>
      </c>
      <c r="AF263" s="2" t="str">
        <f>CLEAN(TRIM(Working_Sales[[#This Row],[Total Amount]]))</f>
        <v>200</v>
      </c>
      <c r="AG263" s="2">
        <f>INT(Working_Sales[[#This Row],[Total_Amount_Whitespace_Removed]])</f>
        <v>200</v>
      </c>
      <c r="AH26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264" spans="1:34" x14ac:dyDescent="0.35">
      <c r="A264" t="s">
        <v>639</v>
      </c>
      <c r="B264" s="6" t="str">
        <f>CLEAN(TRIM(Working_Sales[[#This Row],[Transaction ID]]))</f>
        <v>148</v>
      </c>
      <c r="C264" t="s">
        <v>2067</v>
      </c>
      <c r="D264" s="2" t="str">
        <f>CLEAN(TRIM(Working_Sales[[#This Row],[Date]]))</f>
        <v>09-May-2023</v>
      </c>
      <c r="E26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45055</v>
      </c>
      <c r="F26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45055</v>
      </c>
      <c r="G26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45055</v>
      </c>
      <c r="H264" t="s">
        <v>1156</v>
      </c>
      <c r="I264" s="2" t="str">
        <f>CLEAN(TRIM(Working_Sales[[#This Row],[Customer ID]]))</f>
        <v>CUST214</v>
      </c>
      <c r="J26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CUST214</v>
      </c>
      <c r="K26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CUST214</v>
      </c>
      <c r="L264" t="s">
        <v>34</v>
      </c>
      <c r="M264" s="4" t="str">
        <f>CLEAN(TRIM(Working_Sales[[#This Row],[Gender]]))</f>
        <v>Male</v>
      </c>
      <c r="N264" s="4" t="str" cm="1">
        <f t="array" ref="N264">_xlfn.SWITCH(
   Working_Sales[[#This Row],[Gender_Whitespace_Removed]],
   "m", "Male",
   "f", "Female",
   Working_Sales[[#This Row],[Gender_Whitespace_Removed]]
)</f>
        <v>Male</v>
      </c>
      <c r="O264" s="6" t="str">
        <f>PROPER(Working_Sales[[#This Row],[Gender_Abbreviation_Expanded]])</f>
        <v>Male</v>
      </c>
      <c r="P264">
        <v>18</v>
      </c>
      <c r="Q264" s="2" t="str">
        <f>CLEAN(TRIM(Working_Sales[[#This Row],[Age]]))</f>
        <v>18</v>
      </c>
      <c r="R264" s="6">
        <f>INT(SUBSTITUTE(Working_Sales[[#This Row],[Age_Whitespace_Removed]],".",","))</f>
        <v>18</v>
      </c>
      <c r="S264" t="s">
        <v>89</v>
      </c>
      <c r="T264" s="2" t="str">
        <f>CLEAN(TRIM(Working_Sales[[#This Row],[Product Category]]))</f>
        <v>CLOTHING</v>
      </c>
      <c r="U264" s="6" t="str">
        <f>PROPER(Working_Sales[[#This Row],[Product_Category_Whitespace_Removed]])</f>
        <v>Clothing</v>
      </c>
      <c r="V264" t="s">
        <v>37</v>
      </c>
      <c r="W264" s="2" t="str">
        <f>CLEAN(TRIM(Working_Sales[[#This Row],[Quantity]]))</f>
        <v>2</v>
      </c>
      <c r="X264" s="2">
        <f>INT(Working_Sales[[#This Row],[`]])</f>
        <v>2</v>
      </c>
      <c r="Y264" s="6">
        <f>IFERROR(
   Working_Sales[[#This Row],[Quantity_Converted_To_Integer]],
   Working_Sales[[#This Row],[Total_Amount_Whitespace_Removed]]/Working_Sales[[#This Row],[Price_Per_Unit_Decimal_Separator_Fixed]])</f>
        <v>2</v>
      </c>
      <c r="Z264" t="s">
        <v>43</v>
      </c>
      <c r="AA264" s="2" t="str">
        <f>CLEAN(TRIM(Working_Sales[[#This Row],[Price per Unit]]))</f>
        <v>30.00</v>
      </c>
      <c r="AB264" s="2" t="e">
        <f>INT(
   SUBSTITUTE(Working_Sales[[#This Row],[Price_Per_Unit_Whitespace_Removed]],
   "$",
   ""
   )
)</f>
        <v>#VALUE!</v>
      </c>
      <c r="AC264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264" s="8">
        <f>IFERROR(
   Working_Sales[[#This Row],[Price_Per_Unit_Decimal_Separator_Fixed]],
   Working_Sales[[#This Row],[Total_Amount_Converted_To_Integer]]/Working_Sales[[#This Row],[Quantity_Converted_To_Integer]]
)</f>
        <v>30</v>
      </c>
      <c r="AE264" t="s">
        <v>71</v>
      </c>
      <c r="AF264" s="2" t="str">
        <f>CLEAN(TRIM(Working_Sales[[#This Row],[Total Amount]]))</f>
        <v>60</v>
      </c>
      <c r="AG264" s="2">
        <f>INT(Working_Sales[[#This Row],[Total_Amount_Whitespace_Removed]])</f>
        <v>60</v>
      </c>
      <c r="AH26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265" spans="1:34" x14ac:dyDescent="0.35">
      <c r="A265" t="s">
        <v>641</v>
      </c>
      <c r="B265" s="6" t="str">
        <f>CLEAN(TRIM(Working_Sales[[#This Row],[Transaction ID]]))</f>
        <v>715</v>
      </c>
      <c r="C265" t="s">
        <v>642</v>
      </c>
      <c r="D265" s="2" t="str">
        <f>CLEAN(TRIM(Working_Sales[[#This Row],[Date]]))</f>
        <v>26/11/2023</v>
      </c>
      <c r="E26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45256</v>
      </c>
      <c r="F26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45256</v>
      </c>
      <c r="G26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45256</v>
      </c>
      <c r="H265" t="s">
        <v>1217</v>
      </c>
      <c r="I265" s="2" t="str">
        <f>CLEAN(TRIM(Working_Sales[[#This Row],[Customer ID]]))</f>
        <v>cust215</v>
      </c>
      <c r="J26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6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CUST215</v>
      </c>
      <c r="L265" t="s">
        <v>26</v>
      </c>
      <c r="M265" s="4" t="str">
        <f>CLEAN(TRIM(Working_Sales[[#This Row],[Gender]]))</f>
        <v>Female</v>
      </c>
      <c r="N265" s="4" t="str" cm="1">
        <f t="array" ref="N265">_xlfn.SWITCH(
   Working_Sales[[#This Row],[Gender_Whitespace_Removed]],
   "m", "Male",
   "f", "Female",
   Working_Sales[[#This Row],[Gender_Whitespace_Removed]]
)</f>
        <v>Female</v>
      </c>
      <c r="O265" s="6" t="str">
        <f>PROPER(Working_Sales[[#This Row],[Gender_Abbreviation_Expanded]])</f>
        <v>Female</v>
      </c>
      <c r="P265">
        <v>42</v>
      </c>
      <c r="Q265" s="2" t="str">
        <f>CLEAN(TRIM(Working_Sales[[#This Row],[Age]]))</f>
        <v>42</v>
      </c>
      <c r="R265" s="6">
        <f>INT(SUBSTITUTE(Working_Sales[[#This Row],[Age_Whitespace_Removed]],".",","))</f>
        <v>42</v>
      </c>
      <c r="S265" t="s">
        <v>36</v>
      </c>
      <c r="T265" s="2" t="str">
        <f>CLEAN(TRIM(Working_Sales[[#This Row],[Product Category]]))</f>
        <v>Beauty</v>
      </c>
      <c r="U265" s="6" t="str">
        <f>PROPER(Working_Sales[[#This Row],[Product_Category_Whitespace_Removed]])</f>
        <v>Beauty</v>
      </c>
      <c r="V265" t="s">
        <v>14</v>
      </c>
      <c r="W265" s="2" t="str">
        <f>CLEAN(TRIM(Working_Sales[[#This Row],[Quantity]]))</f>
        <v>4</v>
      </c>
      <c r="X265" s="2">
        <f>INT(Working_Sales[[#This Row],[`]])</f>
        <v>4</v>
      </c>
      <c r="Y265" s="6">
        <f>IFERROR(
   Working_Sales[[#This Row],[Quantity_Converted_To_Integer]],
   Working_Sales[[#This Row],[Total_Amount_Whitespace_Removed]]/Working_Sales[[#This Row],[Price_Per_Unit_Decimal_Separator_Fixed]])</f>
        <v>4</v>
      </c>
      <c r="Z265" t="s">
        <v>30</v>
      </c>
      <c r="AA265" s="2" t="str">
        <f>CLEAN(TRIM(Working_Sales[[#This Row],[Price per Unit]]))</f>
        <v>25</v>
      </c>
      <c r="AB265" s="2">
        <f>INT(
   SUBSTITUTE(Working_Sales[[#This Row],[Price_Per_Unit_Whitespace_Removed]],
   "$",
   ""
   )
)</f>
        <v>25</v>
      </c>
      <c r="AC265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265" s="8">
        <f>IFERROR(
   Working_Sales[[#This Row],[Price_Per_Unit_Decimal_Separator_Fixed]],
   Working_Sales[[#This Row],[Total_Amount_Converted_To_Integer]]/Working_Sales[[#This Row],[Quantity_Converted_To_Integer]]
)</f>
        <v>25</v>
      </c>
      <c r="AE265" t="s">
        <v>38</v>
      </c>
      <c r="AF265" s="2" t="str">
        <f>CLEAN(TRIM(Working_Sales[[#This Row],[Total Amount]]))</f>
        <v>100</v>
      </c>
      <c r="AG265" s="2">
        <f>INT(Working_Sales[[#This Row],[Total_Amount_Whitespace_Removed]])</f>
        <v>100</v>
      </c>
      <c r="AH26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266" spans="1:34" x14ac:dyDescent="0.35">
      <c r="A266" t="s">
        <v>643</v>
      </c>
      <c r="B266" s="6" t="str">
        <f>CLEAN(TRIM(Working_Sales[[#This Row],[Transaction ID]]))</f>
        <v>424</v>
      </c>
      <c r="C266" t="s">
        <v>644</v>
      </c>
      <c r="D266" s="2" t="str">
        <f>CLEAN(TRIM(Working_Sales[[#This Row],[Date]]))</f>
        <v>11/23/2023</v>
      </c>
      <c r="E266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26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45253</v>
      </c>
      <c r="G26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45253</v>
      </c>
      <c r="H266" t="s">
        <v>2541</v>
      </c>
      <c r="I266" s="2" t="str">
        <f>CLEAN(TRIM(Working_Sales[[#This Row],[Customer ID]]))</f>
        <v>CUST098</v>
      </c>
      <c r="J26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CUST098</v>
      </c>
      <c r="K26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CUST098</v>
      </c>
      <c r="L266" t="s">
        <v>34</v>
      </c>
      <c r="M266" s="4" t="str">
        <f>CLEAN(TRIM(Working_Sales[[#This Row],[Gender]]))</f>
        <v>Male</v>
      </c>
      <c r="N266" s="4" t="str" cm="1">
        <f t="array" ref="N266">_xlfn.SWITCH(
   Working_Sales[[#This Row],[Gender_Whitespace_Removed]],
   "m", "Male",
   "f", "Female",
   Working_Sales[[#This Row],[Gender_Whitespace_Removed]]
)</f>
        <v>Male</v>
      </c>
      <c r="O266" s="6" t="str">
        <f>PROPER(Working_Sales[[#This Row],[Gender_Abbreviation_Expanded]])</f>
        <v>Male</v>
      </c>
      <c r="P266">
        <v>57</v>
      </c>
      <c r="Q266" s="2" t="str">
        <f>CLEAN(TRIM(Working_Sales[[#This Row],[Age]]))</f>
        <v>57</v>
      </c>
      <c r="R266" s="6">
        <f>INT(SUBSTITUTE(Working_Sales[[#This Row],[Age_Whitespace_Removed]],".",","))</f>
        <v>57</v>
      </c>
      <c r="S266" t="s">
        <v>36</v>
      </c>
      <c r="T266" s="2" t="str">
        <f>CLEAN(TRIM(Working_Sales[[#This Row],[Product Category]]))</f>
        <v>Beauty</v>
      </c>
      <c r="U266" s="6" t="str">
        <f>PROPER(Working_Sales[[#This Row],[Product_Category_Whitespace_Removed]])</f>
        <v>Beauty</v>
      </c>
      <c r="V266" t="s">
        <v>14</v>
      </c>
      <c r="W266" s="2" t="str">
        <f>CLEAN(TRIM(Working_Sales[[#This Row],[Quantity]]))</f>
        <v>4</v>
      </c>
      <c r="X266" s="2">
        <f>INT(Working_Sales[[#This Row],[`]])</f>
        <v>4</v>
      </c>
      <c r="Y266" s="6">
        <f>IFERROR(
   Working_Sales[[#This Row],[Quantity_Converted_To_Integer]],
   Working_Sales[[#This Row],[Total_Amount_Whitespace_Removed]]/Working_Sales[[#This Row],[Price_Per_Unit_Decimal_Separator_Fixed]])</f>
        <v>4</v>
      </c>
      <c r="Z266" t="s">
        <v>186</v>
      </c>
      <c r="AA266" s="2" t="str">
        <f>CLEAN(TRIM(Working_Sales[[#This Row],[Price per Unit]]))</f>
        <v>$300</v>
      </c>
      <c r="AB266" s="2">
        <f>INT(
   SUBSTITUTE(Working_Sales[[#This Row],[Price_Per_Unit_Whitespace_Removed]],
   "$",
   ""
   )
)</f>
        <v>300</v>
      </c>
      <c r="AC266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266" s="8">
        <f>IFERROR(
   Working_Sales[[#This Row],[Price_Per_Unit_Decimal_Separator_Fixed]],
   Working_Sales[[#This Row],[Total_Amount_Converted_To_Integer]]/Working_Sales[[#This Row],[Quantity_Converted_To_Integer]]
)</f>
        <v>300</v>
      </c>
      <c r="AE266" t="s">
        <v>79</v>
      </c>
      <c r="AF266" s="2" t="str">
        <f>CLEAN(TRIM(Working_Sales[[#This Row],[Total Amount]]))</f>
        <v>1200</v>
      </c>
      <c r="AG266" s="2">
        <f>INT(Working_Sales[[#This Row],[Total_Amount_Whitespace_Removed]])</f>
        <v>1200</v>
      </c>
      <c r="AH26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267" spans="1:34" x14ac:dyDescent="0.35">
      <c r="A267" t="s">
        <v>646</v>
      </c>
      <c r="B267" s="6" t="str">
        <f>CLEAN(TRIM(Working_Sales[[#This Row],[Transaction ID]]))</f>
        <v>400</v>
      </c>
      <c r="C267" t="s">
        <v>647</v>
      </c>
      <c r="D267" s="2" t="str">
        <f>CLEAN(TRIM(Working_Sales[[#This Row],[Date]]))</f>
        <v>24/02/2023</v>
      </c>
      <c r="E26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44981</v>
      </c>
      <c r="F26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44981</v>
      </c>
      <c r="G26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44981</v>
      </c>
      <c r="H267" t="s">
        <v>2542</v>
      </c>
      <c r="I267" s="2" t="str">
        <f>CLEAN(TRIM(Working_Sales[[#This Row],[Customer ID]]))</f>
        <v>CUST132</v>
      </c>
      <c r="J26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6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CUST132</v>
      </c>
      <c r="L267" t="s">
        <v>20</v>
      </c>
      <c r="M267" s="4" t="str">
        <f>CLEAN(TRIM(Working_Sales[[#This Row],[Gender]]))</f>
        <v>male</v>
      </c>
      <c r="N267" s="4" t="str" cm="1">
        <f t="array" ref="N267">_xlfn.SWITCH(
   Working_Sales[[#This Row],[Gender_Whitespace_Removed]],
   "m", "Male",
   "f", "Female",
   Working_Sales[[#This Row],[Gender_Whitespace_Removed]]
)</f>
        <v>male</v>
      </c>
      <c r="O267" s="6" t="str">
        <f>PROPER(Working_Sales[[#This Row],[Gender_Abbreviation_Expanded]])</f>
        <v>Male</v>
      </c>
      <c r="P267" t="s">
        <v>649</v>
      </c>
      <c r="Q267" s="2" t="str">
        <f>CLEAN(TRIM(Working_Sales[[#This Row],[Age]]))</f>
        <v>53</v>
      </c>
      <c r="R267" s="6">
        <f>INT(SUBSTITUTE(Working_Sales[[#This Row],[Age_Whitespace_Removed]],".",","))</f>
        <v>53</v>
      </c>
      <c r="S267" t="s">
        <v>124</v>
      </c>
      <c r="T267" s="2" t="str">
        <f>CLEAN(TRIM(Working_Sales[[#This Row],[Product Category]]))</f>
        <v>Clothing</v>
      </c>
      <c r="U267" s="6" t="str">
        <f>PROPER(Working_Sales[[#This Row],[Product_Category_Whitespace_Removed]])</f>
        <v>Clothing</v>
      </c>
      <c r="V267" t="s">
        <v>14</v>
      </c>
      <c r="W267" s="2" t="str">
        <f>CLEAN(TRIM(Working_Sales[[#This Row],[Quantity]]))</f>
        <v>4</v>
      </c>
      <c r="X267" s="2">
        <f>INT(Working_Sales[[#This Row],[`]])</f>
        <v>4</v>
      </c>
      <c r="Y267" s="6">
        <f>IFERROR(
   Working_Sales[[#This Row],[Quantity_Converted_To_Integer]],
   Working_Sales[[#This Row],[Total_Amount_Whitespace_Removed]]/Working_Sales[[#This Row],[Price_Per_Unit_Decimal_Separator_Fixed]])</f>
        <v>4</v>
      </c>
      <c r="Z267" t="s">
        <v>15</v>
      </c>
      <c r="AA267" s="2" t="str">
        <f>CLEAN(TRIM(Working_Sales[[#This Row],[Price per Unit]]))</f>
        <v>50</v>
      </c>
      <c r="AB267" s="2">
        <f>INT(
   SUBSTITUTE(Working_Sales[[#This Row],[Price_Per_Unit_Whitespace_Removed]],
   "$",
   ""
   )
)</f>
        <v>50</v>
      </c>
      <c r="AC267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267" s="8">
        <f>IFERROR(
   Working_Sales[[#This Row],[Price_Per_Unit_Decimal_Separator_Fixed]],
   Working_Sales[[#This Row],[Total_Amount_Converted_To_Integer]]/Working_Sales[[#This Row],[Quantity_Converted_To_Integer]]
)</f>
        <v>50</v>
      </c>
      <c r="AE267" t="s">
        <v>16</v>
      </c>
      <c r="AF267" s="2" t="str">
        <f>CLEAN(TRIM(Working_Sales[[#This Row],[Total Amount]]))</f>
        <v>200</v>
      </c>
      <c r="AG267" s="2">
        <f>INT(Working_Sales[[#This Row],[Total_Amount_Whitespace_Removed]])</f>
        <v>200</v>
      </c>
      <c r="AH26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268" spans="1:34" x14ac:dyDescent="0.35">
      <c r="A268" t="s">
        <v>12</v>
      </c>
      <c r="B268" s="6" t="str">
        <f>CLEAN(TRIM(Working_Sales[[#This Row],[Transaction ID]]))</f>
        <v>52</v>
      </c>
      <c r="C268" t="s">
        <v>650</v>
      </c>
      <c r="D268" s="2" t="str">
        <f>CLEAN(TRIM(Working_Sales[[#This Row],[Date]]))</f>
        <v>2023-03-05</v>
      </c>
      <c r="E26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44990</v>
      </c>
      <c r="F26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44990</v>
      </c>
      <c r="G26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44990</v>
      </c>
      <c r="H268" t="s">
        <v>2543</v>
      </c>
      <c r="I268" s="2" t="str">
        <f>CLEAN(TRIM(Working_Sales[[#This Row],[Customer ID]]))</f>
        <v>Cust216</v>
      </c>
      <c r="J26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6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CUST216</v>
      </c>
      <c r="L268" t="s">
        <v>46</v>
      </c>
      <c r="M268" s="4" t="str">
        <f>CLEAN(TRIM(Working_Sales[[#This Row],[Gender]]))</f>
        <v>F</v>
      </c>
      <c r="N268" s="4" t="str" cm="1">
        <f t="array" ref="N268">_xlfn.SWITCH(
   Working_Sales[[#This Row],[Gender_Whitespace_Removed]],
   "m", "Male",
   "f", "Female",
   Working_Sales[[#This Row],[Gender_Whitespace_Removed]]
)</f>
        <v>Female</v>
      </c>
      <c r="O268" s="6" t="str">
        <f>PROPER(Working_Sales[[#This Row],[Gender_Abbreviation_Expanded]])</f>
        <v>Female</v>
      </c>
      <c r="P268">
        <v>36</v>
      </c>
      <c r="Q268" s="2" t="str">
        <f>CLEAN(TRIM(Working_Sales[[#This Row],[Age]]))</f>
        <v>36</v>
      </c>
      <c r="R268" s="6">
        <f>INT(SUBSTITUTE(Working_Sales[[#This Row],[Age_Whitespace_Removed]],".",","))</f>
        <v>36</v>
      </c>
      <c r="S268" t="s">
        <v>36</v>
      </c>
      <c r="T268" s="2" t="str">
        <f>CLEAN(TRIM(Working_Sales[[#This Row],[Product Category]]))</f>
        <v>Beauty</v>
      </c>
      <c r="U268" s="6" t="str">
        <f>PROPER(Working_Sales[[#This Row],[Product_Category_Whitespace_Removed]])</f>
        <v>Beauty</v>
      </c>
      <c r="V268" t="s">
        <v>22</v>
      </c>
      <c r="W268" s="2" t="str">
        <f>CLEAN(TRIM(Working_Sales[[#This Row],[Quantity]]))</f>
        <v>1</v>
      </c>
      <c r="X268" s="2">
        <f>INT(Working_Sales[[#This Row],[`]])</f>
        <v>1</v>
      </c>
      <c r="Y268" s="6">
        <f>IFERROR(
   Working_Sales[[#This Row],[Quantity_Converted_To_Integer]],
   Working_Sales[[#This Row],[Total_Amount_Whitespace_Removed]]/Working_Sales[[#This Row],[Price_Per_Unit_Decimal_Separator_Fixed]])</f>
        <v>1</v>
      </c>
      <c r="Z268" t="s">
        <v>23</v>
      </c>
      <c r="AA268" s="2" t="str">
        <f>CLEAN(TRIM(Working_Sales[[#This Row],[Price per Unit]]))</f>
        <v>300</v>
      </c>
      <c r="AB268" s="2">
        <f>INT(
   SUBSTITUTE(Working_Sales[[#This Row],[Price_Per_Unit_Whitespace_Removed]],
   "$",
   ""
   )
)</f>
        <v>300</v>
      </c>
      <c r="AC268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268" s="8">
        <f>IFERROR(
   Working_Sales[[#This Row],[Price_Per_Unit_Decimal_Separator_Fixed]],
   Working_Sales[[#This Row],[Total_Amount_Converted_To_Integer]]/Working_Sales[[#This Row],[Quantity_Converted_To_Integer]]
)</f>
        <v>300</v>
      </c>
      <c r="AE268" t="s">
        <v>23</v>
      </c>
      <c r="AF268" s="2" t="str">
        <f>CLEAN(TRIM(Working_Sales[[#This Row],[Total Amount]]))</f>
        <v>300</v>
      </c>
      <c r="AG268" s="2">
        <f>INT(Working_Sales[[#This Row],[Total_Amount_Whitespace_Removed]])</f>
        <v>300</v>
      </c>
      <c r="AH26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269" spans="1:34" x14ac:dyDescent="0.35">
      <c r="A269" t="s">
        <v>652</v>
      </c>
      <c r="B269" s="6" t="str">
        <f>CLEAN(TRIM(Working_Sales[[#This Row],[Transaction ID]]))</f>
        <v>909</v>
      </c>
      <c r="C269" t="s">
        <v>653</v>
      </c>
      <c r="D269" s="2" t="str">
        <f>CLEAN(TRIM(Working_Sales[[#This Row],[Date]]))</f>
        <v>2023-10-01</v>
      </c>
      <c r="E26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45200</v>
      </c>
      <c r="F26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45200</v>
      </c>
      <c r="G26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45200</v>
      </c>
      <c r="H269" t="s">
        <v>2544</v>
      </c>
      <c r="I269" s="2" t="str">
        <f>CLEAN(TRIM(Working_Sales[[#This Row],[Customer ID]]))</f>
        <v>CUST217</v>
      </c>
      <c r="J26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CUST217</v>
      </c>
      <c r="K26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CUST217</v>
      </c>
      <c r="L269" t="s">
        <v>34</v>
      </c>
      <c r="M269" s="4" t="str">
        <f>CLEAN(TRIM(Working_Sales[[#This Row],[Gender]]))</f>
        <v>Male</v>
      </c>
      <c r="N269" s="4" t="str" cm="1">
        <f t="array" ref="N269">_xlfn.SWITCH(
   Working_Sales[[#This Row],[Gender_Whitespace_Removed]],
   "m", "Male",
   "f", "Female",
   Working_Sales[[#This Row],[Gender_Whitespace_Removed]]
)</f>
        <v>Male</v>
      </c>
      <c r="O269" s="6" t="str">
        <f>PROPER(Working_Sales[[#This Row],[Gender_Abbreviation_Expanded]])</f>
        <v>Male</v>
      </c>
      <c r="P269">
        <v>26</v>
      </c>
      <c r="Q269" s="2" t="str">
        <f>CLEAN(TRIM(Working_Sales[[#This Row],[Age]]))</f>
        <v>26</v>
      </c>
      <c r="R269" s="6">
        <f>INT(SUBSTITUTE(Working_Sales[[#This Row],[Age_Whitespace_Removed]],".",","))</f>
        <v>26</v>
      </c>
      <c r="S269" t="s">
        <v>48</v>
      </c>
      <c r="T269" s="2" t="str">
        <f>CLEAN(TRIM(Working_Sales[[#This Row],[Product Category]]))</f>
        <v>electronics</v>
      </c>
      <c r="U269" s="6" t="str">
        <f>PROPER(Working_Sales[[#This Row],[Product_Category_Whitespace_Removed]])</f>
        <v>Electronics</v>
      </c>
      <c r="V269" t="s">
        <v>22</v>
      </c>
      <c r="W269" s="2" t="str">
        <f>CLEAN(TRIM(Working_Sales[[#This Row],[Quantity]]))</f>
        <v>1</v>
      </c>
      <c r="X269" s="2">
        <f>INT(Working_Sales[[#This Row],[`]])</f>
        <v>1</v>
      </c>
      <c r="Y269" s="6">
        <f>IFERROR(
   Working_Sales[[#This Row],[Quantity_Converted_To_Integer]],
   Working_Sales[[#This Row],[Total_Amount_Whitespace_Removed]]/Working_Sales[[#This Row],[Price_Per_Unit_Decimal_Separator_Fixed]])</f>
        <v>1</v>
      </c>
      <c r="Z269" t="s">
        <v>23</v>
      </c>
      <c r="AA269" s="2" t="str">
        <f>CLEAN(TRIM(Working_Sales[[#This Row],[Price per Unit]]))</f>
        <v>300</v>
      </c>
      <c r="AB269" s="2">
        <f>INT(
   SUBSTITUTE(Working_Sales[[#This Row],[Price_Per_Unit_Whitespace_Removed]],
   "$",
   ""
   )
)</f>
        <v>300</v>
      </c>
      <c r="AC269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269" s="8">
        <f>IFERROR(
   Working_Sales[[#This Row],[Price_Per_Unit_Decimal_Separator_Fixed]],
   Working_Sales[[#This Row],[Total_Amount_Converted_To_Integer]]/Working_Sales[[#This Row],[Quantity_Converted_To_Integer]]
)</f>
        <v>300</v>
      </c>
      <c r="AE269" t="s">
        <v>23</v>
      </c>
      <c r="AF269" s="2" t="str">
        <f>CLEAN(TRIM(Working_Sales[[#This Row],[Total Amount]]))</f>
        <v>300</v>
      </c>
      <c r="AG269" s="2">
        <f>INT(Working_Sales[[#This Row],[Total_Amount_Whitespace_Removed]])</f>
        <v>300</v>
      </c>
      <c r="AH26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270" spans="1:34" x14ac:dyDescent="0.35">
      <c r="A270" t="s">
        <v>654</v>
      </c>
      <c r="B270" s="6" t="str">
        <f>CLEAN(TRIM(Working_Sales[[#This Row],[Transaction ID]]))</f>
        <v>335</v>
      </c>
      <c r="C270" t="s">
        <v>2068</v>
      </c>
      <c r="D270" s="2" t="str">
        <f>CLEAN(TRIM(Working_Sales[[#This Row],[Date]]))</f>
        <v>February 04, 2023</v>
      </c>
      <c r="E270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270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27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44961</v>
      </c>
      <c r="H270" t="s">
        <v>2545</v>
      </c>
      <c r="I270" s="2" t="str">
        <f>CLEAN(TRIM(Working_Sales[[#This Row],[Customer ID]]))</f>
        <v>CUST109</v>
      </c>
      <c r="J27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CUST109</v>
      </c>
      <c r="K27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CUST109</v>
      </c>
      <c r="L270" t="s">
        <v>26</v>
      </c>
      <c r="M270" s="4" t="str">
        <f>CLEAN(TRIM(Working_Sales[[#This Row],[Gender]]))</f>
        <v>Female</v>
      </c>
      <c r="N270" s="4" t="str" cm="1">
        <f t="array" ref="N270">_xlfn.SWITCH(
   Working_Sales[[#This Row],[Gender_Whitespace_Removed]],
   "m", "Male",
   "f", "Female",
   Working_Sales[[#This Row],[Gender_Whitespace_Removed]]
)</f>
        <v>Female</v>
      </c>
      <c r="O270" s="6" t="str">
        <f>PROPER(Working_Sales[[#This Row],[Gender_Abbreviation_Expanded]])</f>
        <v>Female</v>
      </c>
      <c r="P270">
        <v>47</v>
      </c>
      <c r="Q270" s="2" t="str">
        <f>CLEAN(TRIM(Working_Sales[[#This Row],[Age]]))</f>
        <v>47</v>
      </c>
      <c r="R270" s="6">
        <f>INT(SUBSTITUTE(Working_Sales[[#This Row],[Age_Whitespace_Removed]],".",","))</f>
        <v>47</v>
      </c>
      <c r="S270" t="s">
        <v>36</v>
      </c>
      <c r="T270" s="2" t="str">
        <f>CLEAN(TRIM(Working_Sales[[#This Row],[Product Category]]))</f>
        <v>Beauty</v>
      </c>
      <c r="U270" s="6" t="str">
        <f>PROPER(Working_Sales[[#This Row],[Product_Category_Whitespace_Removed]])</f>
        <v>Beauty</v>
      </c>
      <c r="V270" t="s">
        <v>14</v>
      </c>
      <c r="W270" s="2" t="str">
        <f>CLEAN(TRIM(Working_Sales[[#This Row],[Quantity]]))</f>
        <v>4</v>
      </c>
      <c r="X270" s="2">
        <f>INT(Working_Sales[[#This Row],[`]])</f>
        <v>4</v>
      </c>
      <c r="Y270" s="6">
        <f>IFERROR(
   Working_Sales[[#This Row],[Quantity_Converted_To_Integer]],
   Working_Sales[[#This Row],[Total_Amount_Whitespace_Removed]]/Working_Sales[[#This Row],[Price_Per_Unit_Decimal_Separator_Fixed]])</f>
        <v>4</v>
      </c>
      <c r="Z270" t="s">
        <v>70</v>
      </c>
      <c r="AA270" s="2" t="str">
        <f>CLEAN(TRIM(Working_Sales[[#This Row],[Price per Unit]]))</f>
        <v>30</v>
      </c>
      <c r="AB270" s="2">
        <f>INT(
   SUBSTITUTE(Working_Sales[[#This Row],[Price_Per_Unit_Whitespace_Removed]],
   "$",
   ""
   )
)</f>
        <v>30</v>
      </c>
      <c r="AC270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270" s="8">
        <f>IFERROR(
   Working_Sales[[#This Row],[Price_Per_Unit_Decimal_Separator_Fixed]],
   Working_Sales[[#This Row],[Total_Amount_Converted_To_Integer]]/Working_Sales[[#This Row],[Quantity_Converted_To_Integer]]
)</f>
        <v>30</v>
      </c>
      <c r="AE270" t="s">
        <v>44</v>
      </c>
      <c r="AF270" s="2" t="str">
        <f>CLEAN(TRIM(Working_Sales[[#This Row],[Total Amount]]))</f>
        <v>120</v>
      </c>
      <c r="AG270" s="2">
        <f>INT(Working_Sales[[#This Row],[Total_Amount_Whitespace_Removed]])</f>
        <v>120</v>
      </c>
      <c r="AH27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271" spans="1:34" x14ac:dyDescent="0.35">
      <c r="A271" t="s">
        <v>21</v>
      </c>
      <c r="B271" s="6" t="str">
        <f>CLEAN(TRIM(Working_Sales[[#This Row],[Transaction ID]]))</f>
        <v>23</v>
      </c>
      <c r="C271" t="s">
        <v>656</v>
      </c>
      <c r="D271" s="2" t="str">
        <f>CLEAN(TRIM(Working_Sales[[#This Row],[Date]]))</f>
        <v>2023-04-12</v>
      </c>
      <c r="E27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45028</v>
      </c>
      <c r="F27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45028</v>
      </c>
      <c r="G27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45028</v>
      </c>
      <c r="H271" t="s">
        <v>912</v>
      </c>
      <c r="I271" s="2" t="str">
        <f>CLEAN(TRIM(Working_Sales[[#This Row],[Customer ID]]))</f>
        <v>CUST218</v>
      </c>
      <c r="J27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CUST218</v>
      </c>
      <c r="K27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CUST218</v>
      </c>
      <c r="L271" t="s">
        <v>26</v>
      </c>
      <c r="M271" s="4" t="str">
        <f>CLEAN(TRIM(Working_Sales[[#This Row],[Gender]]))</f>
        <v>Female</v>
      </c>
      <c r="N271" s="4" t="str" cm="1">
        <f t="array" ref="N271">_xlfn.SWITCH(
   Working_Sales[[#This Row],[Gender_Whitespace_Removed]],
   "m", "Male",
   "f", "Female",
   Working_Sales[[#This Row],[Gender_Whitespace_Removed]]
)</f>
        <v>Female</v>
      </c>
      <c r="O271" s="6" t="str">
        <f>PROPER(Working_Sales[[#This Row],[Gender_Abbreviation_Expanded]])</f>
        <v>Female</v>
      </c>
      <c r="P271">
        <v>35</v>
      </c>
      <c r="Q271" s="2" t="str">
        <f>CLEAN(TRIM(Working_Sales[[#This Row],[Age]]))</f>
        <v>35</v>
      </c>
      <c r="R271" s="6">
        <f>INT(SUBSTITUTE(Working_Sales[[#This Row],[Age_Whitespace_Removed]],".",","))</f>
        <v>35</v>
      </c>
      <c r="S271" t="s">
        <v>89</v>
      </c>
      <c r="T271" s="2" t="str">
        <f>CLEAN(TRIM(Working_Sales[[#This Row],[Product Category]]))</f>
        <v>CLOTHING</v>
      </c>
      <c r="U271" s="6" t="str">
        <f>PROPER(Working_Sales[[#This Row],[Product_Category_Whitespace_Removed]])</f>
        <v>Clothing</v>
      </c>
      <c r="V271" t="s">
        <v>14</v>
      </c>
      <c r="W271" s="2" t="str">
        <f>CLEAN(TRIM(Working_Sales[[#This Row],[Quantity]]))</f>
        <v>4</v>
      </c>
      <c r="X271" s="2">
        <f>INT(Working_Sales[[#This Row],[`]])</f>
        <v>4</v>
      </c>
      <c r="Y271" s="6">
        <f>IFERROR(
   Working_Sales[[#This Row],[Quantity_Converted_To_Integer]],
   Working_Sales[[#This Row],[Total_Amount_Whitespace_Removed]]/Working_Sales[[#This Row],[Price_Per_Unit_Decimal_Separator_Fixed]])</f>
        <v>4</v>
      </c>
      <c r="Z271" t="s">
        <v>70</v>
      </c>
      <c r="AA271" s="2" t="str">
        <f>CLEAN(TRIM(Working_Sales[[#This Row],[Price per Unit]]))</f>
        <v>30</v>
      </c>
      <c r="AB271" s="2">
        <f>INT(
   SUBSTITUTE(Working_Sales[[#This Row],[Price_Per_Unit_Whitespace_Removed]],
   "$",
   ""
   )
)</f>
        <v>30</v>
      </c>
      <c r="AC271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271" s="8">
        <f>IFERROR(
   Working_Sales[[#This Row],[Price_Per_Unit_Decimal_Separator_Fixed]],
   Working_Sales[[#This Row],[Total_Amount_Converted_To_Integer]]/Working_Sales[[#This Row],[Quantity_Converted_To_Integer]]
)</f>
        <v>30</v>
      </c>
      <c r="AE271" t="s">
        <v>44</v>
      </c>
      <c r="AF271" s="2" t="str">
        <f>CLEAN(TRIM(Working_Sales[[#This Row],[Total Amount]]))</f>
        <v>120</v>
      </c>
      <c r="AG271" s="2">
        <f>INT(Working_Sales[[#This Row],[Total_Amount_Whitespace_Removed]])</f>
        <v>120</v>
      </c>
      <c r="AH27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272" spans="1:34" x14ac:dyDescent="0.35">
      <c r="A272" t="s">
        <v>657</v>
      </c>
      <c r="B272" s="6" t="str">
        <f>CLEAN(TRIM(Working_Sales[[#This Row],[Transaction ID]]))</f>
        <v>508</v>
      </c>
      <c r="C272" t="s">
        <v>2066</v>
      </c>
      <c r="D272" s="2" t="str">
        <f>CLEAN(TRIM(Working_Sales[[#This Row],[Date]]))</f>
        <v>11-Aug-2023</v>
      </c>
      <c r="E27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45149</v>
      </c>
      <c r="F27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45149</v>
      </c>
      <c r="G27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45149</v>
      </c>
      <c r="H272" t="s">
        <v>2546</v>
      </c>
      <c r="I272" s="2" t="str">
        <f>CLEAN(TRIM(Working_Sales[[#This Row],[Customer ID]]))</f>
        <v>CUST219</v>
      </c>
      <c r="J27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CUST219</v>
      </c>
      <c r="K27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CUST219</v>
      </c>
      <c r="L272" t="s">
        <v>34</v>
      </c>
      <c r="M272" s="4" t="str">
        <f>CLEAN(TRIM(Working_Sales[[#This Row],[Gender]]))</f>
        <v>Male</v>
      </c>
      <c r="N272" s="4" t="str" cm="1">
        <f t="array" ref="N272">_xlfn.SWITCH(
   Working_Sales[[#This Row],[Gender_Whitespace_Removed]],
   "m", "Male",
   "f", "Female",
   Working_Sales[[#This Row],[Gender_Whitespace_Removed]]
)</f>
        <v>Male</v>
      </c>
      <c r="O272" s="6" t="str">
        <f>PROPER(Working_Sales[[#This Row],[Gender_Abbreviation_Expanded]])</f>
        <v>Male</v>
      </c>
      <c r="P272">
        <v>58</v>
      </c>
      <c r="Q272" s="2" t="str">
        <f>CLEAN(TRIM(Working_Sales[[#This Row],[Age]]))</f>
        <v>58</v>
      </c>
      <c r="R272" s="6">
        <f>INT(SUBSTITUTE(Working_Sales[[#This Row],[Age_Whitespace_Removed]],".",","))</f>
        <v>58</v>
      </c>
      <c r="S272" t="s">
        <v>36</v>
      </c>
      <c r="T272" s="2" t="str">
        <f>CLEAN(TRIM(Working_Sales[[#This Row],[Product Category]]))</f>
        <v>Beauty</v>
      </c>
      <c r="U272" s="6" t="str">
        <f>PROPER(Working_Sales[[#This Row],[Product_Category_Whitespace_Removed]])</f>
        <v>Beauty</v>
      </c>
      <c r="V272" t="s">
        <v>37</v>
      </c>
      <c r="W272" s="2" t="str">
        <f>CLEAN(TRIM(Working_Sales[[#This Row],[Quantity]]))</f>
        <v>2</v>
      </c>
      <c r="X272" s="2">
        <f>INT(Working_Sales[[#This Row],[`]])</f>
        <v>2</v>
      </c>
      <c r="Y272" s="6">
        <f>IFERROR(
   Working_Sales[[#This Row],[Quantity_Converted_To_Integer]],
   Working_Sales[[#This Row],[Total_Amount_Whitespace_Removed]]/Working_Sales[[#This Row],[Price_Per_Unit_Decimal_Separator_Fixed]])</f>
        <v>2</v>
      </c>
      <c r="Z272" t="s">
        <v>23</v>
      </c>
      <c r="AA272" s="2" t="str">
        <f>CLEAN(TRIM(Working_Sales[[#This Row],[Price per Unit]]))</f>
        <v>300</v>
      </c>
      <c r="AB272" s="2">
        <f>INT(
   SUBSTITUTE(Working_Sales[[#This Row],[Price_Per_Unit_Whitespace_Removed]],
   "$",
   ""
   )
)</f>
        <v>300</v>
      </c>
      <c r="AC272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272" s="8">
        <f>IFERROR(
   Working_Sales[[#This Row],[Price_Per_Unit_Decimal_Separator_Fixed]],
   Working_Sales[[#This Row],[Total_Amount_Converted_To_Integer]]/Working_Sales[[#This Row],[Quantity_Converted_To_Integer]]
)</f>
        <v>300</v>
      </c>
      <c r="AE272" t="s">
        <v>107</v>
      </c>
      <c r="AF272" s="2" t="str">
        <f>CLEAN(TRIM(Working_Sales[[#This Row],[Total Amount]]))</f>
        <v>600</v>
      </c>
      <c r="AG272" s="2">
        <f>INT(Working_Sales[[#This Row],[Total_Amount_Whitespace_Removed]])</f>
        <v>600</v>
      </c>
      <c r="AH27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600</v>
      </c>
    </row>
    <row r="273" spans="1:34" x14ac:dyDescent="0.35">
      <c r="A273" t="s">
        <v>658</v>
      </c>
      <c r="B273" s="6" t="str">
        <f>CLEAN(TRIM(Working_Sales[[#This Row],[Transaction ID]]))</f>
        <v>770</v>
      </c>
      <c r="C273" t="s">
        <v>659</v>
      </c>
      <c r="D273" s="2" t="str">
        <f>CLEAN(TRIM(Working_Sales[[#This Row],[Date]]))</f>
        <v>October 22, 2023</v>
      </c>
      <c r="E273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273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27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45221</v>
      </c>
      <c r="H273" t="s">
        <v>2547</v>
      </c>
      <c r="I273" s="2" t="str">
        <f>CLEAN(TRIM(Working_Sales[[#This Row],[Customer ID]]))</f>
        <v>CUST220</v>
      </c>
      <c r="J27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CUST220</v>
      </c>
      <c r="K27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CUST220</v>
      </c>
      <c r="L273" t="s">
        <v>11</v>
      </c>
      <c r="M273" s="4" t="str">
        <f>CLEAN(TRIM(Working_Sales[[#This Row],[Gender]]))</f>
        <v>MALE</v>
      </c>
      <c r="N273" s="4" t="str" cm="1">
        <f t="array" ref="N273">_xlfn.SWITCH(
   Working_Sales[[#This Row],[Gender_Whitespace_Removed]],
   "m", "Male",
   "f", "Female",
   Working_Sales[[#This Row],[Gender_Whitespace_Removed]]
)</f>
        <v>MALE</v>
      </c>
      <c r="O273" s="6" t="str">
        <f>PROPER(Working_Sales[[#This Row],[Gender_Abbreviation_Expanded]])</f>
        <v>Male</v>
      </c>
      <c r="P273">
        <v>32</v>
      </c>
      <c r="Q273" s="2" t="str">
        <f>CLEAN(TRIM(Working_Sales[[#This Row],[Age]]))</f>
        <v>32</v>
      </c>
      <c r="R273" s="6">
        <f>INT(SUBSTITUTE(Working_Sales[[#This Row],[Age_Whitespace_Removed]],".",","))</f>
        <v>32</v>
      </c>
      <c r="S273" t="s">
        <v>56</v>
      </c>
      <c r="T273" s="2" t="str">
        <f>CLEAN(TRIM(Working_Sales[[#This Row],[Product Category]]))</f>
        <v>Clothing</v>
      </c>
      <c r="U273" s="6" t="str">
        <f>PROPER(Working_Sales[[#This Row],[Product_Category_Whitespace_Removed]])</f>
        <v>Clothing</v>
      </c>
      <c r="V273" t="s">
        <v>22</v>
      </c>
      <c r="W273" s="2" t="str">
        <f>CLEAN(TRIM(Working_Sales[[#This Row],[Quantity]]))</f>
        <v>1</v>
      </c>
      <c r="X273" s="2">
        <f>INT(Working_Sales[[#This Row],[`]])</f>
        <v>1</v>
      </c>
      <c r="Y273" s="6">
        <f>IFERROR(
   Working_Sales[[#This Row],[Quantity_Converted_To_Integer]],
   Working_Sales[[#This Row],[Total_Amount_Whitespace_Removed]]/Working_Sales[[#This Row],[Price_Per_Unit_Decimal_Separator_Fixed]])</f>
        <v>1</v>
      </c>
      <c r="Z273" t="s">
        <v>15</v>
      </c>
      <c r="AA273" s="2" t="str">
        <f>CLEAN(TRIM(Working_Sales[[#This Row],[Price per Unit]]))</f>
        <v>50</v>
      </c>
      <c r="AB273" s="2">
        <f>INT(
   SUBSTITUTE(Working_Sales[[#This Row],[Price_Per_Unit_Whitespace_Removed]],
   "$",
   ""
   )
)</f>
        <v>50</v>
      </c>
      <c r="AC273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273" s="8">
        <f>IFERROR(
   Working_Sales[[#This Row],[Price_Per_Unit_Decimal_Separator_Fixed]],
   Working_Sales[[#This Row],[Total_Amount_Converted_To_Integer]]/Working_Sales[[#This Row],[Quantity_Converted_To_Integer]]
)</f>
        <v>50</v>
      </c>
      <c r="AE273" t="s">
        <v>15</v>
      </c>
      <c r="AF273" s="2" t="str">
        <f>CLEAN(TRIM(Working_Sales[[#This Row],[Total Amount]]))</f>
        <v>50</v>
      </c>
      <c r="AG273" s="2">
        <f>INT(Working_Sales[[#This Row],[Total_Amount_Whitespace_Removed]])</f>
        <v>50</v>
      </c>
      <c r="AH27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274" spans="1:34" x14ac:dyDescent="0.35">
      <c r="A274" t="s">
        <v>660</v>
      </c>
      <c r="B274" s="6" t="str">
        <f>CLEAN(TRIM(Working_Sales[[#This Row],[Transaction ID]]))</f>
        <v>904</v>
      </c>
      <c r="C274" t="s">
        <v>2069</v>
      </c>
      <c r="D274" s="2" t="str">
        <f>CLEAN(TRIM(Working_Sales[[#This Row],[Date]]))</f>
        <v>04-Jul-2023</v>
      </c>
      <c r="E27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45111</v>
      </c>
      <c r="F27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45111</v>
      </c>
      <c r="G27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45111</v>
      </c>
      <c r="H274" t="s">
        <v>2548</v>
      </c>
      <c r="I274" s="2" t="str">
        <f>CLEAN(TRIM(Working_Sales[[#This Row],[Customer ID]]))</f>
        <v>CUST221</v>
      </c>
      <c r="J27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CUST221</v>
      </c>
      <c r="K27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CUST221</v>
      </c>
      <c r="L274" t="s">
        <v>11</v>
      </c>
      <c r="M274" s="4" t="str">
        <f>CLEAN(TRIM(Working_Sales[[#This Row],[Gender]]))</f>
        <v>MALE</v>
      </c>
      <c r="N274" s="4" t="str" cm="1">
        <f t="array" ref="N274">_xlfn.SWITCH(
   Working_Sales[[#This Row],[Gender_Whitespace_Removed]],
   "m", "Male",
   "f", "Female",
   Working_Sales[[#This Row],[Gender_Whitespace_Removed]]
)</f>
        <v>MALE</v>
      </c>
      <c r="O274" s="6" t="str">
        <f>PROPER(Working_Sales[[#This Row],[Gender_Abbreviation_Expanded]])</f>
        <v>Male</v>
      </c>
      <c r="P274">
        <v>28</v>
      </c>
      <c r="Q274" s="2" t="str">
        <f>CLEAN(TRIM(Working_Sales[[#This Row],[Age]]))</f>
        <v>28</v>
      </c>
      <c r="R274" s="6">
        <f>INT(SUBSTITUTE(Working_Sales[[#This Row],[Age_Whitespace_Removed]],".",","))</f>
        <v>28</v>
      </c>
      <c r="S274" t="s">
        <v>56</v>
      </c>
      <c r="T274" s="2" t="str">
        <f>CLEAN(TRIM(Working_Sales[[#This Row],[Product Category]]))</f>
        <v>Clothing</v>
      </c>
      <c r="U274" s="6" t="str">
        <f>PROPER(Working_Sales[[#This Row],[Product_Category_Whitespace_Removed]])</f>
        <v>Clothing</v>
      </c>
      <c r="V274" t="s">
        <v>22</v>
      </c>
      <c r="W274" s="2" t="str">
        <f>CLEAN(TRIM(Working_Sales[[#This Row],[Quantity]]))</f>
        <v>1</v>
      </c>
      <c r="X274" s="2">
        <f>INT(Working_Sales[[#This Row],[`]])</f>
        <v>1</v>
      </c>
      <c r="Y274" s="6">
        <f>IFERROR(
   Working_Sales[[#This Row],[Quantity_Converted_To_Integer]],
   Working_Sales[[#This Row],[Total_Amount_Whitespace_Removed]]/Working_Sales[[#This Row],[Price_Per_Unit_Decimal_Separator_Fixed]])</f>
        <v>1</v>
      </c>
      <c r="Z274" t="s">
        <v>57</v>
      </c>
      <c r="AA274" s="2" t="str">
        <f>CLEAN(TRIM(Working_Sales[[#This Row],[Price per Unit]]))</f>
        <v>500</v>
      </c>
      <c r="AB274" s="2">
        <f>INT(
   SUBSTITUTE(Working_Sales[[#This Row],[Price_Per_Unit_Whitespace_Removed]],
   "$",
   ""
   )
)</f>
        <v>500</v>
      </c>
      <c r="AC274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274" s="8">
        <f>IFERROR(
   Working_Sales[[#This Row],[Price_Per_Unit_Decimal_Separator_Fixed]],
   Working_Sales[[#This Row],[Total_Amount_Converted_To_Integer]]/Working_Sales[[#This Row],[Quantity_Converted_To_Integer]]
)</f>
        <v>500</v>
      </c>
      <c r="AE274" t="s">
        <v>57</v>
      </c>
      <c r="AF274" s="2" t="str">
        <f>CLEAN(TRIM(Working_Sales[[#This Row],[Total Amount]]))</f>
        <v>500</v>
      </c>
      <c r="AG274" s="2">
        <f>INT(Working_Sales[[#This Row],[Total_Amount_Whitespace_Removed]])</f>
        <v>500</v>
      </c>
      <c r="AH27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275" spans="1:34" x14ac:dyDescent="0.35">
      <c r="A275" t="s">
        <v>661</v>
      </c>
      <c r="B275" s="6" t="str">
        <f>CLEAN(TRIM(Working_Sales[[#This Row],[Transaction ID]]))</f>
        <v>210</v>
      </c>
      <c r="C275" t="s">
        <v>662</v>
      </c>
      <c r="D275" s="2" t="str">
        <f>CLEAN(TRIM(Working_Sales[[#This Row],[Date]]))</f>
        <v>April 13, 2023</v>
      </c>
      <c r="E275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275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27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45029</v>
      </c>
      <c r="H275" t="s">
        <v>2549</v>
      </c>
      <c r="I275" s="2" t="str">
        <f>CLEAN(TRIM(Working_Sales[[#This Row],[Customer ID]]))</f>
        <v>CUST222</v>
      </c>
      <c r="J27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CUST222</v>
      </c>
      <c r="K27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CUST222</v>
      </c>
      <c r="L275" t="s">
        <v>34</v>
      </c>
      <c r="M275" s="4" t="str">
        <f>CLEAN(TRIM(Working_Sales[[#This Row],[Gender]]))</f>
        <v>Male</v>
      </c>
      <c r="N275" s="4" t="str" cm="1">
        <f t="array" ref="N275">_xlfn.SWITCH(
   Working_Sales[[#This Row],[Gender_Whitespace_Removed]],
   "m", "Male",
   "f", "Female",
   Working_Sales[[#This Row],[Gender_Whitespace_Removed]]
)</f>
        <v>Male</v>
      </c>
      <c r="O275" s="6" t="str">
        <f>PROPER(Working_Sales[[#This Row],[Gender_Abbreviation_Expanded]])</f>
        <v>Male</v>
      </c>
      <c r="P275">
        <v>37</v>
      </c>
      <c r="Q275" s="2" t="str">
        <f>CLEAN(TRIM(Working_Sales[[#This Row],[Age]]))</f>
        <v>37</v>
      </c>
      <c r="R275" s="6">
        <f>INT(SUBSTITUTE(Working_Sales[[#This Row],[Age_Whitespace_Removed]],".",","))</f>
        <v>37</v>
      </c>
      <c r="S275" t="s">
        <v>13</v>
      </c>
      <c r="T275" s="2" t="str">
        <f>CLEAN(TRIM(Working_Sales[[#This Row],[Product Category]]))</f>
        <v>Electronics</v>
      </c>
      <c r="U275" s="6" t="str">
        <f>PROPER(Working_Sales[[#This Row],[Product_Category_Whitespace_Removed]])</f>
        <v>Electronics</v>
      </c>
      <c r="V275" t="s">
        <v>14</v>
      </c>
      <c r="W275" s="2" t="str">
        <f>CLEAN(TRIM(Working_Sales[[#This Row],[Quantity]]))</f>
        <v>4</v>
      </c>
      <c r="X275" s="2">
        <f>INT(Working_Sales[[#This Row],[`]])</f>
        <v>4</v>
      </c>
      <c r="Y275" s="6">
        <f>IFERROR(
   Working_Sales[[#This Row],[Quantity_Converted_To_Integer]],
   Working_Sales[[#This Row],[Total_Amount_Whitespace_Removed]]/Working_Sales[[#This Row],[Price_Per_Unit_Decimal_Separator_Fixed]])</f>
        <v>4</v>
      </c>
      <c r="Z275" t="s">
        <v>15</v>
      </c>
      <c r="AA275" s="2" t="str">
        <f>CLEAN(TRIM(Working_Sales[[#This Row],[Price per Unit]]))</f>
        <v>50</v>
      </c>
      <c r="AB275" s="2">
        <f>INT(
   SUBSTITUTE(Working_Sales[[#This Row],[Price_Per_Unit_Whitespace_Removed]],
   "$",
   ""
   )
)</f>
        <v>50</v>
      </c>
      <c r="AC275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275" s="8">
        <f>IFERROR(
   Working_Sales[[#This Row],[Price_Per_Unit_Decimal_Separator_Fixed]],
   Working_Sales[[#This Row],[Total_Amount_Converted_To_Integer]]/Working_Sales[[#This Row],[Quantity_Converted_To_Integer]]
)</f>
        <v>50</v>
      </c>
      <c r="AE275" t="s">
        <v>16</v>
      </c>
      <c r="AF275" s="2" t="str">
        <f>CLEAN(TRIM(Working_Sales[[#This Row],[Total Amount]]))</f>
        <v>200</v>
      </c>
      <c r="AG275" s="2">
        <f>INT(Working_Sales[[#This Row],[Total_Amount_Whitespace_Removed]])</f>
        <v>200</v>
      </c>
      <c r="AH27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276" spans="1:34" x14ac:dyDescent="0.35">
      <c r="A276" t="s">
        <v>664</v>
      </c>
      <c r="B276" s="6" t="str">
        <f>CLEAN(TRIM(Working_Sales[[#This Row],[Transaction ID]]))</f>
        <v>295</v>
      </c>
      <c r="C276" t="s">
        <v>665</v>
      </c>
      <c r="D276" s="2" t="str">
        <f>CLEAN(TRIM(Working_Sales[[#This Row],[Date]]))</f>
        <v>07/28/2023</v>
      </c>
      <c r="E276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27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45135</v>
      </c>
      <c r="G27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45135</v>
      </c>
      <c r="H276" t="s">
        <v>2550</v>
      </c>
      <c r="I276" s="2" t="str">
        <f>CLEAN(TRIM(Working_Sales[[#This Row],[Customer ID]]))</f>
        <v>CUST223</v>
      </c>
      <c r="J27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CUST223</v>
      </c>
      <c r="K27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CUST223</v>
      </c>
      <c r="L276" t="s">
        <v>26</v>
      </c>
      <c r="M276" s="4" t="str">
        <f>CLEAN(TRIM(Working_Sales[[#This Row],[Gender]]))</f>
        <v>Female</v>
      </c>
      <c r="N276" s="4" t="str" cm="1">
        <f t="array" ref="N276">_xlfn.SWITCH(
   Working_Sales[[#This Row],[Gender_Whitespace_Removed]],
   "m", "Male",
   "f", "Female",
   Working_Sales[[#This Row],[Gender_Whitespace_Removed]]
)</f>
        <v>Female</v>
      </c>
      <c r="O276" s="6" t="str">
        <f>PROPER(Working_Sales[[#This Row],[Gender_Abbreviation_Expanded]])</f>
        <v>Female</v>
      </c>
      <c r="P276">
        <v>27</v>
      </c>
      <c r="Q276" s="2" t="str">
        <f>CLEAN(TRIM(Working_Sales[[#This Row],[Age]]))</f>
        <v>27</v>
      </c>
      <c r="R276" s="6">
        <f>INT(SUBSTITUTE(Working_Sales[[#This Row],[Age_Whitespace_Removed]],".",","))</f>
        <v>27</v>
      </c>
      <c r="S276" t="s">
        <v>36</v>
      </c>
      <c r="T276" s="2" t="str">
        <f>CLEAN(TRIM(Working_Sales[[#This Row],[Product Category]]))</f>
        <v>Beauty</v>
      </c>
      <c r="U276" s="6" t="str">
        <f>PROPER(Working_Sales[[#This Row],[Product_Category_Whitespace_Removed]])</f>
        <v>Beauty</v>
      </c>
      <c r="V276" t="s">
        <v>29</v>
      </c>
      <c r="W276" s="2" t="str">
        <f>CLEAN(TRIM(Working_Sales[[#This Row],[Quantity]]))</f>
        <v>3</v>
      </c>
      <c r="X276" s="2">
        <f>INT(Working_Sales[[#This Row],[`]])</f>
        <v>3</v>
      </c>
      <c r="Y276" s="6">
        <f>IFERROR(
   Working_Sales[[#This Row],[Quantity_Converted_To_Integer]],
   Working_Sales[[#This Row],[Total_Amount_Whitespace_Removed]]/Working_Sales[[#This Row],[Price_Per_Unit_Decimal_Separator_Fixed]])</f>
        <v>3</v>
      </c>
      <c r="Z276" t="s">
        <v>186</v>
      </c>
      <c r="AA276" s="2" t="str">
        <f>CLEAN(TRIM(Working_Sales[[#This Row],[Price per Unit]]))</f>
        <v>$300</v>
      </c>
      <c r="AB276" s="2">
        <f>INT(
   SUBSTITUTE(Working_Sales[[#This Row],[Price_Per_Unit_Whitespace_Removed]],
   "$",
   ""
   )
)</f>
        <v>300</v>
      </c>
      <c r="AC276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276" s="8">
        <f>IFERROR(
   Working_Sales[[#This Row],[Price_Per_Unit_Decimal_Separator_Fixed]],
   Working_Sales[[#This Row],[Total_Amount_Converted_To_Integer]]/Working_Sales[[#This Row],[Quantity_Converted_To_Integer]]
)</f>
        <v>300</v>
      </c>
      <c r="AE276" t="s">
        <v>128</v>
      </c>
      <c r="AF276" s="2" t="str">
        <f>CLEAN(TRIM(Working_Sales[[#This Row],[Total Amount]]))</f>
        <v>900</v>
      </c>
      <c r="AG276" s="2">
        <f>INT(Working_Sales[[#This Row],[Total_Amount_Whitespace_Removed]])</f>
        <v>900</v>
      </c>
      <c r="AH27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277" spans="1:34" x14ac:dyDescent="0.35">
      <c r="A277" t="s">
        <v>667</v>
      </c>
      <c r="B277" s="6" t="str">
        <f>CLEAN(TRIM(Working_Sales[[#This Row],[Transaction ID]]))</f>
        <v>143</v>
      </c>
      <c r="C277" t="s">
        <v>668</v>
      </c>
      <c r="D277" s="2" t="str">
        <f>CLEAN(TRIM(Working_Sales[[#This Row],[Date]]))</f>
        <v>2023-07-17</v>
      </c>
      <c r="E27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45124</v>
      </c>
      <c r="F27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45124</v>
      </c>
      <c r="G27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45124</v>
      </c>
      <c r="H277" t="s">
        <v>2551</v>
      </c>
      <c r="I277" s="2" t="str">
        <f>CLEAN(TRIM(Working_Sales[[#This Row],[Customer ID]]))</f>
        <v>CUST-224</v>
      </c>
      <c r="J27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7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CUST224</v>
      </c>
      <c r="L277" t="s">
        <v>26</v>
      </c>
      <c r="M277" s="4" t="str">
        <f>CLEAN(TRIM(Working_Sales[[#This Row],[Gender]]))</f>
        <v>Female</v>
      </c>
      <c r="N277" s="4" t="str" cm="1">
        <f t="array" ref="N277">_xlfn.SWITCH(
   Working_Sales[[#This Row],[Gender_Whitespace_Removed]],
   "m", "Male",
   "f", "Female",
   Working_Sales[[#This Row],[Gender_Whitespace_Removed]]
)</f>
        <v>Female</v>
      </c>
      <c r="O277" s="6" t="str">
        <f>PROPER(Working_Sales[[#This Row],[Gender_Abbreviation_Expanded]])</f>
        <v>Female</v>
      </c>
      <c r="P277">
        <v>45</v>
      </c>
      <c r="Q277" s="2" t="str">
        <f>CLEAN(TRIM(Working_Sales[[#This Row],[Age]]))</f>
        <v>45</v>
      </c>
      <c r="R277" s="6">
        <f>INT(SUBSTITUTE(Working_Sales[[#This Row],[Age_Whitespace_Removed]],".",","))</f>
        <v>45</v>
      </c>
      <c r="S277" t="s">
        <v>89</v>
      </c>
      <c r="T277" s="2" t="str">
        <f>CLEAN(TRIM(Working_Sales[[#This Row],[Product Category]]))</f>
        <v>CLOTHING</v>
      </c>
      <c r="U277" s="6" t="str">
        <f>PROPER(Working_Sales[[#This Row],[Product_Category_Whitespace_Removed]])</f>
        <v>Clothing</v>
      </c>
      <c r="V277" t="s">
        <v>22</v>
      </c>
      <c r="W277" s="2" t="str">
        <f>CLEAN(TRIM(Working_Sales[[#This Row],[Quantity]]))</f>
        <v>1</v>
      </c>
      <c r="X277" s="2">
        <f>INT(Working_Sales[[#This Row],[`]])</f>
        <v>1</v>
      </c>
      <c r="Y277" s="6">
        <f>IFERROR(
   Working_Sales[[#This Row],[Quantity_Converted_To_Integer]],
   Working_Sales[[#This Row],[Total_Amount_Whitespace_Removed]]/Working_Sales[[#This Row],[Price_Per_Unit_Decimal_Separator_Fixed]])</f>
        <v>1</v>
      </c>
      <c r="Z277" t="s">
        <v>15</v>
      </c>
      <c r="AA277" s="2" t="str">
        <f>CLEAN(TRIM(Working_Sales[[#This Row],[Price per Unit]]))</f>
        <v>50</v>
      </c>
      <c r="AB277" s="2">
        <f>INT(
   SUBSTITUTE(Working_Sales[[#This Row],[Price_Per_Unit_Whitespace_Removed]],
   "$",
   ""
   )
)</f>
        <v>50</v>
      </c>
      <c r="AC277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277" s="8">
        <f>IFERROR(
   Working_Sales[[#This Row],[Price_Per_Unit_Decimal_Separator_Fixed]],
   Working_Sales[[#This Row],[Total_Amount_Converted_To_Integer]]/Working_Sales[[#This Row],[Quantity_Converted_To_Integer]]
)</f>
        <v>50</v>
      </c>
      <c r="AE277" t="s">
        <v>15</v>
      </c>
      <c r="AF277" s="2" t="str">
        <f>CLEAN(TRIM(Working_Sales[[#This Row],[Total Amount]]))</f>
        <v>50</v>
      </c>
      <c r="AG277" s="2">
        <f>INT(Working_Sales[[#This Row],[Total_Amount_Whitespace_Removed]])</f>
        <v>50</v>
      </c>
      <c r="AH27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278" spans="1:34" x14ac:dyDescent="0.35">
      <c r="A278" t="s">
        <v>113</v>
      </c>
      <c r="B278" s="6" t="str">
        <f>CLEAN(TRIM(Working_Sales[[#This Row],[Transaction ID]]))</f>
        <v>51</v>
      </c>
      <c r="C278" t="s">
        <v>670</v>
      </c>
      <c r="D278" s="2" t="str">
        <f>CLEAN(TRIM(Working_Sales[[#This Row],[Date]]))</f>
        <v>2023-10-02</v>
      </c>
      <c r="E27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45201</v>
      </c>
      <c r="F27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45201</v>
      </c>
      <c r="G27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45201</v>
      </c>
      <c r="H278" t="s">
        <v>2552</v>
      </c>
      <c r="I278" s="2" t="str">
        <f>CLEAN(TRIM(Working_Sales[[#This Row],[Customer ID]]))</f>
        <v>CUST225</v>
      </c>
      <c r="J27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CUST225</v>
      </c>
      <c r="K27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CUST225</v>
      </c>
      <c r="L278" t="s">
        <v>34</v>
      </c>
      <c r="M278" s="4" t="str">
        <f>CLEAN(TRIM(Working_Sales[[#This Row],[Gender]]))</f>
        <v>Male</v>
      </c>
      <c r="N278" s="4" t="str" cm="1">
        <f t="array" ref="N278">_xlfn.SWITCH(
   Working_Sales[[#This Row],[Gender_Whitespace_Removed]],
   "m", "Male",
   "f", "Female",
   Working_Sales[[#This Row],[Gender_Whitespace_Removed]]
)</f>
        <v>Male</v>
      </c>
      <c r="O278" s="6" t="str">
        <f>PROPER(Working_Sales[[#This Row],[Gender_Abbreviation_Expanded]])</f>
        <v>Male</v>
      </c>
      <c r="P278">
        <v>27</v>
      </c>
      <c r="Q278" s="2" t="str">
        <f>CLEAN(TRIM(Working_Sales[[#This Row],[Age]]))</f>
        <v>27</v>
      </c>
      <c r="R278" s="6">
        <f>INT(SUBSTITUTE(Working_Sales[[#This Row],[Age_Whitespace_Removed]],".",","))</f>
        <v>27</v>
      </c>
      <c r="S278" t="s">
        <v>36</v>
      </c>
      <c r="T278" s="2" t="str">
        <f>CLEAN(TRIM(Working_Sales[[#This Row],[Product Category]]))</f>
        <v>Beauty</v>
      </c>
      <c r="U278" s="6" t="str">
        <f>PROPER(Working_Sales[[#This Row],[Product_Category_Whitespace_Removed]])</f>
        <v>Beauty</v>
      </c>
      <c r="V278" t="s">
        <v>29</v>
      </c>
      <c r="W278" s="2" t="str">
        <f>CLEAN(TRIM(Working_Sales[[#This Row],[Quantity]]))</f>
        <v>3</v>
      </c>
      <c r="X278" s="2">
        <f>INT(Working_Sales[[#This Row],[`]])</f>
        <v>3</v>
      </c>
      <c r="Y278" s="6">
        <f>IFERROR(
   Working_Sales[[#This Row],[Quantity_Converted_To_Integer]],
   Working_Sales[[#This Row],[Total_Amount_Whitespace_Removed]]/Working_Sales[[#This Row],[Price_Per_Unit_Decimal_Separator_Fixed]])</f>
        <v>3</v>
      </c>
      <c r="Z278" t="s">
        <v>30</v>
      </c>
      <c r="AA278" s="2" t="str">
        <f>CLEAN(TRIM(Working_Sales[[#This Row],[Price per Unit]]))</f>
        <v>25</v>
      </c>
      <c r="AB278" s="2">
        <f>INT(
   SUBSTITUTE(Working_Sales[[#This Row],[Price_Per_Unit_Whitespace_Removed]],
   "$",
   ""
   )
)</f>
        <v>25</v>
      </c>
      <c r="AC278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278" s="8">
        <f>IFERROR(
   Working_Sales[[#This Row],[Price_Per_Unit_Decimal_Separator_Fixed]],
   Working_Sales[[#This Row],[Total_Amount_Converted_To_Integer]]/Working_Sales[[#This Row],[Quantity_Converted_To_Integer]]
)</f>
        <v>25</v>
      </c>
      <c r="AE278" t="s">
        <v>31</v>
      </c>
      <c r="AF278" s="2" t="str">
        <f>CLEAN(TRIM(Working_Sales[[#This Row],[Total Amount]]))</f>
        <v>75</v>
      </c>
      <c r="AG278" s="2">
        <f>INT(Working_Sales[[#This Row],[Total_Amount_Whitespace_Removed]])</f>
        <v>75</v>
      </c>
      <c r="AH27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279" spans="1:34" x14ac:dyDescent="0.35">
      <c r="A279" t="s">
        <v>671</v>
      </c>
      <c r="B279" s="6" t="str">
        <f>CLEAN(TRIM(Working_Sales[[#This Row],[Transaction ID]]))</f>
        <v>167</v>
      </c>
      <c r="C279" t="s">
        <v>672</v>
      </c>
      <c r="D279" s="2" t="str">
        <f>CLEAN(TRIM(Working_Sales[[#This Row],[Date]]))</f>
        <v>2023-09-17</v>
      </c>
      <c r="E27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45186</v>
      </c>
      <c r="F27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45186</v>
      </c>
      <c r="G27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45186</v>
      </c>
      <c r="H279" t="s">
        <v>2553</v>
      </c>
      <c r="I279" s="2" t="str">
        <f>CLEAN(TRIM(Working_Sales[[#This Row],[Customer ID]]))</f>
        <v>CUST133</v>
      </c>
      <c r="J27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CUST133</v>
      </c>
      <c r="K27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CUST133</v>
      </c>
      <c r="L279" t="s">
        <v>26</v>
      </c>
      <c r="M279" s="4" t="str">
        <f>CLEAN(TRIM(Working_Sales[[#This Row],[Gender]]))</f>
        <v>Female</v>
      </c>
      <c r="N279" s="4" t="str" cm="1">
        <f t="array" ref="N279">_xlfn.SWITCH(
   Working_Sales[[#This Row],[Gender_Whitespace_Removed]],
   "m", "Male",
   "f", "Female",
   Working_Sales[[#This Row],[Gender_Whitespace_Removed]]
)</f>
        <v>Female</v>
      </c>
      <c r="O279" s="6" t="str">
        <f>PROPER(Working_Sales[[#This Row],[Gender_Abbreviation_Expanded]])</f>
        <v>Female</v>
      </c>
      <c r="P279" t="s">
        <v>674</v>
      </c>
      <c r="Q279" s="2" t="str">
        <f>CLEAN(TRIM(Working_Sales[[#This Row],[Age]]))</f>
        <v>43</v>
      </c>
      <c r="R279" s="6">
        <f>INT(SUBSTITUTE(Working_Sales[[#This Row],[Age_Whitespace_Removed]],".",","))</f>
        <v>43</v>
      </c>
      <c r="S279" t="s">
        <v>56</v>
      </c>
      <c r="T279" s="2" t="str">
        <f>CLEAN(TRIM(Working_Sales[[#This Row],[Product Category]]))</f>
        <v>Clothing</v>
      </c>
      <c r="U279" s="6" t="str">
        <f>PROPER(Working_Sales[[#This Row],[Product_Category_Whitespace_Removed]])</f>
        <v>Clothing</v>
      </c>
      <c r="V279" t="s">
        <v>29</v>
      </c>
      <c r="W279" s="2" t="str">
        <f>CLEAN(TRIM(Working_Sales[[#This Row],[Quantity]]))</f>
        <v>3</v>
      </c>
      <c r="X279" s="2">
        <f>INT(Working_Sales[[#This Row],[`]])</f>
        <v>3</v>
      </c>
      <c r="Y279" s="6">
        <f>IFERROR(
   Working_Sales[[#This Row],[Quantity_Converted_To_Integer]],
   Working_Sales[[#This Row],[Total_Amount_Whitespace_Removed]]/Working_Sales[[#This Row],[Price_Per_Unit_Decimal_Separator_Fixed]])</f>
        <v>3</v>
      </c>
      <c r="Z279" t="s">
        <v>96</v>
      </c>
      <c r="AA279" s="2" t="str">
        <f>CLEAN(TRIM(Working_Sales[[#This Row],[Price per Unit]]))</f>
        <v>$50</v>
      </c>
      <c r="AB279" s="2">
        <f>INT(
   SUBSTITUTE(Working_Sales[[#This Row],[Price_Per_Unit_Whitespace_Removed]],
   "$",
   ""
   )
)</f>
        <v>50</v>
      </c>
      <c r="AC279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279" s="8">
        <f>IFERROR(
   Working_Sales[[#This Row],[Price_Per_Unit_Decimal_Separator_Fixed]],
   Working_Sales[[#This Row],[Total_Amount_Converted_To_Integer]]/Working_Sales[[#This Row],[Quantity_Converted_To_Integer]]
)</f>
        <v>50</v>
      </c>
      <c r="AE279" t="s">
        <v>130</v>
      </c>
      <c r="AF279" s="2" t="str">
        <f>CLEAN(TRIM(Working_Sales[[#This Row],[Total Amount]]))</f>
        <v>150</v>
      </c>
      <c r="AG279" s="2">
        <f>INT(Working_Sales[[#This Row],[Total_Amount_Whitespace_Removed]])</f>
        <v>150</v>
      </c>
      <c r="AH27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280" spans="1:34" x14ac:dyDescent="0.35">
      <c r="A280" t="s">
        <v>675</v>
      </c>
      <c r="B280" s="6" t="str">
        <f>CLEAN(TRIM(Working_Sales[[#This Row],[Transaction ID]]))</f>
        <v>633</v>
      </c>
      <c r="C280" t="s">
        <v>676</v>
      </c>
      <c r="D280" s="2" t="str">
        <f>CLEAN(TRIM(Working_Sales[[#This Row],[Date]]))</f>
        <v>2023-08-07</v>
      </c>
      <c r="E28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45145</v>
      </c>
      <c r="F28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45145</v>
      </c>
      <c r="G28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45145</v>
      </c>
      <c r="H280" t="s">
        <v>2554</v>
      </c>
      <c r="I280" s="2" t="str">
        <f>CLEAN(TRIM(Working_Sales[[#This Row],[Customer ID]]))</f>
        <v>Cust226</v>
      </c>
      <c r="J28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8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CUST226</v>
      </c>
      <c r="L280" t="s">
        <v>20</v>
      </c>
      <c r="M280" s="4" t="str">
        <f>CLEAN(TRIM(Working_Sales[[#This Row],[Gender]]))</f>
        <v>male</v>
      </c>
      <c r="N280" s="4" t="str" cm="1">
        <f t="array" ref="N280">_xlfn.SWITCH(
   Working_Sales[[#This Row],[Gender_Whitespace_Removed]],
   "m", "Male",
   "f", "Female",
   Working_Sales[[#This Row],[Gender_Whitespace_Removed]]
)</f>
        <v>male</v>
      </c>
      <c r="O280" s="6" t="str">
        <f>PROPER(Working_Sales[[#This Row],[Gender_Abbreviation_Expanded]])</f>
        <v>Male</v>
      </c>
      <c r="P280">
        <v>39</v>
      </c>
      <c r="Q280" s="2" t="str">
        <f>CLEAN(TRIM(Working_Sales[[#This Row],[Age]]))</f>
        <v>39</v>
      </c>
      <c r="R280" s="6">
        <f>INT(SUBSTITUTE(Working_Sales[[#This Row],[Age_Whitespace_Removed]],".",","))</f>
        <v>39</v>
      </c>
      <c r="S280" t="s">
        <v>69</v>
      </c>
      <c r="T280" s="2" t="str">
        <f>CLEAN(TRIM(Working_Sales[[#This Row],[Product Category]]))</f>
        <v>BEAUTY</v>
      </c>
      <c r="U280" s="6" t="str">
        <f>PROPER(Working_Sales[[#This Row],[Product_Category_Whitespace_Removed]])</f>
        <v>Beauty</v>
      </c>
      <c r="V280" t="s">
        <v>14</v>
      </c>
      <c r="W280" s="2" t="str">
        <f>CLEAN(TRIM(Working_Sales[[#This Row],[Quantity]]))</f>
        <v>4</v>
      </c>
      <c r="X280" s="2">
        <f>INT(Working_Sales[[#This Row],[`]])</f>
        <v>4</v>
      </c>
      <c r="Y280" s="6">
        <f>IFERROR(
   Working_Sales[[#This Row],[Quantity_Converted_To_Integer]],
   Working_Sales[[#This Row],[Total_Amount_Whitespace_Removed]]/Working_Sales[[#This Row],[Price_Per_Unit_Decimal_Separator_Fixed]])</f>
        <v>4</v>
      </c>
      <c r="Z280" t="s">
        <v>70</v>
      </c>
      <c r="AA280" s="2" t="str">
        <f>CLEAN(TRIM(Working_Sales[[#This Row],[Price per Unit]]))</f>
        <v>30</v>
      </c>
      <c r="AB280" s="2">
        <f>INT(
   SUBSTITUTE(Working_Sales[[#This Row],[Price_Per_Unit_Whitespace_Removed]],
   "$",
   ""
   )
)</f>
        <v>30</v>
      </c>
      <c r="AC280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280" s="8">
        <f>IFERROR(
   Working_Sales[[#This Row],[Price_Per_Unit_Decimal_Separator_Fixed]],
   Working_Sales[[#This Row],[Total_Amount_Converted_To_Integer]]/Working_Sales[[#This Row],[Quantity_Converted_To_Integer]]
)</f>
        <v>30</v>
      </c>
      <c r="AE280" t="s">
        <v>44</v>
      </c>
      <c r="AF280" s="2" t="str">
        <f>CLEAN(TRIM(Working_Sales[[#This Row],[Total Amount]]))</f>
        <v>120</v>
      </c>
      <c r="AG280" s="2">
        <f>INT(Working_Sales[[#This Row],[Total_Amount_Whitespace_Removed]])</f>
        <v>120</v>
      </c>
      <c r="AH28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281" spans="1:34" x14ac:dyDescent="0.35">
      <c r="A281" t="s">
        <v>677</v>
      </c>
      <c r="B281" s="6" t="str">
        <f>CLEAN(TRIM(Working_Sales[[#This Row],[Transaction ID]]))</f>
        <v>82</v>
      </c>
      <c r="C281" t="s">
        <v>678</v>
      </c>
      <c r="D281" s="2" t="str">
        <f>CLEAN(TRIM(Working_Sales[[#This Row],[Date]]))</f>
        <v>2023-12-26</v>
      </c>
      <c r="E28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45286</v>
      </c>
      <c r="F28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45286</v>
      </c>
      <c r="G28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45286</v>
      </c>
      <c r="H281" t="s">
        <v>2285</v>
      </c>
      <c r="I281" s="2" t="str">
        <f>CLEAN(TRIM(Working_Sales[[#This Row],[Customer ID]]))</f>
        <v>CUST078</v>
      </c>
      <c r="J28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CUST078</v>
      </c>
      <c r="K28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CUST078</v>
      </c>
      <c r="L281" t="s">
        <v>26</v>
      </c>
      <c r="M281" s="4" t="str">
        <f>CLEAN(TRIM(Working_Sales[[#This Row],[Gender]]))</f>
        <v>Female</v>
      </c>
      <c r="N281" s="4" t="str" cm="1">
        <f t="array" ref="N281">_xlfn.SWITCH(
   Working_Sales[[#This Row],[Gender_Whitespace_Removed]],
   "m", "Male",
   "f", "Female",
   Working_Sales[[#This Row],[Gender_Whitespace_Removed]]
)</f>
        <v>Female</v>
      </c>
      <c r="O281" s="6" t="str">
        <f>PROPER(Working_Sales[[#This Row],[Gender_Abbreviation_Expanded]])</f>
        <v>Female</v>
      </c>
      <c r="P281">
        <v>32</v>
      </c>
      <c r="Q281" s="2" t="str">
        <f>CLEAN(TRIM(Working_Sales[[#This Row],[Age]]))</f>
        <v>32</v>
      </c>
      <c r="R281" s="6">
        <f>INT(SUBSTITUTE(Working_Sales[[#This Row],[Age_Whitespace_Removed]],".",","))</f>
        <v>32</v>
      </c>
      <c r="S281" t="s">
        <v>36</v>
      </c>
      <c r="T281" s="2" t="str">
        <f>CLEAN(TRIM(Working_Sales[[#This Row],[Product Category]]))</f>
        <v>Beauty</v>
      </c>
      <c r="U281" s="6" t="str">
        <f>PROPER(Working_Sales[[#This Row],[Product_Category_Whitespace_Removed]])</f>
        <v>Beauty</v>
      </c>
      <c r="V281" t="s">
        <v>14</v>
      </c>
      <c r="W281" s="2" t="str">
        <f>CLEAN(TRIM(Working_Sales[[#This Row],[Quantity]]))</f>
        <v>4</v>
      </c>
      <c r="X281" s="2">
        <f>INT(Working_Sales[[#This Row],[`]])</f>
        <v>4</v>
      </c>
      <c r="Y281" s="6">
        <f>IFERROR(
   Working_Sales[[#This Row],[Quantity_Converted_To_Integer]],
   Working_Sales[[#This Row],[Total_Amount_Whitespace_Removed]]/Working_Sales[[#This Row],[Price_Per_Unit_Decimal_Separator_Fixed]])</f>
        <v>4</v>
      </c>
      <c r="Z281" t="s">
        <v>15</v>
      </c>
      <c r="AA281" s="2" t="str">
        <f>CLEAN(TRIM(Working_Sales[[#This Row],[Price per Unit]]))</f>
        <v>50</v>
      </c>
      <c r="AB281" s="2">
        <f>INT(
   SUBSTITUTE(Working_Sales[[#This Row],[Price_Per_Unit_Whitespace_Removed]],
   "$",
   ""
   )
)</f>
        <v>50</v>
      </c>
      <c r="AC281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281" s="8">
        <f>IFERROR(
   Working_Sales[[#This Row],[Price_Per_Unit_Decimal_Separator_Fixed]],
   Working_Sales[[#This Row],[Total_Amount_Converted_To_Integer]]/Working_Sales[[#This Row],[Quantity_Converted_To_Integer]]
)</f>
        <v>50</v>
      </c>
      <c r="AE281" t="s">
        <v>16</v>
      </c>
      <c r="AF281" s="2" t="str">
        <f>CLEAN(TRIM(Working_Sales[[#This Row],[Total Amount]]))</f>
        <v>200</v>
      </c>
      <c r="AG281" s="2">
        <f>INT(Working_Sales[[#This Row],[Total_Amount_Whitespace_Removed]])</f>
        <v>200</v>
      </c>
      <c r="AH28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282" spans="1:34" x14ac:dyDescent="0.35">
      <c r="A282" t="s">
        <v>680</v>
      </c>
      <c r="B282" s="6" t="str">
        <f>CLEAN(TRIM(Working_Sales[[#This Row],[Transaction ID]]))</f>
        <v>941</v>
      </c>
      <c r="C282" t="s">
        <v>2070</v>
      </c>
      <c r="D282" s="2" t="str">
        <f>CLEAN(TRIM(Working_Sales[[#This Row],[Date]]))</f>
        <v>03/19/2023</v>
      </c>
      <c r="E282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28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45004</v>
      </c>
      <c r="G28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45004</v>
      </c>
      <c r="H282" t="s">
        <v>2555</v>
      </c>
      <c r="I282" s="2" t="str">
        <f>CLEAN(TRIM(Working_Sales[[#This Row],[Customer ID]]))</f>
        <v>CUST-227</v>
      </c>
      <c r="J28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8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CUST227</v>
      </c>
      <c r="L282" t="s">
        <v>46</v>
      </c>
      <c r="M282" s="4" t="str">
        <f>CLEAN(TRIM(Working_Sales[[#This Row],[Gender]]))</f>
        <v>F</v>
      </c>
      <c r="N282" s="4" t="str" cm="1">
        <f t="array" ref="N282">_xlfn.SWITCH(
   Working_Sales[[#This Row],[Gender_Whitespace_Removed]],
   "m", "Male",
   "f", "Female",
   Working_Sales[[#This Row],[Gender_Whitespace_Removed]]
)</f>
        <v>Female</v>
      </c>
      <c r="O282" s="6" t="str">
        <f>PROPER(Working_Sales[[#This Row],[Gender_Abbreviation_Expanded]])</f>
        <v>Female</v>
      </c>
      <c r="P282">
        <v>57</v>
      </c>
      <c r="Q282" s="2" t="str">
        <f>CLEAN(TRIM(Working_Sales[[#This Row],[Age]]))</f>
        <v>57</v>
      </c>
      <c r="R282" s="6">
        <f>INT(SUBSTITUTE(Working_Sales[[#This Row],[Age_Whitespace_Removed]],".",","))</f>
        <v>57</v>
      </c>
      <c r="S282" t="s">
        <v>56</v>
      </c>
      <c r="T282" s="2" t="str">
        <f>CLEAN(TRIM(Working_Sales[[#This Row],[Product Category]]))</f>
        <v>Clothing</v>
      </c>
      <c r="U282" s="6" t="str">
        <f>PROPER(Working_Sales[[#This Row],[Product_Category_Whitespace_Removed]])</f>
        <v>Clothing</v>
      </c>
      <c r="V282" t="s">
        <v>37</v>
      </c>
      <c r="W282" s="2" t="str">
        <f>CLEAN(TRIM(Working_Sales[[#This Row],[Quantity]]))</f>
        <v>2</v>
      </c>
      <c r="X282" s="2">
        <f>INT(Working_Sales[[#This Row],[`]])</f>
        <v>2</v>
      </c>
      <c r="Y282" s="6">
        <f>IFERROR(
   Working_Sales[[#This Row],[Quantity_Converted_To_Integer]],
   Working_Sales[[#This Row],[Total_Amount_Whitespace_Removed]]/Working_Sales[[#This Row],[Price_Per_Unit_Decimal_Separator_Fixed]])</f>
        <v>2</v>
      </c>
      <c r="Z282" t="s">
        <v>49</v>
      </c>
      <c r="AA282" s="2" t="str">
        <f>CLEAN(TRIM(Working_Sales[[#This Row],[Price per Unit]]))</f>
        <v>$25</v>
      </c>
      <c r="AB282" s="2">
        <f>INT(
   SUBSTITUTE(Working_Sales[[#This Row],[Price_Per_Unit_Whitespace_Removed]],
   "$",
   ""
   )
)</f>
        <v>25</v>
      </c>
      <c r="AC282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282" s="8">
        <f>IFERROR(
   Working_Sales[[#This Row],[Price_Per_Unit_Decimal_Separator_Fixed]],
   Working_Sales[[#This Row],[Total_Amount_Converted_To_Integer]]/Working_Sales[[#This Row],[Quantity_Converted_To_Integer]]
)</f>
        <v>25</v>
      </c>
      <c r="AE282" t="s">
        <v>15</v>
      </c>
      <c r="AF282" s="2" t="str">
        <f>CLEAN(TRIM(Working_Sales[[#This Row],[Total Amount]]))</f>
        <v>50</v>
      </c>
      <c r="AG282" s="2">
        <f>INT(Working_Sales[[#This Row],[Total_Amount_Whitespace_Removed]])</f>
        <v>50</v>
      </c>
      <c r="AH28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283" spans="1:34" x14ac:dyDescent="0.35">
      <c r="A283" t="s">
        <v>681</v>
      </c>
      <c r="B283" s="6" t="str">
        <f>CLEAN(TRIM(Working_Sales[[#This Row],[Transaction ID]]))</f>
        <v>700</v>
      </c>
      <c r="C283" t="s">
        <v>2009</v>
      </c>
      <c r="D283" s="2" t="str">
        <f>CLEAN(TRIM(Working_Sales[[#This Row],[Date]]))</f>
        <v>09-Dec-2023</v>
      </c>
      <c r="E28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45269</v>
      </c>
      <c r="F28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45269</v>
      </c>
      <c r="G28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45269</v>
      </c>
      <c r="H283" t="s">
        <v>2556</v>
      </c>
      <c r="I283" s="2" t="str">
        <f>CLEAN(TRIM(Working_Sales[[#This Row],[Customer ID]]))</f>
        <v>cust145</v>
      </c>
      <c r="J28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8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CUST145</v>
      </c>
      <c r="L283" t="s">
        <v>34</v>
      </c>
      <c r="M283" s="4" t="str">
        <f>CLEAN(TRIM(Working_Sales[[#This Row],[Gender]]))</f>
        <v>Male</v>
      </c>
      <c r="N283" s="4" t="str" cm="1">
        <f t="array" ref="N283">_xlfn.SWITCH(
   Working_Sales[[#This Row],[Gender_Whitespace_Removed]],
   "m", "Male",
   "f", "Female",
   Working_Sales[[#This Row],[Gender_Whitespace_Removed]]
)</f>
        <v>Male</v>
      </c>
      <c r="O283" s="6" t="str">
        <f>PROPER(Working_Sales[[#This Row],[Gender_Abbreviation_Expanded]])</f>
        <v>Male</v>
      </c>
      <c r="P283">
        <v>36</v>
      </c>
      <c r="Q283" s="2" t="str">
        <f>CLEAN(TRIM(Working_Sales[[#This Row],[Age]]))</f>
        <v>36</v>
      </c>
      <c r="R283" s="6">
        <f>INT(SUBSTITUTE(Working_Sales[[#This Row],[Age_Whitespace_Removed]],".",","))</f>
        <v>36</v>
      </c>
      <c r="S283" t="s">
        <v>99</v>
      </c>
      <c r="T283" s="2" t="str">
        <f>CLEAN(TRIM(Working_Sales[[#This Row],[Product Category]]))</f>
        <v>ELECTRONICS</v>
      </c>
      <c r="U283" s="6" t="str">
        <f>PROPER(Working_Sales[[#This Row],[Product_Category_Whitespace_Removed]])</f>
        <v>Electronics</v>
      </c>
      <c r="V283" t="s">
        <v>14</v>
      </c>
      <c r="W283" s="2" t="str">
        <f>CLEAN(TRIM(Working_Sales[[#This Row],[Quantity]]))</f>
        <v>4</v>
      </c>
      <c r="X283" s="2">
        <f>INT(Working_Sales[[#This Row],[`]])</f>
        <v>4</v>
      </c>
      <c r="Y283" s="6">
        <f>IFERROR(
   Working_Sales[[#This Row],[Quantity_Converted_To_Integer]],
   Working_Sales[[#This Row],[Total_Amount_Whitespace_Removed]]/Working_Sales[[#This Row],[Price_Per_Unit_Decimal_Separator_Fixed]])</f>
        <v>4</v>
      </c>
      <c r="Z283" t="s">
        <v>57</v>
      </c>
      <c r="AA283" s="2" t="str">
        <f>CLEAN(TRIM(Working_Sales[[#This Row],[Price per Unit]]))</f>
        <v>500</v>
      </c>
      <c r="AB283" s="2">
        <f>INT(
   SUBSTITUTE(Working_Sales[[#This Row],[Price_Per_Unit_Whitespace_Removed]],
   "$",
   ""
   )
)</f>
        <v>500</v>
      </c>
      <c r="AC283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283" s="8">
        <f>IFERROR(
   Working_Sales[[#This Row],[Price_Per_Unit_Decimal_Separator_Fixed]],
   Working_Sales[[#This Row],[Total_Amount_Converted_To_Integer]]/Working_Sales[[#This Row],[Quantity_Converted_To_Integer]]
)</f>
        <v>500</v>
      </c>
      <c r="AE283" t="s">
        <v>232</v>
      </c>
      <c r="AF283" s="2" t="str">
        <f>CLEAN(TRIM(Working_Sales[[#This Row],[Total Amount]]))</f>
        <v>2000</v>
      </c>
      <c r="AG283" s="2">
        <f>INT(Working_Sales[[#This Row],[Total_Amount_Whitespace_Removed]])</f>
        <v>2000</v>
      </c>
      <c r="AH28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284" spans="1:34" x14ac:dyDescent="0.35">
      <c r="A284" t="s">
        <v>682</v>
      </c>
      <c r="B284" s="6" t="str">
        <f>CLEAN(TRIM(Working_Sales[[#This Row],[Transaction ID]]))</f>
        <v>918</v>
      </c>
      <c r="C284" t="s">
        <v>2071</v>
      </c>
      <c r="D284" s="2" t="str">
        <f>CLEAN(TRIM(Working_Sales[[#This Row],[Date]]))</f>
        <v>23/11/2023</v>
      </c>
      <c r="E28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45253</v>
      </c>
      <c r="F28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45253</v>
      </c>
      <c r="G28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45253</v>
      </c>
      <c r="H284" t="s">
        <v>2557</v>
      </c>
      <c r="I284" s="2" t="str">
        <f>CLEAN(TRIM(Working_Sales[[#This Row],[Customer ID]]))</f>
        <v>CUST228</v>
      </c>
      <c r="J28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CUST228</v>
      </c>
      <c r="K28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CUST228</v>
      </c>
      <c r="L284" t="s">
        <v>26</v>
      </c>
      <c r="M284" s="4" t="str">
        <f>CLEAN(TRIM(Working_Sales[[#This Row],[Gender]]))</f>
        <v>Female</v>
      </c>
      <c r="N284" s="4" t="str" cm="1">
        <f t="array" ref="N284">_xlfn.SWITCH(
   Working_Sales[[#This Row],[Gender_Whitespace_Removed]],
   "m", "Male",
   "f", "Female",
   Working_Sales[[#This Row],[Gender_Whitespace_Removed]]
)</f>
        <v>Female</v>
      </c>
      <c r="O284" s="6" t="str">
        <f>PROPER(Working_Sales[[#This Row],[Gender_Abbreviation_Expanded]])</f>
        <v>Female</v>
      </c>
      <c r="P284">
        <v>42</v>
      </c>
      <c r="Q284" s="2" t="str">
        <f>CLEAN(TRIM(Working_Sales[[#This Row],[Age]]))</f>
        <v>42</v>
      </c>
      <c r="R284" s="6">
        <f>INT(SUBSTITUTE(Working_Sales[[#This Row],[Age_Whitespace_Removed]],".",","))</f>
        <v>42</v>
      </c>
      <c r="S284" t="s">
        <v>13</v>
      </c>
      <c r="T284" s="2" t="str">
        <f>CLEAN(TRIM(Working_Sales[[#This Row],[Product Category]]))</f>
        <v>Electronics</v>
      </c>
      <c r="U284" s="6" t="str">
        <f>PROPER(Working_Sales[[#This Row],[Product_Category_Whitespace_Removed]])</f>
        <v>Electronics</v>
      </c>
      <c r="V284" t="s">
        <v>29</v>
      </c>
      <c r="W284" s="2" t="str">
        <f>CLEAN(TRIM(Working_Sales[[#This Row],[Quantity]]))</f>
        <v>3</v>
      </c>
      <c r="X284" s="2">
        <f>INT(Working_Sales[[#This Row],[`]])</f>
        <v>3</v>
      </c>
      <c r="Y284" s="6">
        <f>IFERROR(
   Working_Sales[[#This Row],[Quantity_Converted_To_Integer]],
   Working_Sales[[#This Row],[Total_Amount_Whitespace_Removed]]/Working_Sales[[#This Row],[Price_Per_Unit_Decimal_Separator_Fixed]])</f>
        <v>3</v>
      </c>
      <c r="Z284" t="s">
        <v>43</v>
      </c>
      <c r="AA284" s="2" t="str">
        <f>CLEAN(TRIM(Working_Sales[[#This Row],[Price per Unit]]))</f>
        <v>30.00</v>
      </c>
      <c r="AB284" s="2" t="e">
        <f>INT(
   SUBSTITUTE(Working_Sales[[#This Row],[Price_Per_Unit_Whitespace_Removed]],
   "$",
   ""
   )
)</f>
        <v>#VALUE!</v>
      </c>
      <c r="AC284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284" s="8">
        <f>IFERROR(
   Working_Sales[[#This Row],[Price_Per_Unit_Decimal_Separator_Fixed]],
   Working_Sales[[#This Row],[Total_Amount_Converted_To_Integer]]/Working_Sales[[#This Row],[Quantity_Converted_To_Integer]]
)</f>
        <v>30</v>
      </c>
      <c r="AE284" t="s">
        <v>191</v>
      </c>
      <c r="AF284" s="2" t="str">
        <f>CLEAN(TRIM(Working_Sales[[#This Row],[Total Amount]]))</f>
        <v>90</v>
      </c>
      <c r="AG284" s="2">
        <f>INT(Working_Sales[[#This Row],[Total_Amount_Whitespace_Removed]])</f>
        <v>90</v>
      </c>
      <c r="AH28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285" spans="1:34" x14ac:dyDescent="0.35">
      <c r="A285" t="s">
        <v>683</v>
      </c>
      <c r="B285" s="6" t="str">
        <f>CLEAN(TRIM(Working_Sales[[#This Row],[Transaction ID]]))</f>
        <v>67</v>
      </c>
      <c r="C285" t="s">
        <v>684</v>
      </c>
      <c r="D285" s="2" t="str">
        <f>CLEAN(TRIM(Working_Sales[[#This Row],[Date]]))</f>
        <v>2023-05-29</v>
      </c>
      <c r="E28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45075</v>
      </c>
      <c r="F28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45075</v>
      </c>
      <c r="G28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45075</v>
      </c>
      <c r="H285" t="s">
        <v>2558</v>
      </c>
      <c r="I285" s="2" t="str">
        <f>CLEAN(TRIM(Working_Sales[[#This Row],[Customer ID]]))</f>
        <v>Cust229</v>
      </c>
      <c r="J28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8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CUST229</v>
      </c>
      <c r="L285" t="s">
        <v>112</v>
      </c>
      <c r="M285" s="4" t="str">
        <f>CLEAN(TRIM(Working_Sales[[#This Row],[Gender]]))</f>
        <v>female</v>
      </c>
      <c r="N285" s="4" t="str" cm="1">
        <f t="array" ref="N285">_xlfn.SWITCH(
   Working_Sales[[#This Row],[Gender_Whitespace_Removed]],
   "m", "Male",
   "f", "Female",
   Working_Sales[[#This Row],[Gender_Whitespace_Removed]]
)</f>
        <v>female</v>
      </c>
      <c r="O285" s="6" t="str">
        <f>PROPER(Working_Sales[[#This Row],[Gender_Abbreviation_Expanded]])</f>
        <v>Female</v>
      </c>
      <c r="P285">
        <v>48</v>
      </c>
      <c r="Q285" s="2" t="str">
        <f>CLEAN(TRIM(Working_Sales[[#This Row],[Age]]))</f>
        <v>48</v>
      </c>
      <c r="R285" s="6">
        <f>INT(SUBSTITUTE(Working_Sales[[#This Row],[Age_Whitespace_Removed]],".",","))</f>
        <v>48</v>
      </c>
      <c r="S285" t="s">
        <v>36</v>
      </c>
      <c r="T285" s="2" t="str">
        <f>CLEAN(TRIM(Working_Sales[[#This Row],[Product Category]]))</f>
        <v>Beauty</v>
      </c>
      <c r="U285" s="6" t="str">
        <f>PROPER(Working_Sales[[#This Row],[Product_Category_Whitespace_Removed]])</f>
        <v>Beauty</v>
      </c>
      <c r="V285" t="s">
        <v>14</v>
      </c>
      <c r="W285" s="2" t="str">
        <f>CLEAN(TRIM(Working_Sales[[#This Row],[Quantity]]))</f>
        <v>4</v>
      </c>
      <c r="X285" s="2">
        <f>INT(Working_Sales[[#This Row],[`]])</f>
        <v>4</v>
      </c>
      <c r="Y285" s="6">
        <f>IFERROR(
   Working_Sales[[#This Row],[Quantity_Converted_To_Integer]],
   Working_Sales[[#This Row],[Total_Amount_Whitespace_Removed]]/Working_Sales[[#This Row],[Price_Per_Unit_Decimal_Separator_Fixed]])</f>
        <v>4</v>
      </c>
      <c r="Z285" t="s">
        <v>288</v>
      </c>
      <c r="AA285" s="2" t="str">
        <f>CLEAN(TRIM(Working_Sales[[#This Row],[Price per Unit]]))</f>
        <v>300.00</v>
      </c>
      <c r="AB285" s="2" t="e">
        <f>INT(
   SUBSTITUTE(Working_Sales[[#This Row],[Price_Per_Unit_Whitespace_Removed]],
   "$",
   ""
   )
)</f>
        <v>#VALUE!</v>
      </c>
      <c r="AC285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285" s="8">
        <f>IFERROR(
   Working_Sales[[#This Row],[Price_Per_Unit_Decimal_Separator_Fixed]],
   Working_Sales[[#This Row],[Total_Amount_Converted_To_Integer]]/Working_Sales[[#This Row],[Quantity_Converted_To_Integer]]
)</f>
        <v>300</v>
      </c>
      <c r="AE285" t="s">
        <v>79</v>
      </c>
      <c r="AF285" s="2" t="str">
        <f>CLEAN(TRIM(Working_Sales[[#This Row],[Total Amount]]))</f>
        <v>1200</v>
      </c>
      <c r="AG285" s="2">
        <f>INT(Working_Sales[[#This Row],[Total_Amount_Whitespace_Removed]])</f>
        <v>1200</v>
      </c>
      <c r="AH28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286" spans="1:34" x14ac:dyDescent="0.35">
      <c r="A286" t="s">
        <v>686</v>
      </c>
      <c r="B286" s="6" t="str">
        <f>CLEAN(TRIM(Working_Sales[[#This Row],[Transaction ID]]))</f>
        <v>789</v>
      </c>
      <c r="C286" t="s">
        <v>687</v>
      </c>
      <c r="D286" s="2" t="str">
        <f>CLEAN(TRIM(Working_Sales[[#This Row],[Date]]))</f>
        <v>30/09/2023</v>
      </c>
      <c r="E28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45199</v>
      </c>
      <c r="F28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45199</v>
      </c>
      <c r="G28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45199</v>
      </c>
      <c r="H286" t="s">
        <v>2559</v>
      </c>
      <c r="I286" s="2" t="str">
        <f>CLEAN(TRIM(Working_Sales[[#This Row],[Customer ID]]))</f>
        <v>CUST230</v>
      </c>
      <c r="J28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CUST230</v>
      </c>
      <c r="K28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CUST230</v>
      </c>
      <c r="L286" t="s">
        <v>26</v>
      </c>
      <c r="M286" s="4" t="str">
        <f>CLEAN(TRIM(Working_Sales[[#This Row],[Gender]]))</f>
        <v>Female</v>
      </c>
      <c r="N286" s="4" t="str" cm="1">
        <f t="array" ref="N286">_xlfn.SWITCH(
   Working_Sales[[#This Row],[Gender_Whitespace_Removed]],
   "m", "Male",
   "f", "Female",
   Working_Sales[[#This Row],[Gender_Whitespace_Removed]]
)</f>
        <v>Female</v>
      </c>
      <c r="O286" s="6" t="str">
        <f>PROPER(Working_Sales[[#This Row],[Gender_Abbreviation_Expanded]])</f>
        <v>Female</v>
      </c>
      <c r="P286">
        <v>61</v>
      </c>
      <c r="Q286" s="2" t="str">
        <f>CLEAN(TRIM(Working_Sales[[#This Row],[Age]]))</f>
        <v>61</v>
      </c>
      <c r="R286" s="6">
        <f>INT(SUBSTITUTE(Working_Sales[[#This Row],[Age_Whitespace_Removed]],".",","))</f>
        <v>61</v>
      </c>
      <c r="S286" t="s">
        <v>56</v>
      </c>
      <c r="T286" s="2" t="str">
        <f>CLEAN(TRIM(Working_Sales[[#This Row],[Product Category]]))</f>
        <v>Clothing</v>
      </c>
      <c r="U286" s="6" t="str">
        <f>PROPER(Working_Sales[[#This Row],[Product_Category_Whitespace_Removed]])</f>
        <v>Clothing</v>
      </c>
      <c r="V286" t="s">
        <v>14</v>
      </c>
      <c r="W286" s="2" t="str">
        <f>CLEAN(TRIM(Working_Sales[[#This Row],[Quantity]]))</f>
        <v>4</v>
      </c>
      <c r="X286" s="2">
        <f>INT(Working_Sales[[#This Row],[`]])</f>
        <v>4</v>
      </c>
      <c r="Y286" s="6">
        <f>IFERROR(
   Working_Sales[[#This Row],[Quantity_Converted_To_Integer]],
   Working_Sales[[#This Row],[Total_Amount_Whitespace_Removed]]/Working_Sales[[#This Row],[Price_Per_Unit_Decimal_Separator_Fixed]])</f>
        <v>4</v>
      </c>
      <c r="Z286" t="s">
        <v>57</v>
      </c>
      <c r="AA286" s="2" t="str">
        <f>CLEAN(TRIM(Working_Sales[[#This Row],[Price per Unit]]))</f>
        <v>500</v>
      </c>
      <c r="AB286" s="2">
        <f>INT(
   SUBSTITUTE(Working_Sales[[#This Row],[Price_Per_Unit_Whitespace_Removed]],
   "$",
   ""
   )
)</f>
        <v>500</v>
      </c>
      <c r="AC286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286" s="8">
        <f>IFERROR(
   Working_Sales[[#This Row],[Price_Per_Unit_Decimal_Separator_Fixed]],
   Working_Sales[[#This Row],[Total_Amount_Converted_To_Integer]]/Working_Sales[[#This Row],[Quantity_Converted_To_Integer]]
)</f>
        <v>500</v>
      </c>
      <c r="AE286" t="s">
        <v>232</v>
      </c>
      <c r="AF286" s="2" t="str">
        <f>CLEAN(TRIM(Working_Sales[[#This Row],[Total Amount]]))</f>
        <v>2000</v>
      </c>
      <c r="AG286" s="2">
        <f>INT(Working_Sales[[#This Row],[Total_Amount_Whitespace_Removed]])</f>
        <v>2000</v>
      </c>
      <c r="AH28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287" spans="1:34" x14ac:dyDescent="0.35">
      <c r="A287" t="s">
        <v>688</v>
      </c>
      <c r="B287" s="6" t="str">
        <f>CLEAN(TRIM(Working_Sales[[#This Row],[Transaction ID]]))</f>
        <v>668</v>
      </c>
      <c r="C287" t="s">
        <v>689</v>
      </c>
      <c r="D287" s="2" t="str">
        <f>CLEAN(TRIM(Working_Sales[[#This Row],[Date]]))</f>
        <v>2023-07-28</v>
      </c>
      <c r="E28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45135</v>
      </c>
      <c r="F28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45135</v>
      </c>
      <c r="G28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45135</v>
      </c>
      <c r="H287" t="s">
        <v>2560</v>
      </c>
      <c r="I287" s="2" t="str">
        <f>CLEAN(TRIM(Working_Sales[[#This Row],[Customer ID]]))</f>
        <v>CUST118</v>
      </c>
      <c r="J28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8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CUST118</v>
      </c>
      <c r="L287" t="s">
        <v>112</v>
      </c>
      <c r="M287" s="4" t="str">
        <f>CLEAN(TRIM(Working_Sales[[#This Row],[Gender]]))</f>
        <v>female</v>
      </c>
      <c r="N287" s="4" t="str" cm="1">
        <f t="array" ref="N287">_xlfn.SWITCH(
   Working_Sales[[#This Row],[Gender_Whitespace_Removed]],
   "m", "Male",
   "f", "Female",
   Working_Sales[[#This Row],[Gender_Whitespace_Removed]]
)</f>
        <v>female</v>
      </c>
      <c r="O287" s="6" t="str">
        <f>PROPER(Working_Sales[[#This Row],[Gender_Abbreviation_Expanded]])</f>
        <v>Female</v>
      </c>
      <c r="P287">
        <v>62</v>
      </c>
      <c r="Q287" s="2" t="str">
        <f>CLEAN(TRIM(Working_Sales[[#This Row],[Age]]))</f>
        <v>62</v>
      </c>
      <c r="R287" s="6">
        <f>INT(SUBSTITUTE(Working_Sales[[#This Row],[Age_Whitespace_Removed]],".",","))</f>
        <v>62</v>
      </c>
      <c r="S287" t="s">
        <v>13</v>
      </c>
      <c r="T287" s="2" t="str">
        <f>CLEAN(TRIM(Working_Sales[[#This Row],[Product Category]]))</f>
        <v>Electronics</v>
      </c>
      <c r="U287" s="6" t="str">
        <f>PROPER(Working_Sales[[#This Row],[Product_Category_Whitespace_Removed]])</f>
        <v>Electronics</v>
      </c>
      <c r="V287" t="s">
        <v>29</v>
      </c>
      <c r="W287" s="2" t="str">
        <f>CLEAN(TRIM(Working_Sales[[#This Row],[Quantity]]))</f>
        <v>3</v>
      </c>
      <c r="X287" s="2">
        <f>INT(Working_Sales[[#This Row],[`]])</f>
        <v>3</v>
      </c>
      <c r="Y287" s="6">
        <f>IFERROR(
   Working_Sales[[#This Row],[Quantity_Converted_To_Integer]],
   Working_Sales[[#This Row],[Total_Amount_Whitespace_Removed]]/Working_Sales[[#This Row],[Price_Per_Unit_Decimal_Separator_Fixed]])</f>
        <v>3</v>
      </c>
      <c r="Z287" t="s">
        <v>15</v>
      </c>
      <c r="AA287" s="2" t="str">
        <f>CLEAN(TRIM(Working_Sales[[#This Row],[Price per Unit]]))</f>
        <v>50</v>
      </c>
      <c r="AB287" s="2">
        <f>INT(
   SUBSTITUTE(Working_Sales[[#This Row],[Price_Per_Unit_Whitespace_Removed]],
   "$",
   ""
   )
)</f>
        <v>50</v>
      </c>
      <c r="AC287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287" s="8">
        <f>IFERROR(
   Working_Sales[[#This Row],[Price_Per_Unit_Decimal_Separator_Fixed]],
   Working_Sales[[#This Row],[Total_Amount_Converted_To_Integer]]/Working_Sales[[#This Row],[Quantity_Converted_To_Integer]]
)</f>
        <v>50</v>
      </c>
      <c r="AE287" t="s">
        <v>130</v>
      </c>
      <c r="AF287" s="2" t="str">
        <f>CLEAN(TRIM(Working_Sales[[#This Row],[Total Amount]]))</f>
        <v>150</v>
      </c>
      <c r="AG287" s="2">
        <f>INT(Working_Sales[[#This Row],[Total_Amount_Whitespace_Removed]])</f>
        <v>150</v>
      </c>
      <c r="AH28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288" spans="1:34" x14ac:dyDescent="0.35">
      <c r="A288" t="s">
        <v>690</v>
      </c>
      <c r="B288" s="6" t="str">
        <f>CLEAN(TRIM(Working_Sales[[#This Row],[Transaction ID]]))</f>
        <v>290</v>
      </c>
      <c r="C288" t="s">
        <v>691</v>
      </c>
      <c r="D288" s="2" t="str">
        <f>CLEAN(TRIM(Working_Sales[[#This Row],[Date]]))</f>
        <v>2023-10-04</v>
      </c>
      <c r="E28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45203</v>
      </c>
      <c r="F28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45203</v>
      </c>
      <c r="G28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45203</v>
      </c>
      <c r="H288" t="s">
        <v>2561</v>
      </c>
      <c r="I288" s="2" t="str">
        <f>CLEAN(TRIM(Working_Sales[[#This Row],[Customer ID]]))</f>
        <v>CUST060</v>
      </c>
      <c r="J28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CUST060</v>
      </c>
      <c r="K28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CUST060</v>
      </c>
      <c r="L288" t="s">
        <v>26</v>
      </c>
      <c r="M288" s="4" t="str">
        <f>CLEAN(TRIM(Working_Sales[[#This Row],[Gender]]))</f>
        <v>Female</v>
      </c>
      <c r="N288" s="4" t="str" cm="1">
        <f t="array" ref="N288">_xlfn.SWITCH(
   Working_Sales[[#This Row],[Gender_Whitespace_Removed]],
   "m", "Male",
   "f", "Female",
   Working_Sales[[#This Row],[Gender_Whitespace_Removed]]
)</f>
        <v>Female</v>
      </c>
      <c r="O288" s="6" t="str">
        <f>PROPER(Working_Sales[[#This Row],[Gender_Abbreviation_Expanded]])</f>
        <v>Female</v>
      </c>
      <c r="P288">
        <v>30</v>
      </c>
      <c r="Q288" s="2" t="str">
        <f>CLEAN(TRIM(Working_Sales[[#This Row],[Age]]))</f>
        <v>30</v>
      </c>
      <c r="R288" s="6">
        <f>INT(SUBSTITUTE(Working_Sales[[#This Row],[Age_Whitespace_Removed]],".",","))</f>
        <v>30</v>
      </c>
      <c r="S288" t="s">
        <v>36</v>
      </c>
      <c r="T288" s="2" t="str">
        <f>CLEAN(TRIM(Working_Sales[[#This Row],[Product Category]]))</f>
        <v>Beauty</v>
      </c>
      <c r="U288" s="6" t="str">
        <f>PROPER(Working_Sales[[#This Row],[Product_Category_Whitespace_Removed]])</f>
        <v>Beauty</v>
      </c>
      <c r="V288" t="s">
        <v>37</v>
      </c>
      <c r="W288" s="2" t="str">
        <f>CLEAN(TRIM(Working_Sales[[#This Row],[Quantity]]))</f>
        <v>2</v>
      </c>
      <c r="X288" s="2">
        <f>INT(Working_Sales[[#This Row],[`]])</f>
        <v>2</v>
      </c>
      <c r="Y288" s="6">
        <f>IFERROR(
   Working_Sales[[#This Row],[Quantity_Converted_To_Integer]],
   Working_Sales[[#This Row],[Total_Amount_Whitespace_Removed]]/Working_Sales[[#This Row],[Price_Per_Unit_Decimal_Separator_Fixed]])</f>
        <v>2</v>
      </c>
      <c r="Z288" t="s">
        <v>23</v>
      </c>
      <c r="AA288" s="2" t="str">
        <f>CLEAN(TRIM(Working_Sales[[#This Row],[Price per Unit]]))</f>
        <v>300</v>
      </c>
      <c r="AB288" s="2">
        <f>INT(
   SUBSTITUTE(Working_Sales[[#This Row],[Price_Per_Unit_Whitespace_Removed]],
   "$",
   ""
   )
)</f>
        <v>300</v>
      </c>
      <c r="AC288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288" s="8">
        <f>IFERROR(
   Working_Sales[[#This Row],[Price_Per_Unit_Decimal_Separator_Fixed]],
   Working_Sales[[#This Row],[Total_Amount_Converted_To_Integer]]/Working_Sales[[#This Row],[Quantity_Converted_To_Integer]]
)</f>
        <v>300</v>
      </c>
      <c r="AE288" t="s">
        <v>107</v>
      </c>
      <c r="AF288" s="2" t="str">
        <f>CLEAN(TRIM(Working_Sales[[#This Row],[Total Amount]]))</f>
        <v>600</v>
      </c>
      <c r="AG288" s="2">
        <f>INT(Working_Sales[[#This Row],[Total_Amount_Whitespace_Removed]])</f>
        <v>600</v>
      </c>
      <c r="AH28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600</v>
      </c>
    </row>
    <row r="289" spans="1:34" x14ac:dyDescent="0.35">
      <c r="A289" t="s">
        <v>693</v>
      </c>
      <c r="B289" s="6" t="str">
        <f>CLEAN(TRIM(Working_Sales[[#This Row],[Transaction ID]]))</f>
        <v>493</v>
      </c>
      <c r="C289" t="s">
        <v>694</v>
      </c>
      <c r="D289" s="2" t="str">
        <f>CLEAN(TRIM(Working_Sales[[#This Row],[Date]]))</f>
        <v>25/11/2023</v>
      </c>
      <c r="E28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45255</v>
      </c>
      <c r="F28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45255</v>
      </c>
      <c r="G28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45255</v>
      </c>
      <c r="H289" t="s">
        <v>2562</v>
      </c>
      <c r="I289" s="2" t="str">
        <f>CLEAN(TRIM(Working_Sales[[#This Row],[Customer ID]]))</f>
        <v>CUST231</v>
      </c>
      <c r="J28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8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CUST231</v>
      </c>
      <c r="L289" t="s">
        <v>34</v>
      </c>
      <c r="M289" s="4" t="str">
        <f>CLEAN(TRIM(Working_Sales[[#This Row],[Gender]]))</f>
        <v>Male</v>
      </c>
      <c r="N289" s="4" t="str" cm="1">
        <f t="array" ref="N289">_xlfn.SWITCH(
   Working_Sales[[#This Row],[Gender_Whitespace_Removed]],
   "m", "Male",
   "f", "Female",
   Working_Sales[[#This Row],[Gender_Whitespace_Removed]]
)</f>
        <v>Male</v>
      </c>
      <c r="O289" s="6" t="str">
        <f>PROPER(Working_Sales[[#This Row],[Gender_Abbreviation_Expanded]])</f>
        <v>Male</v>
      </c>
      <c r="P289">
        <v>41</v>
      </c>
      <c r="Q289" s="2" t="str">
        <f>CLEAN(TRIM(Working_Sales[[#This Row],[Age]]))</f>
        <v>41</v>
      </c>
      <c r="R289" s="6">
        <f>INT(SUBSTITUTE(Working_Sales[[#This Row],[Age_Whitespace_Removed]],".",","))</f>
        <v>41</v>
      </c>
      <c r="S289" t="s">
        <v>36</v>
      </c>
      <c r="T289" s="2" t="str">
        <f>CLEAN(TRIM(Working_Sales[[#This Row],[Product Category]]))</f>
        <v>Beauty</v>
      </c>
      <c r="U289" s="6" t="str">
        <f>PROPER(Working_Sales[[#This Row],[Product_Category_Whitespace_Removed]])</f>
        <v>Beauty</v>
      </c>
      <c r="V289" t="s">
        <v>37</v>
      </c>
      <c r="W289" s="2" t="str">
        <f>CLEAN(TRIM(Working_Sales[[#This Row],[Quantity]]))</f>
        <v>2</v>
      </c>
      <c r="X289" s="2">
        <f>INT(Working_Sales[[#This Row],[`]])</f>
        <v>2</v>
      </c>
      <c r="Y289" s="6">
        <f>IFERROR(
   Working_Sales[[#This Row],[Quantity_Converted_To_Integer]],
   Working_Sales[[#This Row],[Total_Amount_Whitespace_Removed]]/Working_Sales[[#This Row],[Price_Per_Unit_Decimal_Separator_Fixed]])</f>
        <v>2</v>
      </c>
      <c r="Z289" t="s">
        <v>30</v>
      </c>
      <c r="AA289" s="2" t="str">
        <f>CLEAN(TRIM(Working_Sales[[#This Row],[Price per Unit]]))</f>
        <v>25</v>
      </c>
      <c r="AB289" s="2">
        <f>INT(
   SUBSTITUTE(Working_Sales[[#This Row],[Price_Per_Unit_Whitespace_Removed]],
   "$",
   ""
   )
)</f>
        <v>25</v>
      </c>
      <c r="AC289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289" s="8">
        <f>IFERROR(
   Working_Sales[[#This Row],[Price_Per_Unit_Decimal_Separator_Fixed]],
   Working_Sales[[#This Row],[Total_Amount_Converted_To_Integer]]/Working_Sales[[#This Row],[Quantity_Converted_To_Integer]]
)</f>
        <v>25</v>
      </c>
      <c r="AE289" t="s">
        <v>15</v>
      </c>
      <c r="AF289" s="2" t="str">
        <f>CLEAN(TRIM(Working_Sales[[#This Row],[Total Amount]]))</f>
        <v>50</v>
      </c>
      <c r="AG289" s="2">
        <f>INT(Working_Sales[[#This Row],[Total_Amount_Whitespace_Removed]])</f>
        <v>50</v>
      </c>
      <c r="AH28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290" spans="1:34" x14ac:dyDescent="0.35">
      <c r="A290" t="s">
        <v>695</v>
      </c>
      <c r="B290" s="6" t="str">
        <f>CLEAN(TRIM(Working_Sales[[#This Row],[Transaction ID]]))</f>
        <v>545</v>
      </c>
      <c r="C290" t="s">
        <v>696</v>
      </c>
      <c r="D290" s="2" t="str">
        <f>CLEAN(TRIM(Working_Sales[[#This Row],[Date]]))</f>
        <v>2023-06-01</v>
      </c>
      <c r="E29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45078</v>
      </c>
      <c r="F29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45078</v>
      </c>
      <c r="G29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45078</v>
      </c>
      <c r="H290" t="s">
        <v>2563</v>
      </c>
      <c r="I290" s="2" t="str">
        <f>CLEAN(TRIM(Working_Sales[[#This Row],[Customer ID]]))</f>
        <v>CUST232</v>
      </c>
      <c r="J29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CUST232</v>
      </c>
      <c r="K29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CUST232</v>
      </c>
      <c r="L290" t="s">
        <v>34</v>
      </c>
      <c r="M290" s="4" t="str">
        <f>CLEAN(TRIM(Working_Sales[[#This Row],[Gender]]))</f>
        <v>Male</v>
      </c>
      <c r="N290" s="4" t="str" cm="1">
        <f t="array" ref="N290">_xlfn.SWITCH(
   Working_Sales[[#This Row],[Gender_Whitespace_Removed]],
   "m", "Male",
   "f", "Female",
   Working_Sales[[#This Row],[Gender_Whitespace_Removed]]
)</f>
        <v>Male</v>
      </c>
      <c r="O290" s="6" t="str">
        <f>PROPER(Working_Sales[[#This Row],[Gender_Abbreviation_Expanded]])</f>
        <v>Male</v>
      </c>
      <c r="P290">
        <v>27</v>
      </c>
      <c r="Q290" s="2" t="str">
        <f>CLEAN(TRIM(Working_Sales[[#This Row],[Age]]))</f>
        <v>27</v>
      </c>
      <c r="R290" s="6">
        <f>INT(SUBSTITUTE(Working_Sales[[#This Row],[Age_Whitespace_Removed]],".",","))</f>
        <v>27</v>
      </c>
      <c r="S290" t="s">
        <v>56</v>
      </c>
      <c r="T290" s="2" t="str">
        <f>CLEAN(TRIM(Working_Sales[[#This Row],[Product Category]]))</f>
        <v>Clothing</v>
      </c>
      <c r="U290" s="6" t="str">
        <f>PROPER(Working_Sales[[#This Row],[Product_Category_Whitespace_Removed]])</f>
        <v>Clothing</v>
      </c>
      <c r="V290" t="s">
        <v>37</v>
      </c>
      <c r="W290" s="2" t="str">
        <f>CLEAN(TRIM(Working_Sales[[#This Row],[Quantity]]))</f>
        <v>2</v>
      </c>
      <c r="X290" s="2">
        <f>INT(Working_Sales[[#This Row],[`]])</f>
        <v>2</v>
      </c>
      <c r="Y290" s="6">
        <f>IFERROR(
   Working_Sales[[#This Row],[Quantity_Converted_To_Integer]],
   Working_Sales[[#This Row],[Total_Amount_Whitespace_Removed]]/Working_Sales[[#This Row],[Price_Per_Unit_Decimal_Separator_Fixed]])</f>
        <v>2</v>
      </c>
      <c r="Z290" t="s">
        <v>30</v>
      </c>
      <c r="AA290" s="2" t="str">
        <f>CLEAN(TRIM(Working_Sales[[#This Row],[Price per Unit]]))</f>
        <v>25</v>
      </c>
      <c r="AB290" s="2">
        <f>INT(
   SUBSTITUTE(Working_Sales[[#This Row],[Price_Per_Unit_Whitespace_Removed]],
   "$",
   ""
   )
)</f>
        <v>25</v>
      </c>
      <c r="AC290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290" s="8">
        <f>IFERROR(
   Working_Sales[[#This Row],[Price_Per_Unit_Decimal_Separator_Fixed]],
   Working_Sales[[#This Row],[Total_Amount_Converted_To_Integer]]/Working_Sales[[#This Row],[Quantity_Converted_To_Integer]]
)</f>
        <v>25</v>
      </c>
      <c r="AE290" t="s">
        <v>15</v>
      </c>
      <c r="AF290" s="2" t="str">
        <f>CLEAN(TRIM(Working_Sales[[#This Row],[Total Amount]]))</f>
        <v>50</v>
      </c>
      <c r="AG290" s="2">
        <f>INT(Working_Sales[[#This Row],[Total_Amount_Whitespace_Removed]])</f>
        <v>50</v>
      </c>
      <c r="AH29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291" spans="1:34" x14ac:dyDescent="0.35">
      <c r="A291" t="s">
        <v>697</v>
      </c>
      <c r="B291" s="6" t="str">
        <f>CLEAN(TRIM(Working_Sales[[#This Row],[Transaction ID]]))</f>
        <v>284</v>
      </c>
      <c r="C291" t="s">
        <v>296</v>
      </c>
      <c r="D291" s="2" t="str">
        <f>CLEAN(TRIM(Working_Sales[[#This Row],[Date]]))</f>
        <v>2023-02-08</v>
      </c>
      <c r="E29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44965</v>
      </c>
      <c r="F29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44965</v>
      </c>
      <c r="G29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44965</v>
      </c>
      <c r="H291" t="s">
        <v>2564</v>
      </c>
      <c r="I291" s="2" t="str">
        <f>CLEAN(TRIM(Working_Sales[[#This Row],[Customer ID]]))</f>
        <v>CUST003</v>
      </c>
      <c r="J29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CUST003</v>
      </c>
      <c r="K29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CUST003</v>
      </c>
      <c r="L291" t="s">
        <v>34</v>
      </c>
      <c r="M291" s="4" t="str">
        <f>CLEAN(TRIM(Working_Sales[[#This Row],[Gender]]))</f>
        <v>Male</v>
      </c>
      <c r="N291" s="4" t="str" cm="1">
        <f t="array" ref="N291">_xlfn.SWITCH(
   Working_Sales[[#This Row],[Gender_Whitespace_Removed]],
   "m", "Male",
   "f", "Female",
   Working_Sales[[#This Row],[Gender_Whitespace_Removed]]
)</f>
        <v>Male</v>
      </c>
      <c r="O291" s="6" t="str">
        <f>PROPER(Working_Sales[[#This Row],[Gender_Abbreviation_Expanded]])</f>
        <v>Male</v>
      </c>
      <c r="P291">
        <v>43</v>
      </c>
      <c r="Q291" s="2" t="str">
        <f>CLEAN(TRIM(Working_Sales[[#This Row],[Age]]))</f>
        <v>43</v>
      </c>
      <c r="R291" s="6">
        <f>INT(SUBSTITUTE(Working_Sales[[#This Row],[Age_Whitespace_Removed]],".",","))</f>
        <v>43</v>
      </c>
      <c r="S291" t="s">
        <v>28</v>
      </c>
      <c r="T291" s="2" t="str">
        <f>CLEAN(TRIM(Working_Sales[[#This Row],[Product Category]]))</f>
        <v>clothing</v>
      </c>
      <c r="U291" s="6" t="str">
        <f>PROPER(Working_Sales[[#This Row],[Product_Category_Whitespace_Removed]])</f>
        <v>Clothing</v>
      </c>
      <c r="V291" t="s">
        <v>14</v>
      </c>
      <c r="W291" s="2" t="str">
        <f>CLEAN(TRIM(Working_Sales[[#This Row],[Quantity]]))</f>
        <v>4</v>
      </c>
      <c r="X291" s="2">
        <f>INT(Working_Sales[[#This Row],[`]])</f>
        <v>4</v>
      </c>
      <c r="Y291" s="6">
        <f>IFERROR(
   Working_Sales[[#This Row],[Quantity_Converted_To_Integer]],
   Working_Sales[[#This Row],[Total_Amount_Whitespace_Removed]]/Working_Sales[[#This Row],[Price_Per_Unit_Decimal_Separator_Fixed]])</f>
        <v>4</v>
      </c>
      <c r="Z291" t="s">
        <v>15</v>
      </c>
      <c r="AA291" s="2" t="str">
        <f>CLEAN(TRIM(Working_Sales[[#This Row],[Price per Unit]]))</f>
        <v>50</v>
      </c>
      <c r="AB291" s="2">
        <f>INT(
   SUBSTITUTE(Working_Sales[[#This Row],[Price_Per_Unit_Whitespace_Removed]],
   "$",
   ""
   )
)</f>
        <v>50</v>
      </c>
      <c r="AC291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291" s="8">
        <f>IFERROR(
   Working_Sales[[#This Row],[Price_Per_Unit_Decimal_Separator_Fixed]],
   Working_Sales[[#This Row],[Total_Amount_Converted_To_Integer]]/Working_Sales[[#This Row],[Quantity_Converted_To_Integer]]
)</f>
        <v>50</v>
      </c>
      <c r="AE291" t="s">
        <v>16</v>
      </c>
      <c r="AF291" s="2" t="str">
        <f>CLEAN(TRIM(Working_Sales[[#This Row],[Total Amount]]))</f>
        <v>200</v>
      </c>
      <c r="AG291" s="2">
        <f>INT(Working_Sales[[#This Row],[Total_Amount_Whitespace_Removed]])</f>
        <v>200</v>
      </c>
      <c r="AH29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292" spans="1:34" x14ac:dyDescent="0.35">
      <c r="A292" t="s">
        <v>699</v>
      </c>
      <c r="B292" s="6" t="str">
        <f>CLEAN(TRIM(Working_Sales[[#This Row],[Transaction ID]]))</f>
        <v>748</v>
      </c>
      <c r="C292" t="s">
        <v>700</v>
      </c>
      <c r="D292" s="2" t="str">
        <f>CLEAN(TRIM(Working_Sales[[#This Row],[Date]]))</f>
        <v>20/03/2023</v>
      </c>
      <c r="E29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45005</v>
      </c>
      <c r="F29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45005</v>
      </c>
      <c r="G29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45005</v>
      </c>
      <c r="H292" t="s">
        <v>325</v>
      </c>
      <c r="I292" s="2" t="str">
        <f>CLEAN(TRIM(Working_Sales[[#This Row],[Customer ID]]))</f>
        <v>CUST233</v>
      </c>
      <c r="J29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CUST233</v>
      </c>
      <c r="K29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CUST233</v>
      </c>
      <c r="L292" t="s">
        <v>34</v>
      </c>
      <c r="M292" s="4" t="str">
        <f>CLEAN(TRIM(Working_Sales[[#This Row],[Gender]]))</f>
        <v>Male</v>
      </c>
      <c r="N292" s="4" t="str" cm="1">
        <f t="array" ref="N292">_xlfn.SWITCH(
   Working_Sales[[#This Row],[Gender_Whitespace_Removed]],
   "m", "Male",
   "f", "Female",
   Working_Sales[[#This Row],[Gender_Whitespace_Removed]]
)</f>
        <v>Male</v>
      </c>
      <c r="O292" s="6" t="str">
        <f>PROPER(Working_Sales[[#This Row],[Gender_Abbreviation_Expanded]])</f>
        <v>Male</v>
      </c>
      <c r="P292">
        <v>25</v>
      </c>
      <c r="Q292" s="2" t="str">
        <f>CLEAN(TRIM(Working_Sales[[#This Row],[Age]]))</f>
        <v>25</v>
      </c>
      <c r="R292" s="6">
        <f>INT(SUBSTITUTE(Working_Sales[[#This Row],[Age_Whitespace_Removed]],".",","))</f>
        <v>25</v>
      </c>
      <c r="S292" t="s">
        <v>56</v>
      </c>
      <c r="T292" s="2" t="str">
        <f>CLEAN(TRIM(Working_Sales[[#This Row],[Product Category]]))</f>
        <v>Clothing</v>
      </c>
      <c r="U292" s="6" t="str">
        <f>PROPER(Working_Sales[[#This Row],[Product_Category_Whitespace_Removed]])</f>
        <v>Clothing</v>
      </c>
      <c r="V292" t="s">
        <v>29</v>
      </c>
      <c r="W292" s="2" t="str">
        <f>CLEAN(TRIM(Working_Sales[[#This Row],[Quantity]]))</f>
        <v>3</v>
      </c>
      <c r="X292" s="2">
        <f>INT(Working_Sales[[#This Row],[`]])</f>
        <v>3</v>
      </c>
      <c r="Y292" s="6">
        <f>IFERROR(
   Working_Sales[[#This Row],[Quantity_Converted_To_Integer]],
   Working_Sales[[#This Row],[Total_Amount_Whitespace_Removed]]/Working_Sales[[#This Row],[Price_Per_Unit_Decimal_Separator_Fixed]])</f>
        <v>3</v>
      </c>
      <c r="Z292" t="s">
        <v>96</v>
      </c>
      <c r="AA292" s="2" t="str">
        <f>CLEAN(TRIM(Working_Sales[[#This Row],[Price per Unit]]))</f>
        <v>$50</v>
      </c>
      <c r="AB292" s="2">
        <f>INT(
   SUBSTITUTE(Working_Sales[[#This Row],[Price_Per_Unit_Whitespace_Removed]],
   "$",
   ""
   )
)</f>
        <v>50</v>
      </c>
      <c r="AC292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292" s="8">
        <f>IFERROR(
   Working_Sales[[#This Row],[Price_Per_Unit_Decimal_Separator_Fixed]],
   Working_Sales[[#This Row],[Total_Amount_Converted_To_Integer]]/Working_Sales[[#This Row],[Quantity_Converted_To_Integer]]
)</f>
        <v>50</v>
      </c>
      <c r="AE292" t="s">
        <v>130</v>
      </c>
      <c r="AF292" s="2" t="str">
        <f>CLEAN(TRIM(Working_Sales[[#This Row],[Total Amount]]))</f>
        <v>150</v>
      </c>
      <c r="AG292" s="2">
        <f>INT(Working_Sales[[#This Row],[Total_Amount_Whitespace_Removed]])</f>
        <v>150</v>
      </c>
      <c r="AH29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293" spans="1:34" x14ac:dyDescent="0.35">
      <c r="A293" t="s">
        <v>701</v>
      </c>
      <c r="B293" s="6" t="str">
        <f>CLEAN(TRIM(Working_Sales[[#This Row],[Transaction ID]]))</f>
        <v>954</v>
      </c>
      <c r="C293" t="s">
        <v>2072</v>
      </c>
      <c r="D293" s="2" t="str">
        <f>CLEAN(TRIM(Working_Sales[[#This Row],[Date]]))</f>
        <v>09/25/2023</v>
      </c>
      <c r="E293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29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45194</v>
      </c>
      <c r="G29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45194</v>
      </c>
      <c r="H293" t="s">
        <v>2565</v>
      </c>
      <c r="I293" s="2" t="str">
        <f>CLEAN(TRIM(Working_Sales[[#This Row],[Customer ID]]))</f>
        <v>cust044</v>
      </c>
      <c r="J29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9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CUST044</v>
      </c>
      <c r="L293" t="s">
        <v>140</v>
      </c>
      <c r="M293" s="4" t="str">
        <f>CLEAN(TRIM(Working_Sales[[#This Row],[Gender]]))</f>
        <v>FEMALE</v>
      </c>
      <c r="N293" s="4" t="str" cm="1">
        <f t="array" ref="N293">_xlfn.SWITCH(
   Working_Sales[[#This Row],[Gender_Whitespace_Removed]],
   "m", "Male",
   "f", "Female",
   Working_Sales[[#This Row],[Gender_Whitespace_Removed]]
)</f>
        <v>FEMALE</v>
      </c>
      <c r="O293" s="6" t="str">
        <f>PROPER(Working_Sales[[#This Row],[Gender_Abbreviation_Expanded]])</f>
        <v>Female</v>
      </c>
      <c r="P293">
        <v>50</v>
      </c>
      <c r="Q293" s="2" t="str">
        <f>CLEAN(TRIM(Working_Sales[[#This Row],[Age]]))</f>
        <v>50</v>
      </c>
      <c r="R293" s="6">
        <f>INT(SUBSTITUTE(Working_Sales[[#This Row],[Age_Whitespace_Removed]],".",","))</f>
        <v>50</v>
      </c>
      <c r="S293" t="s">
        <v>13</v>
      </c>
      <c r="T293" s="2" t="str">
        <f>CLEAN(TRIM(Working_Sales[[#This Row],[Product Category]]))</f>
        <v>Electronics</v>
      </c>
      <c r="U293" s="6" t="str">
        <f>PROPER(Working_Sales[[#This Row],[Product_Category_Whitespace_Removed]])</f>
        <v>Electronics</v>
      </c>
      <c r="V293" t="s">
        <v>29</v>
      </c>
      <c r="W293" s="2" t="str">
        <f>CLEAN(TRIM(Working_Sales[[#This Row],[Quantity]]))</f>
        <v>3</v>
      </c>
      <c r="X293" s="2">
        <f>INT(Working_Sales[[#This Row],[`]])</f>
        <v>3</v>
      </c>
      <c r="Y293" s="6">
        <f>IFERROR(
   Working_Sales[[#This Row],[Quantity_Converted_To_Integer]],
   Working_Sales[[#This Row],[Total_Amount_Whitespace_Removed]]/Working_Sales[[#This Row],[Price_Per_Unit_Decimal_Separator_Fixed]])</f>
        <v>3</v>
      </c>
      <c r="Z293" t="s">
        <v>186</v>
      </c>
      <c r="AA293" s="2" t="str">
        <f>CLEAN(TRIM(Working_Sales[[#This Row],[Price per Unit]]))</f>
        <v>$300</v>
      </c>
      <c r="AB293" s="2">
        <f>INT(
   SUBSTITUTE(Working_Sales[[#This Row],[Price_Per_Unit_Whitespace_Removed]],
   "$",
   ""
   )
)</f>
        <v>300</v>
      </c>
      <c r="AC293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293" s="8">
        <f>IFERROR(
   Working_Sales[[#This Row],[Price_Per_Unit_Decimal_Separator_Fixed]],
   Working_Sales[[#This Row],[Total_Amount_Converted_To_Integer]]/Working_Sales[[#This Row],[Quantity_Converted_To_Integer]]
)</f>
        <v>300</v>
      </c>
      <c r="AF293" s="2" t="str">
        <f>CLEAN(TRIM(Working_Sales[[#This Row],[Total Amount]]))</f>
        <v/>
      </c>
      <c r="AG293" s="2" t="e">
        <f>INT(Working_Sales[[#This Row],[Total_Amount_Whitespace_Removed]])</f>
        <v>#VALUE!</v>
      </c>
      <c r="AH29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294" spans="1:34" x14ac:dyDescent="0.35">
      <c r="A294" t="s">
        <v>702</v>
      </c>
      <c r="B294" s="6" t="str">
        <f>CLEAN(TRIM(Working_Sales[[#This Row],[Transaction ID]]))</f>
        <v>65</v>
      </c>
      <c r="C294" t="s">
        <v>111</v>
      </c>
      <c r="D294" s="2" t="str">
        <f>CLEAN(TRIM(Working_Sales[[#This Row],[Date]]))</f>
        <v>December 05, 2023</v>
      </c>
      <c r="E294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294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29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45265</v>
      </c>
      <c r="H294" t="s">
        <v>2566</v>
      </c>
      <c r="I294" s="2" t="str">
        <f>CLEAN(TRIM(Working_Sales[[#This Row],[Customer ID]]))</f>
        <v>CUST223</v>
      </c>
      <c r="J29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9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CUST223</v>
      </c>
      <c r="L294" t="s">
        <v>268</v>
      </c>
      <c r="M294" s="4" t="str">
        <f>CLEAN(TRIM(Working_Sales[[#This Row],[Gender]]))</f>
        <v>M</v>
      </c>
      <c r="N294" s="4" t="str" cm="1">
        <f t="array" ref="N294">_xlfn.SWITCH(
   Working_Sales[[#This Row],[Gender_Whitespace_Removed]],
   "m", "Male",
   "f", "Female",
   Working_Sales[[#This Row],[Gender_Whitespace_Removed]]
)</f>
        <v>Male</v>
      </c>
      <c r="O294" s="6" t="str">
        <f>PROPER(Working_Sales[[#This Row],[Gender_Abbreviation_Expanded]])</f>
        <v>Male</v>
      </c>
      <c r="P294">
        <v>51</v>
      </c>
      <c r="Q294" s="2" t="str">
        <f>CLEAN(TRIM(Working_Sales[[#This Row],[Age]]))</f>
        <v>51</v>
      </c>
      <c r="R294" s="6">
        <f>INT(SUBSTITUTE(Working_Sales[[#This Row],[Age_Whitespace_Removed]],".",","))</f>
        <v>51</v>
      </c>
      <c r="S294" t="s">
        <v>13</v>
      </c>
      <c r="T294" s="2" t="str">
        <f>CLEAN(TRIM(Working_Sales[[#This Row],[Product Category]]))</f>
        <v>Electronics</v>
      </c>
      <c r="U294" s="6" t="str">
        <f>PROPER(Working_Sales[[#This Row],[Product_Category_Whitespace_Removed]])</f>
        <v>Electronics</v>
      </c>
      <c r="V294" t="s">
        <v>14</v>
      </c>
      <c r="W294" s="2" t="str">
        <f>CLEAN(TRIM(Working_Sales[[#This Row],[Quantity]]))</f>
        <v>4</v>
      </c>
      <c r="X294" s="2">
        <f>INT(Working_Sales[[#This Row],[`]])</f>
        <v>4</v>
      </c>
      <c r="Y294" s="6">
        <f>IFERROR(
   Working_Sales[[#This Row],[Quantity_Converted_To_Integer]],
   Working_Sales[[#This Row],[Total_Amount_Whitespace_Removed]]/Working_Sales[[#This Row],[Price_Per_Unit_Decimal_Separator_Fixed]])</f>
        <v>4</v>
      </c>
      <c r="Z294" t="s">
        <v>57</v>
      </c>
      <c r="AA294" s="2" t="str">
        <f>CLEAN(TRIM(Working_Sales[[#This Row],[Price per Unit]]))</f>
        <v>500</v>
      </c>
      <c r="AB294" s="2">
        <f>INT(
   SUBSTITUTE(Working_Sales[[#This Row],[Price_Per_Unit_Whitespace_Removed]],
   "$",
   ""
   )
)</f>
        <v>500</v>
      </c>
      <c r="AC294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294" s="8">
        <f>IFERROR(
   Working_Sales[[#This Row],[Price_Per_Unit_Decimal_Separator_Fixed]],
   Working_Sales[[#This Row],[Total_Amount_Converted_To_Integer]]/Working_Sales[[#This Row],[Quantity_Converted_To_Integer]]
)</f>
        <v>500</v>
      </c>
      <c r="AE294" t="s">
        <v>232</v>
      </c>
      <c r="AF294" s="2" t="str">
        <f>CLEAN(TRIM(Working_Sales[[#This Row],[Total Amount]]))</f>
        <v>2000</v>
      </c>
      <c r="AG294" s="2">
        <f>INT(Working_Sales[[#This Row],[Total_Amount_Whitespace_Removed]])</f>
        <v>2000</v>
      </c>
      <c r="AH29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295" spans="1:34" x14ac:dyDescent="0.35">
      <c r="A295" t="s">
        <v>704</v>
      </c>
      <c r="B295" s="6" t="str">
        <f>CLEAN(TRIM(Working_Sales[[#This Row],[Transaction ID]]))</f>
        <v>659</v>
      </c>
      <c r="C295" t="s">
        <v>705</v>
      </c>
      <c r="D295" s="2" t="str">
        <f>CLEAN(TRIM(Working_Sales[[#This Row],[Date]]))</f>
        <v>2023-03-19</v>
      </c>
      <c r="E29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45004</v>
      </c>
      <c r="F29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45004</v>
      </c>
      <c r="G29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45004</v>
      </c>
      <c r="H295" t="s">
        <v>526</v>
      </c>
      <c r="I295" s="2" t="str">
        <f>CLEAN(TRIM(Working_Sales[[#This Row],[Customer ID]]))</f>
        <v>CUST173</v>
      </c>
      <c r="J29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CUST173</v>
      </c>
      <c r="K29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CUST173</v>
      </c>
      <c r="L295" t="s">
        <v>26</v>
      </c>
      <c r="M295" s="4" t="str">
        <f>CLEAN(TRIM(Working_Sales[[#This Row],[Gender]]))</f>
        <v>Female</v>
      </c>
      <c r="N295" s="4" t="str" cm="1">
        <f t="array" ref="N295">_xlfn.SWITCH(
   Working_Sales[[#This Row],[Gender_Whitespace_Removed]],
   "m", "Male",
   "f", "Female",
   Working_Sales[[#This Row],[Gender_Whitespace_Removed]]
)</f>
        <v>Female</v>
      </c>
      <c r="O295" s="6" t="str">
        <f>PROPER(Working_Sales[[#This Row],[Gender_Abbreviation_Expanded]])</f>
        <v>Female</v>
      </c>
      <c r="P295">
        <v>39</v>
      </c>
      <c r="Q295" s="2" t="str">
        <f>CLEAN(TRIM(Working_Sales[[#This Row],[Age]]))</f>
        <v>39</v>
      </c>
      <c r="R295" s="6">
        <f>INT(SUBSTITUTE(Working_Sales[[#This Row],[Age_Whitespace_Removed]],".",","))</f>
        <v>39</v>
      </c>
      <c r="S295" t="s">
        <v>13</v>
      </c>
      <c r="T295" s="2" t="str">
        <f>CLEAN(TRIM(Working_Sales[[#This Row],[Product Category]]))</f>
        <v>Electronics</v>
      </c>
      <c r="U295" s="6" t="str">
        <f>PROPER(Working_Sales[[#This Row],[Product_Category_Whitespace_Removed]])</f>
        <v>Electronics</v>
      </c>
      <c r="V295" t="s">
        <v>22</v>
      </c>
      <c r="W295" s="2" t="str">
        <f>CLEAN(TRIM(Working_Sales[[#This Row],[Quantity]]))</f>
        <v>1</v>
      </c>
      <c r="X295" s="2">
        <f>INT(Working_Sales[[#This Row],[`]])</f>
        <v>1</v>
      </c>
      <c r="Y295" s="6">
        <f>IFERROR(
   Working_Sales[[#This Row],[Quantity_Converted_To_Integer]],
   Working_Sales[[#This Row],[Total_Amount_Whitespace_Removed]]/Working_Sales[[#This Row],[Price_Per_Unit_Decimal_Separator_Fixed]])</f>
        <v>1</v>
      </c>
      <c r="Z295" t="s">
        <v>70</v>
      </c>
      <c r="AA295" s="2" t="str">
        <f>CLEAN(TRIM(Working_Sales[[#This Row],[Price per Unit]]))</f>
        <v>30</v>
      </c>
      <c r="AB295" s="2">
        <f>INT(
   SUBSTITUTE(Working_Sales[[#This Row],[Price_Per_Unit_Whitespace_Removed]],
   "$",
   ""
   )
)</f>
        <v>30</v>
      </c>
      <c r="AC295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295" s="8">
        <f>IFERROR(
   Working_Sales[[#This Row],[Price_Per_Unit_Decimal_Separator_Fixed]],
   Working_Sales[[#This Row],[Total_Amount_Converted_To_Integer]]/Working_Sales[[#This Row],[Quantity_Converted_To_Integer]]
)</f>
        <v>30</v>
      </c>
      <c r="AE295" t="s">
        <v>70</v>
      </c>
      <c r="AF295" s="2" t="str">
        <f>CLEAN(TRIM(Working_Sales[[#This Row],[Total Amount]]))</f>
        <v>30</v>
      </c>
      <c r="AG295" s="2">
        <f>INT(Working_Sales[[#This Row],[Total_Amount_Whitespace_Removed]])</f>
        <v>30</v>
      </c>
      <c r="AH29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296" spans="1:34" x14ac:dyDescent="0.35">
      <c r="A296" t="s">
        <v>706</v>
      </c>
      <c r="B296" s="6" t="str">
        <f>CLEAN(TRIM(Working_Sales[[#This Row],[Transaction ID]]))</f>
        <v>265</v>
      </c>
      <c r="C296" t="s">
        <v>2073</v>
      </c>
      <c r="D296" s="2" t="str">
        <f>CLEAN(TRIM(Working_Sales[[#This Row],[Date]]))</f>
        <v>December 11, 2023</v>
      </c>
      <c r="E296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296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29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45271</v>
      </c>
      <c r="H296" t="s">
        <v>1696</v>
      </c>
      <c r="I296" s="2" t="str">
        <f>CLEAN(TRIM(Working_Sales[[#This Row],[Customer ID]]))</f>
        <v>CUST234</v>
      </c>
      <c r="J29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9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CUST234</v>
      </c>
      <c r="L296" t="s">
        <v>34</v>
      </c>
      <c r="M296" s="4" t="str">
        <f>CLEAN(TRIM(Working_Sales[[#This Row],[Gender]]))</f>
        <v>Male</v>
      </c>
      <c r="N296" s="4" t="str" cm="1">
        <f t="array" ref="N296">_xlfn.SWITCH(
   Working_Sales[[#This Row],[Gender_Whitespace_Removed]],
   "m", "Male",
   "f", "Female",
   Working_Sales[[#This Row],[Gender_Whitespace_Removed]]
)</f>
        <v>Male</v>
      </c>
      <c r="O296" s="6" t="str">
        <f>PROPER(Working_Sales[[#This Row],[Gender_Abbreviation_Expanded]])</f>
        <v>Male</v>
      </c>
      <c r="P296" t="s">
        <v>708</v>
      </c>
      <c r="Q296" s="2" t="str">
        <f>CLEAN(TRIM(Working_Sales[[#This Row],[Age]]))</f>
        <v>55</v>
      </c>
      <c r="R296" s="6">
        <f>INT(SUBSTITUTE(Working_Sales[[#This Row],[Age_Whitespace_Removed]],".",","))</f>
        <v>55</v>
      </c>
      <c r="S296" t="s">
        <v>56</v>
      </c>
      <c r="T296" s="2" t="str">
        <f>CLEAN(TRIM(Working_Sales[[#This Row],[Product Category]]))</f>
        <v>Clothing</v>
      </c>
      <c r="U296" s="6" t="str">
        <f>PROPER(Working_Sales[[#This Row],[Product_Category_Whitespace_Removed]])</f>
        <v>Clothing</v>
      </c>
      <c r="V296" t="s">
        <v>29</v>
      </c>
      <c r="W296" s="2" t="str">
        <f>CLEAN(TRIM(Working_Sales[[#This Row],[Quantity]]))</f>
        <v>3</v>
      </c>
      <c r="X296" s="2">
        <f>INT(Working_Sales[[#This Row],[`]])</f>
        <v>3</v>
      </c>
      <c r="Y296" s="6">
        <f>IFERROR(
   Working_Sales[[#This Row],[Quantity_Converted_To_Integer]],
   Working_Sales[[#This Row],[Total_Amount_Whitespace_Removed]]/Working_Sales[[#This Row],[Price_Per_Unit_Decimal_Separator_Fixed]])</f>
        <v>3</v>
      </c>
      <c r="Z296" t="s">
        <v>23</v>
      </c>
      <c r="AA296" s="2" t="str">
        <f>CLEAN(TRIM(Working_Sales[[#This Row],[Price per Unit]]))</f>
        <v>300</v>
      </c>
      <c r="AB296" s="2">
        <f>INT(
   SUBSTITUTE(Working_Sales[[#This Row],[Price_Per_Unit_Whitespace_Removed]],
   "$",
   ""
   )
)</f>
        <v>300</v>
      </c>
      <c r="AC296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296" s="8">
        <f>IFERROR(
   Working_Sales[[#This Row],[Price_Per_Unit_Decimal_Separator_Fixed]],
   Working_Sales[[#This Row],[Total_Amount_Converted_To_Integer]]/Working_Sales[[#This Row],[Quantity_Converted_To_Integer]]
)</f>
        <v>300</v>
      </c>
      <c r="AF296" s="2" t="str">
        <f>CLEAN(TRIM(Working_Sales[[#This Row],[Total Amount]]))</f>
        <v/>
      </c>
      <c r="AG296" s="2" t="e">
        <f>INT(Working_Sales[[#This Row],[Total_Amount_Whitespace_Removed]])</f>
        <v>#VALUE!</v>
      </c>
      <c r="AH29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297" spans="1:34" x14ac:dyDescent="0.35">
      <c r="A297" t="s">
        <v>709</v>
      </c>
      <c r="B297" s="6" t="str">
        <f>CLEAN(TRIM(Working_Sales[[#This Row],[Transaction ID]]))</f>
        <v>949</v>
      </c>
      <c r="C297" t="s">
        <v>710</v>
      </c>
      <c r="D297" s="2" t="str">
        <f>CLEAN(TRIM(Working_Sales[[#This Row],[Date]]))</f>
        <v>August 02, 2023</v>
      </c>
      <c r="E297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297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29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45140</v>
      </c>
      <c r="H297" t="s">
        <v>2567</v>
      </c>
      <c r="I297" s="2" t="str">
        <f>CLEAN(TRIM(Working_Sales[[#This Row],[Customer ID]]))</f>
        <v>CUST235</v>
      </c>
      <c r="J29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9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CUST235</v>
      </c>
      <c r="L297" t="s">
        <v>140</v>
      </c>
      <c r="M297" s="4" t="str">
        <f>CLEAN(TRIM(Working_Sales[[#This Row],[Gender]]))</f>
        <v>FEMALE</v>
      </c>
      <c r="N297" s="4" t="str" cm="1">
        <f t="array" ref="N297">_xlfn.SWITCH(
   Working_Sales[[#This Row],[Gender_Whitespace_Removed]],
   "m", "Male",
   "f", "Female",
   Working_Sales[[#This Row],[Gender_Whitespace_Removed]]
)</f>
        <v>FEMALE</v>
      </c>
      <c r="O297" s="6" t="str">
        <f>PROPER(Working_Sales[[#This Row],[Gender_Abbreviation_Expanded]])</f>
        <v>Female</v>
      </c>
      <c r="P297">
        <v>41</v>
      </c>
      <c r="Q297" s="2" t="str">
        <f>CLEAN(TRIM(Working_Sales[[#This Row],[Age]]))</f>
        <v>41</v>
      </c>
      <c r="R297" s="6">
        <f>INT(SUBSTITUTE(Working_Sales[[#This Row],[Age_Whitespace_Removed]],".",","))</f>
        <v>41</v>
      </c>
      <c r="S297" t="s">
        <v>13</v>
      </c>
      <c r="T297" s="2" t="str">
        <f>CLEAN(TRIM(Working_Sales[[#This Row],[Product Category]]))</f>
        <v>Electronics</v>
      </c>
      <c r="U297" s="6" t="str">
        <f>PROPER(Working_Sales[[#This Row],[Product_Category_Whitespace_Removed]])</f>
        <v>Electronics</v>
      </c>
      <c r="V297" t="s">
        <v>37</v>
      </c>
      <c r="W297" s="2" t="str">
        <f>CLEAN(TRIM(Working_Sales[[#This Row],[Quantity]]))</f>
        <v>2</v>
      </c>
      <c r="X297" s="2">
        <f>INT(Working_Sales[[#This Row],[`]])</f>
        <v>2</v>
      </c>
      <c r="Y297" s="6">
        <f>IFERROR(
   Working_Sales[[#This Row],[Quantity_Converted_To_Integer]],
   Working_Sales[[#This Row],[Total_Amount_Whitespace_Removed]]/Working_Sales[[#This Row],[Price_Per_Unit_Decimal_Separator_Fixed]])</f>
        <v>2</v>
      </c>
      <c r="Z297" t="s">
        <v>30</v>
      </c>
      <c r="AA297" s="2" t="str">
        <f>CLEAN(TRIM(Working_Sales[[#This Row],[Price per Unit]]))</f>
        <v>25</v>
      </c>
      <c r="AB297" s="2">
        <f>INT(
   SUBSTITUTE(Working_Sales[[#This Row],[Price_Per_Unit_Whitespace_Removed]],
   "$",
   ""
   )
)</f>
        <v>25</v>
      </c>
      <c r="AC297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297" s="8">
        <f>IFERROR(
   Working_Sales[[#This Row],[Price_Per_Unit_Decimal_Separator_Fixed]],
   Working_Sales[[#This Row],[Total_Amount_Converted_To_Integer]]/Working_Sales[[#This Row],[Quantity_Converted_To_Integer]]
)</f>
        <v>25</v>
      </c>
      <c r="AE297" t="s">
        <v>15</v>
      </c>
      <c r="AF297" s="2" t="str">
        <f>CLEAN(TRIM(Working_Sales[[#This Row],[Total Amount]]))</f>
        <v>50</v>
      </c>
      <c r="AG297" s="2">
        <f>INT(Working_Sales[[#This Row],[Total_Amount_Whitespace_Removed]])</f>
        <v>50</v>
      </c>
      <c r="AH29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298" spans="1:34" x14ac:dyDescent="0.35">
      <c r="A298" t="s">
        <v>711</v>
      </c>
      <c r="B298" s="6" t="str">
        <f>CLEAN(TRIM(Working_Sales[[#This Row],[Transaction ID]]))</f>
        <v>970</v>
      </c>
      <c r="C298" t="s">
        <v>904</v>
      </c>
      <c r="D298" s="2" t="str">
        <f>CLEAN(TRIM(Working_Sales[[#This Row],[Date]]))</f>
        <v>16-May-2023</v>
      </c>
      <c r="E29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45062</v>
      </c>
      <c r="F29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45062</v>
      </c>
      <c r="G29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45062</v>
      </c>
      <c r="H298" t="s">
        <v>2568</v>
      </c>
      <c r="I298" s="2" t="str">
        <f>CLEAN(TRIM(Working_Sales[[#This Row],[Customer ID]]))</f>
        <v>CUST236</v>
      </c>
      <c r="J29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9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CUST236</v>
      </c>
      <c r="L298" t="s">
        <v>34</v>
      </c>
      <c r="M298" s="4" t="str">
        <f>CLEAN(TRIM(Working_Sales[[#This Row],[Gender]]))</f>
        <v>Male</v>
      </c>
      <c r="N298" s="4" t="str" cm="1">
        <f t="array" ref="N298">_xlfn.SWITCH(
   Working_Sales[[#This Row],[Gender_Whitespace_Removed]],
   "m", "Male",
   "f", "Female",
   Working_Sales[[#This Row],[Gender_Whitespace_Removed]]
)</f>
        <v>Male</v>
      </c>
      <c r="O298" s="6" t="str">
        <f>PROPER(Working_Sales[[#This Row],[Gender_Abbreviation_Expanded]])</f>
        <v>Male</v>
      </c>
      <c r="P298">
        <v>59</v>
      </c>
      <c r="Q298" s="2" t="str">
        <f>CLEAN(TRIM(Working_Sales[[#This Row],[Age]]))</f>
        <v>59</v>
      </c>
      <c r="R298" s="6">
        <f>INT(SUBSTITUTE(Working_Sales[[#This Row],[Age_Whitespace_Removed]],".",","))</f>
        <v>59</v>
      </c>
      <c r="S298" t="s">
        <v>13</v>
      </c>
      <c r="T298" s="2" t="str">
        <f>CLEAN(TRIM(Working_Sales[[#This Row],[Product Category]]))</f>
        <v>Electronics</v>
      </c>
      <c r="U298" s="6" t="str">
        <f>PROPER(Working_Sales[[#This Row],[Product_Category_Whitespace_Removed]])</f>
        <v>Electronics</v>
      </c>
      <c r="V298" t="s">
        <v>14</v>
      </c>
      <c r="W298" s="2" t="str">
        <f>CLEAN(TRIM(Working_Sales[[#This Row],[Quantity]]))</f>
        <v>4</v>
      </c>
      <c r="X298" s="2">
        <f>INT(Working_Sales[[#This Row],[`]])</f>
        <v>4</v>
      </c>
      <c r="Y298" s="6">
        <f>IFERROR(
   Working_Sales[[#This Row],[Quantity_Converted_To_Integer]],
   Working_Sales[[#This Row],[Total_Amount_Whitespace_Removed]]/Working_Sales[[#This Row],[Price_Per_Unit_Decimal_Separator_Fixed]])</f>
        <v>4</v>
      </c>
      <c r="Z298" t="s">
        <v>57</v>
      </c>
      <c r="AA298" s="2" t="str">
        <f>CLEAN(TRIM(Working_Sales[[#This Row],[Price per Unit]]))</f>
        <v>500</v>
      </c>
      <c r="AB298" s="2">
        <f>INT(
   SUBSTITUTE(Working_Sales[[#This Row],[Price_Per_Unit_Whitespace_Removed]],
   "$",
   ""
   )
)</f>
        <v>500</v>
      </c>
      <c r="AC298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298" s="8">
        <f>IFERROR(
   Working_Sales[[#This Row],[Price_Per_Unit_Decimal_Separator_Fixed]],
   Working_Sales[[#This Row],[Total_Amount_Converted_To_Integer]]/Working_Sales[[#This Row],[Quantity_Converted_To_Integer]]
)</f>
        <v>500</v>
      </c>
      <c r="AE298" t="s">
        <v>232</v>
      </c>
      <c r="AF298" s="2" t="str">
        <f>CLEAN(TRIM(Working_Sales[[#This Row],[Total Amount]]))</f>
        <v>2000</v>
      </c>
      <c r="AG298" s="2">
        <f>INT(Working_Sales[[#This Row],[Total_Amount_Whitespace_Removed]])</f>
        <v>2000</v>
      </c>
      <c r="AH29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299" spans="1:34" x14ac:dyDescent="0.35">
      <c r="A299" t="s">
        <v>712</v>
      </c>
      <c r="B299" s="6" t="str">
        <f>CLEAN(TRIM(Working_Sales[[#This Row],[Transaction ID]]))</f>
        <v>815</v>
      </c>
      <c r="C299" t="s">
        <v>713</v>
      </c>
      <c r="D299" s="2" t="str">
        <f>CLEAN(TRIM(Working_Sales[[#This Row],[Date]]))</f>
        <v>27/08/2023</v>
      </c>
      <c r="E29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45165</v>
      </c>
      <c r="F29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45165</v>
      </c>
      <c r="G29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45165</v>
      </c>
      <c r="H299" t="s">
        <v>2569</v>
      </c>
      <c r="I299" s="2" t="str">
        <f>CLEAN(TRIM(Working_Sales[[#This Row],[Customer ID]]))</f>
        <v>cust057</v>
      </c>
      <c r="J29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29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CUST057</v>
      </c>
      <c r="L299" t="s">
        <v>26</v>
      </c>
      <c r="M299" s="4" t="str">
        <f>CLEAN(TRIM(Working_Sales[[#This Row],[Gender]]))</f>
        <v>Female</v>
      </c>
      <c r="N299" s="4" t="str" cm="1">
        <f t="array" ref="N299">_xlfn.SWITCH(
   Working_Sales[[#This Row],[Gender_Whitespace_Removed]],
   "m", "Male",
   "f", "Female",
   Working_Sales[[#This Row],[Gender_Whitespace_Removed]]
)</f>
        <v>Female</v>
      </c>
      <c r="O299" s="6" t="str">
        <f>PROPER(Working_Sales[[#This Row],[Gender_Abbreviation_Expanded]])</f>
        <v>Female</v>
      </c>
      <c r="P299">
        <v>51</v>
      </c>
      <c r="Q299" s="2" t="str">
        <f>CLEAN(TRIM(Working_Sales[[#This Row],[Age]]))</f>
        <v>51</v>
      </c>
      <c r="R299" s="6">
        <f>INT(SUBSTITUTE(Working_Sales[[#This Row],[Age_Whitespace_Removed]],".",","))</f>
        <v>51</v>
      </c>
      <c r="S299" t="s">
        <v>124</v>
      </c>
      <c r="T299" s="2" t="str">
        <f>CLEAN(TRIM(Working_Sales[[#This Row],[Product Category]]))</f>
        <v>Clothing</v>
      </c>
      <c r="U299" s="6" t="str">
        <f>PROPER(Working_Sales[[#This Row],[Product_Category_Whitespace_Removed]])</f>
        <v>Clothing</v>
      </c>
      <c r="V299" t="s">
        <v>29</v>
      </c>
      <c r="W299" s="2" t="str">
        <f>CLEAN(TRIM(Working_Sales[[#This Row],[Quantity]]))</f>
        <v>3</v>
      </c>
      <c r="X299" s="2">
        <f>INT(Working_Sales[[#This Row],[`]])</f>
        <v>3</v>
      </c>
      <c r="Y299" s="6">
        <f>IFERROR(
   Working_Sales[[#This Row],[Quantity_Converted_To_Integer]],
   Working_Sales[[#This Row],[Total_Amount_Whitespace_Removed]]/Working_Sales[[#This Row],[Price_Per_Unit_Decimal_Separator_Fixed]])</f>
        <v>3</v>
      </c>
      <c r="Z299" t="s">
        <v>171</v>
      </c>
      <c r="AA299" s="2" t="str">
        <f>CLEAN(TRIM(Working_Sales[[#This Row],[Price per Unit]]))</f>
        <v>25</v>
      </c>
      <c r="AB299" s="2">
        <f>INT(
   SUBSTITUTE(Working_Sales[[#This Row],[Price_Per_Unit_Whitespace_Removed]],
   "$",
   ""
   )
)</f>
        <v>25</v>
      </c>
      <c r="AC299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299" s="8">
        <f>IFERROR(
   Working_Sales[[#This Row],[Price_Per_Unit_Decimal_Separator_Fixed]],
   Working_Sales[[#This Row],[Total_Amount_Converted_To_Integer]]/Working_Sales[[#This Row],[Quantity_Converted_To_Integer]]
)</f>
        <v>25</v>
      </c>
      <c r="AE299" t="s">
        <v>31</v>
      </c>
      <c r="AF299" s="2" t="str">
        <f>CLEAN(TRIM(Working_Sales[[#This Row],[Total Amount]]))</f>
        <v>75</v>
      </c>
      <c r="AG299" s="2">
        <f>INT(Working_Sales[[#This Row],[Total_Amount_Whitespace_Removed]])</f>
        <v>75</v>
      </c>
      <c r="AH29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300" spans="1:34" x14ac:dyDescent="0.35">
      <c r="A300" t="s">
        <v>152</v>
      </c>
      <c r="B300" s="6" t="str">
        <f>CLEAN(TRIM(Working_Sales[[#This Row],[Transaction ID]]))</f>
        <v>21</v>
      </c>
      <c r="C300" t="s">
        <v>977</v>
      </c>
      <c r="D300" s="2" t="str">
        <f>CLEAN(TRIM(Working_Sales[[#This Row],[Date]]))</f>
        <v>01/14/2023</v>
      </c>
      <c r="E300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30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44940</v>
      </c>
      <c r="G30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44940</v>
      </c>
      <c r="H300" t="s">
        <v>2570</v>
      </c>
      <c r="I300" s="2" t="str">
        <f>CLEAN(TRIM(Working_Sales[[#This Row],[Customer ID]]))</f>
        <v>cust163</v>
      </c>
      <c r="J30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0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CUST163</v>
      </c>
      <c r="L300" t="s">
        <v>26</v>
      </c>
      <c r="M300" s="4" t="str">
        <f>CLEAN(TRIM(Working_Sales[[#This Row],[Gender]]))</f>
        <v>Female</v>
      </c>
      <c r="N300" s="4" t="str" cm="1">
        <f t="array" ref="N300">_xlfn.SWITCH(
   Working_Sales[[#This Row],[Gender_Whitespace_Removed]],
   "m", "Male",
   "f", "Female",
   Working_Sales[[#This Row],[Gender_Whitespace_Removed]]
)</f>
        <v>Female</v>
      </c>
      <c r="O300" s="6" t="str">
        <f>PROPER(Working_Sales[[#This Row],[Gender_Abbreviation_Expanded]])</f>
        <v>Female</v>
      </c>
      <c r="P300" t="s">
        <v>716</v>
      </c>
      <c r="Q300" s="2" t="str">
        <f>CLEAN(TRIM(Working_Sales[[#This Row],[Age]]))</f>
        <v>50</v>
      </c>
      <c r="R300" s="6">
        <f>INT(SUBSTITUTE(Working_Sales[[#This Row],[Age_Whitespace_Removed]],".",","))</f>
        <v>50</v>
      </c>
      <c r="S300" t="s">
        <v>36</v>
      </c>
      <c r="T300" s="2" t="str">
        <f>CLEAN(TRIM(Working_Sales[[#This Row],[Product Category]]))</f>
        <v>Beauty</v>
      </c>
      <c r="U300" s="6" t="str">
        <f>PROPER(Working_Sales[[#This Row],[Product_Category_Whitespace_Removed]])</f>
        <v>Beauty</v>
      </c>
      <c r="V300" t="s">
        <v>22</v>
      </c>
      <c r="W300" s="2" t="str">
        <f>CLEAN(TRIM(Working_Sales[[#This Row],[Quantity]]))</f>
        <v>1</v>
      </c>
      <c r="X300" s="2">
        <f>INT(Working_Sales[[#This Row],[`]])</f>
        <v>1</v>
      </c>
      <c r="Y300" s="6">
        <f>IFERROR(
   Working_Sales[[#This Row],[Quantity_Converted_To_Integer]],
   Working_Sales[[#This Row],[Total_Amount_Whitespace_Removed]]/Working_Sales[[#This Row],[Price_Per_Unit_Decimal_Separator_Fixed]])</f>
        <v>1</v>
      </c>
      <c r="AA300" s="2" t="str">
        <f>CLEAN(TRIM(Working_Sales[[#This Row],[Price per Unit]]))</f>
        <v/>
      </c>
      <c r="AB300" s="2" t="e">
        <f>INT(
   SUBSTITUTE(Working_Sales[[#This Row],[Price_Per_Unit_Whitespace_Removed]],
   "$",
   ""
   )
)</f>
        <v>#VALUE!</v>
      </c>
      <c r="AC300" s="2" t="e">
        <f>INT(
   IFERROR(
      Working_Sales[[#This Row],[Price_Per_Unit_Dollar_Sign_Removed]],
      SUBSTITUTE(
         Working_Sales[[#This Row],[Price_Per_Unit_Whitespace_Removed]],
        ".",
         ","
      )
   )
)</f>
        <v>#VALUE!</v>
      </c>
      <c r="AD300" s="8">
        <f>IFERROR(
   Working_Sales[[#This Row],[Price_Per_Unit_Decimal_Separator_Fixed]],
   Working_Sales[[#This Row],[Total_Amount_Converted_To_Integer]]/Working_Sales[[#This Row],[Quantity_Converted_To_Integer]]
)</f>
        <v>500</v>
      </c>
      <c r="AE300" t="s">
        <v>57</v>
      </c>
      <c r="AF300" s="2" t="str">
        <f>CLEAN(TRIM(Working_Sales[[#This Row],[Total Amount]]))</f>
        <v>500</v>
      </c>
      <c r="AG300" s="2">
        <f>INT(Working_Sales[[#This Row],[Total_Amount_Whitespace_Removed]])</f>
        <v>500</v>
      </c>
      <c r="AH30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301" spans="1:34" x14ac:dyDescent="0.35">
      <c r="A301" t="s">
        <v>717</v>
      </c>
      <c r="B301" s="6" t="str">
        <f>CLEAN(TRIM(Working_Sales[[#This Row],[Transaction ID]]))</f>
        <v>488</v>
      </c>
      <c r="C301" t="s">
        <v>718</v>
      </c>
      <c r="D301" s="2" t="str">
        <f>CLEAN(TRIM(Working_Sales[[#This Row],[Date]]))</f>
        <v>06/18/2023</v>
      </c>
      <c r="E301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30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45095</v>
      </c>
      <c r="G30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45095</v>
      </c>
      <c r="H301" t="s">
        <v>2571</v>
      </c>
      <c r="I301" s="2" t="str">
        <f>CLEAN(TRIM(Working_Sales[[#This Row],[Customer ID]]))</f>
        <v>CUST237</v>
      </c>
      <c r="J30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CUST237</v>
      </c>
      <c r="K30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CUST237</v>
      </c>
      <c r="L301" t="s">
        <v>26</v>
      </c>
      <c r="M301" s="4" t="str">
        <f>CLEAN(TRIM(Working_Sales[[#This Row],[Gender]]))</f>
        <v>Female</v>
      </c>
      <c r="N301" s="4" t="str" cm="1">
        <f t="array" ref="N301">_xlfn.SWITCH(
   Working_Sales[[#This Row],[Gender_Whitespace_Removed]],
   "m", "Male",
   "f", "Female",
   Working_Sales[[#This Row],[Gender_Whitespace_Removed]]
)</f>
        <v>Female</v>
      </c>
      <c r="O301" s="6" t="str">
        <f>PROPER(Working_Sales[[#This Row],[Gender_Abbreviation_Expanded]])</f>
        <v>Female</v>
      </c>
      <c r="P301">
        <v>51</v>
      </c>
      <c r="Q301" s="2" t="str">
        <f>CLEAN(TRIM(Working_Sales[[#This Row],[Age]]))</f>
        <v>51</v>
      </c>
      <c r="R301" s="6">
        <f>INT(SUBSTITUTE(Working_Sales[[#This Row],[Age_Whitespace_Removed]],".",","))</f>
        <v>51</v>
      </c>
      <c r="S301" t="s">
        <v>13</v>
      </c>
      <c r="T301" s="2" t="str">
        <f>CLEAN(TRIM(Working_Sales[[#This Row],[Product Category]]))</f>
        <v>Electronics</v>
      </c>
      <c r="U301" s="6" t="str">
        <f>PROPER(Working_Sales[[#This Row],[Product_Category_Whitespace_Removed]])</f>
        <v>Electronics</v>
      </c>
      <c r="V301" t="s">
        <v>29</v>
      </c>
      <c r="W301" s="2" t="str">
        <f>CLEAN(TRIM(Working_Sales[[#This Row],[Quantity]]))</f>
        <v>3</v>
      </c>
      <c r="X301" s="2">
        <f>INT(Working_Sales[[#This Row],[`]])</f>
        <v>3</v>
      </c>
      <c r="Y301" s="6">
        <f>IFERROR(
   Working_Sales[[#This Row],[Quantity_Converted_To_Integer]],
   Working_Sales[[#This Row],[Total_Amount_Whitespace_Removed]]/Working_Sales[[#This Row],[Price_Per_Unit_Decimal_Separator_Fixed]])</f>
        <v>3</v>
      </c>
      <c r="Z301" t="s">
        <v>23</v>
      </c>
      <c r="AA301" s="2" t="str">
        <f>CLEAN(TRIM(Working_Sales[[#This Row],[Price per Unit]]))</f>
        <v>300</v>
      </c>
      <c r="AB301" s="2">
        <f>INT(
   SUBSTITUTE(Working_Sales[[#This Row],[Price_Per_Unit_Whitespace_Removed]],
   "$",
   ""
   )
)</f>
        <v>300</v>
      </c>
      <c r="AC301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301" s="8">
        <f>IFERROR(
   Working_Sales[[#This Row],[Price_Per_Unit_Decimal_Separator_Fixed]],
   Working_Sales[[#This Row],[Total_Amount_Converted_To_Integer]]/Working_Sales[[#This Row],[Quantity_Converted_To_Integer]]
)</f>
        <v>300</v>
      </c>
      <c r="AE301" t="s">
        <v>128</v>
      </c>
      <c r="AF301" s="2" t="str">
        <f>CLEAN(TRIM(Working_Sales[[#This Row],[Total Amount]]))</f>
        <v>900</v>
      </c>
      <c r="AG301" s="2">
        <f>INT(Working_Sales[[#This Row],[Total_Amount_Whitespace_Removed]])</f>
        <v>900</v>
      </c>
      <c r="AH30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302" spans="1:34" x14ac:dyDescent="0.35">
      <c r="A302" t="s">
        <v>720</v>
      </c>
      <c r="B302" s="6" t="str">
        <f>CLEAN(TRIM(Working_Sales[[#This Row],[Transaction ID]]))</f>
        <v>781</v>
      </c>
      <c r="C302" t="s">
        <v>245</v>
      </c>
      <c r="D302" s="2" t="str">
        <f>CLEAN(TRIM(Working_Sales[[#This Row],[Date]]))</f>
        <v>12/23/2023</v>
      </c>
      <c r="E302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30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45283</v>
      </c>
      <c r="G30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45283</v>
      </c>
      <c r="H302" t="s">
        <v>909</v>
      </c>
      <c r="I302" s="2" t="str">
        <f>CLEAN(TRIM(Working_Sales[[#This Row],[Customer ID]]))</f>
        <v>CUST150</v>
      </c>
      <c r="J30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CUST150</v>
      </c>
      <c r="K30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CUST150</v>
      </c>
      <c r="L302" t="s">
        <v>11</v>
      </c>
      <c r="M302" s="4" t="str">
        <f>CLEAN(TRIM(Working_Sales[[#This Row],[Gender]]))</f>
        <v>MALE</v>
      </c>
      <c r="N302" s="4" t="str" cm="1">
        <f t="array" ref="N302">_xlfn.SWITCH(
   Working_Sales[[#This Row],[Gender_Whitespace_Removed]],
   "m", "Male",
   "f", "Female",
   Working_Sales[[#This Row],[Gender_Whitespace_Removed]]
)</f>
        <v>MALE</v>
      </c>
      <c r="O302" s="6" t="str">
        <f>PROPER(Working_Sales[[#This Row],[Gender_Abbreviation_Expanded]])</f>
        <v>Male</v>
      </c>
      <c r="P302">
        <v>35</v>
      </c>
      <c r="Q302" s="2" t="str">
        <f>CLEAN(TRIM(Working_Sales[[#This Row],[Age]]))</f>
        <v>35</v>
      </c>
      <c r="R302" s="6">
        <f>INT(SUBSTITUTE(Working_Sales[[#This Row],[Age_Whitespace_Removed]],".",","))</f>
        <v>35</v>
      </c>
      <c r="S302" t="s">
        <v>42</v>
      </c>
      <c r="T302" s="2" t="str">
        <f>CLEAN(TRIM(Working_Sales[[#This Row],[Product Category]]))</f>
        <v>Beauty</v>
      </c>
      <c r="U302" s="6" t="str">
        <f>PROPER(Working_Sales[[#This Row],[Product_Category_Whitespace_Removed]])</f>
        <v>Beauty</v>
      </c>
      <c r="V302" t="s">
        <v>22</v>
      </c>
      <c r="W302" s="2" t="str">
        <f>CLEAN(TRIM(Working_Sales[[#This Row],[Quantity]]))</f>
        <v>1</v>
      </c>
      <c r="X302" s="2">
        <f>INT(Working_Sales[[#This Row],[`]])</f>
        <v>1</v>
      </c>
      <c r="Y302" s="6">
        <f>IFERROR(
   Working_Sales[[#This Row],[Quantity_Converted_To_Integer]],
   Working_Sales[[#This Row],[Total_Amount_Whitespace_Removed]]/Working_Sales[[#This Row],[Price_Per_Unit_Decimal_Separator_Fixed]])</f>
        <v>1</v>
      </c>
      <c r="Z302" t="s">
        <v>57</v>
      </c>
      <c r="AA302" s="2" t="str">
        <f>CLEAN(TRIM(Working_Sales[[#This Row],[Price per Unit]]))</f>
        <v>500</v>
      </c>
      <c r="AB302" s="2">
        <f>INT(
   SUBSTITUTE(Working_Sales[[#This Row],[Price_Per_Unit_Whitespace_Removed]],
   "$",
   ""
   )
)</f>
        <v>500</v>
      </c>
      <c r="AC302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302" s="8">
        <f>IFERROR(
   Working_Sales[[#This Row],[Price_Per_Unit_Decimal_Separator_Fixed]],
   Working_Sales[[#This Row],[Total_Amount_Converted_To_Integer]]/Working_Sales[[#This Row],[Quantity_Converted_To_Integer]]
)</f>
        <v>500</v>
      </c>
      <c r="AE302" t="s">
        <v>57</v>
      </c>
      <c r="AF302" s="2" t="str">
        <f>CLEAN(TRIM(Working_Sales[[#This Row],[Total Amount]]))</f>
        <v>500</v>
      </c>
      <c r="AG302" s="2">
        <f>INT(Working_Sales[[#This Row],[Total_Amount_Whitespace_Removed]])</f>
        <v>500</v>
      </c>
      <c r="AH30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303" spans="1:34" x14ac:dyDescent="0.35">
      <c r="A303" t="s">
        <v>721</v>
      </c>
      <c r="B303" s="6" t="str">
        <f>CLEAN(TRIM(Working_Sales[[#This Row],[Transaction ID]]))</f>
        <v>708</v>
      </c>
      <c r="C303" t="s">
        <v>722</v>
      </c>
      <c r="D303" s="2" t="str">
        <f>CLEAN(TRIM(Working_Sales[[#This Row],[Date]]))</f>
        <v>14/01/2023</v>
      </c>
      <c r="E30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44940</v>
      </c>
      <c r="F30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44940</v>
      </c>
      <c r="G30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44940</v>
      </c>
      <c r="H303" t="s">
        <v>2572</v>
      </c>
      <c r="I303" s="2" t="str">
        <f>CLEAN(TRIM(Working_Sales[[#This Row],[Customer ID]]))</f>
        <v>CUST-081</v>
      </c>
      <c r="J30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0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CUST081</v>
      </c>
      <c r="L303" t="s">
        <v>26</v>
      </c>
      <c r="M303" s="4" t="str">
        <f>CLEAN(TRIM(Working_Sales[[#This Row],[Gender]]))</f>
        <v>Female</v>
      </c>
      <c r="N303" s="4" t="str" cm="1">
        <f t="array" ref="N303">_xlfn.SWITCH(
   Working_Sales[[#This Row],[Gender_Whitespace_Removed]],
   "m", "Male",
   "f", "Female",
   Working_Sales[[#This Row],[Gender_Whitespace_Removed]]
)</f>
        <v>Female</v>
      </c>
      <c r="O303" s="6" t="str">
        <f>PROPER(Working_Sales[[#This Row],[Gender_Abbreviation_Expanded]])</f>
        <v>Female</v>
      </c>
      <c r="P303">
        <v>43</v>
      </c>
      <c r="Q303" s="2" t="str">
        <f>CLEAN(TRIM(Working_Sales[[#This Row],[Age]]))</f>
        <v>43</v>
      </c>
      <c r="R303" s="6">
        <f>INT(SUBSTITUTE(Working_Sales[[#This Row],[Age_Whitespace_Removed]],".",","))</f>
        <v>43</v>
      </c>
      <c r="S303" t="s">
        <v>36</v>
      </c>
      <c r="T303" s="2" t="str">
        <f>CLEAN(TRIM(Working_Sales[[#This Row],[Product Category]]))</f>
        <v>Beauty</v>
      </c>
      <c r="U303" s="6" t="str">
        <f>PROPER(Working_Sales[[#This Row],[Product_Category_Whitespace_Removed]])</f>
        <v>Beauty</v>
      </c>
      <c r="V303" t="s">
        <v>29</v>
      </c>
      <c r="W303" s="2" t="str">
        <f>CLEAN(TRIM(Working_Sales[[#This Row],[Quantity]]))</f>
        <v>3</v>
      </c>
      <c r="X303" s="2">
        <f>INT(Working_Sales[[#This Row],[`]])</f>
        <v>3</v>
      </c>
      <c r="Y303" s="6">
        <f>IFERROR(
   Working_Sales[[#This Row],[Quantity_Converted_To_Integer]],
   Working_Sales[[#This Row],[Total_Amount_Whitespace_Removed]]/Working_Sales[[#This Row],[Price_Per_Unit_Decimal_Separator_Fixed]])</f>
        <v>3</v>
      </c>
      <c r="Z303" t="s">
        <v>23</v>
      </c>
      <c r="AA303" s="2" t="str">
        <f>CLEAN(TRIM(Working_Sales[[#This Row],[Price per Unit]]))</f>
        <v>300</v>
      </c>
      <c r="AB303" s="2">
        <f>INT(
   SUBSTITUTE(Working_Sales[[#This Row],[Price_Per_Unit_Whitespace_Removed]],
   "$",
   ""
   )
)</f>
        <v>300</v>
      </c>
      <c r="AC303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303" s="8">
        <f>IFERROR(
   Working_Sales[[#This Row],[Price_Per_Unit_Decimal_Separator_Fixed]],
   Working_Sales[[#This Row],[Total_Amount_Converted_To_Integer]]/Working_Sales[[#This Row],[Quantity_Converted_To_Integer]]
)</f>
        <v>300</v>
      </c>
      <c r="AE303" t="s">
        <v>128</v>
      </c>
      <c r="AF303" s="2" t="str">
        <f>CLEAN(TRIM(Working_Sales[[#This Row],[Total Amount]]))</f>
        <v>900</v>
      </c>
      <c r="AG303" s="2">
        <f>INT(Working_Sales[[#This Row],[Total_Amount_Whitespace_Removed]])</f>
        <v>900</v>
      </c>
      <c r="AH30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304" spans="1:34" x14ac:dyDescent="0.35">
      <c r="A304" t="s">
        <v>723</v>
      </c>
      <c r="B304" s="6" t="str">
        <f>CLEAN(TRIM(Working_Sales[[#This Row],[Transaction ID]]))</f>
        <v>297</v>
      </c>
      <c r="C304" t="s">
        <v>2074</v>
      </c>
      <c r="D304" s="2" t="str">
        <f>CLEAN(TRIM(Working_Sales[[#This Row],[Date]]))</f>
        <v>2023-09-04</v>
      </c>
      <c r="E30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45173</v>
      </c>
      <c r="F30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45173</v>
      </c>
      <c r="G30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45173</v>
      </c>
      <c r="H304" t="s">
        <v>2573</v>
      </c>
      <c r="I304" s="2" t="str">
        <f>CLEAN(TRIM(Working_Sales[[#This Row],[Customer ID]]))</f>
        <v>CUST093</v>
      </c>
      <c r="J30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CUST093</v>
      </c>
      <c r="K30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CUST093</v>
      </c>
      <c r="L304" t="s">
        <v>26</v>
      </c>
      <c r="M304" s="4" t="str">
        <f>CLEAN(TRIM(Working_Sales[[#This Row],[Gender]]))</f>
        <v>Female</v>
      </c>
      <c r="N304" s="4" t="str" cm="1">
        <f t="array" ref="N304">_xlfn.SWITCH(
   Working_Sales[[#This Row],[Gender_Whitespace_Removed]],
   "m", "Male",
   "f", "Female",
   Working_Sales[[#This Row],[Gender_Whitespace_Removed]]
)</f>
        <v>Female</v>
      </c>
      <c r="O304" s="6" t="str">
        <f>PROPER(Working_Sales[[#This Row],[Gender_Abbreviation_Expanded]])</f>
        <v>Female</v>
      </c>
      <c r="P304">
        <v>40</v>
      </c>
      <c r="Q304" s="2" t="str">
        <f>CLEAN(TRIM(Working_Sales[[#This Row],[Age]]))</f>
        <v>40</v>
      </c>
      <c r="R304" s="6">
        <f>INT(SUBSTITUTE(Working_Sales[[#This Row],[Age_Whitespace_Removed]],".",","))</f>
        <v>40</v>
      </c>
      <c r="S304" t="s">
        <v>48</v>
      </c>
      <c r="T304" s="2" t="str">
        <f>CLEAN(TRIM(Working_Sales[[#This Row],[Product Category]]))</f>
        <v>electronics</v>
      </c>
      <c r="U304" s="6" t="str">
        <f>PROPER(Working_Sales[[#This Row],[Product_Category_Whitespace_Removed]])</f>
        <v>Electronics</v>
      </c>
      <c r="V304" t="s">
        <v>37</v>
      </c>
      <c r="W304" s="2" t="str">
        <f>CLEAN(TRIM(Working_Sales[[#This Row],[Quantity]]))</f>
        <v>2</v>
      </c>
      <c r="X304" s="2">
        <f>INT(Working_Sales[[#This Row],[`]])</f>
        <v>2</v>
      </c>
      <c r="Y304" s="6">
        <f>IFERROR(
   Working_Sales[[#This Row],[Quantity_Converted_To_Integer]],
   Working_Sales[[#This Row],[Total_Amount_Whitespace_Removed]]/Working_Sales[[#This Row],[Price_Per_Unit_Decimal_Separator_Fixed]])</f>
        <v>2</v>
      </c>
      <c r="Z304" t="s">
        <v>57</v>
      </c>
      <c r="AA304" s="2" t="str">
        <f>CLEAN(TRIM(Working_Sales[[#This Row],[Price per Unit]]))</f>
        <v>500</v>
      </c>
      <c r="AB304" s="2">
        <f>INT(
   SUBSTITUTE(Working_Sales[[#This Row],[Price_Per_Unit_Whitespace_Removed]],
   "$",
   ""
   )
)</f>
        <v>500</v>
      </c>
      <c r="AC304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304" s="8">
        <f>IFERROR(
   Working_Sales[[#This Row],[Price_Per_Unit_Decimal_Separator_Fixed]],
   Working_Sales[[#This Row],[Total_Amount_Converted_To_Integer]]/Working_Sales[[#This Row],[Quantity_Converted_To_Integer]]
)</f>
        <v>500</v>
      </c>
      <c r="AE304" t="s">
        <v>163</v>
      </c>
      <c r="AF304" s="2" t="str">
        <f>CLEAN(TRIM(Working_Sales[[#This Row],[Total Amount]]))</f>
        <v>1000</v>
      </c>
      <c r="AG304" s="2">
        <f>INT(Working_Sales[[#This Row],[Total_Amount_Whitespace_Removed]])</f>
        <v>1000</v>
      </c>
      <c r="AH30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305" spans="1:34" x14ac:dyDescent="0.35">
      <c r="A305" t="s">
        <v>724</v>
      </c>
      <c r="B305" s="6" t="str">
        <f>CLEAN(TRIM(Working_Sales[[#This Row],[Transaction ID]]))</f>
        <v>436</v>
      </c>
      <c r="C305" t="s">
        <v>725</v>
      </c>
      <c r="D305" s="2" t="str">
        <f>CLEAN(TRIM(Working_Sales[[#This Row],[Date]]))</f>
        <v>2023-03-18</v>
      </c>
      <c r="E30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45003</v>
      </c>
      <c r="F30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45003</v>
      </c>
      <c r="G30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45003</v>
      </c>
      <c r="H305" t="s">
        <v>2574</v>
      </c>
      <c r="I305" s="2" t="str">
        <f>CLEAN(TRIM(Working_Sales[[#This Row],[Customer ID]]))</f>
        <v>CUST238</v>
      </c>
      <c r="J30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CUST238</v>
      </c>
      <c r="K30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CUST238</v>
      </c>
      <c r="L305" t="s">
        <v>26</v>
      </c>
      <c r="M305" s="4" t="str">
        <f>CLEAN(TRIM(Working_Sales[[#This Row],[Gender]]))</f>
        <v>Female</v>
      </c>
      <c r="N305" s="4" t="str" cm="1">
        <f t="array" ref="N305">_xlfn.SWITCH(
   Working_Sales[[#This Row],[Gender_Whitespace_Removed]],
   "m", "Male",
   "f", "Female",
   Working_Sales[[#This Row],[Gender_Whitespace_Removed]]
)</f>
        <v>Female</v>
      </c>
      <c r="O305" s="6" t="str">
        <f>PROPER(Working_Sales[[#This Row],[Gender_Abbreviation_Expanded]])</f>
        <v>Female</v>
      </c>
      <c r="P305" t="s">
        <v>726</v>
      </c>
      <c r="Q305" s="2" t="str">
        <f>CLEAN(TRIM(Working_Sales[[#This Row],[Age]]))</f>
        <v>57</v>
      </c>
      <c r="R305" s="6">
        <f>INT(SUBSTITUTE(Working_Sales[[#This Row],[Age_Whitespace_Removed]],".",","))</f>
        <v>57</v>
      </c>
      <c r="S305" t="s">
        <v>28</v>
      </c>
      <c r="T305" s="2" t="str">
        <f>CLEAN(TRIM(Working_Sales[[#This Row],[Product Category]]))</f>
        <v>clothing</v>
      </c>
      <c r="U305" s="6" t="str">
        <f>PROPER(Working_Sales[[#This Row],[Product_Category_Whitespace_Removed]])</f>
        <v>Clothing</v>
      </c>
      <c r="V305" t="s">
        <v>14</v>
      </c>
      <c r="W305" s="2" t="str">
        <f>CLEAN(TRIM(Working_Sales[[#This Row],[Quantity]]))</f>
        <v>4</v>
      </c>
      <c r="X305" s="2">
        <f>INT(Working_Sales[[#This Row],[`]])</f>
        <v>4</v>
      </c>
      <c r="Y305" s="6">
        <f>IFERROR(
   Working_Sales[[#This Row],[Quantity_Converted_To_Integer]],
   Working_Sales[[#This Row],[Total_Amount_Whitespace_Removed]]/Working_Sales[[#This Row],[Price_Per_Unit_Decimal_Separator_Fixed]])</f>
        <v>4</v>
      </c>
      <c r="Z305" t="s">
        <v>70</v>
      </c>
      <c r="AA305" s="2" t="str">
        <f>CLEAN(TRIM(Working_Sales[[#This Row],[Price per Unit]]))</f>
        <v>30</v>
      </c>
      <c r="AB305" s="2">
        <f>INT(
   SUBSTITUTE(Working_Sales[[#This Row],[Price_Per_Unit_Whitespace_Removed]],
   "$",
   ""
   )
)</f>
        <v>30</v>
      </c>
      <c r="AC305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305" s="8">
        <f>IFERROR(
   Working_Sales[[#This Row],[Price_Per_Unit_Decimal_Separator_Fixed]],
   Working_Sales[[#This Row],[Total_Amount_Converted_To_Integer]]/Working_Sales[[#This Row],[Quantity_Converted_To_Integer]]
)</f>
        <v>30</v>
      </c>
      <c r="AE305" t="s">
        <v>44</v>
      </c>
      <c r="AF305" s="2" t="str">
        <f>CLEAN(TRIM(Working_Sales[[#This Row],[Total Amount]]))</f>
        <v>120</v>
      </c>
      <c r="AG305" s="2">
        <f>INT(Working_Sales[[#This Row],[Total_Amount_Whitespace_Removed]])</f>
        <v>120</v>
      </c>
      <c r="AH30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306" spans="1:34" x14ac:dyDescent="0.35">
      <c r="A306" t="s">
        <v>727</v>
      </c>
      <c r="B306" s="6" t="str">
        <f>CLEAN(TRIM(Working_Sales[[#This Row],[Transaction ID]]))</f>
        <v>542</v>
      </c>
      <c r="C306" t="s">
        <v>87</v>
      </c>
      <c r="D306" s="2" t="str">
        <f>CLEAN(TRIM(Working_Sales[[#This Row],[Date]]))</f>
        <v>June 17, 2023</v>
      </c>
      <c r="E306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306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30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45094</v>
      </c>
      <c r="H306" t="s">
        <v>2575</v>
      </c>
      <c r="I306" s="2" t="str">
        <f>CLEAN(TRIM(Working_Sales[[#This Row],[Customer ID]]))</f>
        <v>CUST114</v>
      </c>
      <c r="J30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CUST114</v>
      </c>
      <c r="K30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CUST114</v>
      </c>
      <c r="L306" t="s">
        <v>26</v>
      </c>
      <c r="M306" s="4" t="str">
        <f>CLEAN(TRIM(Working_Sales[[#This Row],[Gender]]))</f>
        <v>Female</v>
      </c>
      <c r="N306" s="4" t="str" cm="1">
        <f t="array" ref="N306">_xlfn.SWITCH(
   Working_Sales[[#This Row],[Gender_Whitespace_Removed]],
   "m", "Male",
   "f", "Female",
   Working_Sales[[#This Row],[Gender_Whitespace_Removed]]
)</f>
        <v>Female</v>
      </c>
      <c r="O306" s="6" t="str">
        <f>PROPER(Working_Sales[[#This Row],[Gender_Abbreviation_Expanded]])</f>
        <v>Female</v>
      </c>
      <c r="P306">
        <v>20</v>
      </c>
      <c r="Q306" s="2" t="str">
        <f>CLEAN(TRIM(Working_Sales[[#This Row],[Age]]))</f>
        <v>20</v>
      </c>
      <c r="R306" s="6">
        <f>INT(SUBSTITUTE(Working_Sales[[#This Row],[Age_Whitespace_Removed]],".",","))</f>
        <v>20</v>
      </c>
      <c r="S306" t="s">
        <v>36</v>
      </c>
      <c r="T306" s="2" t="str">
        <f>CLEAN(TRIM(Working_Sales[[#This Row],[Product Category]]))</f>
        <v>Beauty</v>
      </c>
      <c r="U306" s="6" t="str">
        <f>PROPER(Working_Sales[[#This Row],[Product_Category_Whitespace_Removed]])</f>
        <v>Beauty</v>
      </c>
      <c r="V306" t="s">
        <v>22</v>
      </c>
      <c r="W306" s="2" t="str">
        <f>CLEAN(TRIM(Working_Sales[[#This Row],[Quantity]]))</f>
        <v>1</v>
      </c>
      <c r="X306" s="2">
        <f>INT(Working_Sales[[#This Row],[`]])</f>
        <v>1</v>
      </c>
      <c r="Y306" s="6">
        <f>IFERROR(
   Working_Sales[[#This Row],[Quantity_Converted_To_Integer]],
   Working_Sales[[#This Row],[Total_Amount_Whitespace_Removed]]/Working_Sales[[#This Row],[Price_Per_Unit_Decimal_Separator_Fixed]])</f>
        <v>1</v>
      </c>
      <c r="Z306" t="s">
        <v>15</v>
      </c>
      <c r="AA306" s="2" t="str">
        <f>CLEAN(TRIM(Working_Sales[[#This Row],[Price per Unit]]))</f>
        <v>50</v>
      </c>
      <c r="AB306" s="2">
        <f>INT(
   SUBSTITUTE(Working_Sales[[#This Row],[Price_Per_Unit_Whitespace_Removed]],
   "$",
   ""
   )
)</f>
        <v>50</v>
      </c>
      <c r="AC306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306" s="8">
        <f>IFERROR(
   Working_Sales[[#This Row],[Price_Per_Unit_Decimal_Separator_Fixed]],
   Working_Sales[[#This Row],[Total_Amount_Converted_To_Integer]]/Working_Sales[[#This Row],[Quantity_Converted_To_Integer]]
)</f>
        <v>50</v>
      </c>
      <c r="AE306" t="s">
        <v>15</v>
      </c>
      <c r="AF306" s="2" t="str">
        <f>CLEAN(TRIM(Working_Sales[[#This Row],[Total Amount]]))</f>
        <v>50</v>
      </c>
      <c r="AG306" s="2">
        <f>INT(Working_Sales[[#This Row],[Total_Amount_Whitespace_Removed]])</f>
        <v>50</v>
      </c>
      <c r="AH30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307" spans="1:34" x14ac:dyDescent="0.35">
      <c r="A307" t="s">
        <v>728</v>
      </c>
      <c r="B307" s="6" t="str">
        <f>CLEAN(TRIM(Working_Sales[[#This Row],[Transaction ID]]))</f>
        <v>262</v>
      </c>
      <c r="C307" t="s">
        <v>2075</v>
      </c>
      <c r="D307" s="2" t="str">
        <f>CLEAN(TRIM(Working_Sales[[#This Row],[Date]]))</f>
        <v>07/30/2023</v>
      </c>
      <c r="E307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30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45137</v>
      </c>
      <c r="G30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45137</v>
      </c>
      <c r="H307" t="s">
        <v>2576</v>
      </c>
      <c r="I307" s="2" t="str">
        <f>CLEAN(TRIM(Working_Sales[[#This Row],[Customer ID]]))</f>
        <v>cust235</v>
      </c>
      <c r="J30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0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CUST235</v>
      </c>
      <c r="L307" t="s">
        <v>26</v>
      </c>
      <c r="M307" s="4" t="str">
        <f>CLEAN(TRIM(Working_Sales[[#This Row],[Gender]]))</f>
        <v>Female</v>
      </c>
      <c r="N307" s="4" t="str" cm="1">
        <f t="array" ref="N307">_xlfn.SWITCH(
   Working_Sales[[#This Row],[Gender_Whitespace_Removed]],
   "m", "Male",
   "f", "Female",
   Working_Sales[[#This Row],[Gender_Whitespace_Removed]]
)</f>
        <v>Female</v>
      </c>
      <c r="O307" s="6" t="str">
        <f>PROPER(Working_Sales[[#This Row],[Gender_Abbreviation_Expanded]])</f>
        <v>Female</v>
      </c>
      <c r="P307">
        <v>32</v>
      </c>
      <c r="Q307" s="2" t="str">
        <f>CLEAN(TRIM(Working_Sales[[#This Row],[Age]]))</f>
        <v>32</v>
      </c>
      <c r="R307" s="6">
        <f>INT(SUBSTITUTE(Working_Sales[[#This Row],[Age_Whitespace_Removed]],".",","))</f>
        <v>32</v>
      </c>
      <c r="S307" t="s">
        <v>434</v>
      </c>
      <c r="T307" s="2" t="str">
        <f>CLEAN(TRIM(Working_Sales[[#This Row],[Product Category]]))</f>
        <v>Beauty</v>
      </c>
      <c r="U307" s="6" t="str">
        <f>PROPER(Working_Sales[[#This Row],[Product_Category_Whitespace_Removed]])</f>
        <v>Beauty</v>
      </c>
      <c r="V307" t="s">
        <v>14</v>
      </c>
      <c r="W307" s="2" t="str">
        <f>CLEAN(TRIM(Working_Sales[[#This Row],[Quantity]]))</f>
        <v>4</v>
      </c>
      <c r="X307" s="2">
        <f>INT(Working_Sales[[#This Row],[`]])</f>
        <v>4</v>
      </c>
      <c r="Y307" s="6">
        <f>IFERROR(
   Working_Sales[[#This Row],[Quantity_Converted_To_Integer]],
   Working_Sales[[#This Row],[Total_Amount_Whitespace_Removed]]/Working_Sales[[#This Row],[Price_Per_Unit_Decimal_Separator_Fixed]])</f>
        <v>4</v>
      </c>
      <c r="Z307" t="s">
        <v>147</v>
      </c>
      <c r="AA307" s="2" t="str">
        <f>CLEAN(TRIM(Working_Sales[[#This Row],[Price per Unit]]))</f>
        <v>$30</v>
      </c>
      <c r="AB307" s="2">
        <f>INT(
   SUBSTITUTE(Working_Sales[[#This Row],[Price_Per_Unit_Whitespace_Removed]],
   "$",
   ""
   )
)</f>
        <v>30</v>
      </c>
      <c r="AC307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307" s="8">
        <f>IFERROR(
   Working_Sales[[#This Row],[Price_Per_Unit_Decimal_Separator_Fixed]],
   Working_Sales[[#This Row],[Total_Amount_Converted_To_Integer]]/Working_Sales[[#This Row],[Quantity_Converted_To_Integer]]
)</f>
        <v>30</v>
      </c>
      <c r="AE307" t="s">
        <v>44</v>
      </c>
      <c r="AF307" s="2" t="str">
        <f>CLEAN(TRIM(Working_Sales[[#This Row],[Total Amount]]))</f>
        <v>120</v>
      </c>
      <c r="AG307" s="2">
        <f>INT(Working_Sales[[#This Row],[Total_Amount_Whitespace_Removed]])</f>
        <v>120</v>
      </c>
      <c r="AH30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308" spans="1:34" x14ac:dyDescent="0.35">
      <c r="A308" t="s">
        <v>730</v>
      </c>
      <c r="B308" s="6" t="str">
        <f>CLEAN(TRIM(Working_Sales[[#This Row],[Transaction ID]]))</f>
        <v>458</v>
      </c>
      <c r="C308" t="s">
        <v>731</v>
      </c>
      <c r="D308" s="2" t="str">
        <f>CLEAN(TRIM(Working_Sales[[#This Row],[Date]]))</f>
        <v>14/11/2023</v>
      </c>
      <c r="E30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45244</v>
      </c>
      <c r="F30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45244</v>
      </c>
      <c r="G30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45244</v>
      </c>
      <c r="H308" t="s">
        <v>2577</v>
      </c>
      <c r="I308" s="2" t="str">
        <f>CLEAN(TRIM(Working_Sales[[#This Row],[Customer ID]]))</f>
        <v>cust239</v>
      </c>
      <c r="J30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0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CUST239</v>
      </c>
      <c r="L308" t="s">
        <v>26</v>
      </c>
      <c r="M308" s="4" t="str">
        <f>CLEAN(TRIM(Working_Sales[[#This Row],[Gender]]))</f>
        <v>Female</v>
      </c>
      <c r="N308" s="4" t="str" cm="1">
        <f t="array" ref="N308">_xlfn.SWITCH(
   Working_Sales[[#This Row],[Gender_Whitespace_Removed]],
   "m", "Male",
   "f", "Female",
   Working_Sales[[#This Row],[Gender_Whitespace_Removed]]
)</f>
        <v>Female</v>
      </c>
      <c r="O308" s="6" t="str">
        <f>PROPER(Working_Sales[[#This Row],[Gender_Abbreviation_Expanded]])</f>
        <v>Female</v>
      </c>
      <c r="P308">
        <v>39</v>
      </c>
      <c r="Q308" s="2" t="str">
        <f>CLEAN(TRIM(Working_Sales[[#This Row],[Age]]))</f>
        <v>39</v>
      </c>
      <c r="R308" s="6">
        <f>INT(SUBSTITUTE(Working_Sales[[#This Row],[Age_Whitespace_Removed]],".",","))</f>
        <v>39</v>
      </c>
      <c r="S308" t="s">
        <v>109</v>
      </c>
      <c r="T308" s="2" t="str">
        <f>CLEAN(TRIM(Working_Sales[[#This Row],[Product Category]]))</f>
        <v>Electronics</v>
      </c>
      <c r="U308" s="6" t="str">
        <f>PROPER(Working_Sales[[#This Row],[Product_Category_Whitespace_Removed]])</f>
        <v>Electronics</v>
      </c>
      <c r="V308" t="s">
        <v>14</v>
      </c>
      <c r="W308" s="2" t="str">
        <f>CLEAN(TRIM(Working_Sales[[#This Row],[Quantity]]))</f>
        <v>4</v>
      </c>
      <c r="X308" s="2">
        <f>INT(Working_Sales[[#This Row],[`]])</f>
        <v>4</v>
      </c>
      <c r="Y308" s="6">
        <f>IFERROR(
   Working_Sales[[#This Row],[Quantity_Converted_To_Integer]],
   Working_Sales[[#This Row],[Total_Amount_Whitespace_Removed]]/Working_Sales[[#This Row],[Price_Per_Unit_Decimal_Separator_Fixed]])</f>
        <v>4</v>
      </c>
      <c r="Z308" t="s">
        <v>30</v>
      </c>
      <c r="AA308" s="2" t="str">
        <f>CLEAN(TRIM(Working_Sales[[#This Row],[Price per Unit]]))</f>
        <v>25</v>
      </c>
      <c r="AB308" s="2">
        <f>INT(
   SUBSTITUTE(Working_Sales[[#This Row],[Price_Per_Unit_Whitespace_Removed]],
   "$",
   ""
   )
)</f>
        <v>25</v>
      </c>
      <c r="AC308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308" s="8">
        <f>IFERROR(
   Working_Sales[[#This Row],[Price_Per_Unit_Decimal_Separator_Fixed]],
   Working_Sales[[#This Row],[Total_Amount_Converted_To_Integer]]/Working_Sales[[#This Row],[Quantity_Converted_To_Integer]]
)</f>
        <v>25</v>
      </c>
      <c r="AE308" t="s">
        <v>38</v>
      </c>
      <c r="AF308" s="2" t="str">
        <f>CLEAN(TRIM(Working_Sales[[#This Row],[Total Amount]]))</f>
        <v>100</v>
      </c>
      <c r="AG308" s="2">
        <f>INT(Working_Sales[[#This Row],[Total_Amount_Whitespace_Removed]])</f>
        <v>100</v>
      </c>
      <c r="AH30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309" spans="1:34" x14ac:dyDescent="0.35">
      <c r="A309" t="s">
        <v>733</v>
      </c>
      <c r="B309" s="6" t="str">
        <f>CLEAN(TRIM(Working_Sales[[#This Row],[Transaction ID]]))</f>
        <v>664</v>
      </c>
      <c r="C309" t="s">
        <v>734</v>
      </c>
      <c r="D309" s="2" t="str">
        <f>CLEAN(TRIM(Working_Sales[[#This Row],[Date]]))</f>
        <v>2023-12-28</v>
      </c>
      <c r="E30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45288</v>
      </c>
      <c r="F30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45288</v>
      </c>
      <c r="G30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45288</v>
      </c>
      <c r="H309" t="s">
        <v>2578</v>
      </c>
      <c r="I309" s="2" t="str">
        <f>CLEAN(TRIM(Working_Sales[[#This Row],[Customer ID]]))</f>
        <v>CUST240</v>
      </c>
      <c r="J30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CUST240</v>
      </c>
      <c r="K30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CUST240</v>
      </c>
      <c r="L309" t="s">
        <v>26</v>
      </c>
      <c r="M309" s="4" t="str">
        <f>CLEAN(TRIM(Working_Sales[[#This Row],[Gender]]))</f>
        <v>Female</v>
      </c>
      <c r="N309" s="4" t="str" cm="1">
        <f t="array" ref="N309">_xlfn.SWITCH(
   Working_Sales[[#This Row],[Gender_Whitespace_Removed]],
   "m", "Male",
   "f", "Female",
   Working_Sales[[#This Row],[Gender_Whitespace_Removed]]
)</f>
        <v>Female</v>
      </c>
      <c r="O309" s="6" t="str">
        <f>PROPER(Working_Sales[[#This Row],[Gender_Abbreviation_Expanded]])</f>
        <v>Female</v>
      </c>
      <c r="P309">
        <v>44</v>
      </c>
      <c r="Q309" s="2" t="str">
        <f>CLEAN(TRIM(Working_Sales[[#This Row],[Age]]))</f>
        <v>44</v>
      </c>
      <c r="R309" s="6">
        <f>INT(SUBSTITUTE(Working_Sales[[#This Row],[Age_Whitespace_Removed]],".",","))</f>
        <v>44</v>
      </c>
      <c r="S309" t="s">
        <v>56</v>
      </c>
      <c r="T309" s="2" t="str">
        <f>CLEAN(TRIM(Working_Sales[[#This Row],[Product Category]]))</f>
        <v>Clothing</v>
      </c>
      <c r="U309" s="6" t="str">
        <f>PROPER(Working_Sales[[#This Row],[Product_Category_Whitespace_Removed]])</f>
        <v>Clothing</v>
      </c>
      <c r="V309" t="s">
        <v>14</v>
      </c>
      <c r="W309" s="2" t="str">
        <f>CLEAN(TRIM(Working_Sales[[#This Row],[Quantity]]))</f>
        <v>4</v>
      </c>
      <c r="X309" s="2">
        <f>INT(Working_Sales[[#This Row],[`]])</f>
        <v>4</v>
      </c>
      <c r="Y309" s="6">
        <f>IFERROR(
   Working_Sales[[#This Row],[Quantity_Converted_To_Integer]],
   Working_Sales[[#This Row],[Total_Amount_Whitespace_Removed]]/Working_Sales[[#This Row],[Price_Per_Unit_Decimal_Separator_Fixed]])</f>
        <v>4</v>
      </c>
      <c r="Z309" t="s">
        <v>57</v>
      </c>
      <c r="AA309" s="2" t="str">
        <f>CLEAN(TRIM(Working_Sales[[#This Row],[Price per Unit]]))</f>
        <v>500</v>
      </c>
      <c r="AB309" s="2">
        <f>INT(
   SUBSTITUTE(Working_Sales[[#This Row],[Price_Per_Unit_Whitespace_Removed]],
   "$",
   ""
   )
)</f>
        <v>500</v>
      </c>
      <c r="AC309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309" s="8">
        <f>IFERROR(
   Working_Sales[[#This Row],[Price_Per_Unit_Decimal_Separator_Fixed]],
   Working_Sales[[#This Row],[Total_Amount_Converted_To_Integer]]/Working_Sales[[#This Row],[Quantity_Converted_To_Integer]]
)</f>
        <v>500</v>
      </c>
      <c r="AE309" t="s">
        <v>232</v>
      </c>
      <c r="AF309" s="2" t="str">
        <f>CLEAN(TRIM(Working_Sales[[#This Row],[Total Amount]]))</f>
        <v>2000</v>
      </c>
      <c r="AG309" s="2">
        <f>INT(Working_Sales[[#This Row],[Total_Amount_Whitespace_Removed]])</f>
        <v>2000</v>
      </c>
      <c r="AH30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310" spans="1:34" x14ac:dyDescent="0.35">
      <c r="A310" t="s">
        <v>735</v>
      </c>
      <c r="B310" s="6" t="str">
        <f>CLEAN(TRIM(Working_Sales[[#This Row],[Transaction ID]]))</f>
        <v>511</v>
      </c>
      <c r="C310" t="s">
        <v>421</v>
      </c>
      <c r="D310" s="2" t="str">
        <f>CLEAN(TRIM(Working_Sales[[#This Row],[Date]]))</f>
        <v>2023-08-12</v>
      </c>
      <c r="E31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45150</v>
      </c>
      <c r="F31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45150</v>
      </c>
      <c r="G31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45150</v>
      </c>
      <c r="H310" t="s">
        <v>1178</v>
      </c>
      <c r="I310" s="2" t="str">
        <f>CLEAN(TRIM(Working_Sales[[#This Row],[Customer ID]]))</f>
        <v>CUST241</v>
      </c>
      <c r="J31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CUST241</v>
      </c>
      <c r="K31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CUST241</v>
      </c>
      <c r="L310" t="s">
        <v>11</v>
      </c>
      <c r="M310" s="4" t="str">
        <f>CLEAN(TRIM(Working_Sales[[#This Row],[Gender]]))</f>
        <v>MALE</v>
      </c>
      <c r="N310" s="4" t="str" cm="1">
        <f t="array" ref="N310">_xlfn.SWITCH(
   Working_Sales[[#This Row],[Gender_Whitespace_Removed]],
   "m", "Male",
   "f", "Female",
   Working_Sales[[#This Row],[Gender_Whitespace_Removed]]
)</f>
        <v>MALE</v>
      </c>
      <c r="O310" s="6" t="str">
        <f>PROPER(Working_Sales[[#This Row],[Gender_Abbreviation_Expanded]])</f>
        <v>Male</v>
      </c>
      <c r="P310" t="s">
        <v>342</v>
      </c>
      <c r="Q310" s="2" t="str">
        <f>CLEAN(TRIM(Working_Sales[[#This Row],[Age]]))</f>
        <v>45.0</v>
      </c>
      <c r="R310" s="6">
        <f>INT(SUBSTITUTE(Working_Sales[[#This Row],[Age_Whitespace_Removed]],".",","))</f>
        <v>45</v>
      </c>
      <c r="S310" t="s">
        <v>36</v>
      </c>
      <c r="T310" s="2" t="str">
        <f>CLEAN(TRIM(Working_Sales[[#This Row],[Product Category]]))</f>
        <v>Beauty</v>
      </c>
      <c r="U310" s="6" t="str">
        <f>PROPER(Working_Sales[[#This Row],[Product_Category_Whitespace_Removed]])</f>
        <v>Beauty</v>
      </c>
      <c r="V310" t="s">
        <v>37</v>
      </c>
      <c r="W310" s="2" t="str">
        <f>CLEAN(TRIM(Working_Sales[[#This Row],[Quantity]]))</f>
        <v>2</v>
      </c>
      <c r="X310" s="2">
        <f>INT(Working_Sales[[#This Row],[`]])</f>
        <v>2</v>
      </c>
      <c r="Y310" s="6">
        <f>IFERROR(
   Working_Sales[[#This Row],[Quantity_Converted_To_Integer]],
   Working_Sales[[#This Row],[Total_Amount_Whitespace_Removed]]/Working_Sales[[#This Row],[Price_Per_Unit_Decimal_Separator_Fixed]])</f>
        <v>2</v>
      </c>
      <c r="Z310" t="s">
        <v>96</v>
      </c>
      <c r="AA310" s="2" t="str">
        <f>CLEAN(TRIM(Working_Sales[[#This Row],[Price per Unit]]))</f>
        <v>$50</v>
      </c>
      <c r="AB310" s="2">
        <f>INT(
   SUBSTITUTE(Working_Sales[[#This Row],[Price_Per_Unit_Whitespace_Removed]],
   "$",
   ""
   )
)</f>
        <v>50</v>
      </c>
      <c r="AC310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310" s="8">
        <f>IFERROR(
   Working_Sales[[#This Row],[Price_Per_Unit_Decimal_Separator_Fixed]],
   Working_Sales[[#This Row],[Total_Amount_Converted_To_Integer]]/Working_Sales[[#This Row],[Quantity_Converted_To_Integer]]
)</f>
        <v>50</v>
      </c>
      <c r="AE310" t="s">
        <v>38</v>
      </c>
      <c r="AF310" s="2" t="str">
        <f>CLEAN(TRIM(Working_Sales[[#This Row],[Total Amount]]))</f>
        <v>100</v>
      </c>
      <c r="AG310" s="2">
        <f>INT(Working_Sales[[#This Row],[Total_Amount_Whitespace_Removed]])</f>
        <v>100</v>
      </c>
      <c r="AH31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311" spans="1:34" x14ac:dyDescent="0.35">
      <c r="A311" t="s">
        <v>736</v>
      </c>
      <c r="B311" s="6" t="str">
        <f>CLEAN(TRIM(Working_Sales[[#This Row],[Transaction ID]]))</f>
        <v>438</v>
      </c>
      <c r="C311" t="s">
        <v>2076</v>
      </c>
      <c r="D311" s="2" t="str">
        <f>CLEAN(TRIM(Working_Sales[[#This Row],[Date]]))</f>
        <v>01/19/2023</v>
      </c>
      <c r="E311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31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44945</v>
      </c>
      <c r="G31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44945</v>
      </c>
      <c r="H311" t="s">
        <v>2579</v>
      </c>
      <c r="I311" s="2" t="str">
        <f>CLEAN(TRIM(Working_Sales[[#This Row],[Customer ID]]))</f>
        <v>CUST242</v>
      </c>
      <c r="J31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CUST242</v>
      </c>
      <c r="K31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CUST242</v>
      </c>
      <c r="L311" t="s">
        <v>140</v>
      </c>
      <c r="M311" s="4" t="str">
        <f>CLEAN(TRIM(Working_Sales[[#This Row],[Gender]]))</f>
        <v>FEMALE</v>
      </c>
      <c r="N311" s="4" t="str" cm="1">
        <f t="array" ref="N311">_xlfn.SWITCH(
   Working_Sales[[#This Row],[Gender_Whitespace_Removed]],
   "m", "Male",
   "f", "Female",
   Working_Sales[[#This Row],[Gender_Whitespace_Removed]]
)</f>
        <v>FEMALE</v>
      </c>
      <c r="O311" s="6" t="str">
        <f>PROPER(Working_Sales[[#This Row],[Gender_Abbreviation_Expanded]])</f>
        <v>Female</v>
      </c>
      <c r="P311">
        <v>42</v>
      </c>
      <c r="Q311" s="2" t="str">
        <f>CLEAN(TRIM(Working_Sales[[#This Row],[Age]]))</f>
        <v>42</v>
      </c>
      <c r="R311" s="6">
        <f>INT(SUBSTITUTE(Working_Sales[[#This Row],[Age_Whitespace_Removed]],".",","))</f>
        <v>42</v>
      </c>
      <c r="S311" t="s">
        <v>89</v>
      </c>
      <c r="T311" s="2" t="str">
        <f>CLEAN(TRIM(Working_Sales[[#This Row],[Product Category]]))</f>
        <v>CLOTHING</v>
      </c>
      <c r="U311" s="6" t="str">
        <f>PROPER(Working_Sales[[#This Row],[Product_Category_Whitespace_Removed]])</f>
        <v>Clothing</v>
      </c>
      <c r="V311" t="s">
        <v>22</v>
      </c>
      <c r="W311" s="2" t="str">
        <f>CLEAN(TRIM(Working_Sales[[#This Row],[Quantity]]))</f>
        <v>1</v>
      </c>
      <c r="X311" s="2">
        <f>INT(Working_Sales[[#This Row],[`]])</f>
        <v>1</v>
      </c>
      <c r="Y311" s="6">
        <f>IFERROR(
   Working_Sales[[#This Row],[Quantity_Converted_To_Integer]],
   Working_Sales[[#This Row],[Total_Amount_Whitespace_Removed]]/Working_Sales[[#This Row],[Price_Per_Unit_Decimal_Separator_Fixed]])</f>
        <v>1</v>
      </c>
      <c r="Z311" t="s">
        <v>70</v>
      </c>
      <c r="AA311" s="2" t="str">
        <f>CLEAN(TRIM(Working_Sales[[#This Row],[Price per Unit]]))</f>
        <v>30</v>
      </c>
      <c r="AB311" s="2">
        <f>INT(
   SUBSTITUTE(Working_Sales[[#This Row],[Price_Per_Unit_Whitespace_Removed]],
   "$",
   ""
   )
)</f>
        <v>30</v>
      </c>
      <c r="AC311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311" s="8">
        <f>IFERROR(
   Working_Sales[[#This Row],[Price_Per_Unit_Decimal_Separator_Fixed]],
   Working_Sales[[#This Row],[Total_Amount_Converted_To_Integer]]/Working_Sales[[#This Row],[Quantity_Converted_To_Integer]]
)</f>
        <v>30</v>
      </c>
      <c r="AE311" t="s">
        <v>70</v>
      </c>
      <c r="AF311" s="2" t="str">
        <f>CLEAN(TRIM(Working_Sales[[#This Row],[Total Amount]]))</f>
        <v>30</v>
      </c>
      <c r="AG311" s="2">
        <f>INT(Working_Sales[[#This Row],[Total_Amount_Whitespace_Removed]])</f>
        <v>30</v>
      </c>
      <c r="AH31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312" spans="1:34" x14ac:dyDescent="0.35">
      <c r="A312" t="s">
        <v>738</v>
      </c>
      <c r="B312" s="6" t="str">
        <f>CLEAN(TRIM(Working_Sales[[#This Row],[Transaction ID]]))</f>
        <v>919</v>
      </c>
      <c r="C312" t="s">
        <v>2018</v>
      </c>
      <c r="D312" s="2" t="str">
        <f>CLEAN(TRIM(Working_Sales[[#This Row],[Date]]))</f>
        <v>09-Sep-2023</v>
      </c>
      <c r="E31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45178</v>
      </c>
      <c r="F31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45178</v>
      </c>
      <c r="G31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45178</v>
      </c>
      <c r="H312" t="s">
        <v>2580</v>
      </c>
      <c r="I312" s="2" t="str">
        <f>CLEAN(TRIM(Working_Sales[[#This Row],[Customer ID]]))</f>
        <v>CUST243</v>
      </c>
      <c r="J31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CUST243</v>
      </c>
      <c r="K31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CUST243</v>
      </c>
      <c r="L312" t="s">
        <v>26</v>
      </c>
      <c r="M312" s="4" t="str">
        <f>CLEAN(TRIM(Working_Sales[[#This Row],[Gender]]))</f>
        <v>Female</v>
      </c>
      <c r="N312" s="4" t="str" cm="1">
        <f t="array" ref="N312">_xlfn.SWITCH(
   Working_Sales[[#This Row],[Gender_Whitespace_Removed]],
   "m", "Male",
   "f", "Female",
   Working_Sales[[#This Row],[Gender_Whitespace_Removed]]
)</f>
        <v>Female</v>
      </c>
      <c r="O312" s="6" t="str">
        <f>PROPER(Working_Sales[[#This Row],[Gender_Abbreviation_Expanded]])</f>
        <v>Female</v>
      </c>
      <c r="P312">
        <v>22</v>
      </c>
      <c r="Q312" s="2" t="str">
        <f>CLEAN(TRIM(Working_Sales[[#This Row],[Age]]))</f>
        <v>22</v>
      </c>
      <c r="R312" s="6">
        <f>INT(SUBSTITUTE(Working_Sales[[#This Row],[Age_Whitespace_Removed]],".",","))</f>
        <v>22</v>
      </c>
      <c r="S312" t="s">
        <v>36</v>
      </c>
      <c r="T312" s="2" t="str">
        <f>CLEAN(TRIM(Working_Sales[[#This Row],[Product Category]]))</f>
        <v>Beauty</v>
      </c>
      <c r="U312" s="6" t="str">
        <f>PROPER(Working_Sales[[#This Row],[Product_Category_Whitespace_Removed]])</f>
        <v>Beauty</v>
      </c>
      <c r="V312" t="s">
        <v>37</v>
      </c>
      <c r="W312" s="2" t="str">
        <f>CLEAN(TRIM(Working_Sales[[#This Row],[Quantity]]))</f>
        <v>2</v>
      </c>
      <c r="X312" s="2">
        <f>INT(Working_Sales[[#This Row],[`]])</f>
        <v>2</v>
      </c>
      <c r="Y312" s="6">
        <f>IFERROR(
   Working_Sales[[#This Row],[Quantity_Converted_To_Integer]],
   Working_Sales[[#This Row],[Total_Amount_Whitespace_Removed]]/Working_Sales[[#This Row],[Price_Per_Unit_Decimal_Separator_Fixed]])</f>
        <v>2</v>
      </c>
      <c r="AA312" s="2" t="str">
        <f>CLEAN(TRIM(Working_Sales[[#This Row],[Price per Unit]]))</f>
        <v/>
      </c>
      <c r="AB312" s="2" t="e">
        <f>INT(
   SUBSTITUTE(Working_Sales[[#This Row],[Price_Per_Unit_Whitespace_Removed]],
   "$",
   ""
   )
)</f>
        <v>#VALUE!</v>
      </c>
      <c r="AC312" s="2" t="e">
        <f>INT(
   IFERROR(
      Working_Sales[[#This Row],[Price_Per_Unit_Dollar_Sign_Removed]],
      SUBSTITUTE(
         Working_Sales[[#This Row],[Price_Per_Unit_Whitespace_Removed]],
        ".",
         ","
      )
   )
)</f>
        <v>#VALUE!</v>
      </c>
      <c r="AD312" s="8">
        <f>IFERROR(
   Working_Sales[[#This Row],[Price_Per_Unit_Decimal_Separator_Fixed]],
   Working_Sales[[#This Row],[Total_Amount_Converted_To_Integer]]/Working_Sales[[#This Row],[Quantity_Converted_To_Integer]]
)</f>
        <v>25</v>
      </c>
      <c r="AE312" t="s">
        <v>15</v>
      </c>
      <c r="AF312" s="2" t="str">
        <f>CLEAN(TRIM(Working_Sales[[#This Row],[Total Amount]]))</f>
        <v>50</v>
      </c>
      <c r="AG312" s="2">
        <f>INT(Working_Sales[[#This Row],[Total_Amount_Whitespace_Removed]])</f>
        <v>50</v>
      </c>
      <c r="AH31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313" spans="1:34" x14ac:dyDescent="0.35">
      <c r="A313" t="s">
        <v>739</v>
      </c>
      <c r="B313" s="6" t="str">
        <f>CLEAN(TRIM(Working_Sales[[#This Row],[Transaction ID]]))</f>
        <v>694</v>
      </c>
      <c r="C313" t="s">
        <v>2077</v>
      </c>
      <c r="D313" s="2" t="str">
        <f>CLEAN(TRIM(Working_Sales[[#This Row],[Date]]))</f>
        <v>20-May-2023</v>
      </c>
      <c r="E31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45066</v>
      </c>
      <c r="F31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45066</v>
      </c>
      <c r="G31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45066</v>
      </c>
      <c r="H313" t="s">
        <v>2581</v>
      </c>
      <c r="I313" s="2" t="str">
        <f>CLEAN(TRIM(Working_Sales[[#This Row],[Customer ID]]))</f>
        <v>CUST244</v>
      </c>
      <c r="J31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CUST244</v>
      </c>
      <c r="K31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CUST244</v>
      </c>
      <c r="L313" t="s">
        <v>26</v>
      </c>
      <c r="M313" s="4" t="str">
        <f>CLEAN(TRIM(Working_Sales[[#This Row],[Gender]]))</f>
        <v>Female</v>
      </c>
      <c r="N313" s="4" t="str" cm="1">
        <f t="array" ref="N313">_xlfn.SWITCH(
   Working_Sales[[#This Row],[Gender_Whitespace_Removed]],
   "m", "Male",
   "f", "Female",
   Working_Sales[[#This Row],[Gender_Whitespace_Removed]]
)</f>
        <v>Female</v>
      </c>
      <c r="O313" s="6" t="str">
        <f>PROPER(Working_Sales[[#This Row],[Gender_Abbreviation_Expanded]])</f>
        <v>Female</v>
      </c>
      <c r="P313">
        <v>39</v>
      </c>
      <c r="Q313" s="2" t="str">
        <f>CLEAN(TRIM(Working_Sales[[#This Row],[Age]]))</f>
        <v>39</v>
      </c>
      <c r="R313" s="6">
        <f>INT(SUBSTITUTE(Working_Sales[[#This Row],[Age_Whitespace_Removed]],".",","))</f>
        <v>39</v>
      </c>
      <c r="S313" t="s">
        <v>99</v>
      </c>
      <c r="T313" s="2" t="str">
        <f>CLEAN(TRIM(Working_Sales[[#This Row],[Product Category]]))</f>
        <v>ELECTRONICS</v>
      </c>
      <c r="U313" s="6" t="str">
        <f>PROPER(Working_Sales[[#This Row],[Product_Category_Whitespace_Removed]])</f>
        <v>Electronics</v>
      </c>
      <c r="V313" t="s">
        <v>37</v>
      </c>
      <c r="W313" s="2" t="str">
        <f>CLEAN(TRIM(Working_Sales[[#This Row],[Quantity]]))</f>
        <v>2</v>
      </c>
      <c r="X313" s="2">
        <f>INT(Working_Sales[[#This Row],[`]])</f>
        <v>2</v>
      </c>
      <c r="Y313" s="6">
        <f>IFERROR(
   Working_Sales[[#This Row],[Quantity_Converted_To_Integer]],
   Working_Sales[[#This Row],[Total_Amount_Whitespace_Removed]]/Working_Sales[[#This Row],[Price_Per_Unit_Decimal_Separator_Fixed]])</f>
        <v>2</v>
      </c>
      <c r="Z313" t="s">
        <v>30</v>
      </c>
      <c r="AA313" s="2" t="str">
        <f>CLEAN(TRIM(Working_Sales[[#This Row],[Price per Unit]]))</f>
        <v>25</v>
      </c>
      <c r="AB313" s="2">
        <f>INT(
   SUBSTITUTE(Working_Sales[[#This Row],[Price_Per_Unit_Whitespace_Removed]],
   "$",
   ""
   )
)</f>
        <v>25</v>
      </c>
      <c r="AC313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313" s="8">
        <f>IFERROR(
   Working_Sales[[#This Row],[Price_Per_Unit_Decimal_Separator_Fixed]],
   Working_Sales[[#This Row],[Total_Amount_Converted_To_Integer]]/Working_Sales[[#This Row],[Quantity_Converted_To_Integer]]
)</f>
        <v>25</v>
      </c>
      <c r="AE313" t="s">
        <v>15</v>
      </c>
      <c r="AF313" s="2" t="str">
        <f>CLEAN(TRIM(Working_Sales[[#This Row],[Total Amount]]))</f>
        <v>50</v>
      </c>
      <c r="AG313" s="2">
        <f>INT(Working_Sales[[#This Row],[Total_Amount_Whitespace_Removed]])</f>
        <v>50</v>
      </c>
      <c r="AH31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314" spans="1:34" x14ac:dyDescent="0.35">
      <c r="A314" t="s">
        <v>740</v>
      </c>
      <c r="B314" s="6" t="str">
        <f>CLEAN(TRIM(Working_Sales[[#This Row],[Transaction ID]]))</f>
        <v>839</v>
      </c>
      <c r="C314" t="s">
        <v>741</v>
      </c>
      <c r="D314" s="2" t="str">
        <f>CLEAN(TRIM(Working_Sales[[#This Row],[Date]]))</f>
        <v>24/06/2023</v>
      </c>
      <c r="E31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45101</v>
      </c>
      <c r="F31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45101</v>
      </c>
      <c r="G31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45101</v>
      </c>
      <c r="H314" t="s">
        <v>528</v>
      </c>
      <c r="I314" s="2" t="str">
        <f>CLEAN(TRIM(Working_Sales[[#This Row],[Customer ID]]))</f>
        <v>CUST245</v>
      </c>
      <c r="J31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CUST245</v>
      </c>
      <c r="K31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CUST245</v>
      </c>
      <c r="L314" t="s">
        <v>26</v>
      </c>
      <c r="M314" s="4" t="str">
        <f>CLEAN(TRIM(Working_Sales[[#This Row],[Gender]]))</f>
        <v>Female</v>
      </c>
      <c r="N314" s="4" t="str" cm="1">
        <f t="array" ref="N314">_xlfn.SWITCH(
   Working_Sales[[#This Row],[Gender_Whitespace_Removed]],
   "m", "Male",
   "f", "Female",
   Working_Sales[[#This Row],[Gender_Whitespace_Removed]]
)</f>
        <v>Female</v>
      </c>
      <c r="O314" s="6" t="str">
        <f>PROPER(Working_Sales[[#This Row],[Gender_Abbreviation_Expanded]])</f>
        <v>Female</v>
      </c>
      <c r="P314" t="s">
        <v>742</v>
      </c>
      <c r="Q314" s="2" t="str">
        <f>CLEAN(TRIM(Working_Sales[[#This Row],[Age]]))</f>
        <v>20</v>
      </c>
      <c r="R314" s="6">
        <f>INT(SUBSTITUTE(Working_Sales[[#This Row],[Age_Whitespace_Removed]],".",","))</f>
        <v>20</v>
      </c>
      <c r="S314" t="s">
        <v>13</v>
      </c>
      <c r="T314" s="2" t="str">
        <f>CLEAN(TRIM(Working_Sales[[#This Row],[Product Category]]))</f>
        <v>Electronics</v>
      </c>
      <c r="U314" s="6" t="str">
        <f>PROPER(Working_Sales[[#This Row],[Product_Category_Whitespace_Removed]])</f>
        <v>Electronics</v>
      </c>
      <c r="V314" t="s">
        <v>14</v>
      </c>
      <c r="W314" s="2" t="str">
        <f>CLEAN(TRIM(Working_Sales[[#This Row],[Quantity]]))</f>
        <v>4</v>
      </c>
      <c r="X314" s="2">
        <f>INT(Working_Sales[[#This Row],[`]])</f>
        <v>4</v>
      </c>
      <c r="Y314" s="6">
        <f>IFERROR(
   Working_Sales[[#This Row],[Quantity_Converted_To_Integer]],
   Working_Sales[[#This Row],[Total_Amount_Whitespace_Removed]]/Working_Sales[[#This Row],[Price_Per_Unit_Decimal_Separator_Fixed]])</f>
        <v>4</v>
      </c>
      <c r="Z314" t="s">
        <v>23</v>
      </c>
      <c r="AA314" s="2" t="str">
        <f>CLEAN(TRIM(Working_Sales[[#This Row],[Price per Unit]]))</f>
        <v>300</v>
      </c>
      <c r="AB314" s="2">
        <f>INT(
   SUBSTITUTE(Working_Sales[[#This Row],[Price_Per_Unit_Whitespace_Removed]],
   "$",
   ""
   )
)</f>
        <v>300</v>
      </c>
      <c r="AC314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314" s="8">
        <f>IFERROR(
   Working_Sales[[#This Row],[Price_Per_Unit_Decimal_Separator_Fixed]],
   Working_Sales[[#This Row],[Total_Amount_Converted_To_Integer]]/Working_Sales[[#This Row],[Quantity_Converted_To_Integer]]
)</f>
        <v>300</v>
      </c>
      <c r="AE314" t="s">
        <v>79</v>
      </c>
      <c r="AF314" s="2" t="str">
        <f>CLEAN(TRIM(Working_Sales[[#This Row],[Total Amount]]))</f>
        <v>1200</v>
      </c>
      <c r="AG314" s="2">
        <f>INT(Working_Sales[[#This Row],[Total_Amount_Whitespace_Removed]])</f>
        <v>1200</v>
      </c>
      <c r="AH31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315" spans="1:34" x14ac:dyDescent="0.35">
      <c r="A315" t="s">
        <v>743</v>
      </c>
      <c r="B315" s="6" t="str">
        <f>CLEAN(TRIM(Working_Sales[[#This Row],[Transaction ID]]))</f>
        <v>189</v>
      </c>
      <c r="C315" t="s">
        <v>744</v>
      </c>
      <c r="D315" s="2" t="str">
        <f>CLEAN(TRIM(Working_Sales[[#This Row],[Date]]))</f>
        <v>2023-01-30</v>
      </c>
      <c r="E31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44956</v>
      </c>
      <c r="F31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44956</v>
      </c>
      <c r="G31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44956</v>
      </c>
      <c r="H315" t="s">
        <v>2582</v>
      </c>
      <c r="I315" s="2" t="str">
        <f>CLEAN(TRIM(Working_Sales[[#This Row],[Customer ID]]))</f>
        <v>cust246</v>
      </c>
      <c r="J31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1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CUST246</v>
      </c>
      <c r="L315" t="s">
        <v>34</v>
      </c>
      <c r="M315" s="4" t="str">
        <f>CLEAN(TRIM(Working_Sales[[#This Row],[Gender]]))</f>
        <v>Male</v>
      </c>
      <c r="N315" s="4" t="str" cm="1">
        <f t="array" ref="N315">_xlfn.SWITCH(
   Working_Sales[[#This Row],[Gender_Whitespace_Removed]],
   "m", "Male",
   "f", "Female",
   Working_Sales[[#This Row],[Gender_Whitespace_Removed]]
)</f>
        <v>Male</v>
      </c>
      <c r="O315" s="6" t="str">
        <f>PROPER(Working_Sales[[#This Row],[Gender_Abbreviation_Expanded]])</f>
        <v>Male</v>
      </c>
      <c r="P315">
        <v>63</v>
      </c>
      <c r="Q315" s="2" t="str">
        <f>CLEAN(TRIM(Working_Sales[[#This Row],[Age]]))</f>
        <v>63</v>
      </c>
      <c r="R315" s="6">
        <f>INT(SUBSTITUTE(Working_Sales[[#This Row],[Age_Whitespace_Removed]],".",","))</f>
        <v>63</v>
      </c>
      <c r="S315" t="s">
        <v>69</v>
      </c>
      <c r="T315" s="2" t="str">
        <f>CLEAN(TRIM(Working_Sales[[#This Row],[Product Category]]))</f>
        <v>BEAUTY</v>
      </c>
      <c r="U315" s="6" t="str">
        <f>PROPER(Working_Sales[[#This Row],[Product_Category_Whitespace_Removed]])</f>
        <v>Beauty</v>
      </c>
      <c r="V315" t="s">
        <v>22</v>
      </c>
      <c r="W315" s="2" t="str">
        <f>CLEAN(TRIM(Working_Sales[[#This Row],[Quantity]]))</f>
        <v>1</v>
      </c>
      <c r="X315" s="2">
        <f>INT(Working_Sales[[#This Row],[`]])</f>
        <v>1</v>
      </c>
      <c r="Y315" s="6">
        <f>IFERROR(
   Working_Sales[[#This Row],[Quantity_Converted_To_Integer]],
   Working_Sales[[#This Row],[Total_Amount_Whitespace_Removed]]/Working_Sales[[#This Row],[Price_Per_Unit_Decimal_Separator_Fixed]])</f>
        <v>1</v>
      </c>
      <c r="Z315" t="s">
        <v>15</v>
      </c>
      <c r="AA315" s="2" t="str">
        <f>CLEAN(TRIM(Working_Sales[[#This Row],[Price per Unit]]))</f>
        <v>50</v>
      </c>
      <c r="AB315" s="2">
        <f>INT(
   SUBSTITUTE(Working_Sales[[#This Row],[Price_Per_Unit_Whitespace_Removed]],
   "$",
   ""
   )
)</f>
        <v>50</v>
      </c>
      <c r="AC315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315" s="8">
        <f>IFERROR(
   Working_Sales[[#This Row],[Price_Per_Unit_Decimal_Separator_Fixed]],
   Working_Sales[[#This Row],[Total_Amount_Converted_To_Integer]]/Working_Sales[[#This Row],[Quantity_Converted_To_Integer]]
)</f>
        <v>50</v>
      </c>
      <c r="AE315" t="s">
        <v>15</v>
      </c>
      <c r="AF315" s="2" t="str">
        <f>CLEAN(TRIM(Working_Sales[[#This Row],[Total Amount]]))</f>
        <v>50</v>
      </c>
      <c r="AG315" s="2">
        <f>INT(Working_Sales[[#This Row],[Total_Amount_Whitespace_Removed]])</f>
        <v>50</v>
      </c>
      <c r="AH31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316" spans="1:34" x14ac:dyDescent="0.35">
      <c r="A316" t="s">
        <v>746</v>
      </c>
      <c r="B316" s="6" t="str">
        <f>CLEAN(TRIM(Working_Sales[[#This Row],[Transaction ID]]))</f>
        <v>252</v>
      </c>
      <c r="C316" t="s">
        <v>2037</v>
      </c>
      <c r="D316" s="2" t="str">
        <f>CLEAN(TRIM(Working_Sales[[#This Row],[Date]]))</f>
        <v>May 05, 2023</v>
      </c>
      <c r="E316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316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31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45051</v>
      </c>
      <c r="H316" t="s">
        <v>2583</v>
      </c>
      <c r="I316" s="2" t="str">
        <f>CLEAN(TRIM(Working_Sales[[#This Row],[Customer ID]]))</f>
        <v>CUST247</v>
      </c>
      <c r="J31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CUST247</v>
      </c>
      <c r="K31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CUST247</v>
      </c>
      <c r="L316" t="s">
        <v>11</v>
      </c>
      <c r="M316" s="4" t="str">
        <f>CLEAN(TRIM(Working_Sales[[#This Row],[Gender]]))</f>
        <v>MALE</v>
      </c>
      <c r="N316" s="4" t="str" cm="1">
        <f t="array" ref="N316">_xlfn.SWITCH(
   Working_Sales[[#This Row],[Gender_Whitespace_Removed]],
   "m", "Male",
   "f", "Female",
   Working_Sales[[#This Row],[Gender_Whitespace_Removed]]
)</f>
        <v>MALE</v>
      </c>
      <c r="O316" s="6" t="str">
        <f>PROPER(Working_Sales[[#This Row],[Gender_Abbreviation_Expanded]])</f>
        <v>Male</v>
      </c>
      <c r="P316" t="s">
        <v>748</v>
      </c>
      <c r="Q316" s="2" t="str">
        <f>CLEAN(TRIM(Working_Sales[[#This Row],[Age]]))</f>
        <v>54</v>
      </c>
      <c r="R316" s="6">
        <f>INT(SUBSTITUTE(Working_Sales[[#This Row],[Age_Whitespace_Removed]],".",","))</f>
        <v>54</v>
      </c>
      <c r="S316" t="s">
        <v>13</v>
      </c>
      <c r="T316" s="2" t="str">
        <f>CLEAN(TRIM(Working_Sales[[#This Row],[Product Category]]))</f>
        <v>Electronics</v>
      </c>
      <c r="U316" s="6" t="str">
        <f>PROPER(Working_Sales[[#This Row],[Product_Category_Whitespace_Removed]])</f>
        <v>Electronics</v>
      </c>
      <c r="V316" t="s">
        <v>22</v>
      </c>
      <c r="W316" s="2" t="str">
        <f>CLEAN(TRIM(Working_Sales[[#This Row],[Quantity]]))</f>
        <v>1</v>
      </c>
      <c r="X316" s="2">
        <f>INT(Working_Sales[[#This Row],[`]])</f>
        <v>1</v>
      </c>
      <c r="Y316" s="6">
        <f>IFERROR(
   Working_Sales[[#This Row],[Quantity_Converted_To_Integer]],
   Working_Sales[[#This Row],[Total_Amount_Whitespace_Removed]]/Working_Sales[[#This Row],[Price_Per_Unit_Decimal_Separator_Fixed]])</f>
        <v>1</v>
      </c>
      <c r="AA316" s="2" t="str">
        <f>CLEAN(TRIM(Working_Sales[[#This Row],[Price per Unit]]))</f>
        <v/>
      </c>
      <c r="AB316" s="2" t="e">
        <f>INT(
   SUBSTITUTE(Working_Sales[[#This Row],[Price_Per_Unit_Whitespace_Removed]],
   "$",
   ""
   )
)</f>
        <v>#VALUE!</v>
      </c>
      <c r="AC316" s="2" t="e">
        <f>INT(
   IFERROR(
      Working_Sales[[#This Row],[Price_Per_Unit_Dollar_Sign_Removed]],
      SUBSTITUTE(
         Working_Sales[[#This Row],[Price_Per_Unit_Whitespace_Removed]],
        ".",
         ","
      )
   )
)</f>
        <v>#VALUE!</v>
      </c>
      <c r="AD316" s="8">
        <f>IFERROR(
   Working_Sales[[#This Row],[Price_Per_Unit_Decimal_Separator_Fixed]],
   Working_Sales[[#This Row],[Total_Amount_Converted_To_Integer]]/Working_Sales[[#This Row],[Quantity_Converted_To_Integer]]
)</f>
        <v>300</v>
      </c>
      <c r="AE316" t="s">
        <v>23</v>
      </c>
      <c r="AF316" s="2" t="str">
        <f>CLEAN(TRIM(Working_Sales[[#This Row],[Total Amount]]))</f>
        <v>300</v>
      </c>
      <c r="AG316" s="2">
        <f>INT(Working_Sales[[#This Row],[Total_Amount_Whitespace_Removed]])</f>
        <v>300</v>
      </c>
      <c r="AH31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317" spans="1:34" x14ac:dyDescent="0.35">
      <c r="A317" t="s">
        <v>749</v>
      </c>
      <c r="B317" s="6" t="str">
        <f>CLEAN(TRIM(Working_Sales[[#This Row],[Transaction ID]]))</f>
        <v>72</v>
      </c>
      <c r="C317" t="s">
        <v>1035</v>
      </c>
      <c r="D317" s="2" t="str">
        <f>CLEAN(TRIM(Working_Sales[[#This Row],[Date]]))</f>
        <v>23-May-2023</v>
      </c>
      <c r="E31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45069</v>
      </c>
      <c r="F31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45069</v>
      </c>
      <c r="G31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45069</v>
      </c>
      <c r="H317" t="s">
        <v>2584</v>
      </c>
      <c r="I317" s="2" t="str">
        <f>CLEAN(TRIM(Working_Sales[[#This Row],[Customer ID]]))</f>
        <v>cust248</v>
      </c>
      <c r="J31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1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CUST248</v>
      </c>
      <c r="L317" t="s">
        <v>26</v>
      </c>
      <c r="M317" s="4" t="str">
        <f>CLEAN(TRIM(Working_Sales[[#This Row],[Gender]]))</f>
        <v>Female</v>
      </c>
      <c r="N317" s="4" t="str" cm="1">
        <f t="array" ref="N317">_xlfn.SWITCH(
   Working_Sales[[#This Row],[Gender_Whitespace_Removed]],
   "m", "Male",
   "f", "Female",
   Working_Sales[[#This Row],[Gender_Whitespace_Removed]]
)</f>
        <v>Female</v>
      </c>
      <c r="O317" s="6" t="str">
        <f>PROPER(Working_Sales[[#This Row],[Gender_Abbreviation_Expanded]])</f>
        <v>Female</v>
      </c>
      <c r="P317">
        <v>20</v>
      </c>
      <c r="Q317" s="2" t="str">
        <f>CLEAN(TRIM(Working_Sales[[#This Row],[Age]]))</f>
        <v>20</v>
      </c>
      <c r="R317" s="6">
        <f>INT(SUBSTITUTE(Working_Sales[[#This Row],[Age_Whitespace_Removed]],".",","))</f>
        <v>20</v>
      </c>
      <c r="S317" t="s">
        <v>99</v>
      </c>
      <c r="T317" s="2" t="str">
        <f>CLEAN(TRIM(Working_Sales[[#This Row],[Product Category]]))</f>
        <v>ELECTRONICS</v>
      </c>
      <c r="U317" s="6" t="str">
        <f>PROPER(Working_Sales[[#This Row],[Product_Category_Whitespace_Removed]])</f>
        <v>Electronics</v>
      </c>
      <c r="V317" t="s">
        <v>14</v>
      </c>
      <c r="W317" s="2" t="str">
        <f>CLEAN(TRIM(Working_Sales[[#This Row],[Quantity]]))</f>
        <v>4</v>
      </c>
      <c r="X317" s="2">
        <f>INT(Working_Sales[[#This Row],[`]])</f>
        <v>4</v>
      </c>
      <c r="Y317" s="6">
        <f>IFERROR(
   Working_Sales[[#This Row],[Quantity_Converted_To_Integer]],
   Working_Sales[[#This Row],[Total_Amount_Whitespace_Removed]]/Working_Sales[[#This Row],[Price_Per_Unit_Decimal_Separator_Fixed]])</f>
        <v>4</v>
      </c>
      <c r="Z317" t="s">
        <v>84</v>
      </c>
      <c r="AA317" s="2" t="str">
        <f>CLEAN(TRIM(Working_Sales[[#This Row],[Price per Unit]]))</f>
        <v>500.00</v>
      </c>
      <c r="AB317" s="2" t="e">
        <f>INT(
   SUBSTITUTE(Working_Sales[[#This Row],[Price_Per_Unit_Whitespace_Removed]],
   "$",
   ""
   )
)</f>
        <v>#VALUE!</v>
      </c>
      <c r="AC317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317" s="8">
        <f>IFERROR(
   Working_Sales[[#This Row],[Price_Per_Unit_Decimal_Separator_Fixed]],
   Working_Sales[[#This Row],[Total_Amount_Converted_To_Integer]]/Working_Sales[[#This Row],[Quantity_Converted_To_Integer]]
)</f>
        <v>500</v>
      </c>
      <c r="AE317" t="s">
        <v>232</v>
      </c>
      <c r="AF317" s="2" t="str">
        <f>CLEAN(TRIM(Working_Sales[[#This Row],[Total Amount]]))</f>
        <v>2000</v>
      </c>
      <c r="AG317" s="2">
        <f>INT(Working_Sales[[#This Row],[Total_Amount_Whitespace_Removed]])</f>
        <v>2000</v>
      </c>
      <c r="AH31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318" spans="1:34" x14ac:dyDescent="0.35">
      <c r="A318" t="s">
        <v>751</v>
      </c>
      <c r="B318" s="6" t="str">
        <f>CLEAN(TRIM(Working_Sales[[#This Row],[Transaction ID]]))</f>
        <v>448</v>
      </c>
      <c r="C318" t="s">
        <v>752</v>
      </c>
      <c r="D318" s="2" t="str">
        <f>CLEAN(TRIM(Working_Sales[[#This Row],[Date]]))</f>
        <v>21/01/2023</v>
      </c>
      <c r="E31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44947</v>
      </c>
      <c r="F31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44947</v>
      </c>
      <c r="G31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44947</v>
      </c>
      <c r="H318" t="s">
        <v>2585</v>
      </c>
      <c r="I318" s="2" t="str">
        <f>CLEAN(TRIM(Working_Sales[[#This Row],[Customer ID]]))</f>
        <v>CUST249</v>
      </c>
      <c r="J31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CUST249</v>
      </c>
      <c r="K31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CUST249</v>
      </c>
      <c r="L318" t="s">
        <v>46</v>
      </c>
      <c r="M318" s="4" t="str">
        <f>CLEAN(TRIM(Working_Sales[[#This Row],[Gender]]))</f>
        <v>F</v>
      </c>
      <c r="N318" s="4" t="str" cm="1">
        <f t="array" ref="N318">_xlfn.SWITCH(
   Working_Sales[[#This Row],[Gender_Whitespace_Removed]],
   "m", "Male",
   "f", "Female",
   Working_Sales[[#This Row],[Gender_Whitespace_Removed]]
)</f>
        <v>Female</v>
      </c>
      <c r="O318" s="6" t="str">
        <f>PROPER(Working_Sales[[#This Row],[Gender_Abbreviation_Expanded]])</f>
        <v>Female</v>
      </c>
      <c r="P318">
        <v>54</v>
      </c>
      <c r="Q318" s="2" t="str">
        <f>CLEAN(TRIM(Working_Sales[[#This Row],[Age]]))</f>
        <v>54</v>
      </c>
      <c r="R318" s="6">
        <f>INT(SUBSTITUTE(Working_Sales[[#This Row],[Age_Whitespace_Removed]],".",","))</f>
        <v>54</v>
      </c>
      <c r="S318" t="s">
        <v>69</v>
      </c>
      <c r="T318" s="2" t="str">
        <f>CLEAN(TRIM(Working_Sales[[#This Row],[Product Category]]))</f>
        <v>BEAUTY</v>
      </c>
      <c r="U318" s="6" t="str">
        <f>PROPER(Working_Sales[[#This Row],[Product_Category_Whitespace_Removed]])</f>
        <v>Beauty</v>
      </c>
      <c r="V318" t="s">
        <v>37</v>
      </c>
      <c r="W318" s="2" t="str">
        <f>CLEAN(TRIM(Working_Sales[[#This Row],[Quantity]]))</f>
        <v>2</v>
      </c>
      <c r="X318" s="2">
        <f>INT(Working_Sales[[#This Row],[`]])</f>
        <v>2</v>
      </c>
      <c r="Y318" s="6">
        <f>IFERROR(
   Working_Sales[[#This Row],[Quantity_Converted_To_Integer]],
   Working_Sales[[#This Row],[Total_Amount_Whitespace_Removed]]/Working_Sales[[#This Row],[Price_Per_Unit_Decimal_Separator_Fixed]])</f>
        <v>2</v>
      </c>
      <c r="Z318" t="s">
        <v>70</v>
      </c>
      <c r="AA318" s="2" t="str">
        <f>CLEAN(TRIM(Working_Sales[[#This Row],[Price per Unit]]))</f>
        <v>30</v>
      </c>
      <c r="AB318" s="2">
        <f>INT(
   SUBSTITUTE(Working_Sales[[#This Row],[Price_Per_Unit_Whitespace_Removed]],
   "$",
   ""
   )
)</f>
        <v>30</v>
      </c>
      <c r="AC318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318" s="8">
        <f>IFERROR(
   Working_Sales[[#This Row],[Price_Per_Unit_Decimal_Separator_Fixed]],
   Working_Sales[[#This Row],[Total_Amount_Converted_To_Integer]]/Working_Sales[[#This Row],[Quantity_Converted_To_Integer]]
)</f>
        <v>30</v>
      </c>
      <c r="AE318" t="s">
        <v>71</v>
      </c>
      <c r="AF318" s="2" t="str">
        <f>CLEAN(TRIM(Working_Sales[[#This Row],[Total Amount]]))</f>
        <v>60</v>
      </c>
      <c r="AG318" s="2">
        <f>INT(Working_Sales[[#This Row],[Total_Amount_Whitespace_Removed]])</f>
        <v>60</v>
      </c>
      <c r="AH31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319" spans="1:34" x14ac:dyDescent="0.35">
      <c r="A319" t="s">
        <v>753</v>
      </c>
      <c r="B319" s="6" t="str">
        <f>CLEAN(TRIM(Working_Sales[[#This Row],[Transaction ID]]))</f>
        <v>779</v>
      </c>
      <c r="C319" t="s">
        <v>467</v>
      </c>
      <c r="D319" s="2" t="str">
        <f>CLEAN(TRIM(Working_Sales[[#This Row],[Date]]))</f>
        <v>05-May-2023</v>
      </c>
      <c r="E31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45051</v>
      </c>
      <c r="F31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45051</v>
      </c>
      <c r="G31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45051</v>
      </c>
      <c r="H319" t="s">
        <v>2310</v>
      </c>
      <c r="I319" s="2" t="str">
        <f>CLEAN(TRIM(Working_Sales[[#This Row],[Customer ID]]))</f>
        <v>CUST131</v>
      </c>
      <c r="J31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CUST131</v>
      </c>
      <c r="K31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CUST131</v>
      </c>
      <c r="L319" t="s">
        <v>26</v>
      </c>
      <c r="M319" s="4" t="str">
        <f>CLEAN(TRIM(Working_Sales[[#This Row],[Gender]]))</f>
        <v>Female</v>
      </c>
      <c r="N319" s="4" t="str" cm="1">
        <f t="array" ref="N319">_xlfn.SWITCH(
   Working_Sales[[#This Row],[Gender_Whitespace_Removed]],
   "m", "Male",
   "f", "Female",
   Working_Sales[[#This Row],[Gender_Whitespace_Removed]]
)</f>
        <v>Female</v>
      </c>
      <c r="O319" s="6" t="str">
        <f>PROPER(Working_Sales[[#This Row],[Gender_Abbreviation_Expanded]])</f>
        <v>Female</v>
      </c>
      <c r="P319" t="s">
        <v>754</v>
      </c>
      <c r="Q319" s="2" t="str">
        <f>CLEAN(TRIM(Working_Sales[[#This Row],[Age]]))</f>
        <v>56</v>
      </c>
      <c r="R319" s="6">
        <f>INT(SUBSTITUTE(Working_Sales[[#This Row],[Age_Whitespace_Removed]],".",","))</f>
        <v>56</v>
      </c>
      <c r="S319" t="s">
        <v>109</v>
      </c>
      <c r="T319" s="2" t="str">
        <f>CLEAN(TRIM(Working_Sales[[#This Row],[Product Category]]))</f>
        <v>Electronics</v>
      </c>
      <c r="U319" s="6" t="str">
        <f>PROPER(Working_Sales[[#This Row],[Product_Category_Whitespace_Removed]])</f>
        <v>Electronics</v>
      </c>
      <c r="V319" t="s">
        <v>37</v>
      </c>
      <c r="W319" s="2" t="str">
        <f>CLEAN(TRIM(Working_Sales[[#This Row],[Quantity]]))</f>
        <v>2</v>
      </c>
      <c r="X319" s="2">
        <f>INT(Working_Sales[[#This Row],[`]])</f>
        <v>2</v>
      </c>
      <c r="Y319" s="6">
        <f>IFERROR(
   Working_Sales[[#This Row],[Quantity_Converted_To_Integer]],
   Working_Sales[[#This Row],[Total_Amount_Whitespace_Removed]]/Working_Sales[[#This Row],[Price_Per_Unit_Decimal_Separator_Fixed]])</f>
        <v>2</v>
      </c>
      <c r="Z319" t="s">
        <v>57</v>
      </c>
      <c r="AA319" s="2" t="str">
        <f>CLEAN(TRIM(Working_Sales[[#This Row],[Price per Unit]]))</f>
        <v>500</v>
      </c>
      <c r="AB319" s="2">
        <f>INT(
   SUBSTITUTE(Working_Sales[[#This Row],[Price_Per_Unit_Whitespace_Removed]],
   "$",
   ""
   )
)</f>
        <v>500</v>
      </c>
      <c r="AC319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319" s="8">
        <f>IFERROR(
   Working_Sales[[#This Row],[Price_Per_Unit_Decimal_Separator_Fixed]],
   Working_Sales[[#This Row],[Total_Amount_Converted_To_Integer]]/Working_Sales[[#This Row],[Quantity_Converted_To_Integer]]
)</f>
        <v>500</v>
      </c>
      <c r="AE319" t="s">
        <v>163</v>
      </c>
      <c r="AF319" s="2" t="str">
        <f>CLEAN(TRIM(Working_Sales[[#This Row],[Total Amount]]))</f>
        <v>1000</v>
      </c>
      <c r="AG319" s="2">
        <f>INT(Working_Sales[[#This Row],[Total_Amount_Whitespace_Removed]])</f>
        <v>1000</v>
      </c>
      <c r="AH31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320" spans="1:34" x14ac:dyDescent="0.35">
      <c r="A320" t="s">
        <v>755</v>
      </c>
      <c r="B320" s="6" t="str">
        <f>CLEAN(TRIM(Working_Sales[[#This Row],[Transaction ID]]))</f>
        <v>351</v>
      </c>
      <c r="C320" t="s">
        <v>756</v>
      </c>
      <c r="D320" s="2" t="str">
        <f>CLEAN(TRIM(Working_Sales[[#This Row],[Date]]))</f>
        <v>September 25, 2023</v>
      </c>
      <c r="E320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320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32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45194</v>
      </c>
      <c r="H320" t="s">
        <v>2586</v>
      </c>
      <c r="I320" s="2" t="str">
        <f>CLEAN(TRIM(Working_Sales[[#This Row],[Customer ID]]))</f>
        <v>cust250</v>
      </c>
      <c r="J32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2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CUST250</v>
      </c>
      <c r="L320" t="s">
        <v>26</v>
      </c>
      <c r="M320" s="4" t="str">
        <f>CLEAN(TRIM(Working_Sales[[#This Row],[Gender]]))</f>
        <v>Female</v>
      </c>
      <c r="N320" s="4" t="str" cm="1">
        <f t="array" ref="N320">_xlfn.SWITCH(
   Working_Sales[[#This Row],[Gender_Whitespace_Removed]],
   "m", "Male",
   "f", "Female",
   Working_Sales[[#This Row],[Gender_Whitespace_Removed]]
)</f>
        <v>Female</v>
      </c>
      <c r="O320" s="6" t="str">
        <f>PROPER(Working_Sales[[#This Row],[Gender_Abbreviation_Expanded]])</f>
        <v>Female</v>
      </c>
      <c r="P320">
        <v>56</v>
      </c>
      <c r="Q320" s="2" t="str">
        <f>CLEAN(TRIM(Working_Sales[[#This Row],[Age]]))</f>
        <v>56</v>
      </c>
      <c r="R320" s="6">
        <f>INT(SUBSTITUTE(Working_Sales[[#This Row],[Age_Whitespace_Removed]],".",","))</f>
        <v>56</v>
      </c>
      <c r="S320" t="s">
        <v>56</v>
      </c>
      <c r="T320" s="2" t="str">
        <f>CLEAN(TRIM(Working_Sales[[#This Row],[Product Category]]))</f>
        <v>Clothing</v>
      </c>
      <c r="U320" s="6" t="str">
        <f>PROPER(Working_Sales[[#This Row],[Product_Category_Whitespace_Removed]])</f>
        <v>Clothing</v>
      </c>
      <c r="V320" t="s">
        <v>29</v>
      </c>
      <c r="W320" s="2" t="str">
        <f>CLEAN(TRIM(Working_Sales[[#This Row],[Quantity]]))</f>
        <v>3</v>
      </c>
      <c r="X320" s="2">
        <f>INT(Working_Sales[[#This Row],[`]])</f>
        <v>3</v>
      </c>
      <c r="Y320" s="6">
        <f>IFERROR(
   Working_Sales[[#This Row],[Quantity_Converted_To_Integer]],
   Working_Sales[[#This Row],[Total_Amount_Whitespace_Removed]]/Working_Sales[[#This Row],[Price_Per_Unit_Decimal_Separator_Fixed]])</f>
        <v>3</v>
      </c>
      <c r="Z320" t="s">
        <v>70</v>
      </c>
      <c r="AA320" s="2" t="str">
        <f>CLEAN(TRIM(Working_Sales[[#This Row],[Price per Unit]]))</f>
        <v>30</v>
      </c>
      <c r="AB320" s="2">
        <f>INT(
   SUBSTITUTE(Working_Sales[[#This Row],[Price_Per_Unit_Whitespace_Removed]],
   "$",
   ""
   )
)</f>
        <v>30</v>
      </c>
      <c r="AC320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320" s="8">
        <f>IFERROR(
   Working_Sales[[#This Row],[Price_Per_Unit_Decimal_Separator_Fixed]],
   Working_Sales[[#This Row],[Total_Amount_Converted_To_Integer]]/Working_Sales[[#This Row],[Quantity_Converted_To_Integer]]
)</f>
        <v>30</v>
      </c>
      <c r="AE320" t="s">
        <v>191</v>
      </c>
      <c r="AF320" s="2" t="str">
        <f>CLEAN(TRIM(Working_Sales[[#This Row],[Total Amount]]))</f>
        <v>90</v>
      </c>
      <c r="AG320" s="2">
        <f>INT(Working_Sales[[#This Row],[Total_Amount_Whitespace_Removed]])</f>
        <v>90</v>
      </c>
      <c r="AH32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321" spans="1:34" x14ac:dyDescent="0.35">
      <c r="A321" t="s">
        <v>758</v>
      </c>
      <c r="B321" s="6" t="str">
        <f>CLEAN(TRIM(Working_Sales[[#This Row],[Transaction ID]]))</f>
        <v>345</v>
      </c>
      <c r="C321" t="s">
        <v>759</v>
      </c>
      <c r="D321" s="2" t="str">
        <f>CLEAN(TRIM(Working_Sales[[#This Row],[Date]]))</f>
        <v>2023-11-14</v>
      </c>
      <c r="E32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45244</v>
      </c>
      <c r="F32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45244</v>
      </c>
      <c r="G32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45244</v>
      </c>
      <c r="H321" t="s">
        <v>2587</v>
      </c>
      <c r="I321" s="2" t="str">
        <f>CLEAN(TRIM(Working_Sales[[#This Row],[Customer ID]]))</f>
        <v>cust251</v>
      </c>
      <c r="J32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2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CUST251</v>
      </c>
      <c r="L321" t="s">
        <v>34</v>
      </c>
      <c r="M321" s="4" t="str">
        <f>CLEAN(TRIM(Working_Sales[[#This Row],[Gender]]))</f>
        <v>Male</v>
      </c>
      <c r="N321" s="4" t="str" cm="1">
        <f t="array" ref="N321">_xlfn.SWITCH(
   Working_Sales[[#This Row],[Gender_Whitespace_Removed]],
   "m", "Male",
   "f", "Female",
   Working_Sales[[#This Row],[Gender_Whitespace_Removed]]
)</f>
        <v>Male</v>
      </c>
      <c r="O321" s="6" t="str">
        <f>PROPER(Working_Sales[[#This Row],[Gender_Abbreviation_Expanded]])</f>
        <v>Male</v>
      </c>
      <c r="P321" t="s">
        <v>760</v>
      </c>
      <c r="Q321" s="2" t="str">
        <f>CLEAN(TRIM(Working_Sales[[#This Row],[Age]]))</f>
        <v>62</v>
      </c>
      <c r="R321" s="6">
        <f>INT(SUBSTITUTE(Working_Sales[[#This Row],[Age_Whitespace_Removed]],".",","))</f>
        <v>62</v>
      </c>
      <c r="S321" t="s">
        <v>13</v>
      </c>
      <c r="T321" s="2" t="str">
        <f>CLEAN(TRIM(Working_Sales[[#This Row],[Product Category]]))</f>
        <v>Electronics</v>
      </c>
      <c r="U321" s="6" t="str">
        <f>PROPER(Working_Sales[[#This Row],[Product_Category_Whitespace_Removed]])</f>
        <v>Electronics</v>
      </c>
      <c r="V321" t="s">
        <v>22</v>
      </c>
      <c r="W321" s="2" t="str">
        <f>CLEAN(TRIM(Working_Sales[[#This Row],[Quantity]]))</f>
        <v>1</v>
      </c>
      <c r="X321" s="2">
        <f>INT(Working_Sales[[#This Row],[`]])</f>
        <v>1</v>
      </c>
      <c r="Y321" s="6">
        <f>IFERROR(
   Working_Sales[[#This Row],[Quantity_Converted_To_Integer]],
   Working_Sales[[#This Row],[Total_Amount_Whitespace_Removed]]/Working_Sales[[#This Row],[Price_Per_Unit_Decimal_Separator_Fixed]])</f>
        <v>1</v>
      </c>
      <c r="Z321" t="s">
        <v>70</v>
      </c>
      <c r="AA321" s="2" t="str">
        <f>CLEAN(TRIM(Working_Sales[[#This Row],[Price per Unit]]))</f>
        <v>30</v>
      </c>
      <c r="AB321" s="2">
        <f>INT(
   SUBSTITUTE(Working_Sales[[#This Row],[Price_Per_Unit_Whitespace_Removed]],
   "$",
   ""
   )
)</f>
        <v>30</v>
      </c>
      <c r="AC321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321" s="8">
        <f>IFERROR(
   Working_Sales[[#This Row],[Price_Per_Unit_Decimal_Separator_Fixed]],
   Working_Sales[[#This Row],[Total_Amount_Converted_To_Integer]]/Working_Sales[[#This Row],[Quantity_Converted_To_Integer]]
)</f>
        <v>30</v>
      </c>
      <c r="AE321" t="s">
        <v>70</v>
      </c>
      <c r="AF321" s="2" t="str">
        <f>CLEAN(TRIM(Working_Sales[[#This Row],[Total Amount]]))</f>
        <v>30</v>
      </c>
      <c r="AG321" s="2">
        <f>INT(Working_Sales[[#This Row],[Total_Amount_Whitespace_Removed]])</f>
        <v>30</v>
      </c>
      <c r="AH32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322" spans="1:34" x14ac:dyDescent="0.35">
      <c r="A322" t="s">
        <v>761</v>
      </c>
      <c r="B322" s="6" t="str">
        <f>CLEAN(TRIM(Working_Sales[[#This Row],[Transaction ID]]))</f>
        <v>368</v>
      </c>
      <c r="C322" t="s">
        <v>762</v>
      </c>
      <c r="D322" s="2" t="str">
        <f>CLEAN(TRIM(Working_Sales[[#This Row],[Date]]))</f>
        <v>08/23/2023</v>
      </c>
      <c r="E322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32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45161</v>
      </c>
      <c r="G32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45161</v>
      </c>
      <c r="H322" t="s">
        <v>2588</v>
      </c>
      <c r="I322" s="2" t="str">
        <f>CLEAN(TRIM(Working_Sales[[#This Row],[Customer ID]]))</f>
        <v>CUST-252</v>
      </c>
      <c r="J32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2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CUST252</v>
      </c>
      <c r="L322" t="s">
        <v>26</v>
      </c>
      <c r="M322" s="4" t="str">
        <f>CLEAN(TRIM(Working_Sales[[#This Row],[Gender]]))</f>
        <v>Female</v>
      </c>
      <c r="N322" s="4" t="str" cm="1">
        <f t="array" ref="N322">_xlfn.SWITCH(
   Working_Sales[[#This Row],[Gender_Whitespace_Removed]],
   "m", "Male",
   "f", "Female",
   Working_Sales[[#This Row],[Gender_Whitespace_Removed]]
)</f>
        <v>Female</v>
      </c>
      <c r="O322" s="6" t="str">
        <f>PROPER(Working_Sales[[#This Row],[Gender_Abbreviation_Expanded]])</f>
        <v>Female</v>
      </c>
      <c r="P322" t="s">
        <v>754</v>
      </c>
      <c r="Q322" s="2" t="str">
        <f>CLEAN(TRIM(Working_Sales[[#This Row],[Age]]))</f>
        <v>56</v>
      </c>
      <c r="R322" s="6">
        <f>INT(SUBSTITUTE(Working_Sales[[#This Row],[Age_Whitespace_Removed]],".",","))</f>
        <v>56</v>
      </c>
      <c r="S322" t="s">
        <v>56</v>
      </c>
      <c r="T322" s="2" t="str">
        <f>CLEAN(TRIM(Working_Sales[[#This Row],[Product Category]]))</f>
        <v>Clothing</v>
      </c>
      <c r="U322" s="6" t="str">
        <f>PROPER(Working_Sales[[#This Row],[Product_Category_Whitespace_Removed]])</f>
        <v>Clothing</v>
      </c>
      <c r="V322" t="s">
        <v>14</v>
      </c>
      <c r="W322" s="2" t="str">
        <f>CLEAN(TRIM(Working_Sales[[#This Row],[Quantity]]))</f>
        <v>4</v>
      </c>
      <c r="X322" s="2">
        <f>INT(Working_Sales[[#This Row],[`]])</f>
        <v>4</v>
      </c>
      <c r="Y322" s="6">
        <f>IFERROR(
   Working_Sales[[#This Row],[Quantity_Converted_To_Integer]],
   Working_Sales[[#This Row],[Total_Amount_Whitespace_Removed]]/Working_Sales[[#This Row],[Price_Per_Unit_Decimal_Separator_Fixed]])</f>
        <v>4</v>
      </c>
      <c r="Z322" t="s">
        <v>23</v>
      </c>
      <c r="AA322" s="2" t="str">
        <f>CLEAN(TRIM(Working_Sales[[#This Row],[Price per Unit]]))</f>
        <v>300</v>
      </c>
      <c r="AB322" s="2">
        <f>INT(
   SUBSTITUTE(Working_Sales[[#This Row],[Price_Per_Unit_Whitespace_Removed]],
   "$",
   ""
   )
)</f>
        <v>300</v>
      </c>
      <c r="AC322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322" s="8">
        <f>IFERROR(
   Working_Sales[[#This Row],[Price_Per_Unit_Decimal_Separator_Fixed]],
   Working_Sales[[#This Row],[Total_Amount_Converted_To_Integer]]/Working_Sales[[#This Row],[Quantity_Converted_To_Integer]]
)</f>
        <v>300</v>
      </c>
      <c r="AE322" t="s">
        <v>79</v>
      </c>
      <c r="AF322" s="2" t="str">
        <f>CLEAN(TRIM(Working_Sales[[#This Row],[Total Amount]]))</f>
        <v>1200</v>
      </c>
      <c r="AG322" s="2">
        <f>INT(Working_Sales[[#This Row],[Total_Amount_Whitespace_Removed]])</f>
        <v>1200</v>
      </c>
      <c r="AH32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323" spans="1:34" x14ac:dyDescent="0.35">
      <c r="A323" t="s">
        <v>764</v>
      </c>
      <c r="B323" s="6" t="str">
        <f>CLEAN(TRIM(Working_Sales[[#This Row],[Transaction ID]]))</f>
        <v>827</v>
      </c>
      <c r="C323" t="s">
        <v>765</v>
      </c>
      <c r="D323" s="2" t="str">
        <f>CLEAN(TRIM(Working_Sales[[#This Row],[Date]]))</f>
        <v>2023-11-09</v>
      </c>
      <c r="E32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45239</v>
      </c>
      <c r="F32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45239</v>
      </c>
      <c r="G32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45239</v>
      </c>
      <c r="H323" t="s">
        <v>2589</v>
      </c>
      <c r="I323" s="2" t="str">
        <f>CLEAN(TRIM(Working_Sales[[#This Row],[Customer ID]]))</f>
        <v>CUST253</v>
      </c>
      <c r="J32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CUST253</v>
      </c>
      <c r="K32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CUST253</v>
      </c>
      <c r="L323" t="s">
        <v>34</v>
      </c>
      <c r="M323" s="4" t="str">
        <f>CLEAN(TRIM(Working_Sales[[#This Row],[Gender]]))</f>
        <v>Male</v>
      </c>
      <c r="N323" s="4" t="str" cm="1">
        <f t="array" ref="N323">_xlfn.SWITCH(
   Working_Sales[[#This Row],[Gender_Whitespace_Removed]],
   "m", "Male",
   "f", "Female",
   Working_Sales[[#This Row],[Gender_Whitespace_Removed]]
)</f>
        <v>Male</v>
      </c>
      <c r="O323" s="6" t="str">
        <f>PROPER(Working_Sales[[#This Row],[Gender_Abbreviation_Expanded]])</f>
        <v>Male</v>
      </c>
      <c r="P323">
        <v>61</v>
      </c>
      <c r="Q323" s="2" t="str">
        <f>CLEAN(TRIM(Working_Sales[[#This Row],[Age]]))</f>
        <v>61</v>
      </c>
      <c r="R323" s="6">
        <f>INT(SUBSTITUTE(Working_Sales[[#This Row],[Age_Whitespace_Removed]],".",","))</f>
        <v>61</v>
      </c>
      <c r="S323" t="s">
        <v>434</v>
      </c>
      <c r="T323" s="2" t="str">
        <f>CLEAN(TRIM(Working_Sales[[#This Row],[Product Category]]))</f>
        <v>Beauty</v>
      </c>
      <c r="U323" s="6" t="str">
        <f>PROPER(Working_Sales[[#This Row],[Product_Category_Whitespace_Removed]])</f>
        <v>Beauty</v>
      </c>
      <c r="V323" t="s">
        <v>29</v>
      </c>
      <c r="W323" s="2" t="str">
        <f>CLEAN(TRIM(Working_Sales[[#This Row],[Quantity]]))</f>
        <v>3</v>
      </c>
      <c r="X323" s="2">
        <f>INT(Working_Sales[[#This Row],[`]])</f>
        <v>3</v>
      </c>
      <c r="Y323" s="6">
        <f>IFERROR(
   Working_Sales[[#This Row],[Quantity_Converted_To_Integer]],
   Working_Sales[[#This Row],[Total_Amount_Whitespace_Removed]]/Working_Sales[[#This Row],[Price_Per_Unit_Decimal_Separator_Fixed]])</f>
        <v>3</v>
      </c>
      <c r="Z323" t="s">
        <v>23</v>
      </c>
      <c r="AA323" s="2" t="str">
        <f>CLEAN(TRIM(Working_Sales[[#This Row],[Price per Unit]]))</f>
        <v>300</v>
      </c>
      <c r="AB323" s="2">
        <f>INT(
   SUBSTITUTE(Working_Sales[[#This Row],[Price_Per_Unit_Whitespace_Removed]],
   "$",
   ""
   )
)</f>
        <v>300</v>
      </c>
      <c r="AC323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323" s="8">
        <f>IFERROR(
   Working_Sales[[#This Row],[Price_Per_Unit_Decimal_Separator_Fixed]],
   Working_Sales[[#This Row],[Total_Amount_Converted_To_Integer]]/Working_Sales[[#This Row],[Quantity_Converted_To_Integer]]
)</f>
        <v>300</v>
      </c>
      <c r="AE323" t="s">
        <v>128</v>
      </c>
      <c r="AF323" s="2" t="str">
        <f>CLEAN(TRIM(Working_Sales[[#This Row],[Total Amount]]))</f>
        <v>900</v>
      </c>
      <c r="AG323" s="2">
        <f>INT(Working_Sales[[#This Row],[Total_Amount_Whitespace_Removed]])</f>
        <v>900</v>
      </c>
      <c r="AH32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324" spans="1:34" x14ac:dyDescent="0.35">
      <c r="A324" t="s">
        <v>766</v>
      </c>
      <c r="B324" s="6" t="str">
        <f>CLEAN(TRIM(Working_Sales[[#This Row],[Transaction ID]]))</f>
        <v>948</v>
      </c>
      <c r="C324" t="s">
        <v>767</v>
      </c>
      <c r="D324" s="2" t="str">
        <f>CLEAN(TRIM(Working_Sales[[#This Row],[Date]]))</f>
        <v>2023-10-13</v>
      </c>
      <c r="E32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45212</v>
      </c>
      <c r="F32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45212</v>
      </c>
      <c r="G32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45212</v>
      </c>
      <c r="H324" t="s">
        <v>2590</v>
      </c>
      <c r="I324" s="2" t="str">
        <f>CLEAN(TRIM(Working_Sales[[#This Row],[Customer ID]]))</f>
        <v>CUST254</v>
      </c>
      <c r="J32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CUST254</v>
      </c>
      <c r="K32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CUST254</v>
      </c>
      <c r="L324" t="s">
        <v>26</v>
      </c>
      <c r="M324" s="4" t="str">
        <f>CLEAN(TRIM(Working_Sales[[#This Row],[Gender]]))</f>
        <v>Female</v>
      </c>
      <c r="N324" s="4" t="str" cm="1">
        <f t="array" ref="N324">_xlfn.SWITCH(
   Working_Sales[[#This Row],[Gender_Whitespace_Removed]],
   "m", "Male",
   "f", "Female",
   Working_Sales[[#This Row],[Gender_Whitespace_Removed]]
)</f>
        <v>Female</v>
      </c>
      <c r="O324" s="6" t="str">
        <f>PROPER(Working_Sales[[#This Row],[Gender_Abbreviation_Expanded]])</f>
        <v>Female</v>
      </c>
      <c r="P324">
        <v>23</v>
      </c>
      <c r="Q324" s="2" t="str">
        <f>CLEAN(TRIM(Working_Sales[[#This Row],[Age]]))</f>
        <v>23</v>
      </c>
      <c r="R324" s="6">
        <f>INT(SUBSTITUTE(Working_Sales[[#This Row],[Age_Whitespace_Removed]],".",","))</f>
        <v>23</v>
      </c>
      <c r="S324" t="s">
        <v>48</v>
      </c>
      <c r="T324" s="2" t="str">
        <f>CLEAN(TRIM(Working_Sales[[#This Row],[Product Category]]))</f>
        <v>electronics</v>
      </c>
      <c r="U324" s="6" t="str">
        <f>PROPER(Working_Sales[[#This Row],[Product_Category_Whitespace_Removed]])</f>
        <v>Electronics</v>
      </c>
      <c r="V324" t="s">
        <v>29</v>
      </c>
      <c r="W324" s="2" t="str">
        <f>CLEAN(TRIM(Working_Sales[[#This Row],[Quantity]]))</f>
        <v>3</v>
      </c>
      <c r="X324" s="2">
        <f>INT(Working_Sales[[#This Row],[`]])</f>
        <v>3</v>
      </c>
      <c r="Y324" s="6">
        <f>IFERROR(
   Working_Sales[[#This Row],[Quantity_Converted_To_Integer]],
   Working_Sales[[#This Row],[Total_Amount_Whitespace_Removed]]/Working_Sales[[#This Row],[Price_Per_Unit_Decimal_Separator_Fixed]])</f>
        <v>3</v>
      </c>
      <c r="Z324" t="s">
        <v>30</v>
      </c>
      <c r="AA324" s="2" t="str">
        <f>CLEAN(TRIM(Working_Sales[[#This Row],[Price per Unit]]))</f>
        <v>25</v>
      </c>
      <c r="AB324" s="2">
        <f>INT(
   SUBSTITUTE(Working_Sales[[#This Row],[Price_Per_Unit_Whitespace_Removed]],
   "$",
   ""
   )
)</f>
        <v>25</v>
      </c>
      <c r="AC324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324" s="8">
        <f>IFERROR(
   Working_Sales[[#This Row],[Price_Per_Unit_Decimal_Separator_Fixed]],
   Working_Sales[[#This Row],[Total_Amount_Converted_To_Integer]]/Working_Sales[[#This Row],[Quantity_Converted_To_Integer]]
)</f>
        <v>25</v>
      </c>
      <c r="AE324" t="s">
        <v>31</v>
      </c>
      <c r="AF324" s="2" t="str">
        <f>CLEAN(TRIM(Working_Sales[[#This Row],[Total Amount]]))</f>
        <v>75</v>
      </c>
      <c r="AG324" s="2">
        <f>INT(Working_Sales[[#This Row],[Total_Amount_Whitespace_Removed]])</f>
        <v>75</v>
      </c>
      <c r="AH32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325" spans="1:34" x14ac:dyDescent="0.35">
      <c r="A325" t="s">
        <v>768</v>
      </c>
      <c r="B325" s="6" t="str">
        <f>CLEAN(TRIM(Working_Sales[[#This Row],[Transaction ID]]))</f>
        <v>363</v>
      </c>
      <c r="C325" t="s">
        <v>2078</v>
      </c>
      <c r="D325" s="2" t="str">
        <f>CLEAN(TRIM(Working_Sales[[#This Row],[Date]]))</f>
        <v>03-Jun-2023</v>
      </c>
      <c r="E32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45080</v>
      </c>
      <c r="F32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45080</v>
      </c>
      <c r="G32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45080</v>
      </c>
      <c r="H325" t="s">
        <v>1340</v>
      </c>
      <c r="I325" s="2" t="str">
        <f>CLEAN(TRIM(Working_Sales[[#This Row],[Customer ID]]))</f>
        <v>CUST255</v>
      </c>
      <c r="J32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CUST255</v>
      </c>
      <c r="K32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CUST255</v>
      </c>
      <c r="L325" t="s">
        <v>34</v>
      </c>
      <c r="M325" s="4" t="str">
        <f>CLEAN(TRIM(Working_Sales[[#This Row],[Gender]]))</f>
        <v>Male</v>
      </c>
      <c r="N325" s="4" t="str" cm="1">
        <f t="array" ref="N325">_xlfn.SWITCH(
   Working_Sales[[#This Row],[Gender_Whitespace_Removed]],
   "m", "Male",
   "f", "Female",
   Working_Sales[[#This Row],[Gender_Whitespace_Removed]]
)</f>
        <v>Male</v>
      </c>
      <c r="O325" s="6" t="str">
        <f>PROPER(Working_Sales[[#This Row],[Gender_Abbreviation_Expanded]])</f>
        <v>Male</v>
      </c>
      <c r="P325">
        <v>64</v>
      </c>
      <c r="Q325" s="2" t="str">
        <f>CLEAN(TRIM(Working_Sales[[#This Row],[Age]]))</f>
        <v>64</v>
      </c>
      <c r="R325" s="6">
        <f>INT(SUBSTITUTE(Working_Sales[[#This Row],[Age_Whitespace_Removed]],".",","))</f>
        <v>64</v>
      </c>
      <c r="S325" t="s">
        <v>36</v>
      </c>
      <c r="T325" s="2" t="str">
        <f>CLEAN(TRIM(Working_Sales[[#This Row],[Product Category]]))</f>
        <v>Beauty</v>
      </c>
      <c r="U325" s="6" t="str">
        <f>PROPER(Working_Sales[[#This Row],[Product_Category_Whitespace_Removed]])</f>
        <v>Beauty</v>
      </c>
      <c r="V325" t="s">
        <v>22</v>
      </c>
      <c r="W325" s="2" t="str">
        <f>CLEAN(TRIM(Working_Sales[[#This Row],[Quantity]]))</f>
        <v>1</v>
      </c>
      <c r="X325" s="2">
        <f>INT(Working_Sales[[#This Row],[`]])</f>
        <v>1</v>
      </c>
      <c r="Y325" s="6">
        <f>IFERROR(
   Working_Sales[[#This Row],[Quantity_Converted_To_Integer]],
   Working_Sales[[#This Row],[Total_Amount_Whitespace_Removed]]/Working_Sales[[#This Row],[Price_Per_Unit_Decimal_Separator_Fixed]])</f>
        <v>1</v>
      </c>
      <c r="Z325" t="s">
        <v>371</v>
      </c>
      <c r="AA325" s="2" t="str">
        <f>CLEAN(TRIM(Working_Sales[[#This Row],[Price per Unit]]))</f>
        <v>25.00</v>
      </c>
      <c r="AB325" s="2" t="e">
        <f>INT(
   SUBSTITUTE(Working_Sales[[#This Row],[Price_Per_Unit_Whitespace_Removed]],
   "$",
   ""
   )
)</f>
        <v>#VALUE!</v>
      </c>
      <c r="AC325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325" s="8">
        <f>IFERROR(
   Working_Sales[[#This Row],[Price_Per_Unit_Decimal_Separator_Fixed]],
   Working_Sales[[#This Row],[Total_Amount_Converted_To_Integer]]/Working_Sales[[#This Row],[Quantity_Converted_To_Integer]]
)</f>
        <v>25</v>
      </c>
      <c r="AE325" t="s">
        <v>30</v>
      </c>
      <c r="AF325" s="2" t="str">
        <f>CLEAN(TRIM(Working_Sales[[#This Row],[Total Amount]]))</f>
        <v>25</v>
      </c>
      <c r="AG325" s="2">
        <f>INT(Working_Sales[[#This Row],[Total_Amount_Whitespace_Removed]])</f>
        <v>25</v>
      </c>
      <c r="AH32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326" spans="1:34" x14ac:dyDescent="0.35">
      <c r="A326" t="s">
        <v>769</v>
      </c>
      <c r="B326" s="6" t="str">
        <f>CLEAN(TRIM(Working_Sales[[#This Row],[Transaction ID]]))</f>
        <v>724</v>
      </c>
      <c r="C326" t="s">
        <v>770</v>
      </c>
      <c r="D326" s="2" t="str">
        <f>CLEAN(TRIM(Working_Sales[[#This Row],[Date]]))</f>
        <v>19/04/2023</v>
      </c>
      <c r="E32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45035</v>
      </c>
      <c r="F32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45035</v>
      </c>
      <c r="G32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45035</v>
      </c>
      <c r="H326" t="s">
        <v>2591</v>
      </c>
      <c r="I326" s="2" t="str">
        <f>CLEAN(TRIM(Working_Sales[[#This Row],[Customer ID]]))</f>
        <v>CUST256</v>
      </c>
      <c r="J32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CUST256</v>
      </c>
      <c r="K32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CUST256</v>
      </c>
      <c r="L326" t="s">
        <v>34</v>
      </c>
      <c r="M326" s="4" t="str">
        <f>CLEAN(TRIM(Working_Sales[[#This Row],[Gender]]))</f>
        <v>Male</v>
      </c>
      <c r="N326" s="4" t="str" cm="1">
        <f t="array" ref="N326">_xlfn.SWITCH(
   Working_Sales[[#This Row],[Gender_Whitespace_Removed]],
   "m", "Male",
   "f", "Female",
   Working_Sales[[#This Row],[Gender_Whitespace_Removed]]
)</f>
        <v>Male</v>
      </c>
      <c r="O326" s="6" t="str">
        <f>PROPER(Working_Sales[[#This Row],[Gender_Abbreviation_Expanded]])</f>
        <v>Male</v>
      </c>
      <c r="P326">
        <v>61</v>
      </c>
      <c r="Q326" s="2" t="str">
        <f>CLEAN(TRIM(Working_Sales[[#This Row],[Age]]))</f>
        <v>61</v>
      </c>
      <c r="R326" s="6">
        <f>INT(SUBSTITUTE(Working_Sales[[#This Row],[Age_Whitespace_Removed]],".",","))</f>
        <v>61</v>
      </c>
      <c r="S326" t="s">
        <v>89</v>
      </c>
      <c r="T326" s="2" t="str">
        <f>CLEAN(TRIM(Working_Sales[[#This Row],[Product Category]]))</f>
        <v>CLOTHING</v>
      </c>
      <c r="U326" s="6" t="str">
        <f>PROPER(Working_Sales[[#This Row],[Product_Category_Whitespace_Removed]])</f>
        <v>Clothing</v>
      </c>
      <c r="V326" t="s">
        <v>29</v>
      </c>
      <c r="W326" s="2" t="str">
        <f>CLEAN(TRIM(Working_Sales[[#This Row],[Quantity]]))</f>
        <v>3</v>
      </c>
      <c r="X326" s="2">
        <f>INT(Working_Sales[[#This Row],[`]])</f>
        <v>3</v>
      </c>
      <c r="Y326" s="6">
        <f>IFERROR(
   Working_Sales[[#This Row],[Quantity_Converted_To_Integer]],
   Working_Sales[[#This Row],[Total_Amount_Whitespace_Removed]]/Working_Sales[[#This Row],[Price_Per_Unit_Decimal_Separator_Fixed]])</f>
        <v>3</v>
      </c>
      <c r="Z326" t="s">
        <v>15</v>
      </c>
      <c r="AA326" s="2" t="str">
        <f>CLEAN(TRIM(Working_Sales[[#This Row],[Price per Unit]]))</f>
        <v>50</v>
      </c>
      <c r="AB326" s="2">
        <f>INT(
   SUBSTITUTE(Working_Sales[[#This Row],[Price_Per_Unit_Whitespace_Removed]],
   "$",
   ""
   )
)</f>
        <v>50</v>
      </c>
      <c r="AC326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326" s="8">
        <f>IFERROR(
   Working_Sales[[#This Row],[Price_Per_Unit_Decimal_Separator_Fixed]],
   Working_Sales[[#This Row],[Total_Amount_Converted_To_Integer]]/Working_Sales[[#This Row],[Quantity_Converted_To_Integer]]
)</f>
        <v>50</v>
      </c>
      <c r="AE326" t="s">
        <v>130</v>
      </c>
      <c r="AF326" s="2" t="str">
        <f>CLEAN(TRIM(Working_Sales[[#This Row],[Total Amount]]))</f>
        <v>150</v>
      </c>
      <c r="AG326" s="2">
        <f>INT(Working_Sales[[#This Row],[Total_Amount_Whitespace_Removed]])</f>
        <v>150</v>
      </c>
      <c r="AH32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327" spans="1:34" x14ac:dyDescent="0.35">
      <c r="A327" t="s">
        <v>771</v>
      </c>
      <c r="B327" s="6" t="str">
        <f>CLEAN(TRIM(Working_Sales[[#This Row],[Transaction ID]]))</f>
        <v>884</v>
      </c>
      <c r="C327" t="s">
        <v>2079</v>
      </c>
      <c r="D327" s="2" t="str">
        <f>CLEAN(TRIM(Working_Sales[[#This Row],[Date]]))</f>
        <v>04/29/2023</v>
      </c>
      <c r="E327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32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45045</v>
      </c>
      <c r="G32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45045</v>
      </c>
      <c r="H327" t="s">
        <v>2592</v>
      </c>
      <c r="I327" s="2" t="str">
        <f>CLEAN(TRIM(Working_Sales[[#This Row],[Customer ID]]))</f>
        <v>cust133</v>
      </c>
      <c r="J32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2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CUST133</v>
      </c>
      <c r="L327" t="s">
        <v>26</v>
      </c>
      <c r="M327" s="4" t="str">
        <f>CLEAN(TRIM(Working_Sales[[#This Row],[Gender]]))</f>
        <v>Female</v>
      </c>
      <c r="N327" s="4" t="str" cm="1">
        <f t="array" ref="N327">_xlfn.SWITCH(
   Working_Sales[[#This Row],[Gender_Whitespace_Removed]],
   "m", "Male",
   "f", "Female",
   Working_Sales[[#This Row],[Gender_Whitespace_Removed]]
)</f>
        <v>Female</v>
      </c>
      <c r="O327" s="6" t="str">
        <f>PROPER(Working_Sales[[#This Row],[Gender_Abbreviation_Expanded]])</f>
        <v>Female</v>
      </c>
      <c r="P327">
        <v>26</v>
      </c>
      <c r="Q327" s="2" t="str">
        <f>CLEAN(TRIM(Working_Sales[[#This Row],[Age]]))</f>
        <v>26</v>
      </c>
      <c r="R327" s="6">
        <f>INT(SUBSTITUTE(Working_Sales[[#This Row],[Age_Whitespace_Removed]],".",","))</f>
        <v>26</v>
      </c>
      <c r="S327" t="s">
        <v>56</v>
      </c>
      <c r="T327" s="2" t="str">
        <f>CLEAN(TRIM(Working_Sales[[#This Row],[Product Category]]))</f>
        <v>Clothing</v>
      </c>
      <c r="U327" s="6" t="str">
        <f>PROPER(Working_Sales[[#This Row],[Product_Category_Whitespace_Removed]])</f>
        <v>Clothing</v>
      </c>
      <c r="V327" t="s">
        <v>37</v>
      </c>
      <c r="W327" s="2" t="str">
        <f>CLEAN(TRIM(Working_Sales[[#This Row],[Quantity]]))</f>
        <v>2</v>
      </c>
      <c r="X327" s="2">
        <f>INT(Working_Sales[[#This Row],[`]])</f>
        <v>2</v>
      </c>
      <c r="Y327" s="6">
        <f>IFERROR(
   Working_Sales[[#This Row],[Quantity_Converted_To_Integer]],
   Working_Sales[[#This Row],[Total_Amount_Whitespace_Removed]]/Working_Sales[[#This Row],[Price_Per_Unit_Decimal_Separator_Fixed]])</f>
        <v>2</v>
      </c>
      <c r="Z327" t="s">
        <v>70</v>
      </c>
      <c r="AA327" s="2" t="str">
        <f>CLEAN(TRIM(Working_Sales[[#This Row],[Price per Unit]]))</f>
        <v>30</v>
      </c>
      <c r="AB327" s="2">
        <f>INT(
   SUBSTITUTE(Working_Sales[[#This Row],[Price_Per_Unit_Whitespace_Removed]],
   "$",
   ""
   )
)</f>
        <v>30</v>
      </c>
      <c r="AC327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327" s="8">
        <f>IFERROR(
   Working_Sales[[#This Row],[Price_Per_Unit_Decimal_Separator_Fixed]],
   Working_Sales[[#This Row],[Total_Amount_Converted_To_Integer]]/Working_Sales[[#This Row],[Quantity_Converted_To_Integer]]
)</f>
        <v>30</v>
      </c>
      <c r="AE327" t="s">
        <v>71</v>
      </c>
      <c r="AF327" s="2" t="str">
        <f>CLEAN(TRIM(Working_Sales[[#This Row],[Total Amount]]))</f>
        <v>60</v>
      </c>
      <c r="AG327" s="2">
        <f>INT(Working_Sales[[#This Row],[Total_Amount_Whitespace_Removed]])</f>
        <v>60</v>
      </c>
      <c r="AH32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328" spans="1:34" x14ac:dyDescent="0.35">
      <c r="A328" t="s">
        <v>773</v>
      </c>
      <c r="B328" s="6" t="str">
        <f>CLEAN(TRIM(Working_Sales[[#This Row],[Transaction ID]]))</f>
        <v>696</v>
      </c>
      <c r="C328" t="s">
        <v>2080</v>
      </c>
      <c r="D328" s="2" t="str">
        <f>CLEAN(TRIM(Working_Sales[[#This Row],[Date]]))</f>
        <v>06-Sep-2023</v>
      </c>
      <c r="E32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45175</v>
      </c>
      <c r="F32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45175</v>
      </c>
      <c r="G32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45175</v>
      </c>
      <c r="H328" t="s">
        <v>2593</v>
      </c>
      <c r="I328" s="2" t="str">
        <f>CLEAN(TRIM(Working_Sales[[#This Row],[Customer ID]]))</f>
        <v>CUST066</v>
      </c>
      <c r="J32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CUST066</v>
      </c>
      <c r="K32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CUST066</v>
      </c>
      <c r="L328" t="s">
        <v>46</v>
      </c>
      <c r="M328" s="4" t="str">
        <f>CLEAN(TRIM(Working_Sales[[#This Row],[Gender]]))</f>
        <v>F</v>
      </c>
      <c r="N328" s="4" t="str" cm="1">
        <f t="array" ref="N328">_xlfn.SWITCH(
   Working_Sales[[#This Row],[Gender_Whitespace_Removed]],
   "m", "Male",
   "f", "Female",
   Working_Sales[[#This Row],[Gender_Whitespace_Removed]]
)</f>
        <v>Female</v>
      </c>
      <c r="O328" s="6" t="str">
        <f>PROPER(Working_Sales[[#This Row],[Gender_Abbreviation_Expanded]])</f>
        <v>Female</v>
      </c>
      <c r="P328">
        <v>50</v>
      </c>
      <c r="Q328" s="2" t="str">
        <f>CLEAN(TRIM(Working_Sales[[#This Row],[Age]]))</f>
        <v>50</v>
      </c>
      <c r="R328" s="6">
        <f>INT(SUBSTITUTE(Working_Sales[[#This Row],[Age_Whitespace_Removed]],".",","))</f>
        <v>50</v>
      </c>
      <c r="S328" t="s">
        <v>56</v>
      </c>
      <c r="T328" s="2" t="str">
        <f>CLEAN(TRIM(Working_Sales[[#This Row],[Product Category]]))</f>
        <v>Clothing</v>
      </c>
      <c r="U328" s="6" t="str">
        <f>PROPER(Working_Sales[[#This Row],[Product_Category_Whitespace_Removed]])</f>
        <v>Clothing</v>
      </c>
      <c r="V328" t="s">
        <v>14</v>
      </c>
      <c r="W328" s="2" t="str">
        <f>CLEAN(TRIM(Working_Sales[[#This Row],[Quantity]]))</f>
        <v>4</v>
      </c>
      <c r="X328" s="2">
        <f>INT(Working_Sales[[#This Row],[`]])</f>
        <v>4</v>
      </c>
      <c r="Y328" s="6">
        <f>IFERROR(
   Working_Sales[[#This Row],[Quantity_Converted_To_Integer]],
   Working_Sales[[#This Row],[Total_Amount_Whitespace_Removed]]/Working_Sales[[#This Row],[Price_Per_Unit_Decimal_Separator_Fixed]])</f>
        <v>4</v>
      </c>
      <c r="Z328" t="s">
        <v>153</v>
      </c>
      <c r="AA328" s="2" t="str">
        <f>CLEAN(TRIM(Working_Sales[[#This Row],[Price per Unit]]))</f>
        <v>50.00</v>
      </c>
      <c r="AB328" s="2" t="e">
        <f>INT(
   SUBSTITUTE(Working_Sales[[#This Row],[Price_Per_Unit_Whitespace_Removed]],
   "$",
   ""
   )
)</f>
        <v>#VALUE!</v>
      </c>
      <c r="AC328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328" s="8">
        <f>IFERROR(
   Working_Sales[[#This Row],[Price_Per_Unit_Decimal_Separator_Fixed]],
   Working_Sales[[#This Row],[Total_Amount_Converted_To_Integer]]/Working_Sales[[#This Row],[Quantity_Converted_To_Integer]]
)</f>
        <v>50</v>
      </c>
      <c r="AE328" t="s">
        <v>16</v>
      </c>
      <c r="AF328" s="2" t="str">
        <f>CLEAN(TRIM(Working_Sales[[#This Row],[Total Amount]]))</f>
        <v>200</v>
      </c>
      <c r="AG328" s="2">
        <f>INT(Working_Sales[[#This Row],[Total_Amount_Whitespace_Removed]])</f>
        <v>200</v>
      </c>
      <c r="AH32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329" spans="1:34" x14ac:dyDescent="0.35">
      <c r="A329" t="s">
        <v>774</v>
      </c>
      <c r="B329" s="6" t="str">
        <f>CLEAN(TRIM(Working_Sales[[#This Row],[Transaction ID]]))</f>
        <v>472</v>
      </c>
      <c r="C329" t="s">
        <v>775</v>
      </c>
      <c r="D329" s="2" t="str">
        <f>CLEAN(TRIM(Working_Sales[[#This Row],[Date]]))</f>
        <v>26/12/2023</v>
      </c>
      <c r="E32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45286</v>
      </c>
      <c r="F32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45286</v>
      </c>
      <c r="G32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45286</v>
      </c>
      <c r="H329" t="s">
        <v>2594</v>
      </c>
      <c r="I329" s="2" t="str">
        <f>CLEAN(TRIM(Working_Sales[[#This Row],[Customer ID]]))</f>
        <v>CUST176</v>
      </c>
      <c r="J32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CUST176</v>
      </c>
      <c r="K32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CUST176</v>
      </c>
      <c r="L329" t="s">
        <v>26</v>
      </c>
      <c r="M329" s="4" t="str">
        <f>CLEAN(TRIM(Working_Sales[[#This Row],[Gender]]))</f>
        <v>Female</v>
      </c>
      <c r="N329" s="4" t="str" cm="1">
        <f t="array" ref="N329">_xlfn.SWITCH(
   Working_Sales[[#This Row],[Gender_Whitespace_Removed]],
   "m", "Male",
   "f", "Female",
   Working_Sales[[#This Row],[Gender_Whitespace_Removed]]
)</f>
        <v>Female</v>
      </c>
      <c r="O329" s="6" t="str">
        <f>PROPER(Working_Sales[[#This Row],[Gender_Abbreviation_Expanded]])</f>
        <v>Female</v>
      </c>
      <c r="P329" t="s">
        <v>777</v>
      </c>
      <c r="Q329" s="2" t="str">
        <f>CLEAN(TRIM(Working_Sales[[#This Row],[Age]]))</f>
        <v>38</v>
      </c>
      <c r="R329" s="6">
        <f>INT(SUBSTITUTE(Working_Sales[[#This Row],[Age_Whitespace_Removed]],".",","))</f>
        <v>38</v>
      </c>
      <c r="S329" t="s">
        <v>434</v>
      </c>
      <c r="T329" s="2" t="str">
        <f>CLEAN(TRIM(Working_Sales[[#This Row],[Product Category]]))</f>
        <v>Beauty</v>
      </c>
      <c r="U329" s="6" t="str">
        <f>PROPER(Working_Sales[[#This Row],[Product_Category_Whitespace_Removed]])</f>
        <v>Beauty</v>
      </c>
      <c r="V329" t="s">
        <v>29</v>
      </c>
      <c r="W329" s="2" t="str">
        <f>CLEAN(TRIM(Working_Sales[[#This Row],[Quantity]]))</f>
        <v>3</v>
      </c>
      <c r="X329" s="2">
        <f>INT(Working_Sales[[#This Row],[`]])</f>
        <v>3</v>
      </c>
      <c r="Y329" s="6">
        <f>IFERROR(
   Working_Sales[[#This Row],[Quantity_Converted_To_Integer]],
   Working_Sales[[#This Row],[Total_Amount_Whitespace_Removed]]/Working_Sales[[#This Row],[Price_Per_Unit_Decimal_Separator_Fixed]])</f>
        <v>3</v>
      </c>
      <c r="Z329" t="s">
        <v>23</v>
      </c>
      <c r="AA329" s="2" t="str">
        <f>CLEAN(TRIM(Working_Sales[[#This Row],[Price per Unit]]))</f>
        <v>300</v>
      </c>
      <c r="AB329" s="2">
        <f>INT(
   SUBSTITUTE(Working_Sales[[#This Row],[Price_Per_Unit_Whitespace_Removed]],
   "$",
   ""
   )
)</f>
        <v>300</v>
      </c>
      <c r="AC329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329" s="8">
        <f>IFERROR(
   Working_Sales[[#This Row],[Price_Per_Unit_Decimal_Separator_Fixed]],
   Working_Sales[[#This Row],[Total_Amount_Converted_To_Integer]]/Working_Sales[[#This Row],[Quantity_Converted_To_Integer]]
)</f>
        <v>300</v>
      </c>
      <c r="AE329" t="s">
        <v>128</v>
      </c>
      <c r="AF329" s="2" t="str">
        <f>CLEAN(TRIM(Working_Sales[[#This Row],[Total Amount]]))</f>
        <v>900</v>
      </c>
      <c r="AG329" s="2">
        <f>INT(Working_Sales[[#This Row],[Total_Amount_Whitespace_Removed]])</f>
        <v>900</v>
      </c>
      <c r="AH32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330" spans="1:34" x14ac:dyDescent="0.35">
      <c r="A330" t="s">
        <v>778</v>
      </c>
      <c r="B330" s="6" t="str">
        <f>CLEAN(TRIM(Working_Sales[[#This Row],[Transaction ID]]))</f>
        <v>995</v>
      </c>
      <c r="C330" t="s">
        <v>779</v>
      </c>
      <c r="D330" s="2" t="str">
        <f>CLEAN(TRIM(Working_Sales[[#This Row],[Date]]))</f>
        <v>April 30, 2023</v>
      </c>
      <c r="E330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330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33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45046</v>
      </c>
      <c r="H330" t="s">
        <v>2595</v>
      </c>
      <c r="I330" s="2" t="str">
        <f>CLEAN(TRIM(Working_Sales[[#This Row],[Customer ID]]))</f>
        <v>cust257</v>
      </c>
      <c r="J33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3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CUST257</v>
      </c>
      <c r="L330" t="s">
        <v>26</v>
      </c>
      <c r="M330" s="4" t="str">
        <f>CLEAN(TRIM(Working_Sales[[#This Row],[Gender]]))</f>
        <v>Female</v>
      </c>
      <c r="N330" s="4" t="str" cm="1">
        <f t="array" ref="N330">_xlfn.SWITCH(
   Working_Sales[[#This Row],[Gender_Whitespace_Removed]],
   "m", "Male",
   "f", "Female",
   Working_Sales[[#This Row],[Gender_Whitespace_Removed]]
)</f>
        <v>Female</v>
      </c>
      <c r="O330" s="6" t="str">
        <f>PROPER(Working_Sales[[#This Row],[Gender_Abbreviation_Expanded]])</f>
        <v>Female</v>
      </c>
      <c r="P330">
        <v>41</v>
      </c>
      <c r="Q330" s="2" t="str">
        <f>CLEAN(TRIM(Working_Sales[[#This Row],[Age]]))</f>
        <v>41</v>
      </c>
      <c r="R330" s="6">
        <f>INT(SUBSTITUTE(Working_Sales[[#This Row],[Age_Whitespace_Removed]],".",","))</f>
        <v>41</v>
      </c>
      <c r="S330" t="s">
        <v>56</v>
      </c>
      <c r="T330" s="2" t="str">
        <f>CLEAN(TRIM(Working_Sales[[#This Row],[Product Category]]))</f>
        <v>Clothing</v>
      </c>
      <c r="U330" s="6" t="str">
        <f>PROPER(Working_Sales[[#This Row],[Product_Category_Whitespace_Removed]])</f>
        <v>Clothing</v>
      </c>
      <c r="V330" t="s">
        <v>22</v>
      </c>
      <c r="W330" s="2" t="str">
        <f>CLEAN(TRIM(Working_Sales[[#This Row],[Quantity]]))</f>
        <v>1</v>
      </c>
      <c r="X330" s="2">
        <f>INT(Working_Sales[[#This Row],[`]])</f>
        <v>1</v>
      </c>
      <c r="Y330" s="6">
        <f>IFERROR(
   Working_Sales[[#This Row],[Quantity_Converted_To_Integer]],
   Working_Sales[[#This Row],[Total_Amount_Whitespace_Removed]]/Working_Sales[[#This Row],[Price_Per_Unit_Decimal_Separator_Fixed]])</f>
        <v>1</v>
      </c>
      <c r="Z330" t="s">
        <v>70</v>
      </c>
      <c r="AA330" s="2" t="str">
        <f>CLEAN(TRIM(Working_Sales[[#This Row],[Price per Unit]]))</f>
        <v>30</v>
      </c>
      <c r="AB330" s="2">
        <f>INT(
   SUBSTITUTE(Working_Sales[[#This Row],[Price_Per_Unit_Whitespace_Removed]],
   "$",
   ""
   )
)</f>
        <v>30</v>
      </c>
      <c r="AC330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330" s="8">
        <f>IFERROR(
   Working_Sales[[#This Row],[Price_Per_Unit_Decimal_Separator_Fixed]],
   Working_Sales[[#This Row],[Total_Amount_Converted_To_Integer]]/Working_Sales[[#This Row],[Quantity_Converted_To_Integer]]
)</f>
        <v>30</v>
      </c>
      <c r="AE330" t="s">
        <v>70</v>
      </c>
      <c r="AF330" s="2" t="str">
        <f>CLEAN(TRIM(Working_Sales[[#This Row],[Total Amount]]))</f>
        <v>30</v>
      </c>
      <c r="AG330" s="2">
        <f>INT(Working_Sales[[#This Row],[Total_Amount_Whitespace_Removed]])</f>
        <v>30</v>
      </c>
      <c r="AH33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331" spans="1:34" x14ac:dyDescent="0.35">
      <c r="A331" t="s">
        <v>780</v>
      </c>
      <c r="B331" s="6" t="str">
        <f>CLEAN(TRIM(Working_Sales[[#This Row],[Transaction ID]]))</f>
        <v>627</v>
      </c>
      <c r="C331" t="s">
        <v>781</v>
      </c>
      <c r="D331" s="2" t="str">
        <f>CLEAN(TRIM(Working_Sales[[#This Row],[Date]]))</f>
        <v>2023-10-14</v>
      </c>
      <c r="E33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45213</v>
      </c>
      <c r="F33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45213</v>
      </c>
      <c r="G33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45213</v>
      </c>
      <c r="H331" t="s">
        <v>2352</v>
      </c>
      <c r="I331" s="2" t="str">
        <f>CLEAN(TRIM(Working_Sales[[#This Row],[Customer ID]]))</f>
        <v>CUST036</v>
      </c>
      <c r="J33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CUST036</v>
      </c>
      <c r="K33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CUST036</v>
      </c>
      <c r="L331" t="s">
        <v>34</v>
      </c>
      <c r="M331" s="4" t="str">
        <f>CLEAN(TRIM(Working_Sales[[#This Row],[Gender]]))</f>
        <v>Male</v>
      </c>
      <c r="N331" s="4" t="str" cm="1">
        <f t="array" ref="N331">_xlfn.SWITCH(
   Working_Sales[[#This Row],[Gender_Whitespace_Removed]],
   "m", "Male",
   "f", "Female",
   Working_Sales[[#This Row],[Gender_Whitespace_Removed]]
)</f>
        <v>Male</v>
      </c>
      <c r="O331" s="6" t="str">
        <f>PROPER(Working_Sales[[#This Row],[Gender_Abbreviation_Expanded]])</f>
        <v>Male</v>
      </c>
      <c r="P331">
        <v>57</v>
      </c>
      <c r="Q331" s="2" t="str">
        <f>CLEAN(TRIM(Working_Sales[[#This Row],[Age]]))</f>
        <v>57</v>
      </c>
      <c r="R331" s="6">
        <f>INT(SUBSTITUTE(Working_Sales[[#This Row],[Age_Whitespace_Removed]],".",","))</f>
        <v>57</v>
      </c>
      <c r="S331" t="s">
        <v>56</v>
      </c>
      <c r="T331" s="2" t="str">
        <f>CLEAN(TRIM(Working_Sales[[#This Row],[Product Category]]))</f>
        <v>Clothing</v>
      </c>
      <c r="U331" s="6" t="str">
        <f>PROPER(Working_Sales[[#This Row],[Product_Category_Whitespace_Removed]])</f>
        <v>Clothing</v>
      </c>
      <c r="V331" t="s">
        <v>22</v>
      </c>
      <c r="W331" s="2" t="str">
        <f>CLEAN(TRIM(Working_Sales[[#This Row],[Quantity]]))</f>
        <v>1</v>
      </c>
      <c r="X331" s="2">
        <f>INT(Working_Sales[[#This Row],[`]])</f>
        <v>1</v>
      </c>
      <c r="Y331" s="6">
        <f>IFERROR(
   Working_Sales[[#This Row],[Quantity_Converted_To_Integer]],
   Working_Sales[[#This Row],[Total_Amount_Whitespace_Removed]]/Working_Sales[[#This Row],[Price_Per_Unit_Decimal_Separator_Fixed]])</f>
        <v>1</v>
      </c>
      <c r="Z331" t="s">
        <v>96</v>
      </c>
      <c r="AA331" s="2" t="str">
        <f>CLEAN(TRIM(Working_Sales[[#This Row],[Price per Unit]]))</f>
        <v>$50</v>
      </c>
      <c r="AB331" s="2">
        <f>INT(
   SUBSTITUTE(Working_Sales[[#This Row],[Price_Per_Unit_Whitespace_Removed]],
   "$",
   ""
   )
)</f>
        <v>50</v>
      </c>
      <c r="AC331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331" s="8">
        <f>IFERROR(
   Working_Sales[[#This Row],[Price_Per_Unit_Decimal_Separator_Fixed]],
   Working_Sales[[#This Row],[Total_Amount_Converted_To_Integer]]/Working_Sales[[#This Row],[Quantity_Converted_To_Integer]]
)</f>
        <v>50</v>
      </c>
      <c r="AE331" t="s">
        <v>15</v>
      </c>
      <c r="AF331" s="2" t="str">
        <f>CLEAN(TRIM(Working_Sales[[#This Row],[Total Amount]]))</f>
        <v>50</v>
      </c>
      <c r="AG331" s="2">
        <f>INT(Working_Sales[[#This Row],[Total_Amount_Whitespace_Removed]])</f>
        <v>50</v>
      </c>
      <c r="AH33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332" spans="1:34" x14ac:dyDescent="0.35">
      <c r="A332" t="s">
        <v>782</v>
      </c>
      <c r="B332" s="6" t="str">
        <f>CLEAN(TRIM(Working_Sales[[#This Row],[Transaction ID]]))</f>
        <v>980</v>
      </c>
      <c r="C332" t="s">
        <v>783</v>
      </c>
      <c r="D332" s="2" t="str">
        <f>CLEAN(TRIM(Working_Sales[[#This Row],[Date]]))</f>
        <v>29/07/2023</v>
      </c>
      <c r="E33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45136</v>
      </c>
      <c r="F33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45136</v>
      </c>
      <c r="G33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45136</v>
      </c>
      <c r="H332" t="s">
        <v>2596</v>
      </c>
      <c r="I332" s="2" t="str">
        <f>CLEAN(TRIM(Working_Sales[[#This Row],[Customer ID]]))</f>
        <v>CUST258</v>
      </c>
      <c r="J33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CUST258</v>
      </c>
      <c r="K33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CUST258</v>
      </c>
      <c r="L332" t="s">
        <v>26</v>
      </c>
      <c r="M332" s="4" t="str">
        <f>CLEAN(TRIM(Working_Sales[[#This Row],[Gender]]))</f>
        <v>Female</v>
      </c>
      <c r="N332" s="4" t="str" cm="1">
        <f t="array" ref="N332">_xlfn.SWITCH(
   Working_Sales[[#This Row],[Gender_Whitespace_Removed]],
   "m", "Male",
   "f", "Female",
   Working_Sales[[#This Row],[Gender_Whitespace_Removed]]
)</f>
        <v>Female</v>
      </c>
      <c r="O332" s="6" t="str">
        <f>PROPER(Working_Sales[[#This Row],[Gender_Abbreviation_Expanded]])</f>
        <v>Female</v>
      </c>
      <c r="P332" t="s">
        <v>784</v>
      </c>
      <c r="Q332" s="2" t="str">
        <f>CLEAN(TRIM(Working_Sales[[#This Row],[Age]]))</f>
        <v>31</v>
      </c>
      <c r="R332" s="6">
        <f>INT(SUBSTITUTE(Working_Sales[[#This Row],[Age_Whitespace_Removed]],".",","))</f>
        <v>31</v>
      </c>
      <c r="S332" t="s">
        <v>13</v>
      </c>
      <c r="T332" s="2" t="str">
        <f>CLEAN(TRIM(Working_Sales[[#This Row],[Product Category]]))</f>
        <v>Electronics</v>
      </c>
      <c r="U332" s="6" t="str">
        <f>PROPER(Working_Sales[[#This Row],[Product_Category_Whitespace_Removed]])</f>
        <v>Electronics</v>
      </c>
      <c r="V332" t="s">
        <v>29</v>
      </c>
      <c r="W332" s="2" t="str">
        <f>CLEAN(TRIM(Working_Sales[[#This Row],[Quantity]]))</f>
        <v>3</v>
      </c>
      <c r="X332" s="2">
        <f>INT(Working_Sales[[#This Row],[`]])</f>
        <v>3</v>
      </c>
      <c r="Y332" s="6">
        <f>IFERROR(
   Working_Sales[[#This Row],[Quantity_Converted_To_Integer]],
   Working_Sales[[#This Row],[Total_Amount_Whitespace_Removed]]/Working_Sales[[#This Row],[Price_Per_Unit_Decimal_Separator_Fixed]])</f>
        <v>3</v>
      </c>
      <c r="Z332" t="s">
        <v>49</v>
      </c>
      <c r="AA332" s="2" t="str">
        <f>CLEAN(TRIM(Working_Sales[[#This Row],[Price per Unit]]))</f>
        <v>$25</v>
      </c>
      <c r="AB332" s="2">
        <f>INT(
   SUBSTITUTE(Working_Sales[[#This Row],[Price_Per_Unit_Whitespace_Removed]],
   "$",
   ""
   )
)</f>
        <v>25</v>
      </c>
      <c r="AC332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332" s="8">
        <f>IFERROR(
   Working_Sales[[#This Row],[Price_Per_Unit_Decimal_Separator_Fixed]],
   Working_Sales[[#This Row],[Total_Amount_Converted_To_Integer]]/Working_Sales[[#This Row],[Quantity_Converted_To_Integer]]
)</f>
        <v>25</v>
      </c>
      <c r="AE332" t="s">
        <v>31</v>
      </c>
      <c r="AF332" s="2" t="str">
        <f>CLEAN(TRIM(Working_Sales[[#This Row],[Total Amount]]))</f>
        <v>75</v>
      </c>
      <c r="AG332" s="2">
        <f>INT(Working_Sales[[#This Row],[Total_Amount_Whitespace_Removed]])</f>
        <v>75</v>
      </c>
      <c r="AH33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333" spans="1:34" x14ac:dyDescent="0.35">
      <c r="A333" t="s">
        <v>785</v>
      </c>
      <c r="B333" s="6" t="str">
        <f>CLEAN(TRIM(Working_Sales[[#This Row],[Transaction ID]]))</f>
        <v>656</v>
      </c>
      <c r="C333" t="s">
        <v>691</v>
      </c>
      <c r="D333" s="2" t="str">
        <f>CLEAN(TRIM(Working_Sales[[#This Row],[Date]]))</f>
        <v>2023-10-04</v>
      </c>
      <c r="E33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45203</v>
      </c>
      <c r="F33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45203</v>
      </c>
      <c r="G33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45203</v>
      </c>
      <c r="H333" t="s">
        <v>2597</v>
      </c>
      <c r="I333" s="2" t="str">
        <f>CLEAN(TRIM(Working_Sales[[#This Row],[Customer ID]]))</f>
        <v>CUST252</v>
      </c>
      <c r="J33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CUST252</v>
      </c>
      <c r="K33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CUST252</v>
      </c>
      <c r="L333" t="s">
        <v>34</v>
      </c>
      <c r="M333" s="4" t="str">
        <f>CLEAN(TRIM(Working_Sales[[#This Row],[Gender]]))</f>
        <v>Male</v>
      </c>
      <c r="N333" s="4" t="str" cm="1">
        <f t="array" ref="N333">_xlfn.SWITCH(
   Working_Sales[[#This Row],[Gender_Whitespace_Removed]],
   "m", "Male",
   "f", "Female",
   Working_Sales[[#This Row],[Gender_Whitespace_Removed]]
)</f>
        <v>Male</v>
      </c>
      <c r="O333" s="6" t="str">
        <f>PROPER(Working_Sales[[#This Row],[Gender_Abbreviation_Expanded]])</f>
        <v>Male</v>
      </c>
      <c r="P333">
        <v>29</v>
      </c>
      <c r="Q333" s="2" t="str">
        <f>CLEAN(TRIM(Working_Sales[[#This Row],[Age]]))</f>
        <v>29</v>
      </c>
      <c r="R333" s="6">
        <f>INT(SUBSTITUTE(Working_Sales[[#This Row],[Age_Whitespace_Removed]],".",","))</f>
        <v>29</v>
      </c>
      <c r="S333" t="s">
        <v>36</v>
      </c>
      <c r="T333" s="2" t="str">
        <f>CLEAN(TRIM(Working_Sales[[#This Row],[Product Category]]))</f>
        <v>Beauty</v>
      </c>
      <c r="U333" s="6" t="str">
        <f>PROPER(Working_Sales[[#This Row],[Product_Category_Whitespace_Removed]])</f>
        <v>Beauty</v>
      </c>
      <c r="V333" t="s">
        <v>29</v>
      </c>
      <c r="W333" s="2" t="str">
        <f>CLEAN(TRIM(Working_Sales[[#This Row],[Quantity]]))</f>
        <v>3</v>
      </c>
      <c r="X333" s="2">
        <f>INT(Working_Sales[[#This Row],[`]])</f>
        <v>3</v>
      </c>
      <c r="Y333" s="6">
        <f>IFERROR(
   Working_Sales[[#This Row],[Quantity_Converted_To_Integer]],
   Working_Sales[[#This Row],[Total_Amount_Whitespace_Removed]]/Working_Sales[[#This Row],[Price_Per_Unit_Decimal_Separator_Fixed]])</f>
        <v>3</v>
      </c>
      <c r="Z333" t="s">
        <v>70</v>
      </c>
      <c r="AA333" s="2" t="str">
        <f>CLEAN(TRIM(Working_Sales[[#This Row],[Price per Unit]]))</f>
        <v>30</v>
      </c>
      <c r="AB333" s="2">
        <f>INT(
   SUBSTITUTE(Working_Sales[[#This Row],[Price_Per_Unit_Whitespace_Removed]],
   "$",
   ""
   )
)</f>
        <v>30</v>
      </c>
      <c r="AC333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333" s="8">
        <f>IFERROR(
   Working_Sales[[#This Row],[Price_Per_Unit_Decimal_Separator_Fixed]],
   Working_Sales[[#This Row],[Total_Amount_Converted_To_Integer]]/Working_Sales[[#This Row],[Quantity_Converted_To_Integer]]
)</f>
        <v>30</v>
      </c>
      <c r="AE333" t="s">
        <v>191</v>
      </c>
      <c r="AF333" s="2" t="str">
        <f>CLEAN(TRIM(Working_Sales[[#This Row],[Total Amount]]))</f>
        <v>90</v>
      </c>
      <c r="AG333" s="2">
        <f>INT(Working_Sales[[#This Row],[Total_Amount_Whitespace_Removed]])</f>
        <v>90</v>
      </c>
      <c r="AH33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334" spans="1:34" x14ac:dyDescent="0.35">
      <c r="A334" t="s">
        <v>786</v>
      </c>
      <c r="B334" s="6" t="str">
        <f>CLEAN(TRIM(Working_Sales[[#This Row],[Transaction ID]]))</f>
        <v>857</v>
      </c>
      <c r="C334" t="s">
        <v>787</v>
      </c>
      <c r="D334" s="2" t="str">
        <f>CLEAN(TRIM(Working_Sales[[#This Row],[Date]]))</f>
        <v>12/31/2023</v>
      </c>
      <c r="E334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33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45291</v>
      </c>
      <c r="G33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45291</v>
      </c>
      <c r="H334" t="s">
        <v>2598</v>
      </c>
      <c r="I334" s="2" t="str">
        <f>CLEAN(TRIM(Working_Sales[[#This Row],[Customer ID]]))</f>
        <v>CUST259</v>
      </c>
      <c r="J33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CUST259</v>
      </c>
      <c r="K33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CUST259</v>
      </c>
      <c r="L334" t="s">
        <v>34</v>
      </c>
      <c r="M334" s="4" t="str">
        <f>CLEAN(TRIM(Working_Sales[[#This Row],[Gender]]))</f>
        <v>Male</v>
      </c>
      <c r="N334" s="4" t="str" cm="1">
        <f t="array" ref="N334">_xlfn.SWITCH(
   Working_Sales[[#This Row],[Gender_Whitespace_Removed]],
   "m", "Male",
   "f", "Female",
   Working_Sales[[#This Row],[Gender_Whitespace_Removed]]
)</f>
        <v>Male</v>
      </c>
      <c r="O334" s="6" t="str">
        <f>PROPER(Working_Sales[[#This Row],[Gender_Abbreviation_Expanded]])</f>
        <v>Male</v>
      </c>
      <c r="P334">
        <v>60</v>
      </c>
      <c r="Q334" s="2" t="str">
        <f>CLEAN(TRIM(Working_Sales[[#This Row],[Age]]))</f>
        <v>60</v>
      </c>
      <c r="R334" s="6">
        <f>INT(SUBSTITUTE(Working_Sales[[#This Row],[Age_Whitespace_Removed]],".",","))</f>
        <v>60</v>
      </c>
      <c r="S334" t="s">
        <v>109</v>
      </c>
      <c r="T334" s="2" t="str">
        <f>CLEAN(TRIM(Working_Sales[[#This Row],[Product Category]]))</f>
        <v>Electronics</v>
      </c>
      <c r="U334" s="6" t="str">
        <f>PROPER(Working_Sales[[#This Row],[Product_Category_Whitespace_Removed]])</f>
        <v>Electronics</v>
      </c>
      <c r="V334" t="s">
        <v>37</v>
      </c>
      <c r="W334" s="2" t="str">
        <f>CLEAN(TRIM(Working_Sales[[#This Row],[Quantity]]))</f>
        <v>2</v>
      </c>
      <c r="X334" s="2">
        <f>INT(Working_Sales[[#This Row],[`]])</f>
        <v>2</v>
      </c>
      <c r="Y334" s="6">
        <f>IFERROR(
   Working_Sales[[#This Row],[Quantity_Converted_To_Integer]],
   Working_Sales[[#This Row],[Total_Amount_Whitespace_Removed]]/Working_Sales[[#This Row],[Price_Per_Unit_Decimal_Separator_Fixed]])</f>
        <v>2</v>
      </c>
      <c r="Z334" t="s">
        <v>30</v>
      </c>
      <c r="AA334" s="2" t="str">
        <f>CLEAN(TRIM(Working_Sales[[#This Row],[Price per Unit]]))</f>
        <v>25</v>
      </c>
      <c r="AB334" s="2">
        <f>INT(
   SUBSTITUTE(Working_Sales[[#This Row],[Price_Per_Unit_Whitespace_Removed]],
   "$",
   ""
   )
)</f>
        <v>25</v>
      </c>
      <c r="AC334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334" s="8">
        <f>IFERROR(
   Working_Sales[[#This Row],[Price_Per_Unit_Decimal_Separator_Fixed]],
   Working_Sales[[#This Row],[Total_Amount_Converted_To_Integer]]/Working_Sales[[#This Row],[Quantity_Converted_To_Integer]]
)</f>
        <v>25</v>
      </c>
      <c r="AE334" t="s">
        <v>15</v>
      </c>
      <c r="AF334" s="2" t="str">
        <f>CLEAN(TRIM(Working_Sales[[#This Row],[Total Amount]]))</f>
        <v>50</v>
      </c>
      <c r="AG334" s="2">
        <f>INT(Working_Sales[[#This Row],[Total_Amount_Whitespace_Removed]])</f>
        <v>50</v>
      </c>
      <c r="AH33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335" spans="1:34" x14ac:dyDescent="0.35">
      <c r="A335" t="s">
        <v>788</v>
      </c>
      <c r="B335" s="6" t="str">
        <f>CLEAN(TRIM(Working_Sales[[#This Row],[Transaction ID]]))</f>
        <v>501</v>
      </c>
      <c r="C335" t="s">
        <v>2081</v>
      </c>
      <c r="D335" s="2" t="str">
        <f>CLEAN(TRIM(Working_Sales[[#This Row],[Date]]))</f>
        <v>14/05/2023</v>
      </c>
      <c r="E33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45060</v>
      </c>
      <c r="F33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45060</v>
      </c>
      <c r="G33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45060</v>
      </c>
      <c r="H335" t="s">
        <v>2599</v>
      </c>
      <c r="I335" s="2" t="str">
        <f>CLEAN(TRIM(Working_Sales[[#This Row],[Customer ID]]))</f>
        <v>CUST260</v>
      </c>
      <c r="J33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CUST260</v>
      </c>
      <c r="K33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CUST260</v>
      </c>
      <c r="L335" t="s">
        <v>34</v>
      </c>
      <c r="M335" s="4" t="str">
        <f>CLEAN(TRIM(Working_Sales[[#This Row],[Gender]]))</f>
        <v>Male</v>
      </c>
      <c r="N335" s="4" t="str" cm="1">
        <f t="array" ref="N335">_xlfn.SWITCH(
   Working_Sales[[#This Row],[Gender_Whitespace_Removed]],
   "m", "Male",
   "f", "Female",
   Working_Sales[[#This Row],[Gender_Whitespace_Removed]]
)</f>
        <v>Male</v>
      </c>
      <c r="O335" s="6" t="str">
        <f>PROPER(Working_Sales[[#This Row],[Gender_Abbreviation_Expanded]])</f>
        <v>Male</v>
      </c>
      <c r="P335">
        <v>39</v>
      </c>
      <c r="Q335" s="2" t="str">
        <f>CLEAN(TRIM(Working_Sales[[#This Row],[Age]]))</f>
        <v>39</v>
      </c>
      <c r="R335" s="6">
        <f>INT(SUBSTITUTE(Working_Sales[[#This Row],[Age_Whitespace_Removed]],".",","))</f>
        <v>39</v>
      </c>
      <c r="S335" t="s">
        <v>13</v>
      </c>
      <c r="T335" s="2" t="str">
        <f>CLEAN(TRIM(Working_Sales[[#This Row],[Product Category]]))</f>
        <v>Electronics</v>
      </c>
      <c r="U335" s="6" t="str">
        <f>PROPER(Working_Sales[[#This Row],[Product_Category_Whitespace_Removed]])</f>
        <v>Electronics</v>
      </c>
      <c r="V335" t="s">
        <v>37</v>
      </c>
      <c r="W335" s="2" t="str">
        <f>CLEAN(TRIM(Working_Sales[[#This Row],[Quantity]]))</f>
        <v>2</v>
      </c>
      <c r="X335" s="2">
        <f>INT(Working_Sales[[#This Row],[`]])</f>
        <v>2</v>
      </c>
      <c r="Y335" s="6">
        <f>IFERROR(
   Working_Sales[[#This Row],[Quantity_Converted_To_Integer]],
   Working_Sales[[#This Row],[Total_Amount_Whitespace_Removed]]/Working_Sales[[#This Row],[Price_Per_Unit_Decimal_Separator_Fixed]])</f>
        <v>2</v>
      </c>
      <c r="Z335" t="s">
        <v>70</v>
      </c>
      <c r="AA335" s="2" t="str">
        <f>CLEAN(TRIM(Working_Sales[[#This Row],[Price per Unit]]))</f>
        <v>30</v>
      </c>
      <c r="AB335" s="2">
        <f>INT(
   SUBSTITUTE(Working_Sales[[#This Row],[Price_Per_Unit_Whitespace_Removed]],
   "$",
   ""
   )
)</f>
        <v>30</v>
      </c>
      <c r="AC335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335" s="8">
        <f>IFERROR(
   Working_Sales[[#This Row],[Price_Per_Unit_Decimal_Separator_Fixed]],
   Working_Sales[[#This Row],[Total_Amount_Converted_To_Integer]]/Working_Sales[[#This Row],[Quantity_Converted_To_Integer]]
)</f>
        <v>30</v>
      </c>
      <c r="AE335" t="s">
        <v>71</v>
      </c>
      <c r="AF335" s="2" t="str">
        <f>CLEAN(TRIM(Working_Sales[[#This Row],[Total Amount]]))</f>
        <v>60</v>
      </c>
      <c r="AG335" s="2">
        <f>INT(Working_Sales[[#This Row],[Total_Amount_Whitespace_Removed]])</f>
        <v>60</v>
      </c>
      <c r="AH33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336" spans="1:34" x14ac:dyDescent="0.35">
      <c r="A336" t="s">
        <v>789</v>
      </c>
      <c r="B336" s="6" t="str">
        <f>CLEAN(TRIM(Working_Sales[[#This Row],[Transaction ID]]))</f>
        <v>450</v>
      </c>
      <c r="C336" t="s">
        <v>790</v>
      </c>
      <c r="D336" s="2" t="str">
        <f>CLEAN(TRIM(Working_Sales[[#This Row],[Date]]))</f>
        <v>18/04/2023</v>
      </c>
      <c r="E33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45034</v>
      </c>
      <c r="F33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45034</v>
      </c>
      <c r="G33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45034</v>
      </c>
      <c r="H336" t="s">
        <v>2600</v>
      </c>
      <c r="I336" s="2" t="str">
        <f>CLEAN(TRIM(Working_Sales[[#This Row],[Customer ID]]))</f>
        <v>CUST261</v>
      </c>
      <c r="J33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CUST261</v>
      </c>
      <c r="K33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CUST261</v>
      </c>
      <c r="L336" t="s">
        <v>26</v>
      </c>
      <c r="M336" s="4" t="str">
        <f>CLEAN(TRIM(Working_Sales[[#This Row],[Gender]]))</f>
        <v>Female</v>
      </c>
      <c r="N336" s="4" t="str" cm="1">
        <f t="array" ref="N336">_xlfn.SWITCH(
   Working_Sales[[#This Row],[Gender_Whitespace_Removed]],
   "m", "Male",
   "f", "Female",
   Working_Sales[[#This Row],[Gender_Whitespace_Removed]]
)</f>
        <v>Female</v>
      </c>
      <c r="O336" s="6" t="str">
        <f>PROPER(Working_Sales[[#This Row],[Gender_Abbreviation_Expanded]])</f>
        <v>Female</v>
      </c>
      <c r="P336">
        <v>59</v>
      </c>
      <c r="Q336" s="2" t="str">
        <f>CLEAN(TRIM(Working_Sales[[#This Row],[Age]]))</f>
        <v>59</v>
      </c>
      <c r="R336" s="6">
        <f>INT(SUBSTITUTE(Working_Sales[[#This Row],[Age_Whitespace_Removed]],".",","))</f>
        <v>59</v>
      </c>
      <c r="S336" t="s">
        <v>36</v>
      </c>
      <c r="T336" s="2" t="str">
        <f>CLEAN(TRIM(Working_Sales[[#This Row],[Product Category]]))</f>
        <v>Beauty</v>
      </c>
      <c r="U336" s="6" t="str">
        <f>PROPER(Working_Sales[[#This Row],[Product_Category_Whitespace_Removed]])</f>
        <v>Beauty</v>
      </c>
      <c r="V336" t="s">
        <v>37</v>
      </c>
      <c r="W336" s="2" t="str">
        <f>CLEAN(TRIM(Working_Sales[[#This Row],[Quantity]]))</f>
        <v>2</v>
      </c>
      <c r="X336" s="2">
        <f>INT(Working_Sales[[#This Row],[`]])</f>
        <v>2</v>
      </c>
      <c r="Y336" s="6">
        <f>IFERROR(
   Working_Sales[[#This Row],[Quantity_Converted_To_Integer]],
   Working_Sales[[#This Row],[Total_Amount_Whitespace_Removed]]/Working_Sales[[#This Row],[Price_Per_Unit_Decimal_Separator_Fixed]])</f>
        <v>2</v>
      </c>
      <c r="Z336" t="s">
        <v>30</v>
      </c>
      <c r="AA336" s="2" t="str">
        <f>CLEAN(TRIM(Working_Sales[[#This Row],[Price per Unit]]))</f>
        <v>25</v>
      </c>
      <c r="AB336" s="2">
        <f>INT(
   SUBSTITUTE(Working_Sales[[#This Row],[Price_Per_Unit_Whitespace_Removed]],
   "$",
   ""
   )
)</f>
        <v>25</v>
      </c>
      <c r="AC336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336" s="8">
        <f>IFERROR(
   Working_Sales[[#This Row],[Price_Per_Unit_Decimal_Separator_Fixed]],
   Working_Sales[[#This Row],[Total_Amount_Converted_To_Integer]]/Working_Sales[[#This Row],[Quantity_Converted_To_Integer]]
)</f>
        <v>25</v>
      </c>
      <c r="AE336" t="s">
        <v>15</v>
      </c>
      <c r="AF336" s="2" t="str">
        <f>CLEAN(TRIM(Working_Sales[[#This Row],[Total Amount]]))</f>
        <v>50</v>
      </c>
      <c r="AG336" s="2">
        <f>INT(Working_Sales[[#This Row],[Total_Amount_Whitespace_Removed]])</f>
        <v>50</v>
      </c>
      <c r="AH33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337" spans="1:34" x14ac:dyDescent="0.35">
      <c r="A337" t="s">
        <v>792</v>
      </c>
      <c r="B337" s="6" t="str">
        <f>CLEAN(TRIM(Working_Sales[[#This Row],[Transaction ID]]))</f>
        <v>219</v>
      </c>
      <c r="C337" t="s">
        <v>793</v>
      </c>
      <c r="D337" s="2" t="str">
        <f>CLEAN(TRIM(Working_Sales[[#This Row],[Date]]))</f>
        <v>2023-08-20</v>
      </c>
      <c r="E33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45158</v>
      </c>
      <c r="F33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45158</v>
      </c>
      <c r="G33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45158</v>
      </c>
      <c r="H337" t="s">
        <v>2601</v>
      </c>
      <c r="I337" s="2" t="str">
        <f>CLEAN(TRIM(Working_Sales[[#This Row],[Customer ID]]))</f>
        <v>cust262</v>
      </c>
      <c r="J33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3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CUST262</v>
      </c>
      <c r="L337" t="s">
        <v>26</v>
      </c>
      <c r="M337" s="4" t="str">
        <f>CLEAN(TRIM(Working_Sales[[#This Row],[Gender]]))</f>
        <v>Female</v>
      </c>
      <c r="N337" s="4" t="str" cm="1">
        <f t="array" ref="N337">_xlfn.SWITCH(
   Working_Sales[[#This Row],[Gender_Whitespace_Removed]],
   "m", "Male",
   "f", "Female",
   Working_Sales[[#This Row],[Gender_Whitespace_Removed]]
)</f>
        <v>Female</v>
      </c>
      <c r="O337" s="6" t="str">
        <f>PROPER(Working_Sales[[#This Row],[Gender_Abbreviation_Expanded]])</f>
        <v>Female</v>
      </c>
      <c r="P337">
        <v>53</v>
      </c>
      <c r="Q337" s="2" t="str">
        <f>CLEAN(TRIM(Working_Sales[[#This Row],[Age]]))</f>
        <v>53</v>
      </c>
      <c r="R337" s="6">
        <f>INT(SUBSTITUTE(Working_Sales[[#This Row],[Age_Whitespace_Removed]],".",","))</f>
        <v>53</v>
      </c>
      <c r="S337" t="s">
        <v>13</v>
      </c>
      <c r="T337" s="2" t="str">
        <f>CLEAN(TRIM(Working_Sales[[#This Row],[Product Category]]))</f>
        <v>Electronics</v>
      </c>
      <c r="U337" s="6" t="str">
        <f>PROPER(Working_Sales[[#This Row],[Product_Category_Whitespace_Removed]])</f>
        <v>Electronics</v>
      </c>
      <c r="V337" t="s">
        <v>29</v>
      </c>
      <c r="W337" s="2" t="str">
        <f>CLEAN(TRIM(Working_Sales[[#This Row],[Quantity]]))</f>
        <v>3</v>
      </c>
      <c r="X337" s="2">
        <f>INT(Working_Sales[[#This Row],[`]])</f>
        <v>3</v>
      </c>
      <c r="Y337" s="6">
        <f>IFERROR(
   Working_Sales[[#This Row],[Quantity_Converted_To_Integer]],
   Working_Sales[[#This Row],[Total_Amount_Whitespace_Removed]]/Working_Sales[[#This Row],[Price_Per_Unit_Decimal_Separator_Fixed]])</f>
        <v>3</v>
      </c>
      <c r="Z337" t="s">
        <v>70</v>
      </c>
      <c r="AA337" s="2" t="str">
        <f>CLEAN(TRIM(Working_Sales[[#This Row],[Price per Unit]]))</f>
        <v>30</v>
      </c>
      <c r="AB337" s="2">
        <f>INT(
   SUBSTITUTE(Working_Sales[[#This Row],[Price_Per_Unit_Whitespace_Removed]],
   "$",
   ""
   )
)</f>
        <v>30</v>
      </c>
      <c r="AC337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337" s="8">
        <f>IFERROR(
   Working_Sales[[#This Row],[Price_Per_Unit_Decimal_Separator_Fixed]],
   Working_Sales[[#This Row],[Total_Amount_Converted_To_Integer]]/Working_Sales[[#This Row],[Quantity_Converted_To_Integer]]
)</f>
        <v>30</v>
      </c>
      <c r="AE337" t="s">
        <v>191</v>
      </c>
      <c r="AF337" s="2" t="str">
        <f>CLEAN(TRIM(Working_Sales[[#This Row],[Total Amount]]))</f>
        <v>90</v>
      </c>
      <c r="AG337" s="2">
        <f>INT(Working_Sales[[#This Row],[Total_Amount_Whitespace_Removed]])</f>
        <v>90</v>
      </c>
      <c r="AH33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338" spans="1:34" x14ac:dyDescent="0.35">
      <c r="A338" t="s">
        <v>795</v>
      </c>
      <c r="B338" s="6" t="str">
        <f>CLEAN(TRIM(Working_Sales[[#This Row],[Transaction ID]]))</f>
        <v>240</v>
      </c>
      <c r="C338" t="s">
        <v>2021</v>
      </c>
      <c r="D338" s="2" t="str">
        <f>CLEAN(TRIM(Working_Sales[[#This Row],[Date]]))</f>
        <v>06-Feb-2023</v>
      </c>
      <c r="E33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44963</v>
      </c>
      <c r="F33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44963</v>
      </c>
      <c r="G33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44963</v>
      </c>
      <c r="H338" t="s">
        <v>2602</v>
      </c>
      <c r="I338" s="2" t="str">
        <f>CLEAN(TRIM(Working_Sales[[#This Row],[Customer ID]]))</f>
        <v>CUST263</v>
      </c>
      <c r="J33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3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CUST263</v>
      </c>
      <c r="L338" t="s">
        <v>26</v>
      </c>
      <c r="M338" s="4" t="str">
        <f>CLEAN(TRIM(Working_Sales[[#This Row],[Gender]]))</f>
        <v>Female</v>
      </c>
      <c r="N338" s="4" t="str" cm="1">
        <f t="array" ref="N338">_xlfn.SWITCH(
   Working_Sales[[#This Row],[Gender_Whitespace_Removed]],
   "m", "Male",
   "f", "Female",
   Working_Sales[[#This Row],[Gender_Whitespace_Removed]]
)</f>
        <v>Female</v>
      </c>
      <c r="O338" s="6" t="str">
        <f>PROPER(Working_Sales[[#This Row],[Gender_Abbreviation_Expanded]])</f>
        <v>Female</v>
      </c>
      <c r="P338">
        <v>23</v>
      </c>
      <c r="Q338" s="2" t="str">
        <f>CLEAN(TRIM(Working_Sales[[#This Row],[Age]]))</f>
        <v>23</v>
      </c>
      <c r="R338" s="6">
        <f>INT(SUBSTITUTE(Working_Sales[[#This Row],[Age_Whitespace_Removed]],".",","))</f>
        <v>23</v>
      </c>
      <c r="S338" t="s">
        <v>36</v>
      </c>
      <c r="T338" s="2" t="str">
        <f>CLEAN(TRIM(Working_Sales[[#This Row],[Product Category]]))</f>
        <v>Beauty</v>
      </c>
      <c r="U338" s="6" t="str">
        <f>PROPER(Working_Sales[[#This Row],[Product_Category_Whitespace_Removed]])</f>
        <v>Beauty</v>
      </c>
      <c r="V338" t="s">
        <v>22</v>
      </c>
      <c r="W338" s="2" t="str">
        <f>CLEAN(TRIM(Working_Sales[[#This Row],[Quantity]]))</f>
        <v>1</v>
      </c>
      <c r="X338" s="2">
        <f>INT(Working_Sales[[#This Row],[`]])</f>
        <v>1</v>
      </c>
      <c r="Y338" s="6">
        <f>IFERROR(
   Working_Sales[[#This Row],[Quantity_Converted_To_Integer]],
   Working_Sales[[#This Row],[Total_Amount_Whitespace_Removed]]/Working_Sales[[#This Row],[Price_Per_Unit_Decimal_Separator_Fixed]])</f>
        <v>1</v>
      </c>
      <c r="Z338" t="s">
        <v>23</v>
      </c>
      <c r="AA338" s="2" t="str">
        <f>CLEAN(TRIM(Working_Sales[[#This Row],[Price per Unit]]))</f>
        <v>300</v>
      </c>
      <c r="AB338" s="2">
        <f>INT(
   SUBSTITUTE(Working_Sales[[#This Row],[Price_Per_Unit_Whitespace_Removed]],
   "$",
   ""
   )
)</f>
        <v>300</v>
      </c>
      <c r="AC338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338" s="8">
        <f>IFERROR(
   Working_Sales[[#This Row],[Price_Per_Unit_Decimal_Separator_Fixed]],
   Working_Sales[[#This Row],[Total_Amount_Converted_To_Integer]]/Working_Sales[[#This Row],[Quantity_Converted_To_Integer]]
)</f>
        <v>300</v>
      </c>
      <c r="AE338" t="s">
        <v>23</v>
      </c>
      <c r="AF338" s="2" t="str">
        <f>CLEAN(TRIM(Working_Sales[[#This Row],[Total Amount]]))</f>
        <v>300</v>
      </c>
      <c r="AG338" s="2">
        <f>INT(Working_Sales[[#This Row],[Total_Amount_Whitespace_Removed]])</f>
        <v>300</v>
      </c>
      <c r="AH33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339" spans="1:34" x14ac:dyDescent="0.35">
      <c r="A339" t="s">
        <v>797</v>
      </c>
      <c r="B339" s="6" t="str">
        <f>CLEAN(TRIM(Working_Sales[[#This Row],[Transaction ID]]))</f>
        <v>531</v>
      </c>
      <c r="C339" t="s">
        <v>798</v>
      </c>
      <c r="D339" s="2" t="str">
        <f>CLEAN(TRIM(Working_Sales[[#This Row],[Date]]))</f>
        <v>2023-12-07</v>
      </c>
      <c r="E33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45267</v>
      </c>
      <c r="F33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45267</v>
      </c>
      <c r="G33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45267</v>
      </c>
      <c r="H339" t="s">
        <v>2603</v>
      </c>
      <c r="I339" s="2" t="str">
        <f>CLEAN(TRIM(Working_Sales[[#This Row],[Customer ID]]))</f>
        <v>Cust264</v>
      </c>
      <c r="J33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3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CUST264</v>
      </c>
      <c r="L339" t="s">
        <v>34</v>
      </c>
      <c r="M339" s="4" t="str">
        <f>CLEAN(TRIM(Working_Sales[[#This Row],[Gender]]))</f>
        <v>Male</v>
      </c>
      <c r="N339" s="4" t="str" cm="1">
        <f t="array" ref="N339">_xlfn.SWITCH(
   Working_Sales[[#This Row],[Gender_Whitespace_Removed]],
   "m", "Male",
   "f", "Female",
   Working_Sales[[#This Row],[Gender_Whitespace_Removed]]
)</f>
        <v>Male</v>
      </c>
      <c r="O339" s="6" t="str">
        <f>PROPER(Working_Sales[[#This Row],[Gender_Abbreviation_Expanded]])</f>
        <v>Male</v>
      </c>
      <c r="P339">
        <v>31</v>
      </c>
      <c r="Q339" s="2" t="str">
        <f>CLEAN(TRIM(Working_Sales[[#This Row],[Age]]))</f>
        <v>31</v>
      </c>
      <c r="R339" s="6">
        <f>INT(SUBSTITUTE(Working_Sales[[#This Row],[Age_Whitespace_Removed]],".",","))</f>
        <v>31</v>
      </c>
      <c r="S339" t="s">
        <v>13</v>
      </c>
      <c r="T339" s="2" t="str">
        <f>CLEAN(TRIM(Working_Sales[[#This Row],[Product Category]]))</f>
        <v>Electronics</v>
      </c>
      <c r="U339" s="6" t="str">
        <f>PROPER(Working_Sales[[#This Row],[Product_Category_Whitespace_Removed]])</f>
        <v>Electronics</v>
      </c>
      <c r="V339" t="s">
        <v>22</v>
      </c>
      <c r="W339" s="2" t="str">
        <f>CLEAN(TRIM(Working_Sales[[#This Row],[Quantity]]))</f>
        <v>1</v>
      </c>
      <c r="X339" s="2">
        <f>INT(Working_Sales[[#This Row],[`]])</f>
        <v>1</v>
      </c>
      <c r="Y339" s="6">
        <f>IFERROR(
   Working_Sales[[#This Row],[Quantity_Converted_To_Integer]],
   Working_Sales[[#This Row],[Total_Amount_Whitespace_Removed]]/Working_Sales[[#This Row],[Price_Per_Unit_Decimal_Separator_Fixed]])</f>
        <v>1</v>
      </c>
      <c r="Z339" t="s">
        <v>57</v>
      </c>
      <c r="AA339" s="2" t="str">
        <f>CLEAN(TRIM(Working_Sales[[#This Row],[Price per Unit]]))</f>
        <v>500</v>
      </c>
      <c r="AB339" s="2">
        <f>INT(
   SUBSTITUTE(Working_Sales[[#This Row],[Price_Per_Unit_Whitespace_Removed]],
   "$",
   ""
   )
)</f>
        <v>500</v>
      </c>
      <c r="AC339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339" s="8">
        <f>IFERROR(
   Working_Sales[[#This Row],[Price_Per_Unit_Decimal_Separator_Fixed]],
   Working_Sales[[#This Row],[Total_Amount_Converted_To_Integer]]/Working_Sales[[#This Row],[Quantity_Converted_To_Integer]]
)</f>
        <v>500</v>
      </c>
      <c r="AE339" t="s">
        <v>57</v>
      </c>
      <c r="AF339" s="2" t="str">
        <f>CLEAN(TRIM(Working_Sales[[#This Row],[Total Amount]]))</f>
        <v>500</v>
      </c>
      <c r="AG339" s="2">
        <f>INT(Working_Sales[[#This Row],[Total_Amount_Whitespace_Removed]])</f>
        <v>500</v>
      </c>
      <c r="AH33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340" spans="1:34" x14ac:dyDescent="0.35">
      <c r="A340" t="s">
        <v>799</v>
      </c>
      <c r="B340" s="6" t="str">
        <f>CLEAN(TRIM(Working_Sales[[#This Row],[Transaction ID]]))</f>
        <v>535</v>
      </c>
      <c r="C340" t="s">
        <v>2082</v>
      </c>
      <c r="D340" s="2" t="str">
        <f>CLEAN(TRIM(Working_Sales[[#This Row],[Date]]))</f>
        <v>06-Dec-2023</v>
      </c>
      <c r="E34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45266</v>
      </c>
      <c r="F34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45266</v>
      </c>
      <c r="G34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45266</v>
      </c>
      <c r="H340" t="s">
        <v>2604</v>
      </c>
      <c r="I340" s="2" t="str">
        <f>CLEAN(TRIM(Working_Sales[[#This Row],[Customer ID]]))</f>
        <v>cust196</v>
      </c>
      <c r="J34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4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CUST196</v>
      </c>
      <c r="L340" t="s">
        <v>34</v>
      </c>
      <c r="M340" s="4" t="str">
        <f>CLEAN(TRIM(Working_Sales[[#This Row],[Gender]]))</f>
        <v>Male</v>
      </c>
      <c r="N340" s="4" t="str" cm="1">
        <f t="array" ref="N340">_xlfn.SWITCH(
   Working_Sales[[#This Row],[Gender_Whitespace_Removed]],
   "m", "Male",
   "f", "Female",
   Working_Sales[[#This Row],[Gender_Whitespace_Removed]]
)</f>
        <v>Male</v>
      </c>
      <c r="O340" s="6" t="str">
        <f>PROPER(Working_Sales[[#This Row],[Gender_Abbreviation_Expanded]])</f>
        <v>Male</v>
      </c>
      <c r="P340">
        <v>47</v>
      </c>
      <c r="Q340" s="2" t="str">
        <f>CLEAN(TRIM(Working_Sales[[#This Row],[Age]]))</f>
        <v>47</v>
      </c>
      <c r="R340" s="6">
        <f>INT(SUBSTITUTE(Working_Sales[[#This Row],[Age_Whitespace_Removed]],".",","))</f>
        <v>47</v>
      </c>
      <c r="S340" t="s">
        <v>36</v>
      </c>
      <c r="T340" s="2" t="str">
        <f>CLEAN(TRIM(Working_Sales[[#This Row],[Product Category]]))</f>
        <v>Beauty</v>
      </c>
      <c r="U340" s="6" t="str">
        <f>PROPER(Working_Sales[[#This Row],[Product_Category_Whitespace_Removed]])</f>
        <v>Beauty</v>
      </c>
      <c r="W340" s="2" t="str">
        <f>CLEAN(TRIM(Working_Sales[[#This Row],[Quantity]]))</f>
        <v/>
      </c>
      <c r="X340" s="2" t="e">
        <f>INT(Working_Sales[[#This Row],[`]])</f>
        <v>#VALUE!</v>
      </c>
      <c r="Y340" s="6">
        <f>IFERROR(
   Working_Sales[[#This Row],[Quantity_Converted_To_Integer]],
   Working_Sales[[#This Row],[Total_Amount_Whitespace_Removed]]/Working_Sales[[#This Row],[Price_Per_Unit_Decimal_Separator_Fixed]])</f>
        <v>3</v>
      </c>
      <c r="Z340" t="s">
        <v>70</v>
      </c>
      <c r="AA340" s="2" t="str">
        <f>CLEAN(TRIM(Working_Sales[[#This Row],[Price per Unit]]))</f>
        <v>30</v>
      </c>
      <c r="AB340" s="2">
        <f>INT(
   SUBSTITUTE(Working_Sales[[#This Row],[Price_Per_Unit_Whitespace_Removed]],
   "$",
   ""
   )
)</f>
        <v>30</v>
      </c>
      <c r="AC340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340" s="8">
        <f>IFERROR(
   Working_Sales[[#This Row],[Price_Per_Unit_Decimal_Separator_Fixed]],
   Working_Sales[[#This Row],[Total_Amount_Converted_To_Integer]]/Working_Sales[[#This Row],[Quantity_Converted_To_Integer]]
)</f>
        <v>30</v>
      </c>
      <c r="AE340" t="s">
        <v>191</v>
      </c>
      <c r="AF340" s="2" t="str">
        <f>CLEAN(TRIM(Working_Sales[[#This Row],[Total Amount]]))</f>
        <v>90</v>
      </c>
      <c r="AG340" s="2">
        <f>INT(Working_Sales[[#This Row],[Total_Amount_Whitespace_Removed]])</f>
        <v>90</v>
      </c>
      <c r="AH34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341" spans="1:34" x14ac:dyDescent="0.35">
      <c r="A341" t="s">
        <v>800</v>
      </c>
      <c r="B341" s="6" t="str">
        <f>CLEAN(TRIM(Working_Sales[[#This Row],[Transaction ID]]))</f>
        <v>193</v>
      </c>
      <c r="C341" t="s">
        <v>801</v>
      </c>
      <c r="D341" s="2" t="str">
        <f>CLEAN(TRIM(Working_Sales[[#This Row],[Date]]))</f>
        <v>2023-02-13</v>
      </c>
      <c r="E34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44970</v>
      </c>
      <c r="F34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44970</v>
      </c>
      <c r="G34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44970</v>
      </c>
      <c r="H341" t="s">
        <v>2605</v>
      </c>
      <c r="I341" s="2" t="str">
        <f>CLEAN(TRIM(Working_Sales[[#This Row],[Customer ID]]))</f>
        <v>Cust265</v>
      </c>
      <c r="J34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4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CUST265</v>
      </c>
      <c r="L341" t="s">
        <v>34</v>
      </c>
      <c r="M341" s="4" t="str">
        <f>CLEAN(TRIM(Working_Sales[[#This Row],[Gender]]))</f>
        <v>Male</v>
      </c>
      <c r="N341" s="4" t="str" cm="1">
        <f t="array" ref="N341">_xlfn.SWITCH(
   Working_Sales[[#This Row],[Gender_Whitespace_Removed]],
   "m", "Male",
   "f", "Female",
   Working_Sales[[#This Row],[Gender_Whitespace_Removed]]
)</f>
        <v>Male</v>
      </c>
      <c r="O341" s="6" t="str">
        <f>PROPER(Working_Sales[[#This Row],[Gender_Abbreviation_Expanded]])</f>
        <v>Male</v>
      </c>
      <c r="P341">
        <v>35</v>
      </c>
      <c r="Q341" s="2" t="str">
        <f>CLEAN(TRIM(Working_Sales[[#This Row],[Age]]))</f>
        <v>35</v>
      </c>
      <c r="R341" s="6">
        <f>INT(SUBSTITUTE(Working_Sales[[#This Row],[Age_Whitespace_Removed]],".",","))</f>
        <v>35</v>
      </c>
      <c r="S341" t="s">
        <v>36</v>
      </c>
      <c r="T341" s="2" t="str">
        <f>CLEAN(TRIM(Working_Sales[[#This Row],[Product Category]]))</f>
        <v>Beauty</v>
      </c>
      <c r="U341" s="6" t="str">
        <f>PROPER(Working_Sales[[#This Row],[Product_Category_Whitespace_Removed]])</f>
        <v>Beauty</v>
      </c>
      <c r="V341" t="s">
        <v>29</v>
      </c>
      <c r="W341" s="2" t="str">
        <f>CLEAN(TRIM(Working_Sales[[#This Row],[Quantity]]))</f>
        <v>3</v>
      </c>
      <c r="X341" s="2">
        <f>INT(Working_Sales[[#This Row],[`]])</f>
        <v>3</v>
      </c>
      <c r="Y341" s="6">
        <f>IFERROR(
   Working_Sales[[#This Row],[Quantity_Converted_To_Integer]],
   Working_Sales[[#This Row],[Total_Amount_Whitespace_Removed]]/Working_Sales[[#This Row],[Price_Per_Unit_Decimal_Separator_Fixed]])</f>
        <v>3</v>
      </c>
      <c r="Z341" t="s">
        <v>57</v>
      </c>
      <c r="AA341" s="2" t="str">
        <f>CLEAN(TRIM(Working_Sales[[#This Row],[Price per Unit]]))</f>
        <v>500</v>
      </c>
      <c r="AB341" s="2">
        <f>INT(
   SUBSTITUTE(Working_Sales[[#This Row],[Price_Per_Unit_Whitespace_Removed]],
   "$",
   ""
   )
)</f>
        <v>500</v>
      </c>
      <c r="AC341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341" s="8">
        <f>IFERROR(
   Working_Sales[[#This Row],[Price_Per_Unit_Decimal_Separator_Fixed]],
   Working_Sales[[#This Row],[Total_Amount_Converted_To_Integer]]/Working_Sales[[#This Row],[Quantity_Converted_To_Integer]]
)</f>
        <v>500</v>
      </c>
      <c r="AE341" t="s">
        <v>85</v>
      </c>
      <c r="AF341" s="2" t="str">
        <f>CLEAN(TRIM(Working_Sales[[#This Row],[Total Amount]]))</f>
        <v>1500</v>
      </c>
      <c r="AG341" s="2">
        <f>INT(Working_Sales[[#This Row],[Total_Amount_Whitespace_Removed]])</f>
        <v>1500</v>
      </c>
      <c r="AH34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342" spans="1:34" x14ac:dyDescent="0.35">
      <c r="A342" t="s">
        <v>803</v>
      </c>
      <c r="B342" s="6" t="str">
        <f>CLEAN(TRIM(Working_Sales[[#This Row],[Transaction ID]]))</f>
        <v>744</v>
      </c>
      <c r="C342" t="s">
        <v>1104</v>
      </c>
      <c r="D342" s="2" t="str">
        <f>CLEAN(TRIM(Working_Sales[[#This Row],[Date]]))</f>
        <v>07-May-2023</v>
      </c>
      <c r="E34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45053</v>
      </c>
      <c r="F34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45053</v>
      </c>
      <c r="G34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45053</v>
      </c>
      <c r="H342" t="s">
        <v>2606</v>
      </c>
      <c r="I342" s="2" t="str">
        <f>CLEAN(TRIM(Working_Sales[[#This Row],[Customer ID]]))</f>
        <v>cust266</v>
      </c>
      <c r="J34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4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CUST266</v>
      </c>
      <c r="L342" t="s">
        <v>34</v>
      </c>
      <c r="M342" s="4" t="str">
        <f>CLEAN(TRIM(Working_Sales[[#This Row],[Gender]]))</f>
        <v>Male</v>
      </c>
      <c r="N342" s="4" t="str" cm="1">
        <f t="array" ref="N342">_xlfn.SWITCH(
   Working_Sales[[#This Row],[Gender_Whitespace_Removed]],
   "m", "Male",
   "f", "Female",
   Working_Sales[[#This Row],[Gender_Whitespace_Removed]]
)</f>
        <v>Male</v>
      </c>
      <c r="O342" s="6" t="str">
        <f>PROPER(Working_Sales[[#This Row],[Gender_Abbreviation_Expanded]])</f>
        <v>Male</v>
      </c>
      <c r="P342">
        <v>40</v>
      </c>
      <c r="Q342" s="2" t="str">
        <f>CLEAN(TRIM(Working_Sales[[#This Row],[Age]]))</f>
        <v>40</v>
      </c>
      <c r="R342" s="6">
        <f>INT(SUBSTITUTE(Working_Sales[[#This Row],[Age_Whitespace_Removed]],".",","))</f>
        <v>40</v>
      </c>
      <c r="S342" t="s">
        <v>13</v>
      </c>
      <c r="T342" s="2" t="str">
        <f>CLEAN(TRIM(Working_Sales[[#This Row],[Product Category]]))</f>
        <v>Electronics</v>
      </c>
      <c r="U342" s="6" t="str">
        <f>PROPER(Working_Sales[[#This Row],[Product_Category_Whitespace_Removed]])</f>
        <v>Electronics</v>
      </c>
      <c r="V342" t="s">
        <v>22</v>
      </c>
      <c r="W342" s="2" t="str">
        <f>CLEAN(TRIM(Working_Sales[[#This Row],[Quantity]]))</f>
        <v>1</v>
      </c>
      <c r="X342" s="2">
        <f>INT(Working_Sales[[#This Row],[`]])</f>
        <v>1</v>
      </c>
      <c r="Y342" s="6">
        <f>IFERROR(
   Working_Sales[[#This Row],[Quantity_Converted_To_Integer]],
   Working_Sales[[#This Row],[Total_Amount_Whitespace_Removed]]/Working_Sales[[#This Row],[Price_Per_Unit_Decimal_Separator_Fixed]])</f>
        <v>1</v>
      </c>
      <c r="Z342" t="s">
        <v>371</v>
      </c>
      <c r="AA342" s="2" t="str">
        <f>CLEAN(TRIM(Working_Sales[[#This Row],[Price per Unit]]))</f>
        <v>25.00</v>
      </c>
      <c r="AB342" s="2" t="e">
        <f>INT(
   SUBSTITUTE(Working_Sales[[#This Row],[Price_Per_Unit_Whitespace_Removed]],
   "$",
   ""
   )
)</f>
        <v>#VALUE!</v>
      </c>
      <c r="AC342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342" s="8">
        <f>IFERROR(
   Working_Sales[[#This Row],[Price_Per_Unit_Decimal_Separator_Fixed]],
   Working_Sales[[#This Row],[Total_Amount_Converted_To_Integer]]/Working_Sales[[#This Row],[Quantity_Converted_To_Integer]]
)</f>
        <v>25</v>
      </c>
      <c r="AE342" t="s">
        <v>30</v>
      </c>
      <c r="AF342" s="2" t="str">
        <f>CLEAN(TRIM(Working_Sales[[#This Row],[Total Amount]]))</f>
        <v>25</v>
      </c>
      <c r="AG342" s="2">
        <f>INT(Working_Sales[[#This Row],[Total_Amount_Whitespace_Removed]])</f>
        <v>25</v>
      </c>
      <c r="AH34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343" spans="1:34" x14ac:dyDescent="0.35">
      <c r="A343" t="s">
        <v>804</v>
      </c>
      <c r="B343" s="6" t="str">
        <f>CLEAN(TRIM(Working_Sales[[#This Row],[Transaction ID]]))</f>
        <v>192</v>
      </c>
      <c r="C343" t="s">
        <v>805</v>
      </c>
      <c r="D343" s="2" t="str">
        <f>CLEAN(TRIM(Working_Sales[[#This Row],[Date]]))</f>
        <v>2023-02-10</v>
      </c>
      <c r="E34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44967</v>
      </c>
      <c r="F34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44967</v>
      </c>
      <c r="G34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44967</v>
      </c>
      <c r="H343" t="s">
        <v>2607</v>
      </c>
      <c r="I343" s="2" t="str">
        <f>CLEAN(TRIM(Working_Sales[[#This Row],[Customer ID]]))</f>
        <v>CUST-267</v>
      </c>
      <c r="J34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4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CUST267</v>
      </c>
      <c r="L343" t="s">
        <v>34</v>
      </c>
      <c r="M343" s="4" t="str">
        <f>CLEAN(TRIM(Working_Sales[[#This Row],[Gender]]))</f>
        <v>Male</v>
      </c>
      <c r="N343" s="4" t="str" cm="1">
        <f t="array" ref="N343">_xlfn.SWITCH(
   Working_Sales[[#This Row],[Gender_Whitespace_Removed]],
   "m", "Male",
   "f", "Female",
   Working_Sales[[#This Row],[Gender_Whitespace_Removed]]
)</f>
        <v>Male</v>
      </c>
      <c r="O343" s="6" t="str">
        <f>PROPER(Working_Sales[[#This Row],[Gender_Abbreviation_Expanded]])</f>
        <v>Male</v>
      </c>
      <c r="P343">
        <v>62</v>
      </c>
      <c r="Q343" s="2" t="str">
        <f>CLEAN(TRIM(Working_Sales[[#This Row],[Age]]))</f>
        <v>62</v>
      </c>
      <c r="R343" s="6">
        <f>INT(SUBSTITUTE(Working_Sales[[#This Row],[Age_Whitespace_Removed]],".",","))</f>
        <v>62</v>
      </c>
      <c r="S343" t="s">
        <v>36</v>
      </c>
      <c r="T343" s="2" t="str">
        <f>CLEAN(TRIM(Working_Sales[[#This Row],[Product Category]]))</f>
        <v>Beauty</v>
      </c>
      <c r="U343" s="6" t="str">
        <f>PROPER(Working_Sales[[#This Row],[Product_Category_Whitespace_Removed]])</f>
        <v>Beauty</v>
      </c>
      <c r="V343" t="s">
        <v>37</v>
      </c>
      <c r="W343" s="2" t="str">
        <f>CLEAN(TRIM(Working_Sales[[#This Row],[Quantity]]))</f>
        <v>2</v>
      </c>
      <c r="X343" s="2">
        <f>INT(Working_Sales[[#This Row],[`]])</f>
        <v>2</v>
      </c>
      <c r="Y343" s="6">
        <f>IFERROR(
   Working_Sales[[#This Row],[Quantity_Converted_To_Integer]],
   Working_Sales[[#This Row],[Total_Amount_Whitespace_Removed]]/Working_Sales[[#This Row],[Price_Per_Unit_Decimal_Separator_Fixed]])</f>
        <v>2</v>
      </c>
      <c r="Z343" t="s">
        <v>15</v>
      </c>
      <c r="AA343" s="2" t="str">
        <f>CLEAN(TRIM(Working_Sales[[#This Row],[Price per Unit]]))</f>
        <v>50</v>
      </c>
      <c r="AB343" s="2">
        <f>INT(
   SUBSTITUTE(Working_Sales[[#This Row],[Price_Per_Unit_Whitespace_Removed]],
   "$",
   ""
   )
)</f>
        <v>50</v>
      </c>
      <c r="AC343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343" s="8">
        <f>IFERROR(
   Working_Sales[[#This Row],[Price_Per_Unit_Decimal_Separator_Fixed]],
   Working_Sales[[#This Row],[Total_Amount_Converted_To_Integer]]/Working_Sales[[#This Row],[Quantity_Converted_To_Integer]]
)</f>
        <v>50</v>
      </c>
      <c r="AE343" t="s">
        <v>38</v>
      </c>
      <c r="AF343" s="2" t="str">
        <f>CLEAN(TRIM(Working_Sales[[#This Row],[Total Amount]]))</f>
        <v>100</v>
      </c>
      <c r="AG343" s="2">
        <f>INT(Working_Sales[[#This Row],[Total_Amount_Whitespace_Removed]])</f>
        <v>100</v>
      </c>
      <c r="AH34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344" spans="1:34" x14ac:dyDescent="0.35">
      <c r="A344" t="s">
        <v>807</v>
      </c>
      <c r="B344" s="6" t="str">
        <f>CLEAN(TRIM(Working_Sales[[#This Row],[Transaction ID]]))</f>
        <v>456</v>
      </c>
      <c r="C344" t="s">
        <v>2083</v>
      </c>
      <c r="D344" s="2" t="str">
        <f>CLEAN(TRIM(Working_Sales[[#This Row],[Date]]))</f>
        <v>14/10/2023</v>
      </c>
      <c r="E34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45213</v>
      </c>
      <c r="F34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45213</v>
      </c>
      <c r="G34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45213</v>
      </c>
      <c r="H344" t="s">
        <v>2608</v>
      </c>
      <c r="I344" s="2" t="str">
        <f>CLEAN(TRIM(Working_Sales[[#This Row],[Customer ID]]))</f>
        <v>cust268</v>
      </c>
      <c r="J34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4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CUST268</v>
      </c>
      <c r="L344" t="s">
        <v>11</v>
      </c>
      <c r="M344" s="4" t="str">
        <f>CLEAN(TRIM(Working_Sales[[#This Row],[Gender]]))</f>
        <v>MALE</v>
      </c>
      <c r="N344" s="4" t="str" cm="1">
        <f t="array" ref="N344">_xlfn.SWITCH(
   Working_Sales[[#This Row],[Gender_Whitespace_Removed]],
   "m", "Male",
   "f", "Female",
   Working_Sales[[#This Row],[Gender_Whitespace_Removed]]
)</f>
        <v>MALE</v>
      </c>
      <c r="O344" s="6" t="str">
        <f>PROPER(Working_Sales[[#This Row],[Gender_Abbreviation_Expanded]])</f>
        <v>Male</v>
      </c>
      <c r="P344">
        <v>57</v>
      </c>
      <c r="Q344" s="2" t="str">
        <f>CLEAN(TRIM(Working_Sales[[#This Row],[Age]]))</f>
        <v>57</v>
      </c>
      <c r="R344" s="6">
        <f>INT(SUBSTITUTE(Working_Sales[[#This Row],[Age_Whitespace_Removed]],".",","))</f>
        <v>57</v>
      </c>
      <c r="S344" t="s">
        <v>13</v>
      </c>
      <c r="T344" s="2" t="str">
        <f>CLEAN(TRIM(Working_Sales[[#This Row],[Product Category]]))</f>
        <v>Electronics</v>
      </c>
      <c r="U344" s="6" t="str">
        <f>PROPER(Working_Sales[[#This Row],[Product_Category_Whitespace_Removed]])</f>
        <v>Electronics</v>
      </c>
      <c r="V344" t="s">
        <v>37</v>
      </c>
      <c r="W344" s="2" t="str">
        <f>CLEAN(TRIM(Working_Sales[[#This Row],[Quantity]]))</f>
        <v>2</v>
      </c>
      <c r="X344" s="2">
        <f>INT(Working_Sales[[#This Row],[`]])</f>
        <v>2</v>
      </c>
      <c r="Y344" s="6">
        <f>IFERROR(
   Working_Sales[[#This Row],[Quantity_Converted_To_Integer]],
   Working_Sales[[#This Row],[Total_Amount_Whitespace_Removed]]/Working_Sales[[#This Row],[Price_Per_Unit_Decimal_Separator_Fixed]])</f>
        <v>2</v>
      </c>
      <c r="Z344" t="s">
        <v>70</v>
      </c>
      <c r="AA344" s="2" t="str">
        <f>CLEAN(TRIM(Working_Sales[[#This Row],[Price per Unit]]))</f>
        <v>30</v>
      </c>
      <c r="AB344" s="2">
        <f>INT(
   SUBSTITUTE(Working_Sales[[#This Row],[Price_Per_Unit_Whitespace_Removed]],
   "$",
   ""
   )
)</f>
        <v>30</v>
      </c>
      <c r="AC344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344" s="8">
        <f>IFERROR(
   Working_Sales[[#This Row],[Price_Per_Unit_Decimal_Separator_Fixed]],
   Working_Sales[[#This Row],[Total_Amount_Converted_To_Integer]]/Working_Sales[[#This Row],[Quantity_Converted_To_Integer]]
)</f>
        <v>30</v>
      </c>
      <c r="AE344" t="s">
        <v>71</v>
      </c>
      <c r="AF344" s="2" t="str">
        <f>CLEAN(TRIM(Working_Sales[[#This Row],[Total Amount]]))</f>
        <v>60</v>
      </c>
      <c r="AG344" s="2">
        <f>INT(Working_Sales[[#This Row],[Total_Amount_Whitespace_Removed]])</f>
        <v>60</v>
      </c>
      <c r="AH34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345" spans="1:34" x14ac:dyDescent="0.35">
      <c r="A345" t="s">
        <v>808</v>
      </c>
      <c r="B345" s="6" t="str">
        <f>CLEAN(TRIM(Working_Sales[[#This Row],[Transaction ID]]))</f>
        <v>854</v>
      </c>
      <c r="C345" t="s">
        <v>1316</v>
      </c>
      <c r="D345" s="2" t="str">
        <f>CLEAN(TRIM(Working_Sales[[#This Row],[Date]]))</f>
        <v>20/12/2023</v>
      </c>
      <c r="E34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45280</v>
      </c>
      <c r="F34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45280</v>
      </c>
      <c r="G34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45280</v>
      </c>
      <c r="H345" t="s">
        <v>2609</v>
      </c>
      <c r="I345" s="2" t="str">
        <f>CLEAN(TRIM(Working_Sales[[#This Row],[Customer ID]]))</f>
        <v>CUST017</v>
      </c>
      <c r="J34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CUST017</v>
      </c>
      <c r="K34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CUST017</v>
      </c>
      <c r="L345" t="s">
        <v>34</v>
      </c>
      <c r="M345" s="4" t="str">
        <f>CLEAN(TRIM(Working_Sales[[#This Row],[Gender]]))</f>
        <v>Male</v>
      </c>
      <c r="N345" s="4" t="str" cm="1">
        <f t="array" ref="N345">_xlfn.SWITCH(
   Working_Sales[[#This Row],[Gender_Whitespace_Removed]],
   "m", "Male",
   "f", "Female",
   Working_Sales[[#This Row],[Gender_Whitespace_Removed]]
)</f>
        <v>Male</v>
      </c>
      <c r="O345" s="6" t="str">
        <f>PROPER(Working_Sales[[#This Row],[Gender_Abbreviation_Expanded]])</f>
        <v>Male</v>
      </c>
      <c r="P345">
        <v>29</v>
      </c>
      <c r="Q345" s="2" t="str">
        <f>CLEAN(TRIM(Working_Sales[[#This Row],[Age]]))</f>
        <v>29</v>
      </c>
      <c r="R345" s="6">
        <f>INT(SUBSTITUTE(Working_Sales[[#This Row],[Age_Whitespace_Removed]],".",","))</f>
        <v>29</v>
      </c>
      <c r="S345" t="s">
        <v>400</v>
      </c>
      <c r="T345" s="2" t="str">
        <f>CLEAN(TRIM(Working_Sales[[#This Row],[Product Category]]))</f>
        <v>Clothing</v>
      </c>
      <c r="U345" s="6" t="str">
        <f>PROPER(Working_Sales[[#This Row],[Product_Category_Whitespace_Removed]])</f>
        <v>Clothing</v>
      </c>
      <c r="V345" t="s">
        <v>22</v>
      </c>
      <c r="W345" s="2" t="str">
        <f>CLEAN(TRIM(Working_Sales[[#This Row],[Quantity]]))</f>
        <v>1</v>
      </c>
      <c r="X345" s="2">
        <f>INT(Working_Sales[[#This Row],[`]])</f>
        <v>1</v>
      </c>
      <c r="Y345" s="6">
        <f>IFERROR(
   Working_Sales[[#This Row],[Quantity_Converted_To_Integer]],
   Working_Sales[[#This Row],[Total_Amount_Whitespace_Removed]]/Working_Sales[[#This Row],[Price_Per_Unit_Decimal_Separator_Fixed]])</f>
        <v>1</v>
      </c>
      <c r="Z345" t="s">
        <v>96</v>
      </c>
      <c r="AA345" s="2" t="str">
        <f>CLEAN(TRIM(Working_Sales[[#This Row],[Price per Unit]]))</f>
        <v>$50</v>
      </c>
      <c r="AB345" s="2">
        <f>INT(
   SUBSTITUTE(Working_Sales[[#This Row],[Price_Per_Unit_Whitespace_Removed]],
   "$",
   ""
   )
)</f>
        <v>50</v>
      </c>
      <c r="AC345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345" s="8">
        <f>IFERROR(
   Working_Sales[[#This Row],[Price_Per_Unit_Decimal_Separator_Fixed]],
   Working_Sales[[#This Row],[Total_Amount_Converted_To_Integer]]/Working_Sales[[#This Row],[Quantity_Converted_To_Integer]]
)</f>
        <v>50</v>
      </c>
      <c r="AE345" t="s">
        <v>15</v>
      </c>
      <c r="AF345" s="2" t="str">
        <f>CLEAN(TRIM(Working_Sales[[#This Row],[Total Amount]]))</f>
        <v>50</v>
      </c>
      <c r="AG345" s="2">
        <f>INT(Working_Sales[[#This Row],[Total_Amount_Whitespace_Removed]])</f>
        <v>50</v>
      </c>
      <c r="AH34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346" spans="1:34" x14ac:dyDescent="0.35">
      <c r="A346" t="s">
        <v>809</v>
      </c>
      <c r="B346" s="6" t="str">
        <f>CLEAN(TRIM(Working_Sales[[#This Row],[Transaction ID]]))</f>
        <v>681</v>
      </c>
      <c r="C346" t="s">
        <v>810</v>
      </c>
      <c r="D346" s="2" t="str">
        <f>CLEAN(TRIM(Working_Sales[[#This Row],[Date]]))</f>
        <v>07/14/2023</v>
      </c>
      <c r="E346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34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45121</v>
      </c>
      <c r="G34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45121</v>
      </c>
      <c r="H346" t="s">
        <v>2610</v>
      </c>
      <c r="I346" s="2" t="str">
        <f>CLEAN(TRIM(Working_Sales[[#This Row],[Customer ID]]))</f>
        <v>Cust114</v>
      </c>
      <c r="J34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4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CUST114</v>
      </c>
      <c r="L346" t="s">
        <v>26</v>
      </c>
      <c r="M346" s="4" t="str">
        <f>CLEAN(TRIM(Working_Sales[[#This Row],[Gender]]))</f>
        <v>Female</v>
      </c>
      <c r="N346" s="4" t="str" cm="1">
        <f t="array" ref="N346">_xlfn.SWITCH(
   Working_Sales[[#This Row],[Gender_Whitespace_Removed]],
   "m", "Male",
   "f", "Female",
   Working_Sales[[#This Row],[Gender_Whitespace_Removed]]
)</f>
        <v>Female</v>
      </c>
      <c r="O346" s="6" t="str">
        <f>PROPER(Working_Sales[[#This Row],[Gender_Abbreviation_Expanded]])</f>
        <v>Female</v>
      </c>
      <c r="P346">
        <v>43</v>
      </c>
      <c r="Q346" s="2" t="str">
        <f>CLEAN(TRIM(Working_Sales[[#This Row],[Age]]))</f>
        <v>43</v>
      </c>
      <c r="R346" s="6">
        <f>INT(SUBSTITUTE(Working_Sales[[#This Row],[Age_Whitespace_Removed]],".",","))</f>
        <v>43</v>
      </c>
      <c r="S346" t="s">
        <v>13</v>
      </c>
      <c r="T346" s="2" t="str">
        <f>CLEAN(TRIM(Working_Sales[[#This Row],[Product Category]]))</f>
        <v>Electronics</v>
      </c>
      <c r="U346" s="6" t="str">
        <f>PROPER(Working_Sales[[#This Row],[Product_Category_Whitespace_Removed]])</f>
        <v>Electronics</v>
      </c>
      <c r="W346" s="2" t="str">
        <f>CLEAN(TRIM(Working_Sales[[#This Row],[Quantity]]))</f>
        <v/>
      </c>
      <c r="X346" s="2" t="e">
        <f>INT(Working_Sales[[#This Row],[`]])</f>
        <v>#VALUE!</v>
      </c>
      <c r="Y346" s="6">
        <f>IFERROR(
   Working_Sales[[#This Row],[Quantity_Converted_To_Integer]],
   Working_Sales[[#This Row],[Total_Amount_Whitespace_Removed]]/Working_Sales[[#This Row],[Price_Per_Unit_Decimal_Separator_Fixed]])</f>
        <v>2</v>
      </c>
      <c r="Z346" t="s">
        <v>70</v>
      </c>
      <c r="AA346" s="2" t="str">
        <f>CLEAN(TRIM(Working_Sales[[#This Row],[Price per Unit]]))</f>
        <v>30</v>
      </c>
      <c r="AB346" s="2">
        <f>INT(
   SUBSTITUTE(Working_Sales[[#This Row],[Price_Per_Unit_Whitespace_Removed]],
   "$",
   ""
   )
)</f>
        <v>30</v>
      </c>
      <c r="AC346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346" s="8">
        <f>IFERROR(
   Working_Sales[[#This Row],[Price_Per_Unit_Decimal_Separator_Fixed]],
   Working_Sales[[#This Row],[Total_Amount_Converted_To_Integer]]/Working_Sales[[#This Row],[Quantity_Converted_To_Integer]]
)</f>
        <v>30</v>
      </c>
      <c r="AE346" t="s">
        <v>71</v>
      </c>
      <c r="AF346" s="2" t="str">
        <f>CLEAN(TRIM(Working_Sales[[#This Row],[Total Amount]]))</f>
        <v>60</v>
      </c>
      <c r="AG346" s="2">
        <f>INT(Working_Sales[[#This Row],[Total_Amount_Whitespace_Removed]])</f>
        <v>60</v>
      </c>
      <c r="AH34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347" spans="1:34" x14ac:dyDescent="0.35">
      <c r="A347" t="s">
        <v>811</v>
      </c>
      <c r="B347" s="6" t="str">
        <f>CLEAN(TRIM(Working_Sales[[#This Row],[Transaction ID]]))</f>
        <v>133</v>
      </c>
      <c r="C347" t="s">
        <v>2084</v>
      </c>
      <c r="D347" s="2" t="str">
        <f>CLEAN(TRIM(Working_Sales[[#This Row],[Date]]))</f>
        <v>02/16/2023</v>
      </c>
      <c r="E347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34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44973</v>
      </c>
      <c r="G34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44973</v>
      </c>
      <c r="H347" t="s">
        <v>2611</v>
      </c>
      <c r="I347" s="2" t="str">
        <f>CLEAN(TRIM(Working_Sales[[#This Row],[Customer ID]]))</f>
        <v>cust269</v>
      </c>
      <c r="J34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4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CUST269</v>
      </c>
      <c r="L347" t="s">
        <v>34</v>
      </c>
      <c r="M347" s="4" t="str">
        <f>CLEAN(TRIM(Working_Sales[[#This Row],[Gender]]))</f>
        <v>Male</v>
      </c>
      <c r="N347" s="4" t="str" cm="1">
        <f t="array" ref="N347">_xlfn.SWITCH(
   Working_Sales[[#This Row],[Gender_Whitespace_Removed]],
   "m", "Male",
   "f", "Female",
   Working_Sales[[#This Row],[Gender_Whitespace_Removed]]
)</f>
        <v>Male</v>
      </c>
      <c r="O347" s="6" t="str">
        <f>PROPER(Working_Sales[[#This Row],[Gender_Abbreviation_Expanded]])</f>
        <v>Male</v>
      </c>
      <c r="P347">
        <v>20</v>
      </c>
      <c r="Q347" s="2" t="str">
        <f>CLEAN(TRIM(Working_Sales[[#This Row],[Age]]))</f>
        <v>20</v>
      </c>
      <c r="R347" s="6">
        <f>INT(SUBSTITUTE(Working_Sales[[#This Row],[Age_Whitespace_Removed]],".",","))</f>
        <v>20</v>
      </c>
      <c r="S347" t="s">
        <v>13</v>
      </c>
      <c r="T347" s="2" t="str">
        <f>CLEAN(TRIM(Working_Sales[[#This Row],[Product Category]]))</f>
        <v>Electronics</v>
      </c>
      <c r="U347" s="6" t="str">
        <f>PROPER(Working_Sales[[#This Row],[Product_Category_Whitespace_Removed]])</f>
        <v>Electronics</v>
      </c>
      <c r="V347" t="s">
        <v>29</v>
      </c>
      <c r="W347" s="2" t="str">
        <f>CLEAN(TRIM(Working_Sales[[#This Row],[Quantity]]))</f>
        <v>3</v>
      </c>
      <c r="X347" s="2">
        <f>INT(Working_Sales[[#This Row],[`]])</f>
        <v>3</v>
      </c>
      <c r="Y347" s="6">
        <f>IFERROR(
   Working_Sales[[#This Row],[Quantity_Converted_To_Integer]],
   Working_Sales[[#This Row],[Total_Amount_Whitespace_Removed]]/Working_Sales[[#This Row],[Price_Per_Unit_Decimal_Separator_Fixed]])</f>
        <v>3</v>
      </c>
      <c r="Z347" t="s">
        <v>288</v>
      </c>
      <c r="AA347" s="2" t="str">
        <f>CLEAN(TRIM(Working_Sales[[#This Row],[Price per Unit]]))</f>
        <v>300.00</v>
      </c>
      <c r="AB347" s="2" t="e">
        <f>INT(
   SUBSTITUTE(Working_Sales[[#This Row],[Price_Per_Unit_Whitespace_Removed]],
   "$",
   ""
   )
)</f>
        <v>#VALUE!</v>
      </c>
      <c r="AC347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347" s="8">
        <f>IFERROR(
   Working_Sales[[#This Row],[Price_Per_Unit_Decimal_Separator_Fixed]],
   Working_Sales[[#This Row],[Total_Amount_Converted_To_Integer]]/Working_Sales[[#This Row],[Quantity_Converted_To_Integer]]
)</f>
        <v>300</v>
      </c>
      <c r="AE347" t="s">
        <v>128</v>
      </c>
      <c r="AF347" s="2" t="str">
        <f>CLEAN(TRIM(Working_Sales[[#This Row],[Total Amount]]))</f>
        <v>900</v>
      </c>
      <c r="AG347" s="2">
        <f>INT(Working_Sales[[#This Row],[Total_Amount_Whitespace_Removed]])</f>
        <v>900</v>
      </c>
      <c r="AH34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348" spans="1:34" x14ac:dyDescent="0.35">
      <c r="A348" t="s">
        <v>813</v>
      </c>
      <c r="B348" s="6" t="str">
        <f>CLEAN(TRIM(Working_Sales[[#This Row],[Transaction ID]]))</f>
        <v>376</v>
      </c>
      <c r="C348" t="s">
        <v>210</v>
      </c>
      <c r="D348" s="2" t="str">
        <f>CLEAN(TRIM(Working_Sales[[#This Row],[Date]]))</f>
        <v>2023-05-16</v>
      </c>
      <c r="E34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45062</v>
      </c>
      <c r="F34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45062</v>
      </c>
      <c r="G34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45062</v>
      </c>
      <c r="H348" t="s">
        <v>2612</v>
      </c>
      <c r="I348" s="2" t="str">
        <f>CLEAN(TRIM(Working_Sales[[#This Row],[Customer ID]]))</f>
        <v>CUST270</v>
      </c>
      <c r="J34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CUST270</v>
      </c>
      <c r="K34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CUST270</v>
      </c>
      <c r="L348" t="s">
        <v>26</v>
      </c>
      <c r="M348" s="4" t="str">
        <f>CLEAN(TRIM(Working_Sales[[#This Row],[Gender]]))</f>
        <v>Female</v>
      </c>
      <c r="N348" s="4" t="str" cm="1">
        <f t="array" ref="N348">_xlfn.SWITCH(
   Working_Sales[[#This Row],[Gender_Whitespace_Removed]],
   "m", "Male",
   "f", "Female",
   Working_Sales[[#This Row],[Gender_Whitespace_Removed]]
)</f>
        <v>Female</v>
      </c>
      <c r="O348" s="6" t="str">
        <f>PROPER(Working_Sales[[#This Row],[Gender_Abbreviation_Expanded]])</f>
        <v>Female</v>
      </c>
      <c r="P348">
        <v>64</v>
      </c>
      <c r="Q348" s="2" t="str">
        <f>CLEAN(TRIM(Working_Sales[[#This Row],[Age]]))</f>
        <v>64</v>
      </c>
      <c r="R348" s="6">
        <f>INT(SUBSTITUTE(Working_Sales[[#This Row],[Age_Whitespace_Removed]],".",","))</f>
        <v>64</v>
      </c>
      <c r="S348" t="s">
        <v>42</v>
      </c>
      <c r="T348" s="2" t="str">
        <f>CLEAN(TRIM(Working_Sales[[#This Row],[Product Category]]))</f>
        <v>Beauty</v>
      </c>
      <c r="U348" s="6" t="str">
        <f>PROPER(Working_Sales[[#This Row],[Product_Category_Whitespace_Removed]])</f>
        <v>Beauty</v>
      </c>
      <c r="V348" t="s">
        <v>22</v>
      </c>
      <c r="W348" s="2" t="str">
        <f>CLEAN(TRIM(Working_Sales[[#This Row],[Quantity]]))</f>
        <v>1</v>
      </c>
      <c r="X348" s="2">
        <f>INT(Working_Sales[[#This Row],[`]])</f>
        <v>1</v>
      </c>
      <c r="Y348" s="6">
        <f>IFERROR(
   Working_Sales[[#This Row],[Quantity_Converted_To_Integer]],
   Working_Sales[[#This Row],[Total_Amount_Whitespace_Removed]]/Working_Sales[[#This Row],[Price_Per_Unit_Decimal_Separator_Fixed]])</f>
        <v>1</v>
      </c>
      <c r="Z348" t="s">
        <v>43</v>
      </c>
      <c r="AA348" s="2" t="str">
        <f>CLEAN(TRIM(Working_Sales[[#This Row],[Price per Unit]]))</f>
        <v>30.00</v>
      </c>
      <c r="AB348" s="2" t="e">
        <f>INT(
   SUBSTITUTE(Working_Sales[[#This Row],[Price_Per_Unit_Whitespace_Removed]],
   "$",
   ""
   )
)</f>
        <v>#VALUE!</v>
      </c>
      <c r="AC348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348" s="8">
        <f>IFERROR(
   Working_Sales[[#This Row],[Price_Per_Unit_Decimal_Separator_Fixed]],
   Working_Sales[[#This Row],[Total_Amount_Converted_To_Integer]]/Working_Sales[[#This Row],[Quantity_Converted_To_Integer]]
)</f>
        <v>30</v>
      </c>
      <c r="AE348" t="s">
        <v>70</v>
      </c>
      <c r="AF348" s="2" t="str">
        <f>CLEAN(TRIM(Working_Sales[[#This Row],[Total Amount]]))</f>
        <v>30</v>
      </c>
      <c r="AG348" s="2">
        <f>INT(Working_Sales[[#This Row],[Total_Amount_Whitespace_Removed]])</f>
        <v>30</v>
      </c>
      <c r="AH34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349" spans="1:34" x14ac:dyDescent="0.35">
      <c r="A349" t="s">
        <v>815</v>
      </c>
      <c r="B349" s="6" t="str">
        <f>CLEAN(TRIM(Working_Sales[[#This Row],[Transaction ID]]))</f>
        <v>253</v>
      </c>
      <c r="C349" t="s">
        <v>356</v>
      </c>
      <c r="D349" s="2" t="str">
        <f>CLEAN(TRIM(Working_Sales[[#This Row],[Date]]))</f>
        <v>2023-08-31</v>
      </c>
      <c r="E34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45169</v>
      </c>
      <c r="F34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45169</v>
      </c>
      <c r="G34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45169</v>
      </c>
      <c r="H349" t="s">
        <v>2613</v>
      </c>
      <c r="I349" s="2" t="str">
        <f>CLEAN(TRIM(Working_Sales[[#This Row],[Customer ID]]))</f>
        <v>CUST108</v>
      </c>
      <c r="J34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CUST108</v>
      </c>
      <c r="K34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CUST108</v>
      </c>
      <c r="L349" t="s">
        <v>26</v>
      </c>
      <c r="M349" s="4" t="str">
        <f>CLEAN(TRIM(Working_Sales[[#This Row],[Gender]]))</f>
        <v>Female</v>
      </c>
      <c r="N349" s="4" t="str" cm="1">
        <f t="array" ref="N349">_xlfn.SWITCH(
   Working_Sales[[#This Row],[Gender_Whitespace_Removed]],
   "m", "Male",
   "f", "Female",
   Working_Sales[[#This Row],[Gender_Whitespace_Removed]]
)</f>
        <v>Female</v>
      </c>
      <c r="O349" s="6" t="str">
        <f>PROPER(Working_Sales[[#This Row],[Gender_Abbreviation_Expanded]])</f>
        <v>Female</v>
      </c>
      <c r="P349">
        <v>53</v>
      </c>
      <c r="Q349" s="2" t="str">
        <f>CLEAN(TRIM(Working_Sales[[#This Row],[Age]]))</f>
        <v>53</v>
      </c>
      <c r="R349" s="6">
        <f>INT(SUBSTITUTE(Working_Sales[[#This Row],[Age_Whitespace_Removed]],".",","))</f>
        <v>53</v>
      </c>
      <c r="S349" t="s">
        <v>124</v>
      </c>
      <c r="T349" s="2" t="str">
        <f>CLEAN(TRIM(Working_Sales[[#This Row],[Product Category]]))</f>
        <v>Clothing</v>
      </c>
      <c r="U349" s="6" t="str">
        <f>PROPER(Working_Sales[[#This Row],[Product_Category_Whitespace_Removed]])</f>
        <v>Clothing</v>
      </c>
      <c r="V349" t="s">
        <v>14</v>
      </c>
      <c r="W349" s="2" t="str">
        <f>CLEAN(TRIM(Working_Sales[[#This Row],[Quantity]]))</f>
        <v>4</v>
      </c>
      <c r="X349" s="2">
        <f>INT(Working_Sales[[#This Row],[`]])</f>
        <v>4</v>
      </c>
      <c r="Y349" s="6">
        <f>IFERROR(
   Working_Sales[[#This Row],[Quantity_Converted_To_Integer]],
   Working_Sales[[#This Row],[Total_Amount_Whitespace_Removed]]/Working_Sales[[#This Row],[Price_Per_Unit_Decimal_Separator_Fixed]])</f>
        <v>4</v>
      </c>
      <c r="Z349" t="s">
        <v>57</v>
      </c>
      <c r="AA349" s="2" t="str">
        <f>CLEAN(TRIM(Working_Sales[[#This Row],[Price per Unit]]))</f>
        <v>500</v>
      </c>
      <c r="AB349" s="2">
        <f>INT(
   SUBSTITUTE(Working_Sales[[#This Row],[Price_Per_Unit_Whitespace_Removed]],
   "$",
   ""
   )
)</f>
        <v>500</v>
      </c>
      <c r="AC349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349" s="8">
        <f>IFERROR(
   Working_Sales[[#This Row],[Price_Per_Unit_Decimal_Separator_Fixed]],
   Working_Sales[[#This Row],[Total_Amount_Converted_To_Integer]]/Working_Sales[[#This Row],[Quantity_Converted_To_Integer]]
)</f>
        <v>500</v>
      </c>
      <c r="AE349" t="s">
        <v>232</v>
      </c>
      <c r="AF349" s="2" t="str">
        <f>CLEAN(TRIM(Working_Sales[[#This Row],[Total Amount]]))</f>
        <v>2000</v>
      </c>
      <c r="AG349" s="2">
        <f>INT(Working_Sales[[#This Row],[Total_Amount_Whitespace_Removed]])</f>
        <v>2000</v>
      </c>
      <c r="AH34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350" spans="1:34" x14ac:dyDescent="0.35">
      <c r="A350" t="s">
        <v>817</v>
      </c>
      <c r="B350" s="6" t="str">
        <f>CLEAN(TRIM(Working_Sales[[#This Row],[Transaction ID]]))</f>
        <v>683</v>
      </c>
      <c r="C350" t="s">
        <v>818</v>
      </c>
      <c r="D350" s="2" t="str">
        <f>CLEAN(TRIM(Working_Sales[[#This Row],[Date]]))</f>
        <v>2023-01-04</v>
      </c>
      <c r="E35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44930</v>
      </c>
      <c r="F35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44930</v>
      </c>
      <c r="G35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44930</v>
      </c>
      <c r="H350" t="s">
        <v>2614</v>
      </c>
      <c r="I350" s="2" t="str">
        <f>CLEAN(TRIM(Working_Sales[[#This Row],[Customer ID]]))</f>
        <v>cust184</v>
      </c>
      <c r="J35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5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CUST184</v>
      </c>
      <c r="L350" t="s">
        <v>11</v>
      </c>
      <c r="M350" s="4" t="str">
        <f>CLEAN(TRIM(Working_Sales[[#This Row],[Gender]]))</f>
        <v>MALE</v>
      </c>
      <c r="N350" s="4" t="str" cm="1">
        <f t="array" ref="N350">_xlfn.SWITCH(
   Working_Sales[[#This Row],[Gender_Whitespace_Removed]],
   "m", "Male",
   "f", "Female",
   Working_Sales[[#This Row],[Gender_Whitespace_Removed]]
)</f>
        <v>MALE</v>
      </c>
      <c r="O350" s="6" t="str">
        <f>PROPER(Working_Sales[[#This Row],[Gender_Abbreviation_Expanded]])</f>
        <v>Male</v>
      </c>
      <c r="P350">
        <v>38</v>
      </c>
      <c r="Q350" s="2" t="str">
        <f>CLEAN(TRIM(Working_Sales[[#This Row],[Age]]))</f>
        <v>38</v>
      </c>
      <c r="R350" s="6">
        <f>INT(SUBSTITUTE(Working_Sales[[#This Row],[Age_Whitespace_Removed]],".",","))</f>
        <v>38</v>
      </c>
      <c r="S350" t="s">
        <v>62</v>
      </c>
      <c r="T350" s="2" t="str">
        <f>CLEAN(TRIM(Working_Sales[[#This Row],[Product Category]]))</f>
        <v>beauty</v>
      </c>
      <c r="U350" s="6" t="str">
        <f>PROPER(Working_Sales[[#This Row],[Product_Category_Whitespace_Removed]])</f>
        <v>Beauty</v>
      </c>
      <c r="V350" t="s">
        <v>37</v>
      </c>
      <c r="W350" s="2" t="str">
        <f>CLEAN(TRIM(Working_Sales[[#This Row],[Quantity]]))</f>
        <v>2</v>
      </c>
      <c r="X350" s="2">
        <f>INT(Working_Sales[[#This Row],[`]])</f>
        <v>2</v>
      </c>
      <c r="Y350" s="6">
        <f>IFERROR(
   Working_Sales[[#This Row],[Quantity_Converted_To_Integer]],
   Working_Sales[[#This Row],[Total_Amount_Whitespace_Removed]]/Working_Sales[[#This Row],[Price_Per_Unit_Decimal_Separator_Fixed]])</f>
        <v>2</v>
      </c>
      <c r="Z350" t="s">
        <v>57</v>
      </c>
      <c r="AA350" s="2" t="str">
        <f>CLEAN(TRIM(Working_Sales[[#This Row],[Price per Unit]]))</f>
        <v>500</v>
      </c>
      <c r="AB350" s="2">
        <f>INT(
   SUBSTITUTE(Working_Sales[[#This Row],[Price_Per_Unit_Whitespace_Removed]],
   "$",
   ""
   )
)</f>
        <v>500</v>
      </c>
      <c r="AC350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350" s="8">
        <f>IFERROR(
   Working_Sales[[#This Row],[Price_Per_Unit_Decimal_Separator_Fixed]],
   Working_Sales[[#This Row],[Total_Amount_Converted_To_Integer]]/Working_Sales[[#This Row],[Quantity_Converted_To_Integer]]
)</f>
        <v>500</v>
      </c>
      <c r="AE350" t="s">
        <v>163</v>
      </c>
      <c r="AF350" s="2" t="str">
        <f>CLEAN(TRIM(Working_Sales[[#This Row],[Total Amount]]))</f>
        <v>1000</v>
      </c>
      <c r="AG350" s="2">
        <f>INT(Working_Sales[[#This Row],[Total_Amount_Whitespace_Removed]])</f>
        <v>1000</v>
      </c>
      <c r="AH35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351" spans="1:34" x14ac:dyDescent="0.35">
      <c r="A351" t="s">
        <v>819</v>
      </c>
      <c r="B351" s="6" t="str">
        <f>CLEAN(TRIM(Working_Sales[[#This Row],[Transaction ID]]))</f>
        <v>982</v>
      </c>
      <c r="C351" t="s">
        <v>2085</v>
      </c>
      <c r="D351" s="2" t="str">
        <f>CLEAN(TRIM(Working_Sales[[#This Row],[Date]]))</f>
        <v>12/19/2023</v>
      </c>
      <c r="E351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35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45279</v>
      </c>
      <c r="G35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45279</v>
      </c>
      <c r="H351" t="s">
        <v>959</v>
      </c>
      <c r="I351" s="2" t="str">
        <f>CLEAN(TRIM(Working_Sales[[#This Row],[Customer ID]]))</f>
        <v>CUST097</v>
      </c>
      <c r="J35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5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CUST097</v>
      </c>
      <c r="L351" t="s">
        <v>26</v>
      </c>
      <c r="M351" s="4" t="str">
        <f>CLEAN(TRIM(Working_Sales[[#This Row],[Gender]]))</f>
        <v>Female</v>
      </c>
      <c r="N351" s="4" t="str" cm="1">
        <f t="array" ref="N351">_xlfn.SWITCH(
   Working_Sales[[#This Row],[Gender_Whitespace_Removed]],
   "m", "Male",
   "f", "Female",
   Working_Sales[[#This Row],[Gender_Whitespace_Removed]]
)</f>
        <v>Female</v>
      </c>
      <c r="O351" s="6" t="str">
        <f>PROPER(Working_Sales[[#This Row],[Gender_Abbreviation_Expanded]])</f>
        <v>Female</v>
      </c>
      <c r="P351">
        <v>46</v>
      </c>
      <c r="Q351" s="2" t="str">
        <f>CLEAN(TRIM(Working_Sales[[#This Row],[Age]]))</f>
        <v>46</v>
      </c>
      <c r="R351" s="6">
        <f>INT(SUBSTITUTE(Working_Sales[[#This Row],[Age_Whitespace_Removed]],".",","))</f>
        <v>46</v>
      </c>
      <c r="S351" t="s">
        <v>434</v>
      </c>
      <c r="T351" s="2" t="str">
        <f>CLEAN(TRIM(Working_Sales[[#This Row],[Product Category]]))</f>
        <v>Beauty</v>
      </c>
      <c r="U351" s="6" t="str">
        <f>PROPER(Working_Sales[[#This Row],[Product_Category_Whitespace_Removed]])</f>
        <v>Beauty</v>
      </c>
      <c r="V351" t="s">
        <v>29</v>
      </c>
      <c r="W351" s="2" t="str">
        <f>CLEAN(TRIM(Working_Sales[[#This Row],[Quantity]]))</f>
        <v>3</v>
      </c>
      <c r="X351" s="2">
        <f>INT(Working_Sales[[#This Row],[`]])</f>
        <v>3</v>
      </c>
      <c r="Y351" s="6">
        <f>IFERROR(
   Working_Sales[[#This Row],[Quantity_Converted_To_Integer]],
   Working_Sales[[#This Row],[Total_Amount_Whitespace_Removed]]/Working_Sales[[#This Row],[Price_Per_Unit_Decimal_Separator_Fixed]])</f>
        <v>3</v>
      </c>
      <c r="Z351" t="s">
        <v>70</v>
      </c>
      <c r="AA351" s="2" t="str">
        <f>CLEAN(TRIM(Working_Sales[[#This Row],[Price per Unit]]))</f>
        <v>30</v>
      </c>
      <c r="AB351" s="2">
        <f>INT(
   SUBSTITUTE(Working_Sales[[#This Row],[Price_Per_Unit_Whitespace_Removed]],
   "$",
   ""
   )
)</f>
        <v>30</v>
      </c>
      <c r="AC351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351" s="8">
        <f>IFERROR(
   Working_Sales[[#This Row],[Price_Per_Unit_Decimal_Separator_Fixed]],
   Working_Sales[[#This Row],[Total_Amount_Converted_To_Integer]]/Working_Sales[[#This Row],[Quantity_Converted_To_Integer]]
)</f>
        <v>30</v>
      </c>
      <c r="AE351" t="s">
        <v>191</v>
      </c>
      <c r="AF351" s="2" t="str">
        <f>CLEAN(TRIM(Working_Sales[[#This Row],[Total Amount]]))</f>
        <v>90</v>
      </c>
      <c r="AG351" s="2">
        <f>INT(Working_Sales[[#This Row],[Total_Amount_Whitespace_Removed]])</f>
        <v>90</v>
      </c>
      <c r="AH35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352" spans="1:34" x14ac:dyDescent="0.35">
      <c r="A352" t="s">
        <v>820</v>
      </c>
      <c r="B352" s="6" t="str">
        <f>CLEAN(TRIM(Working_Sales[[#This Row],[Transaction ID]]))</f>
        <v>264</v>
      </c>
      <c r="C352" t="s">
        <v>821</v>
      </c>
      <c r="D352" s="2" t="str">
        <f>CLEAN(TRIM(Working_Sales[[#This Row],[Date]]))</f>
        <v>2023-01-28</v>
      </c>
      <c r="E35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44954</v>
      </c>
      <c r="F35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44954</v>
      </c>
      <c r="G35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44954</v>
      </c>
      <c r="H352" t="s">
        <v>2615</v>
      </c>
      <c r="I352" s="2" t="str">
        <f>CLEAN(TRIM(Working_Sales[[#This Row],[Customer ID]]))</f>
        <v>CUST-217</v>
      </c>
      <c r="J35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5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CUST217</v>
      </c>
      <c r="L352" t="s">
        <v>268</v>
      </c>
      <c r="M352" s="4" t="str">
        <f>CLEAN(TRIM(Working_Sales[[#This Row],[Gender]]))</f>
        <v>M</v>
      </c>
      <c r="N352" s="4" t="str" cm="1">
        <f t="array" ref="N352">_xlfn.SWITCH(
   Working_Sales[[#This Row],[Gender_Whitespace_Removed]],
   "m", "Male",
   "f", "Female",
   Working_Sales[[#This Row],[Gender_Whitespace_Removed]]
)</f>
        <v>Male</v>
      </c>
      <c r="O352" s="6" t="str">
        <f>PROPER(Working_Sales[[#This Row],[Gender_Abbreviation_Expanded]])</f>
        <v>Male</v>
      </c>
      <c r="P352">
        <v>47</v>
      </c>
      <c r="Q352" s="2" t="str">
        <f>CLEAN(TRIM(Working_Sales[[#This Row],[Age]]))</f>
        <v>47</v>
      </c>
      <c r="R352" s="6">
        <f>INT(SUBSTITUTE(Working_Sales[[#This Row],[Age_Whitespace_Removed]],".",","))</f>
        <v>47</v>
      </c>
      <c r="S352" t="s">
        <v>124</v>
      </c>
      <c r="T352" s="2" t="str">
        <f>CLEAN(TRIM(Working_Sales[[#This Row],[Product Category]]))</f>
        <v>Clothing</v>
      </c>
      <c r="U352" s="6" t="str">
        <f>PROPER(Working_Sales[[#This Row],[Product_Category_Whitespace_Removed]])</f>
        <v>Clothing</v>
      </c>
      <c r="V352" t="s">
        <v>29</v>
      </c>
      <c r="W352" s="2" t="str">
        <f>CLEAN(TRIM(Working_Sales[[#This Row],[Quantity]]))</f>
        <v>3</v>
      </c>
      <c r="X352" s="2">
        <f>INT(Working_Sales[[#This Row],[`]])</f>
        <v>3</v>
      </c>
      <c r="Y352" s="6">
        <f>IFERROR(
   Working_Sales[[#This Row],[Quantity_Converted_To_Integer]],
   Working_Sales[[#This Row],[Total_Amount_Whitespace_Removed]]/Working_Sales[[#This Row],[Price_Per_Unit_Decimal_Separator_Fixed]])</f>
        <v>3</v>
      </c>
      <c r="Z352" t="s">
        <v>186</v>
      </c>
      <c r="AA352" s="2" t="str">
        <f>CLEAN(TRIM(Working_Sales[[#This Row],[Price per Unit]]))</f>
        <v>$300</v>
      </c>
      <c r="AB352" s="2">
        <f>INT(
   SUBSTITUTE(Working_Sales[[#This Row],[Price_Per_Unit_Whitespace_Removed]],
   "$",
   ""
   )
)</f>
        <v>300</v>
      </c>
      <c r="AC352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352" s="8">
        <f>IFERROR(
   Working_Sales[[#This Row],[Price_Per_Unit_Decimal_Separator_Fixed]],
   Working_Sales[[#This Row],[Total_Amount_Converted_To_Integer]]/Working_Sales[[#This Row],[Quantity_Converted_To_Integer]]
)</f>
        <v>300</v>
      </c>
      <c r="AE352" t="s">
        <v>128</v>
      </c>
      <c r="AF352" s="2" t="str">
        <f>CLEAN(TRIM(Working_Sales[[#This Row],[Total Amount]]))</f>
        <v>900</v>
      </c>
      <c r="AG352" s="2">
        <f>INT(Working_Sales[[#This Row],[Total_Amount_Whitespace_Removed]])</f>
        <v>900</v>
      </c>
      <c r="AH35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353" spans="1:34" x14ac:dyDescent="0.35">
      <c r="A353" t="s">
        <v>822</v>
      </c>
      <c r="B353" s="6" t="str">
        <f>CLEAN(TRIM(Working_Sales[[#This Row],[Transaction ID]]))</f>
        <v>71</v>
      </c>
      <c r="C353" t="s">
        <v>91</v>
      </c>
      <c r="D353" s="2" t="str">
        <f>CLEAN(TRIM(Working_Sales[[#This Row],[Date]]))</f>
        <v>2023-07-14</v>
      </c>
      <c r="E35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45121</v>
      </c>
      <c r="F35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45121</v>
      </c>
      <c r="G35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45121</v>
      </c>
      <c r="H353" t="s">
        <v>2616</v>
      </c>
      <c r="I353" s="2" t="str">
        <f>CLEAN(TRIM(Working_Sales[[#This Row],[Customer ID]]))</f>
        <v>CUST271</v>
      </c>
      <c r="J35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5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CUST271</v>
      </c>
      <c r="L353" t="s">
        <v>112</v>
      </c>
      <c r="M353" s="4" t="str">
        <f>CLEAN(TRIM(Working_Sales[[#This Row],[Gender]]))</f>
        <v>female</v>
      </c>
      <c r="N353" s="4" t="str" cm="1">
        <f t="array" ref="N353">_xlfn.SWITCH(
   Working_Sales[[#This Row],[Gender_Whitespace_Removed]],
   "m", "Male",
   "f", "Female",
   Working_Sales[[#This Row],[Gender_Whitespace_Removed]]
)</f>
        <v>female</v>
      </c>
      <c r="O353" s="6" t="str">
        <f>PROPER(Working_Sales[[#This Row],[Gender_Abbreviation_Expanded]])</f>
        <v>Female</v>
      </c>
      <c r="P353">
        <v>51</v>
      </c>
      <c r="Q353" s="2" t="str">
        <f>CLEAN(TRIM(Working_Sales[[#This Row],[Age]]))</f>
        <v>51</v>
      </c>
      <c r="R353" s="6">
        <f>INT(SUBSTITUTE(Working_Sales[[#This Row],[Age_Whitespace_Removed]],".",","))</f>
        <v>51</v>
      </c>
      <c r="S353" t="s">
        <v>36</v>
      </c>
      <c r="T353" s="2" t="str">
        <f>CLEAN(TRIM(Working_Sales[[#This Row],[Product Category]]))</f>
        <v>Beauty</v>
      </c>
      <c r="U353" s="6" t="str">
        <f>PROPER(Working_Sales[[#This Row],[Product_Category_Whitespace_Removed]])</f>
        <v>Beauty</v>
      </c>
      <c r="V353" t="s">
        <v>14</v>
      </c>
      <c r="W353" s="2" t="str">
        <f>CLEAN(TRIM(Working_Sales[[#This Row],[Quantity]]))</f>
        <v>4</v>
      </c>
      <c r="X353" s="2">
        <f>INT(Working_Sales[[#This Row],[`]])</f>
        <v>4</v>
      </c>
      <c r="Y353" s="6">
        <f>IFERROR(
   Working_Sales[[#This Row],[Quantity_Converted_To_Integer]],
   Working_Sales[[#This Row],[Total_Amount_Whitespace_Removed]]/Working_Sales[[#This Row],[Price_Per_Unit_Decimal_Separator_Fixed]])</f>
        <v>4</v>
      </c>
      <c r="Z353" t="s">
        <v>371</v>
      </c>
      <c r="AA353" s="2" t="str">
        <f>CLEAN(TRIM(Working_Sales[[#This Row],[Price per Unit]]))</f>
        <v>25.00</v>
      </c>
      <c r="AB353" s="2" t="e">
        <f>INT(
   SUBSTITUTE(Working_Sales[[#This Row],[Price_Per_Unit_Whitespace_Removed]],
   "$",
   ""
   )
)</f>
        <v>#VALUE!</v>
      </c>
      <c r="AC353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353" s="8">
        <f>IFERROR(
   Working_Sales[[#This Row],[Price_Per_Unit_Decimal_Separator_Fixed]],
   Working_Sales[[#This Row],[Total_Amount_Converted_To_Integer]]/Working_Sales[[#This Row],[Quantity_Converted_To_Integer]]
)</f>
        <v>25</v>
      </c>
      <c r="AE353" t="s">
        <v>38</v>
      </c>
      <c r="AF353" s="2" t="str">
        <f>CLEAN(TRIM(Working_Sales[[#This Row],[Total Amount]]))</f>
        <v>100</v>
      </c>
      <c r="AG353" s="2">
        <f>INT(Working_Sales[[#This Row],[Total_Amount_Whitespace_Removed]])</f>
        <v>100</v>
      </c>
      <c r="AH35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354" spans="1:34" x14ac:dyDescent="0.35">
      <c r="A354" t="s">
        <v>824</v>
      </c>
      <c r="B354" s="6" t="str">
        <f>CLEAN(TRIM(Working_Sales[[#This Row],[Transaction ID]]))</f>
        <v>273</v>
      </c>
      <c r="C354" t="s">
        <v>2008</v>
      </c>
      <c r="D354" s="2" t="str">
        <f>CLEAN(TRIM(Working_Sales[[#This Row],[Date]]))</f>
        <v>08-May-2023</v>
      </c>
      <c r="E35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45054</v>
      </c>
      <c r="F35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45054</v>
      </c>
      <c r="G35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45054</v>
      </c>
      <c r="H354" t="s">
        <v>2617</v>
      </c>
      <c r="I354" s="2" t="str">
        <f>CLEAN(TRIM(Working_Sales[[#This Row],[Customer ID]]))</f>
        <v>CUST272</v>
      </c>
      <c r="J35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CUST272</v>
      </c>
      <c r="K35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CUST272</v>
      </c>
      <c r="L354" t="s">
        <v>26</v>
      </c>
      <c r="M354" s="4" t="str">
        <f>CLEAN(TRIM(Working_Sales[[#This Row],[Gender]]))</f>
        <v>Female</v>
      </c>
      <c r="N354" s="4" t="str" cm="1">
        <f t="array" ref="N354">_xlfn.SWITCH(
   Working_Sales[[#This Row],[Gender_Whitespace_Removed]],
   "m", "Male",
   "f", "Female",
   Working_Sales[[#This Row],[Gender_Whitespace_Removed]]
)</f>
        <v>Female</v>
      </c>
      <c r="O354" s="6" t="str">
        <f>PROPER(Working_Sales[[#This Row],[Gender_Abbreviation_Expanded]])</f>
        <v>Female</v>
      </c>
      <c r="P354">
        <v>22</v>
      </c>
      <c r="Q354" s="2" t="str">
        <f>CLEAN(TRIM(Working_Sales[[#This Row],[Age]]))</f>
        <v>22</v>
      </c>
      <c r="R354" s="6">
        <f>INT(SUBSTITUTE(Working_Sales[[#This Row],[Age_Whitespace_Removed]],".",","))</f>
        <v>22</v>
      </c>
      <c r="S354" t="s">
        <v>42</v>
      </c>
      <c r="T354" s="2" t="str">
        <f>CLEAN(TRIM(Working_Sales[[#This Row],[Product Category]]))</f>
        <v>Beauty</v>
      </c>
      <c r="U354" s="6" t="str">
        <f>PROPER(Working_Sales[[#This Row],[Product_Category_Whitespace_Removed]])</f>
        <v>Beauty</v>
      </c>
      <c r="V354" t="s">
        <v>22</v>
      </c>
      <c r="W354" s="2" t="str">
        <f>CLEAN(TRIM(Working_Sales[[#This Row],[Quantity]]))</f>
        <v>1</v>
      </c>
      <c r="X354" s="2">
        <f>INT(Working_Sales[[#This Row],[`]])</f>
        <v>1</v>
      </c>
      <c r="Y354" s="6">
        <f>IFERROR(
   Working_Sales[[#This Row],[Quantity_Converted_To_Integer]],
   Working_Sales[[#This Row],[Total_Amount_Whitespace_Removed]]/Working_Sales[[#This Row],[Price_Per_Unit_Decimal_Separator_Fixed]])</f>
        <v>1</v>
      </c>
      <c r="Z354" t="s">
        <v>96</v>
      </c>
      <c r="AA354" s="2" t="str">
        <f>CLEAN(TRIM(Working_Sales[[#This Row],[Price per Unit]]))</f>
        <v>$50</v>
      </c>
      <c r="AB354" s="2">
        <f>INT(
   SUBSTITUTE(Working_Sales[[#This Row],[Price_Per_Unit_Whitespace_Removed]],
   "$",
   ""
   )
)</f>
        <v>50</v>
      </c>
      <c r="AC354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354" s="8">
        <f>IFERROR(
   Working_Sales[[#This Row],[Price_Per_Unit_Decimal_Separator_Fixed]],
   Working_Sales[[#This Row],[Total_Amount_Converted_To_Integer]]/Working_Sales[[#This Row],[Quantity_Converted_To_Integer]]
)</f>
        <v>50</v>
      </c>
      <c r="AE354" t="s">
        <v>15</v>
      </c>
      <c r="AF354" s="2" t="str">
        <f>CLEAN(TRIM(Working_Sales[[#This Row],[Total Amount]]))</f>
        <v>50</v>
      </c>
      <c r="AG354" s="2">
        <f>INT(Working_Sales[[#This Row],[Total_Amount_Whitespace_Removed]])</f>
        <v>50</v>
      </c>
      <c r="AH35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355" spans="1:34" x14ac:dyDescent="0.35">
      <c r="A355" t="s">
        <v>826</v>
      </c>
      <c r="B355" s="6" t="str">
        <f>CLEAN(TRIM(Working_Sales[[#This Row],[Transaction ID]]))</f>
        <v>983</v>
      </c>
      <c r="C355" t="s">
        <v>570</v>
      </c>
      <c r="D355" s="2" t="str">
        <f>CLEAN(TRIM(Working_Sales[[#This Row],[Date]]))</f>
        <v>2023-11-01</v>
      </c>
      <c r="E35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45231</v>
      </c>
      <c r="F35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45231</v>
      </c>
      <c r="G35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45231</v>
      </c>
      <c r="H355" t="s">
        <v>2618</v>
      </c>
      <c r="I355" s="2" t="str">
        <f>CLEAN(TRIM(Working_Sales[[#This Row],[Customer ID]]))</f>
        <v>CUST273</v>
      </c>
      <c r="J35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5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CUST273</v>
      </c>
      <c r="L355" t="s">
        <v>26</v>
      </c>
      <c r="M355" s="4" t="str">
        <f>CLEAN(TRIM(Working_Sales[[#This Row],[Gender]]))</f>
        <v>Female</v>
      </c>
      <c r="N355" s="4" t="str" cm="1">
        <f t="array" ref="N355">_xlfn.SWITCH(
   Working_Sales[[#This Row],[Gender_Whitespace_Removed]],
   "m", "Male",
   "f", "Female",
   Working_Sales[[#This Row],[Gender_Whitespace_Removed]]
)</f>
        <v>Female</v>
      </c>
      <c r="O355" s="6" t="str">
        <f>PROPER(Working_Sales[[#This Row],[Gender_Abbreviation_Expanded]])</f>
        <v>Female</v>
      </c>
      <c r="P355">
        <v>29</v>
      </c>
      <c r="Q355" s="2" t="str">
        <f>CLEAN(TRIM(Working_Sales[[#This Row],[Age]]))</f>
        <v>29</v>
      </c>
      <c r="R355" s="6">
        <f>INT(SUBSTITUTE(Working_Sales[[#This Row],[Age_Whitespace_Removed]],".",","))</f>
        <v>29</v>
      </c>
      <c r="S355" t="s">
        <v>56</v>
      </c>
      <c r="T355" s="2" t="str">
        <f>CLEAN(TRIM(Working_Sales[[#This Row],[Product Category]]))</f>
        <v>Clothing</v>
      </c>
      <c r="U355" s="6" t="str">
        <f>PROPER(Working_Sales[[#This Row],[Product_Category_Whitespace_Removed]])</f>
        <v>Clothing</v>
      </c>
      <c r="V355" t="s">
        <v>22</v>
      </c>
      <c r="W355" s="2" t="str">
        <f>CLEAN(TRIM(Working_Sales[[#This Row],[Quantity]]))</f>
        <v>1</v>
      </c>
      <c r="X355" s="2">
        <f>INT(Working_Sales[[#This Row],[`]])</f>
        <v>1</v>
      </c>
      <c r="Y355" s="6">
        <f>IFERROR(
   Working_Sales[[#This Row],[Quantity_Converted_To_Integer]],
   Working_Sales[[#This Row],[Total_Amount_Whitespace_Removed]]/Working_Sales[[#This Row],[Price_Per_Unit_Decimal_Separator_Fixed]])</f>
        <v>1</v>
      </c>
      <c r="Z355" t="s">
        <v>23</v>
      </c>
      <c r="AA355" s="2" t="str">
        <f>CLEAN(TRIM(Working_Sales[[#This Row],[Price per Unit]]))</f>
        <v>300</v>
      </c>
      <c r="AB355" s="2">
        <f>INT(
   SUBSTITUTE(Working_Sales[[#This Row],[Price_Per_Unit_Whitespace_Removed]],
   "$",
   ""
   )
)</f>
        <v>300</v>
      </c>
      <c r="AC355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355" s="8">
        <f>IFERROR(
   Working_Sales[[#This Row],[Price_Per_Unit_Decimal_Separator_Fixed]],
   Working_Sales[[#This Row],[Total_Amount_Converted_To_Integer]]/Working_Sales[[#This Row],[Quantity_Converted_To_Integer]]
)</f>
        <v>300</v>
      </c>
      <c r="AE355" t="s">
        <v>23</v>
      </c>
      <c r="AF355" s="2" t="str">
        <f>CLEAN(TRIM(Working_Sales[[#This Row],[Total Amount]]))</f>
        <v>300</v>
      </c>
      <c r="AG355" s="2">
        <f>INT(Working_Sales[[#This Row],[Total_Amount_Whitespace_Removed]])</f>
        <v>300</v>
      </c>
      <c r="AH35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356" spans="1:34" x14ac:dyDescent="0.35">
      <c r="A356" t="s">
        <v>827</v>
      </c>
      <c r="B356" s="6" t="str">
        <f>CLEAN(TRIM(Working_Sales[[#This Row],[Transaction ID]]))</f>
        <v>328</v>
      </c>
      <c r="C356" t="s">
        <v>1441</v>
      </c>
      <c r="D356" s="2" t="str">
        <f>CLEAN(TRIM(Working_Sales[[#This Row],[Date]]))</f>
        <v>22-Mar-2023</v>
      </c>
      <c r="E35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45007</v>
      </c>
      <c r="F35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45007</v>
      </c>
      <c r="G35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45007</v>
      </c>
      <c r="H356" t="s">
        <v>2619</v>
      </c>
      <c r="I356" s="2" t="str">
        <f>CLEAN(TRIM(Working_Sales[[#This Row],[Customer ID]]))</f>
        <v>cust274</v>
      </c>
      <c r="J35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5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CUST274</v>
      </c>
      <c r="L356" t="s">
        <v>34</v>
      </c>
      <c r="M356" s="4" t="str">
        <f>CLEAN(TRIM(Working_Sales[[#This Row],[Gender]]))</f>
        <v>Male</v>
      </c>
      <c r="N356" s="4" t="str" cm="1">
        <f t="array" ref="N356">_xlfn.SWITCH(
   Working_Sales[[#This Row],[Gender_Whitespace_Removed]],
   "m", "Male",
   "f", "Female",
   Working_Sales[[#This Row],[Gender_Whitespace_Removed]]
)</f>
        <v>Male</v>
      </c>
      <c r="O356" s="6" t="str">
        <f>PROPER(Working_Sales[[#This Row],[Gender_Abbreviation_Expanded]])</f>
        <v>Male</v>
      </c>
      <c r="P356">
        <v>39</v>
      </c>
      <c r="Q356" s="2" t="str">
        <f>CLEAN(TRIM(Working_Sales[[#This Row],[Age]]))</f>
        <v>39</v>
      </c>
      <c r="R356" s="6">
        <f>INT(SUBSTITUTE(Working_Sales[[#This Row],[Age_Whitespace_Removed]],".",","))</f>
        <v>39</v>
      </c>
      <c r="S356" t="s">
        <v>36</v>
      </c>
      <c r="T356" s="2" t="str">
        <f>CLEAN(TRIM(Working_Sales[[#This Row],[Product Category]]))</f>
        <v>Beauty</v>
      </c>
      <c r="U356" s="6" t="str">
        <f>PROPER(Working_Sales[[#This Row],[Product_Category_Whitespace_Removed]])</f>
        <v>Beauty</v>
      </c>
      <c r="V356" t="s">
        <v>37</v>
      </c>
      <c r="W356" s="2" t="str">
        <f>CLEAN(TRIM(Working_Sales[[#This Row],[Quantity]]))</f>
        <v>2</v>
      </c>
      <c r="X356" s="2">
        <f>INT(Working_Sales[[#This Row],[`]])</f>
        <v>2</v>
      </c>
      <c r="Y356" s="6">
        <f>IFERROR(
   Working_Sales[[#This Row],[Quantity_Converted_To_Integer]],
   Working_Sales[[#This Row],[Total_Amount_Whitespace_Removed]]/Working_Sales[[#This Row],[Price_Per_Unit_Decimal_Separator_Fixed]])</f>
        <v>2</v>
      </c>
      <c r="Z356" t="s">
        <v>15</v>
      </c>
      <c r="AA356" s="2" t="str">
        <f>CLEAN(TRIM(Working_Sales[[#This Row],[Price per Unit]]))</f>
        <v>50</v>
      </c>
      <c r="AB356" s="2">
        <f>INT(
   SUBSTITUTE(Working_Sales[[#This Row],[Price_Per_Unit_Whitespace_Removed]],
   "$",
   ""
   )
)</f>
        <v>50</v>
      </c>
      <c r="AC356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356" s="8">
        <f>IFERROR(
   Working_Sales[[#This Row],[Price_Per_Unit_Decimal_Separator_Fixed]],
   Working_Sales[[#This Row],[Total_Amount_Converted_To_Integer]]/Working_Sales[[#This Row],[Quantity_Converted_To_Integer]]
)</f>
        <v>50</v>
      </c>
      <c r="AE356" t="s">
        <v>38</v>
      </c>
      <c r="AF356" s="2" t="str">
        <f>CLEAN(TRIM(Working_Sales[[#This Row],[Total Amount]]))</f>
        <v>100</v>
      </c>
      <c r="AG356" s="2">
        <f>INT(Working_Sales[[#This Row],[Total_Amount_Whitespace_Removed]])</f>
        <v>100</v>
      </c>
      <c r="AH35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357" spans="1:34" x14ac:dyDescent="0.35">
      <c r="A357" t="s">
        <v>829</v>
      </c>
      <c r="B357" s="6" t="str">
        <f>CLEAN(TRIM(Working_Sales[[#This Row],[Transaction ID]]))</f>
        <v>116</v>
      </c>
      <c r="C357" t="s">
        <v>762</v>
      </c>
      <c r="D357" s="2" t="str">
        <f>CLEAN(TRIM(Working_Sales[[#This Row],[Date]]))</f>
        <v>08/23/2023</v>
      </c>
      <c r="E357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35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45161</v>
      </c>
      <c r="G35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45161</v>
      </c>
      <c r="H357" t="s">
        <v>2620</v>
      </c>
      <c r="I357" s="2" t="str">
        <f>CLEAN(TRIM(Working_Sales[[#This Row],[Customer ID]]))</f>
        <v>CUST275</v>
      </c>
      <c r="J35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CUST275</v>
      </c>
      <c r="K35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CUST275</v>
      </c>
      <c r="L357" t="s">
        <v>26</v>
      </c>
      <c r="M357" s="4" t="str">
        <f>CLEAN(TRIM(Working_Sales[[#This Row],[Gender]]))</f>
        <v>Female</v>
      </c>
      <c r="N357" s="4" t="str" cm="1">
        <f t="array" ref="N357">_xlfn.SWITCH(
   Working_Sales[[#This Row],[Gender_Whitespace_Removed]],
   "m", "Male",
   "f", "Female",
   Working_Sales[[#This Row],[Gender_Whitespace_Removed]]
)</f>
        <v>Female</v>
      </c>
      <c r="O357" s="6" t="str">
        <f>PROPER(Working_Sales[[#This Row],[Gender_Abbreviation_Expanded]])</f>
        <v>Female</v>
      </c>
      <c r="P357">
        <v>23</v>
      </c>
      <c r="Q357" s="2" t="str">
        <f>CLEAN(TRIM(Working_Sales[[#This Row],[Age]]))</f>
        <v>23</v>
      </c>
      <c r="R357" s="6">
        <f>INT(SUBSTITUTE(Working_Sales[[#This Row],[Age_Whitespace_Removed]],".",","))</f>
        <v>23</v>
      </c>
      <c r="S357" t="s">
        <v>56</v>
      </c>
      <c r="T357" s="2" t="str">
        <f>CLEAN(TRIM(Working_Sales[[#This Row],[Product Category]]))</f>
        <v>Clothing</v>
      </c>
      <c r="U357" s="6" t="str">
        <f>PROPER(Working_Sales[[#This Row],[Product_Category_Whitespace_Removed]])</f>
        <v>Clothing</v>
      </c>
      <c r="V357" t="s">
        <v>22</v>
      </c>
      <c r="W357" s="2" t="str">
        <f>CLEAN(TRIM(Working_Sales[[#This Row],[Quantity]]))</f>
        <v>1</v>
      </c>
      <c r="X357" s="2">
        <f>INT(Working_Sales[[#This Row],[`]])</f>
        <v>1</v>
      </c>
      <c r="Y357" s="6">
        <f>IFERROR(
   Working_Sales[[#This Row],[Quantity_Converted_To_Integer]],
   Working_Sales[[#This Row],[Total_Amount_Whitespace_Removed]]/Working_Sales[[#This Row],[Price_Per_Unit_Decimal_Separator_Fixed]])</f>
        <v>1</v>
      </c>
      <c r="Z357" t="s">
        <v>70</v>
      </c>
      <c r="AA357" s="2" t="str">
        <f>CLEAN(TRIM(Working_Sales[[#This Row],[Price per Unit]]))</f>
        <v>30</v>
      </c>
      <c r="AB357" s="2">
        <f>INT(
   SUBSTITUTE(Working_Sales[[#This Row],[Price_Per_Unit_Whitespace_Removed]],
   "$",
   ""
   )
)</f>
        <v>30</v>
      </c>
      <c r="AC357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357" s="8">
        <f>IFERROR(
   Working_Sales[[#This Row],[Price_Per_Unit_Decimal_Separator_Fixed]],
   Working_Sales[[#This Row],[Total_Amount_Converted_To_Integer]]/Working_Sales[[#This Row],[Quantity_Converted_To_Integer]]
)</f>
        <v>30</v>
      </c>
      <c r="AE357" t="s">
        <v>70</v>
      </c>
      <c r="AF357" s="2" t="str">
        <f>CLEAN(TRIM(Working_Sales[[#This Row],[Total Amount]]))</f>
        <v>30</v>
      </c>
      <c r="AG357" s="2">
        <f>INT(Working_Sales[[#This Row],[Total_Amount_Whitespace_Removed]])</f>
        <v>30</v>
      </c>
      <c r="AH35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358" spans="1:34" x14ac:dyDescent="0.35">
      <c r="A358" t="s">
        <v>830</v>
      </c>
      <c r="B358" s="6" t="str">
        <f>CLEAN(TRIM(Working_Sales[[#This Row],[Transaction ID]]))</f>
        <v>324</v>
      </c>
      <c r="C358" t="s">
        <v>588</v>
      </c>
      <c r="D358" s="2" t="str">
        <f>CLEAN(TRIM(Working_Sales[[#This Row],[Date]]))</f>
        <v>10/27/2023</v>
      </c>
      <c r="E358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35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45226</v>
      </c>
      <c r="G35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45226</v>
      </c>
      <c r="H358" t="s">
        <v>2621</v>
      </c>
      <c r="I358" s="2" t="str">
        <f>CLEAN(TRIM(Working_Sales[[#This Row],[Customer ID]]))</f>
        <v>cust276</v>
      </c>
      <c r="J35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5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CUST276</v>
      </c>
      <c r="L358" t="s">
        <v>26</v>
      </c>
      <c r="M358" s="4" t="str">
        <f>CLEAN(TRIM(Working_Sales[[#This Row],[Gender]]))</f>
        <v>Female</v>
      </c>
      <c r="N358" s="4" t="str" cm="1">
        <f t="array" ref="N358">_xlfn.SWITCH(
   Working_Sales[[#This Row],[Gender_Whitespace_Removed]],
   "m", "Male",
   "f", "Female",
   Working_Sales[[#This Row],[Gender_Whitespace_Removed]]
)</f>
        <v>Female</v>
      </c>
      <c r="O358" s="6" t="str">
        <f>PROPER(Working_Sales[[#This Row],[Gender_Abbreviation_Expanded]])</f>
        <v>Female</v>
      </c>
      <c r="P358">
        <v>52</v>
      </c>
      <c r="Q358" s="2" t="str">
        <f>CLEAN(TRIM(Working_Sales[[#This Row],[Age]]))</f>
        <v>52</v>
      </c>
      <c r="R358" s="6">
        <f>INT(SUBSTITUTE(Working_Sales[[#This Row],[Age_Whitespace_Removed]],".",","))</f>
        <v>52</v>
      </c>
      <c r="S358" t="s">
        <v>109</v>
      </c>
      <c r="T358" s="2" t="str">
        <f>CLEAN(TRIM(Working_Sales[[#This Row],[Product Category]]))</f>
        <v>Electronics</v>
      </c>
      <c r="U358" s="6" t="str">
        <f>PROPER(Working_Sales[[#This Row],[Product_Category_Whitespace_Removed]])</f>
        <v>Electronics</v>
      </c>
      <c r="V358" t="s">
        <v>29</v>
      </c>
      <c r="W358" s="2" t="str">
        <f>CLEAN(TRIM(Working_Sales[[#This Row],[Quantity]]))</f>
        <v>3</v>
      </c>
      <c r="X358" s="2">
        <f>INT(Working_Sales[[#This Row],[`]])</f>
        <v>3</v>
      </c>
      <c r="Y358" s="6">
        <f>IFERROR(
   Working_Sales[[#This Row],[Quantity_Converted_To_Integer]],
   Working_Sales[[#This Row],[Total_Amount_Whitespace_Removed]]/Working_Sales[[#This Row],[Price_Per_Unit_Decimal_Separator_Fixed]])</f>
        <v>3</v>
      </c>
      <c r="Z358" t="s">
        <v>15</v>
      </c>
      <c r="AA358" s="2" t="str">
        <f>CLEAN(TRIM(Working_Sales[[#This Row],[Price per Unit]]))</f>
        <v>50</v>
      </c>
      <c r="AB358" s="2">
        <f>INT(
   SUBSTITUTE(Working_Sales[[#This Row],[Price_Per_Unit_Whitespace_Removed]],
   "$",
   ""
   )
)</f>
        <v>50</v>
      </c>
      <c r="AC358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358" s="8">
        <f>IFERROR(
   Working_Sales[[#This Row],[Price_Per_Unit_Decimal_Separator_Fixed]],
   Working_Sales[[#This Row],[Total_Amount_Converted_To_Integer]]/Working_Sales[[#This Row],[Quantity_Converted_To_Integer]]
)</f>
        <v>50</v>
      </c>
      <c r="AE358" t="s">
        <v>130</v>
      </c>
      <c r="AF358" s="2" t="str">
        <f>CLEAN(TRIM(Working_Sales[[#This Row],[Total Amount]]))</f>
        <v>150</v>
      </c>
      <c r="AG358" s="2">
        <f>INT(Working_Sales[[#This Row],[Total_Amount_Whitespace_Removed]])</f>
        <v>150</v>
      </c>
      <c r="AH35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359" spans="1:34" x14ac:dyDescent="0.35">
      <c r="A359" t="s">
        <v>832</v>
      </c>
      <c r="B359" s="6" t="str">
        <f>CLEAN(TRIM(Working_Sales[[#This Row],[Transaction ID]]))</f>
        <v>978</v>
      </c>
      <c r="C359" t="s">
        <v>1441</v>
      </c>
      <c r="D359" s="2" t="str">
        <f>CLEAN(TRIM(Working_Sales[[#This Row],[Date]]))</f>
        <v>22-Mar-2023</v>
      </c>
      <c r="E35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45007</v>
      </c>
      <c r="F35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45007</v>
      </c>
      <c r="G35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45007</v>
      </c>
      <c r="H359" t="s">
        <v>2622</v>
      </c>
      <c r="I359" s="2" t="str">
        <f>CLEAN(TRIM(Working_Sales[[#This Row],[Customer ID]]))</f>
        <v>Cust277</v>
      </c>
      <c r="J35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5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CUST277</v>
      </c>
      <c r="L359" t="s">
        <v>140</v>
      </c>
      <c r="M359" s="4" t="str">
        <f>CLEAN(TRIM(Working_Sales[[#This Row],[Gender]]))</f>
        <v>FEMALE</v>
      </c>
      <c r="N359" s="4" t="str" cm="1">
        <f t="array" ref="N359">_xlfn.SWITCH(
   Working_Sales[[#This Row],[Gender_Whitespace_Removed]],
   "m", "Male",
   "f", "Female",
   Working_Sales[[#This Row],[Gender_Whitespace_Removed]]
)</f>
        <v>FEMALE</v>
      </c>
      <c r="O359" s="6" t="str">
        <f>PROPER(Working_Sales[[#This Row],[Gender_Abbreviation_Expanded]])</f>
        <v>Female</v>
      </c>
      <c r="P359">
        <v>53</v>
      </c>
      <c r="Q359" s="2" t="str">
        <f>CLEAN(TRIM(Working_Sales[[#This Row],[Age]]))</f>
        <v>53</v>
      </c>
      <c r="R359" s="6">
        <f>INT(SUBSTITUTE(Working_Sales[[#This Row],[Age_Whitespace_Removed]],".",","))</f>
        <v>53</v>
      </c>
      <c r="S359" t="s">
        <v>56</v>
      </c>
      <c r="T359" s="2" t="str">
        <f>CLEAN(TRIM(Working_Sales[[#This Row],[Product Category]]))</f>
        <v>Clothing</v>
      </c>
      <c r="U359" s="6" t="str">
        <f>PROPER(Working_Sales[[#This Row],[Product_Category_Whitespace_Removed]])</f>
        <v>Clothing</v>
      </c>
      <c r="V359" t="s">
        <v>29</v>
      </c>
      <c r="W359" s="2" t="str">
        <f>CLEAN(TRIM(Working_Sales[[#This Row],[Quantity]]))</f>
        <v>3</v>
      </c>
      <c r="X359" s="2">
        <f>INT(Working_Sales[[#This Row],[`]])</f>
        <v>3</v>
      </c>
      <c r="Y359" s="6">
        <f>IFERROR(
   Working_Sales[[#This Row],[Quantity_Converted_To_Integer]],
   Working_Sales[[#This Row],[Total_Amount_Whitespace_Removed]]/Working_Sales[[#This Row],[Price_Per_Unit_Decimal_Separator_Fixed]])</f>
        <v>3</v>
      </c>
      <c r="Z359" t="s">
        <v>15</v>
      </c>
      <c r="AA359" s="2" t="str">
        <f>CLEAN(TRIM(Working_Sales[[#This Row],[Price per Unit]]))</f>
        <v>50</v>
      </c>
      <c r="AB359" s="2">
        <f>INT(
   SUBSTITUTE(Working_Sales[[#This Row],[Price_Per_Unit_Whitespace_Removed]],
   "$",
   ""
   )
)</f>
        <v>50</v>
      </c>
      <c r="AC359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359" s="8">
        <f>IFERROR(
   Working_Sales[[#This Row],[Price_Per_Unit_Decimal_Separator_Fixed]],
   Working_Sales[[#This Row],[Total_Amount_Converted_To_Integer]]/Working_Sales[[#This Row],[Quantity_Converted_To_Integer]]
)</f>
        <v>50</v>
      </c>
      <c r="AE359" t="s">
        <v>130</v>
      </c>
      <c r="AF359" s="2" t="str">
        <f>CLEAN(TRIM(Working_Sales[[#This Row],[Total Amount]]))</f>
        <v>150</v>
      </c>
      <c r="AG359" s="2">
        <f>INT(Working_Sales[[#This Row],[Total_Amount_Whitespace_Removed]])</f>
        <v>150</v>
      </c>
      <c r="AH35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360" spans="1:34" x14ac:dyDescent="0.35">
      <c r="A360" t="s">
        <v>833</v>
      </c>
      <c r="B360" s="6" t="str">
        <f>CLEAN(TRIM(Working_Sales[[#This Row],[Transaction ID]]))</f>
        <v>675</v>
      </c>
      <c r="C360" t="s">
        <v>299</v>
      </c>
      <c r="D360" s="2" t="str">
        <f>CLEAN(TRIM(Working_Sales[[#This Row],[Date]]))</f>
        <v>04-Aug-2023</v>
      </c>
      <c r="E36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45142</v>
      </c>
      <c r="F36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45142</v>
      </c>
      <c r="G36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45142</v>
      </c>
      <c r="H360" t="s">
        <v>2623</v>
      </c>
      <c r="I360" s="2" t="str">
        <f>CLEAN(TRIM(Working_Sales[[#This Row],[Customer ID]]))</f>
        <v>cust278</v>
      </c>
      <c r="J36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6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CUST278</v>
      </c>
      <c r="L360" t="s">
        <v>26</v>
      </c>
      <c r="M360" s="4" t="str">
        <f>CLEAN(TRIM(Working_Sales[[#This Row],[Gender]]))</f>
        <v>Female</v>
      </c>
      <c r="N360" s="4" t="str" cm="1">
        <f t="array" ref="N360">_xlfn.SWITCH(
   Working_Sales[[#This Row],[Gender_Whitespace_Removed]],
   "m", "Male",
   "f", "Female",
   Working_Sales[[#This Row],[Gender_Whitespace_Removed]]
)</f>
        <v>Female</v>
      </c>
      <c r="O360" s="6" t="str">
        <f>PROPER(Working_Sales[[#This Row],[Gender_Abbreviation_Expanded]])</f>
        <v>Female</v>
      </c>
      <c r="P360">
        <v>45</v>
      </c>
      <c r="Q360" s="2" t="str">
        <f>CLEAN(TRIM(Working_Sales[[#This Row],[Age]]))</f>
        <v>45</v>
      </c>
      <c r="R360" s="6">
        <f>INT(SUBSTITUTE(Working_Sales[[#This Row],[Age_Whitespace_Removed]],".",","))</f>
        <v>45</v>
      </c>
      <c r="S360" t="s">
        <v>56</v>
      </c>
      <c r="T360" s="2" t="str">
        <f>CLEAN(TRIM(Working_Sales[[#This Row],[Product Category]]))</f>
        <v>Clothing</v>
      </c>
      <c r="U360" s="6" t="str">
        <f>PROPER(Working_Sales[[#This Row],[Product_Category_Whitespace_Removed]])</f>
        <v>Clothing</v>
      </c>
      <c r="V360" t="s">
        <v>37</v>
      </c>
      <c r="W360" s="2" t="str">
        <f>CLEAN(TRIM(Working_Sales[[#This Row],[Quantity]]))</f>
        <v>2</v>
      </c>
      <c r="X360" s="2">
        <f>INT(Working_Sales[[#This Row],[`]])</f>
        <v>2</v>
      </c>
      <c r="Y360" s="6">
        <f>IFERROR(
   Working_Sales[[#This Row],[Quantity_Converted_To_Integer]],
   Working_Sales[[#This Row],[Total_Amount_Whitespace_Removed]]/Working_Sales[[#This Row],[Price_Per_Unit_Decimal_Separator_Fixed]])</f>
        <v>2</v>
      </c>
      <c r="AA360" s="2" t="str">
        <f>CLEAN(TRIM(Working_Sales[[#This Row],[Price per Unit]]))</f>
        <v/>
      </c>
      <c r="AB360" s="2" t="e">
        <f>INT(
   SUBSTITUTE(Working_Sales[[#This Row],[Price_Per_Unit_Whitespace_Removed]],
   "$",
   ""
   )
)</f>
        <v>#VALUE!</v>
      </c>
      <c r="AC360" s="2" t="e">
        <f>INT(
   IFERROR(
      Working_Sales[[#This Row],[Price_Per_Unit_Dollar_Sign_Removed]],
      SUBSTITUTE(
         Working_Sales[[#This Row],[Price_Per_Unit_Whitespace_Removed]],
        ".",
         ","
      )
   )
)</f>
        <v>#VALUE!</v>
      </c>
      <c r="AD360" s="8">
        <f>IFERROR(
   Working_Sales[[#This Row],[Price_Per_Unit_Decimal_Separator_Fixed]],
   Working_Sales[[#This Row],[Total_Amount_Converted_To_Integer]]/Working_Sales[[#This Row],[Quantity_Converted_To_Integer]]
)</f>
        <v>30</v>
      </c>
      <c r="AE360" t="s">
        <v>71</v>
      </c>
      <c r="AF360" s="2" t="str">
        <f>CLEAN(TRIM(Working_Sales[[#This Row],[Total Amount]]))</f>
        <v>60</v>
      </c>
      <c r="AG360" s="2">
        <f>INT(Working_Sales[[#This Row],[Total_Amount_Whitespace_Removed]])</f>
        <v>60</v>
      </c>
      <c r="AH36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361" spans="1:34" x14ac:dyDescent="0.35">
      <c r="A361" t="s">
        <v>834</v>
      </c>
      <c r="B361" s="6" t="str">
        <f>CLEAN(TRIM(Working_Sales[[#This Row],[Transaction ID]]))</f>
        <v>719</v>
      </c>
      <c r="C361" t="s">
        <v>835</v>
      </c>
      <c r="D361" s="2" t="str">
        <f>CLEAN(TRIM(Working_Sales[[#This Row],[Date]]))</f>
        <v>2023-04-04</v>
      </c>
      <c r="E36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45020</v>
      </c>
      <c r="F36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45020</v>
      </c>
      <c r="G36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45020</v>
      </c>
      <c r="H361" t="s">
        <v>2624</v>
      </c>
      <c r="I361" s="2" t="str">
        <f>CLEAN(TRIM(Working_Sales[[#This Row],[Customer ID]]))</f>
        <v>CUST279</v>
      </c>
      <c r="J36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6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CUST279</v>
      </c>
      <c r="L361" t="s">
        <v>26</v>
      </c>
      <c r="M361" s="4" t="str">
        <f>CLEAN(TRIM(Working_Sales[[#This Row],[Gender]]))</f>
        <v>Female</v>
      </c>
      <c r="N361" s="4" t="str" cm="1">
        <f t="array" ref="N361">_xlfn.SWITCH(
   Working_Sales[[#This Row],[Gender_Whitespace_Removed]],
   "m", "Male",
   "f", "Female",
   Working_Sales[[#This Row],[Gender_Whitespace_Removed]]
)</f>
        <v>Female</v>
      </c>
      <c r="O361" s="6" t="str">
        <f>PROPER(Working_Sales[[#This Row],[Gender_Abbreviation_Expanded]])</f>
        <v>Female</v>
      </c>
      <c r="P361">
        <v>42</v>
      </c>
      <c r="Q361" s="2" t="str">
        <f>CLEAN(TRIM(Working_Sales[[#This Row],[Age]]))</f>
        <v>42</v>
      </c>
      <c r="R361" s="6">
        <f>INT(SUBSTITUTE(Working_Sales[[#This Row],[Age_Whitespace_Removed]],".",","))</f>
        <v>42</v>
      </c>
      <c r="S361" t="s">
        <v>56</v>
      </c>
      <c r="T361" s="2" t="str">
        <f>CLEAN(TRIM(Working_Sales[[#This Row],[Product Category]]))</f>
        <v>Clothing</v>
      </c>
      <c r="U361" s="6" t="str">
        <f>PROPER(Working_Sales[[#This Row],[Product_Category_Whitespace_Removed]])</f>
        <v>Clothing</v>
      </c>
      <c r="V361" t="s">
        <v>37</v>
      </c>
      <c r="W361" s="2" t="str">
        <f>CLEAN(TRIM(Working_Sales[[#This Row],[Quantity]]))</f>
        <v>2</v>
      </c>
      <c r="X361" s="2">
        <f>INT(Working_Sales[[#This Row],[`]])</f>
        <v>2</v>
      </c>
      <c r="Y361" s="6">
        <f>IFERROR(
   Working_Sales[[#This Row],[Quantity_Converted_To_Integer]],
   Working_Sales[[#This Row],[Total_Amount_Whitespace_Removed]]/Working_Sales[[#This Row],[Price_Per_Unit_Decimal_Separator_Fixed]])</f>
        <v>2</v>
      </c>
      <c r="Z361" t="s">
        <v>70</v>
      </c>
      <c r="AA361" s="2" t="str">
        <f>CLEAN(TRIM(Working_Sales[[#This Row],[Price per Unit]]))</f>
        <v>30</v>
      </c>
      <c r="AB361" s="2">
        <f>INT(
   SUBSTITUTE(Working_Sales[[#This Row],[Price_Per_Unit_Whitespace_Removed]],
   "$",
   ""
   )
)</f>
        <v>30</v>
      </c>
      <c r="AC361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361" s="8">
        <f>IFERROR(
   Working_Sales[[#This Row],[Price_Per_Unit_Decimal_Separator_Fixed]],
   Working_Sales[[#This Row],[Total_Amount_Converted_To_Integer]]/Working_Sales[[#This Row],[Quantity_Converted_To_Integer]]
)</f>
        <v>30</v>
      </c>
      <c r="AE361" t="s">
        <v>71</v>
      </c>
      <c r="AF361" s="2" t="str">
        <f>CLEAN(TRIM(Working_Sales[[#This Row],[Total Amount]]))</f>
        <v>60</v>
      </c>
      <c r="AG361" s="2">
        <f>INT(Working_Sales[[#This Row],[Total_Amount_Whitespace_Removed]])</f>
        <v>60</v>
      </c>
      <c r="AH36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362" spans="1:34" x14ac:dyDescent="0.35">
      <c r="A362" t="s">
        <v>836</v>
      </c>
      <c r="B362" s="6" t="str">
        <f>CLEAN(TRIM(Working_Sales[[#This Row],[Transaction ID]]))</f>
        <v>427</v>
      </c>
      <c r="C362" t="s">
        <v>10</v>
      </c>
      <c r="D362" s="2" t="str">
        <f>CLEAN(TRIM(Working_Sales[[#This Row],[Date]]))</f>
        <v>08/15/2023</v>
      </c>
      <c r="E362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36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45153</v>
      </c>
      <c r="G36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45153</v>
      </c>
      <c r="H362" t="s">
        <v>2625</v>
      </c>
      <c r="I362" s="2" t="str">
        <f>CLEAN(TRIM(Working_Sales[[#This Row],[Customer ID]]))</f>
        <v>CUST280</v>
      </c>
      <c r="J36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CUST280</v>
      </c>
      <c r="K36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CUST280</v>
      </c>
      <c r="L362" t="s">
        <v>34</v>
      </c>
      <c r="M362" s="4" t="str">
        <f>CLEAN(TRIM(Working_Sales[[#This Row],[Gender]]))</f>
        <v>Male</v>
      </c>
      <c r="N362" s="4" t="str" cm="1">
        <f t="array" ref="N362">_xlfn.SWITCH(
   Working_Sales[[#This Row],[Gender_Whitespace_Removed]],
   "m", "Male",
   "f", "Female",
   Working_Sales[[#This Row],[Gender_Whitespace_Removed]]
)</f>
        <v>Male</v>
      </c>
      <c r="O362" s="6" t="str">
        <f>PROPER(Working_Sales[[#This Row],[Gender_Abbreviation_Expanded]])</f>
        <v>Male</v>
      </c>
      <c r="P362">
        <v>25</v>
      </c>
      <c r="Q362" s="2" t="str">
        <f>CLEAN(TRIM(Working_Sales[[#This Row],[Age]]))</f>
        <v>25</v>
      </c>
      <c r="R362" s="6">
        <f>INT(SUBSTITUTE(Working_Sales[[#This Row],[Age_Whitespace_Removed]],".",","))</f>
        <v>25</v>
      </c>
      <c r="S362" t="s">
        <v>13</v>
      </c>
      <c r="T362" s="2" t="str">
        <f>CLEAN(TRIM(Working_Sales[[#This Row],[Product Category]]))</f>
        <v>Electronics</v>
      </c>
      <c r="U362" s="6" t="str">
        <f>PROPER(Working_Sales[[#This Row],[Product_Category_Whitespace_Removed]])</f>
        <v>Electronics</v>
      </c>
      <c r="V362" t="s">
        <v>22</v>
      </c>
      <c r="W362" s="2" t="str">
        <f>CLEAN(TRIM(Working_Sales[[#This Row],[Quantity]]))</f>
        <v>1</v>
      </c>
      <c r="X362" s="2">
        <f>INT(Working_Sales[[#This Row],[`]])</f>
        <v>1</v>
      </c>
      <c r="Y362" s="6">
        <f>IFERROR(
   Working_Sales[[#This Row],[Quantity_Converted_To_Integer]],
   Working_Sales[[#This Row],[Total_Amount_Whitespace_Removed]]/Working_Sales[[#This Row],[Price_Per_Unit_Decimal_Separator_Fixed]])</f>
        <v>1</v>
      </c>
      <c r="Z362" t="s">
        <v>30</v>
      </c>
      <c r="AA362" s="2" t="str">
        <f>CLEAN(TRIM(Working_Sales[[#This Row],[Price per Unit]]))</f>
        <v>25</v>
      </c>
      <c r="AB362" s="2">
        <f>INT(
   SUBSTITUTE(Working_Sales[[#This Row],[Price_Per_Unit_Whitespace_Removed]],
   "$",
   ""
   )
)</f>
        <v>25</v>
      </c>
      <c r="AC362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362" s="8">
        <f>IFERROR(
   Working_Sales[[#This Row],[Price_Per_Unit_Decimal_Separator_Fixed]],
   Working_Sales[[#This Row],[Total_Amount_Converted_To_Integer]]/Working_Sales[[#This Row],[Quantity_Converted_To_Integer]]
)</f>
        <v>25</v>
      </c>
      <c r="AE362" t="s">
        <v>30</v>
      </c>
      <c r="AF362" s="2" t="str">
        <f>CLEAN(TRIM(Working_Sales[[#This Row],[Total Amount]]))</f>
        <v>25</v>
      </c>
      <c r="AG362" s="2">
        <f>INT(Working_Sales[[#This Row],[Total_Amount_Whitespace_Removed]])</f>
        <v>25</v>
      </c>
      <c r="AH36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363" spans="1:34" x14ac:dyDescent="0.35">
      <c r="A363" t="s">
        <v>838</v>
      </c>
      <c r="B363" s="6" t="str">
        <f>CLEAN(TRIM(Working_Sales[[#This Row],[Transaction ID]]))</f>
        <v>519</v>
      </c>
      <c r="C363" t="s">
        <v>230</v>
      </c>
      <c r="D363" s="2" t="str">
        <f>CLEAN(TRIM(Working_Sales[[#This Row],[Date]]))</f>
        <v>2023-01-23</v>
      </c>
      <c r="E36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44949</v>
      </c>
      <c r="F36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44949</v>
      </c>
      <c r="G36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44949</v>
      </c>
      <c r="H363" t="s">
        <v>2626</v>
      </c>
      <c r="I363" s="2" t="str">
        <f>CLEAN(TRIM(Working_Sales[[#This Row],[Customer ID]]))</f>
        <v>CUST073</v>
      </c>
      <c r="J36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6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CUST073</v>
      </c>
      <c r="L363" t="s">
        <v>26</v>
      </c>
      <c r="M363" s="4" t="str">
        <f>CLEAN(TRIM(Working_Sales[[#This Row],[Gender]]))</f>
        <v>Female</v>
      </c>
      <c r="N363" s="4" t="str" cm="1">
        <f t="array" ref="N363">_xlfn.SWITCH(
   Working_Sales[[#This Row],[Gender_Whitespace_Removed]],
   "m", "Male",
   "f", "Female",
   Working_Sales[[#This Row],[Gender_Whitespace_Removed]]
)</f>
        <v>Female</v>
      </c>
      <c r="O363" s="6" t="str">
        <f>PROPER(Working_Sales[[#This Row],[Gender_Abbreviation_Expanded]])</f>
        <v>Female</v>
      </c>
      <c r="P363">
        <v>36</v>
      </c>
      <c r="Q363" s="2" t="str">
        <f>CLEAN(TRIM(Working_Sales[[#This Row],[Age]]))</f>
        <v>36</v>
      </c>
      <c r="R363" s="6">
        <f>INT(SUBSTITUTE(Working_Sales[[#This Row],[Age_Whitespace_Removed]],".",","))</f>
        <v>36</v>
      </c>
      <c r="S363" t="s">
        <v>13</v>
      </c>
      <c r="T363" s="2" t="str">
        <f>CLEAN(TRIM(Working_Sales[[#This Row],[Product Category]]))</f>
        <v>Electronics</v>
      </c>
      <c r="U363" s="6" t="str">
        <f>PROPER(Working_Sales[[#This Row],[Product_Category_Whitespace_Removed]])</f>
        <v>Electronics</v>
      </c>
      <c r="V363" t="s">
        <v>14</v>
      </c>
      <c r="W363" s="2" t="str">
        <f>CLEAN(TRIM(Working_Sales[[#This Row],[Quantity]]))</f>
        <v>4</v>
      </c>
      <c r="X363" s="2">
        <f>INT(Working_Sales[[#This Row],[`]])</f>
        <v>4</v>
      </c>
      <c r="Y363" s="6">
        <f>IFERROR(
   Working_Sales[[#This Row],[Quantity_Converted_To_Integer]],
   Working_Sales[[#This Row],[Total_Amount_Whitespace_Removed]]/Working_Sales[[#This Row],[Price_Per_Unit_Decimal_Separator_Fixed]])</f>
        <v>4</v>
      </c>
      <c r="Z363" t="s">
        <v>100</v>
      </c>
      <c r="AA363" s="2" t="str">
        <f>CLEAN(TRIM(Working_Sales[[#This Row],[Price per Unit]]))</f>
        <v>30</v>
      </c>
      <c r="AB363" s="2">
        <f>INT(
   SUBSTITUTE(Working_Sales[[#This Row],[Price_Per_Unit_Whitespace_Removed]],
   "$",
   ""
   )
)</f>
        <v>30</v>
      </c>
      <c r="AC363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363" s="8">
        <f>IFERROR(
   Working_Sales[[#This Row],[Price_Per_Unit_Decimal_Separator_Fixed]],
   Working_Sales[[#This Row],[Total_Amount_Converted_To_Integer]]/Working_Sales[[#This Row],[Quantity_Converted_To_Integer]]
)</f>
        <v>30</v>
      </c>
      <c r="AE363" t="s">
        <v>44</v>
      </c>
      <c r="AF363" s="2" t="str">
        <f>CLEAN(TRIM(Working_Sales[[#This Row],[Total Amount]]))</f>
        <v>120</v>
      </c>
      <c r="AG363" s="2">
        <f>INT(Working_Sales[[#This Row],[Total_Amount_Whitespace_Removed]])</f>
        <v>120</v>
      </c>
      <c r="AH36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364" spans="1:34" x14ac:dyDescent="0.35">
      <c r="A364" t="s">
        <v>839</v>
      </c>
      <c r="B364" s="6" t="str">
        <f>CLEAN(TRIM(Working_Sales[[#This Row],[Transaction ID]]))</f>
        <v>786</v>
      </c>
      <c r="C364" t="s">
        <v>2086</v>
      </c>
      <c r="D364" s="2" t="str">
        <f>CLEAN(TRIM(Working_Sales[[#This Row],[Date]]))</f>
        <v>10/17/2023</v>
      </c>
      <c r="E364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36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45216</v>
      </c>
      <c r="G36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45216</v>
      </c>
      <c r="H364" t="s">
        <v>2627</v>
      </c>
      <c r="I364" s="2" t="str">
        <f>CLEAN(TRIM(Working_Sales[[#This Row],[Customer ID]]))</f>
        <v>Cust281</v>
      </c>
      <c r="J36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6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CUST281</v>
      </c>
      <c r="L364" t="s">
        <v>34</v>
      </c>
      <c r="M364" s="4" t="str">
        <f>CLEAN(TRIM(Working_Sales[[#This Row],[Gender]]))</f>
        <v>Male</v>
      </c>
      <c r="N364" s="4" t="str" cm="1">
        <f t="array" ref="N364">_xlfn.SWITCH(
   Working_Sales[[#This Row],[Gender_Whitespace_Removed]],
   "m", "Male",
   "f", "Female",
   Working_Sales[[#This Row],[Gender_Whitespace_Removed]]
)</f>
        <v>Male</v>
      </c>
      <c r="O364" s="6" t="str">
        <f>PROPER(Working_Sales[[#This Row],[Gender_Abbreviation_Expanded]])</f>
        <v>Male</v>
      </c>
      <c r="P364">
        <v>48</v>
      </c>
      <c r="Q364" s="2" t="str">
        <f>CLEAN(TRIM(Working_Sales[[#This Row],[Age]]))</f>
        <v>48</v>
      </c>
      <c r="R364" s="6">
        <f>INT(SUBSTITUTE(Working_Sales[[#This Row],[Age_Whitespace_Removed]],".",","))</f>
        <v>48</v>
      </c>
      <c r="S364" t="s">
        <v>56</v>
      </c>
      <c r="T364" s="2" t="str">
        <f>CLEAN(TRIM(Working_Sales[[#This Row],[Product Category]]))</f>
        <v>Clothing</v>
      </c>
      <c r="U364" s="6" t="str">
        <f>PROPER(Working_Sales[[#This Row],[Product_Category_Whitespace_Removed]])</f>
        <v>Clothing</v>
      </c>
      <c r="V364" t="s">
        <v>14</v>
      </c>
      <c r="W364" s="2" t="str">
        <f>CLEAN(TRIM(Working_Sales[[#This Row],[Quantity]]))</f>
        <v>4</v>
      </c>
      <c r="X364" s="2">
        <f>INT(Working_Sales[[#This Row],[`]])</f>
        <v>4</v>
      </c>
      <c r="Y364" s="6">
        <f>IFERROR(
   Working_Sales[[#This Row],[Quantity_Converted_To_Integer]],
   Working_Sales[[#This Row],[Total_Amount_Whitespace_Removed]]/Working_Sales[[#This Row],[Price_Per_Unit_Decimal_Separator_Fixed]])</f>
        <v>4</v>
      </c>
      <c r="Z364" t="s">
        <v>30</v>
      </c>
      <c r="AA364" s="2" t="str">
        <f>CLEAN(TRIM(Working_Sales[[#This Row],[Price per Unit]]))</f>
        <v>25</v>
      </c>
      <c r="AB364" s="2">
        <f>INT(
   SUBSTITUTE(Working_Sales[[#This Row],[Price_Per_Unit_Whitespace_Removed]],
   "$",
   ""
   )
)</f>
        <v>25</v>
      </c>
      <c r="AC364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364" s="8">
        <f>IFERROR(
   Working_Sales[[#This Row],[Price_Per_Unit_Decimal_Separator_Fixed]],
   Working_Sales[[#This Row],[Total_Amount_Converted_To_Integer]]/Working_Sales[[#This Row],[Quantity_Converted_To_Integer]]
)</f>
        <v>25</v>
      </c>
      <c r="AE364" t="s">
        <v>38</v>
      </c>
      <c r="AF364" s="2" t="str">
        <f>CLEAN(TRIM(Working_Sales[[#This Row],[Total Amount]]))</f>
        <v>100</v>
      </c>
      <c r="AG364" s="2">
        <f>INT(Working_Sales[[#This Row],[Total_Amount_Whitespace_Removed]])</f>
        <v>100</v>
      </c>
      <c r="AH36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365" spans="1:34" x14ac:dyDescent="0.35">
      <c r="A365" t="s">
        <v>840</v>
      </c>
      <c r="B365" s="6" t="str">
        <f>CLEAN(TRIM(Working_Sales[[#This Row],[Transaction ID]]))</f>
        <v>453</v>
      </c>
      <c r="C365" t="s">
        <v>2087</v>
      </c>
      <c r="D365" s="2" t="str">
        <f>CLEAN(TRIM(Working_Sales[[#This Row],[Date]]))</f>
        <v>08-Dec-2023</v>
      </c>
      <c r="E36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45268</v>
      </c>
      <c r="F36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45268</v>
      </c>
      <c r="G36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45268</v>
      </c>
      <c r="H365" t="s">
        <v>2628</v>
      </c>
      <c r="I365" s="2" t="str">
        <f>CLEAN(TRIM(Working_Sales[[#This Row],[Customer ID]]))</f>
        <v>CUST282</v>
      </c>
      <c r="J36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CUST282</v>
      </c>
      <c r="K36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CUST282</v>
      </c>
      <c r="L365" t="s">
        <v>46</v>
      </c>
      <c r="M365" s="4" t="str">
        <f>CLEAN(TRIM(Working_Sales[[#This Row],[Gender]]))</f>
        <v>F</v>
      </c>
      <c r="N365" s="4" t="str" cm="1">
        <f t="array" ref="N365">_xlfn.SWITCH(
   Working_Sales[[#This Row],[Gender_Whitespace_Removed]],
   "m", "Male",
   "f", "Female",
   Working_Sales[[#This Row],[Gender_Whitespace_Removed]]
)</f>
        <v>Female</v>
      </c>
      <c r="O365" s="6" t="str">
        <f>PROPER(Working_Sales[[#This Row],[Gender_Abbreviation_Expanded]])</f>
        <v>Female</v>
      </c>
      <c r="P365">
        <v>26</v>
      </c>
      <c r="Q365" s="2" t="str">
        <f>CLEAN(TRIM(Working_Sales[[#This Row],[Age]]))</f>
        <v>26</v>
      </c>
      <c r="R365" s="6">
        <f>INT(SUBSTITUTE(Working_Sales[[#This Row],[Age_Whitespace_Removed]],".",","))</f>
        <v>26</v>
      </c>
      <c r="S365" t="s">
        <v>28</v>
      </c>
      <c r="T365" s="2" t="str">
        <f>CLEAN(TRIM(Working_Sales[[#This Row],[Product Category]]))</f>
        <v>clothing</v>
      </c>
      <c r="U365" s="6" t="str">
        <f>PROPER(Working_Sales[[#This Row],[Product_Category_Whitespace_Removed]])</f>
        <v>Clothing</v>
      </c>
      <c r="V365" t="s">
        <v>37</v>
      </c>
      <c r="W365" s="2" t="str">
        <f>CLEAN(TRIM(Working_Sales[[#This Row],[Quantity]]))</f>
        <v>2</v>
      </c>
      <c r="X365" s="2">
        <f>INT(Working_Sales[[#This Row],[`]])</f>
        <v>2</v>
      </c>
      <c r="Y365" s="6">
        <f>IFERROR(
   Working_Sales[[#This Row],[Quantity_Converted_To_Integer]],
   Working_Sales[[#This Row],[Total_Amount_Whitespace_Removed]]/Working_Sales[[#This Row],[Price_Per_Unit_Decimal_Separator_Fixed]])</f>
        <v>2</v>
      </c>
      <c r="Z365" t="s">
        <v>57</v>
      </c>
      <c r="AA365" s="2" t="str">
        <f>CLEAN(TRIM(Working_Sales[[#This Row],[Price per Unit]]))</f>
        <v>500</v>
      </c>
      <c r="AB365" s="2">
        <f>INT(
   SUBSTITUTE(Working_Sales[[#This Row],[Price_Per_Unit_Whitespace_Removed]],
   "$",
   ""
   )
)</f>
        <v>500</v>
      </c>
      <c r="AC365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365" s="8">
        <f>IFERROR(
   Working_Sales[[#This Row],[Price_Per_Unit_Decimal_Separator_Fixed]],
   Working_Sales[[#This Row],[Total_Amount_Converted_To_Integer]]/Working_Sales[[#This Row],[Quantity_Converted_To_Integer]]
)</f>
        <v>500</v>
      </c>
      <c r="AE365" t="s">
        <v>163</v>
      </c>
      <c r="AF365" s="2" t="str">
        <f>CLEAN(TRIM(Working_Sales[[#This Row],[Total Amount]]))</f>
        <v>1000</v>
      </c>
      <c r="AG365" s="2">
        <f>INT(Working_Sales[[#This Row],[Total_Amount_Whitespace_Removed]])</f>
        <v>1000</v>
      </c>
      <c r="AH36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366" spans="1:34" x14ac:dyDescent="0.35">
      <c r="A366" t="s">
        <v>842</v>
      </c>
      <c r="B366" s="6" t="str">
        <f>CLEAN(TRIM(Working_Sales[[#This Row],[Transaction ID]]))</f>
        <v>466</v>
      </c>
      <c r="C366" t="s">
        <v>843</v>
      </c>
      <c r="D366" s="2" t="str">
        <f>CLEAN(TRIM(Working_Sales[[#This Row],[Date]]))</f>
        <v>2023-06-20</v>
      </c>
      <c r="E36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45097</v>
      </c>
      <c r="F36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45097</v>
      </c>
      <c r="G36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45097</v>
      </c>
      <c r="H366" t="s">
        <v>2629</v>
      </c>
      <c r="I366" s="2" t="str">
        <f>CLEAN(TRIM(Working_Sales[[#This Row],[Customer ID]]))</f>
        <v>Cust283</v>
      </c>
      <c r="J36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6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CUST283</v>
      </c>
      <c r="L366" t="s">
        <v>34</v>
      </c>
      <c r="M366" s="4" t="str">
        <f>CLEAN(TRIM(Working_Sales[[#This Row],[Gender]]))</f>
        <v>Male</v>
      </c>
      <c r="N366" s="4" t="str" cm="1">
        <f t="array" ref="N366">_xlfn.SWITCH(
   Working_Sales[[#This Row],[Gender_Whitespace_Removed]],
   "m", "Male",
   "f", "Female",
   Working_Sales[[#This Row],[Gender_Whitespace_Removed]]
)</f>
        <v>Male</v>
      </c>
      <c r="O366" s="6" t="str">
        <f>PROPER(Working_Sales[[#This Row],[Gender_Abbreviation_Expanded]])</f>
        <v>Male</v>
      </c>
      <c r="P366" t="s">
        <v>845</v>
      </c>
      <c r="Q366" s="2" t="str">
        <f>CLEAN(TRIM(Working_Sales[[#This Row],[Age]]))</f>
        <v>63.0</v>
      </c>
      <c r="R366" s="6">
        <f>INT(SUBSTITUTE(Working_Sales[[#This Row],[Age_Whitespace_Removed]],".",","))</f>
        <v>63</v>
      </c>
      <c r="S366" t="s">
        <v>13</v>
      </c>
      <c r="T366" s="2" t="str">
        <f>CLEAN(TRIM(Working_Sales[[#This Row],[Product Category]]))</f>
        <v>Electronics</v>
      </c>
      <c r="U366" s="6" t="str">
        <f>PROPER(Working_Sales[[#This Row],[Product_Category_Whitespace_Removed]])</f>
        <v>Electronics</v>
      </c>
      <c r="V366" t="s">
        <v>14</v>
      </c>
      <c r="W366" s="2" t="str">
        <f>CLEAN(TRIM(Working_Sales[[#This Row],[Quantity]]))</f>
        <v>4</v>
      </c>
      <c r="X366" s="2">
        <f>INT(Working_Sales[[#This Row],[`]])</f>
        <v>4</v>
      </c>
      <c r="Y366" s="6">
        <f>IFERROR(
   Working_Sales[[#This Row],[Quantity_Converted_To_Integer]],
   Working_Sales[[#This Row],[Total_Amount_Whitespace_Removed]]/Working_Sales[[#This Row],[Price_Per_Unit_Decimal_Separator_Fixed]])</f>
        <v>4</v>
      </c>
      <c r="Z366" t="s">
        <v>171</v>
      </c>
      <c r="AA366" s="2" t="str">
        <f>CLEAN(TRIM(Working_Sales[[#This Row],[Price per Unit]]))</f>
        <v>25</v>
      </c>
      <c r="AB366" s="2">
        <f>INT(
   SUBSTITUTE(Working_Sales[[#This Row],[Price_Per_Unit_Whitespace_Removed]],
   "$",
   ""
   )
)</f>
        <v>25</v>
      </c>
      <c r="AC366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366" s="8">
        <f>IFERROR(
   Working_Sales[[#This Row],[Price_Per_Unit_Decimal_Separator_Fixed]],
   Working_Sales[[#This Row],[Total_Amount_Converted_To_Integer]]/Working_Sales[[#This Row],[Quantity_Converted_To_Integer]]
)</f>
        <v>25</v>
      </c>
      <c r="AE366" t="s">
        <v>38</v>
      </c>
      <c r="AF366" s="2" t="str">
        <f>CLEAN(TRIM(Working_Sales[[#This Row],[Total Amount]]))</f>
        <v>100</v>
      </c>
      <c r="AG366" s="2">
        <f>INT(Working_Sales[[#This Row],[Total_Amount_Whitespace_Removed]])</f>
        <v>100</v>
      </c>
      <c r="AH36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367" spans="1:34" x14ac:dyDescent="0.35">
      <c r="A367" t="s">
        <v>846</v>
      </c>
      <c r="B367" s="6" t="str">
        <f>CLEAN(TRIM(Working_Sales[[#This Row],[Transaction ID]]))</f>
        <v>571</v>
      </c>
      <c r="C367" t="s">
        <v>1318</v>
      </c>
      <c r="D367" s="2" t="str">
        <f>CLEAN(TRIM(Working_Sales[[#This Row],[Date]]))</f>
        <v>12-Dec-2023</v>
      </c>
      <c r="E36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45272</v>
      </c>
      <c r="F36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45272</v>
      </c>
      <c r="G36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45272</v>
      </c>
      <c r="H367" t="s">
        <v>2630</v>
      </c>
      <c r="I367" s="2" t="str">
        <f>CLEAN(TRIM(Working_Sales[[#This Row],[Customer ID]]))</f>
        <v>CUST-284</v>
      </c>
      <c r="J36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6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CUST284</v>
      </c>
      <c r="L367" t="s">
        <v>26</v>
      </c>
      <c r="M367" s="4" t="str">
        <f>CLEAN(TRIM(Working_Sales[[#This Row],[Gender]]))</f>
        <v>Female</v>
      </c>
      <c r="N367" s="4" t="str" cm="1">
        <f t="array" ref="N367">_xlfn.SWITCH(
   Working_Sales[[#This Row],[Gender_Whitespace_Removed]],
   "m", "Male",
   "f", "Female",
   Working_Sales[[#This Row],[Gender_Whitespace_Removed]]
)</f>
        <v>Female</v>
      </c>
      <c r="O367" s="6" t="str">
        <f>PROPER(Working_Sales[[#This Row],[Gender_Abbreviation_Expanded]])</f>
        <v>Female</v>
      </c>
      <c r="P367">
        <v>41</v>
      </c>
      <c r="Q367" s="2" t="str">
        <f>CLEAN(TRIM(Working_Sales[[#This Row],[Age]]))</f>
        <v>41</v>
      </c>
      <c r="R367" s="6">
        <f>INT(SUBSTITUTE(Working_Sales[[#This Row],[Age_Whitespace_Removed]],".",","))</f>
        <v>41</v>
      </c>
      <c r="S367" t="s">
        <v>13</v>
      </c>
      <c r="T367" s="2" t="str">
        <f>CLEAN(TRIM(Working_Sales[[#This Row],[Product Category]]))</f>
        <v>Electronics</v>
      </c>
      <c r="U367" s="6" t="str">
        <f>PROPER(Working_Sales[[#This Row],[Product_Category_Whitespace_Removed]])</f>
        <v>Electronics</v>
      </c>
      <c r="V367" t="s">
        <v>22</v>
      </c>
      <c r="W367" s="2" t="str">
        <f>CLEAN(TRIM(Working_Sales[[#This Row],[Quantity]]))</f>
        <v>1</v>
      </c>
      <c r="X367" s="2">
        <f>INT(Working_Sales[[#This Row],[`]])</f>
        <v>1</v>
      </c>
      <c r="Y367" s="6">
        <f>IFERROR(
   Working_Sales[[#This Row],[Quantity_Converted_To_Integer]],
   Working_Sales[[#This Row],[Total_Amount_Whitespace_Removed]]/Working_Sales[[#This Row],[Price_Per_Unit_Decimal_Separator_Fixed]])</f>
        <v>1</v>
      </c>
      <c r="Z367" t="s">
        <v>15</v>
      </c>
      <c r="AA367" s="2" t="str">
        <f>CLEAN(TRIM(Working_Sales[[#This Row],[Price per Unit]]))</f>
        <v>50</v>
      </c>
      <c r="AB367" s="2">
        <f>INT(
   SUBSTITUTE(Working_Sales[[#This Row],[Price_Per_Unit_Whitespace_Removed]],
   "$",
   ""
   )
)</f>
        <v>50</v>
      </c>
      <c r="AC367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367" s="8">
        <f>IFERROR(
   Working_Sales[[#This Row],[Price_Per_Unit_Decimal_Separator_Fixed]],
   Working_Sales[[#This Row],[Total_Amount_Converted_To_Integer]]/Working_Sales[[#This Row],[Quantity_Converted_To_Integer]]
)</f>
        <v>50</v>
      </c>
      <c r="AE367" t="s">
        <v>15</v>
      </c>
      <c r="AF367" s="2" t="str">
        <f>CLEAN(TRIM(Working_Sales[[#This Row],[Total Amount]]))</f>
        <v>50</v>
      </c>
      <c r="AG367" s="2">
        <f>INT(Working_Sales[[#This Row],[Total_Amount_Whitespace_Removed]])</f>
        <v>50</v>
      </c>
      <c r="AH36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368" spans="1:34" x14ac:dyDescent="0.35">
      <c r="A368" t="s">
        <v>847</v>
      </c>
      <c r="B368" s="6" t="str">
        <f>CLEAN(TRIM(Working_Sales[[#This Row],[Transaction ID]]))</f>
        <v>460</v>
      </c>
      <c r="C368" t="s">
        <v>848</v>
      </c>
      <c r="D368" s="2" t="str">
        <f>CLEAN(TRIM(Working_Sales[[#This Row],[Date]]))</f>
        <v>2023-05-02</v>
      </c>
      <c r="E36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45048</v>
      </c>
      <c r="F36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45048</v>
      </c>
      <c r="G36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45048</v>
      </c>
      <c r="H368" t="s">
        <v>2631</v>
      </c>
      <c r="I368" s="2" t="str">
        <f>CLEAN(TRIM(Working_Sales[[#This Row],[Customer ID]]))</f>
        <v>Cust285</v>
      </c>
      <c r="J36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6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CUST285</v>
      </c>
      <c r="L368" t="s">
        <v>34</v>
      </c>
      <c r="M368" s="4" t="str">
        <f>CLEAN(TRIM(Working_Sales[[#This Row],[Gender]]))</f>
        <v>Male</v>
      </c>
      <c r="N368" s="4" t="str" cm="1">
        <f t="array" ref="N368">_xlfn.SWITCH(
   Working_Sales[[#This Row],[Gender_Whitespace_Removed]],
   "m", "Male",
   "f", "Female",
   Working_Sales[[#This Row],[Gender_Whitespace_Removed]]
)</f>
        <v>Male</v>
      </c>
      <c r="O368" s="6" t="str">
        <f>PROPER(Working_Sales[[#This Row],[Gender_Abbreviation_Expanded]])</f>
        <v>Male</v>
      </c>
      <c r="P368" t="s">
        <v>120</v>
      </c>
      <c r="Q368" s="2" t="str">
        <f>CLEAN(TRIM(Working_Sales[[#This Row],[Age]]))</f>
        <v>40.0</v>
      </c>
      <c r="R368" s="6">
        <f>INT(SUBSTITUTE(Working_Sales[[#This Row],[Age_Whitespace_Removed]],".",","))</f>
        <v>40</v>
      </c>
      <c r="S368" t="s">
        <v>69</v>
      </c>
      <c r="T368" s="2" t="str">
        <f>CLEAN(TRIM(Working_Sales[[#This Row],[Product Category]]))</f>
        <v>BEAUTY</v>
      </c>
      <c r="U368" s="6" t="str">
        <f>PROPER(Working_Sales[[#This Row],[Product_Category_Whitespace_Removed]])</f>
        <v>Beauty</v>
      </c>
      <c r="V368" t="s">
        <v>22</v>
      </c>
      <c r="W368" s="2" t="str">
        <f>CLEAN(TRIM(Working_Sales[[#This Row],[Quantity]]))</f>
        <v>1</v>
      </c>
      <c r="X368" s="2">
        <f>INT(Working_Sales[[#This Row],[`]])</f>
        <v>1</v>
      </c>
      <c r="Y368" s="6">
        <f>IFERROR(
   Working_Sales[[#This Row],[Quantity_Converted_To_Integer]],
   Working_Sales[[#This Row],[Total_Amount_Whitespace_Removed]]/Working_Sales[[#This Row],[Price_Per_Unit_Decimal_Separator_Fixed]])</f>
        <v>1</v>
      </c>
      <c r="Z368" t="s">
        <v>15</v>
      </c>
      <c r="AA368" s="2" t="str">
        <f>CLEAN(TRIM(Working_Sales[[#This Row],[Price per Unit]]))</f>
        <v>50</v>
      </c>
      <c r="AB368" s="2">
        <f>INT(
   SUBSTITUTE(Working_Sales[[#This Row],[Price_Per_Unit_Whitespace_Removed]],
   "$",
   ""
   )
)</f>
        <v>50</v>
      </c>
      <c r="AC368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368" s="8">
        <f>IFERROR(
   Working_Sales[[#This Row],[Price_Per_Unit_Decimal_Separator_Fixed]],
   Working_Sales[[#This Row],[Total_Amount_Converted_To_Integer]]/Working_Sales[[#This Row],[Quantity_Converted_To_Integer]]
)</f>
        <v>50</v>
      </c>
      <c r="AE368" t="s">
        <v>15</v>
      </c>
      <c r="AF368" s="2" t="str">
        <f>CLEAN(TRIM(Working_Sales[[#This Row],[Total Amount]]))</f>
        <v>50</v>
      </c>
      <c r="AG368" s="2">
        <f>INT(Working_Sales[[#This Row],[Total_Amount_Whitespace_Removed]])</f>
        <v>50</v>
      </c>
      <c r="AH36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369" spans="1:34" x14ac:dyDescent="0.35">
      <c r="A369" t="s">
        <v>850</v>
      </c>
      <c r="B369" s="6" t="str">
        <f>CLEAN(TRIM(Working_Sales[[#This Row],[Transaction ID]]))</f>
        <v>620</v>
      </c>
      <c r="C369" t="s">
        <v>851</v>
      </c>
      <c r="D369" s="2" t="str">
        <f>CLEAN(TRIM(Working_Sales[[#This Row],[Date]]))</f>
        <v>2023-05-08</v>
      </c>
      <c r="E36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45054</v>
      </c>
      <c r="F36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45054</v>
      </c>
      <c r="G36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45054</v>
      </c>
      <c r="H369" t="s">
        <v>2632</v>
      </c>
      <c r="I369" s="2" t="str">
        <f>CLEAN(TRIM(Working_Sales[[#This Row],[Customer ID]]))</f>
        <v>CUST286</v>
      </c>
      <c r="J36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CUST286</v>
      </c>
      <c r="K36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CUST286</v>
      </c>
      <c r="L369" t="s">
        <v>34</v>
      </c>
      <c r="M369" s="4" t="str">
        <f>CLEAN(TRIM(Working_Sales[[#This Row],[Gender]]))</f>
        <v>Male</v>
      </c>
      <c r="N369" s="4" t="str" cm="1">
        <f t="array" ref="N369">_xlfn.SWITCH(
   Working_Sales[[#This Row],[Gender_Whitespace_Removed]],
   "m", "Male",
   "f", "Female",
   Working_Sales[[#This Row],[Gender_Whitespace_Removed]]
)</f>
        <v>Male</v>
      </c>
      <c r="O369" s="6" t="str">
        <f>PROPER(Working_Sales[[#This Row],[Gender_Abbreviation_Expanded]])</f>
        <v>Male</v>
      </c>
      <c r="P369">
        <v>63</v>
      </c>
      <c r="Q369" s="2" t="str">
        <f>CLEAN(TRIM(Working_Sales[[#This Row],[Age]]))</f>
        <v>63</v>
      </c>
      <c r="R369" s="6">
        <f>INT(SUBSTITUTE(Working_Sales[[#This Row],[Age_Whitespace_Removed]],".",","))</f>
        <v>63</v>
      </c>
      <c r="S369" t="s">
        <v>13</v>
      </c>
      <c r="T369" s="2" t="str">
        <f>CLEAN(TRIM(Working_Sales[[#This Row],[Product Category]]))</f>
        <v>Electronics</v>
      </c>
      <c r="U369" s="6" t="str">
        <f>PROPER(Working_Sales[[#This Row],[Product_Category_Whitespace_Removed]])</f>
        <v>Electronics</v>
      </c>
      <c r="V369" t="s">
        <v>29</v>
      </c>
      <c r="W369" s="2" t="str">
        <f>CLEAN(TRIM(Working_Sales[[#This Row],[Quantity]]))</f>
        <v>3</v>
      </c>
      <c r="X369" s="2">
        <f>INT(Working_Sales[[#This Row],[`]])</f>
        <v>3</v>
      </c>
      <c r="Y369" s="6">
        <f>IFERROR(
   Working_Sales[[#This Row],[Quantity_Converted_To_Integer]],
   Working_Sales[[#This Row],[Total_Amount_Whitespace_Removed]]/Working_Sales[[#This Row],[Price_Per_Unit_Decimal_Separator_Fixed]])</f>
        <v>3</v>
      </c>
      <c r="Z369" t="s">
        <v>49</v>
      </c>
      <c r="AA369" s="2" t="str">
        <f>CLEAN(TRIM(Working_Sales[[#This Row],[Price per Unit]]))</f>
        <v>$25</v>
      </c>
      <c r="AB369" s="2">
        <f>INT(
   SUBSTITUTE(Working_Sales[[#This Row],[Price_Per_Unit_Whitespace_Removed]],
   "$",
   ""
   )
)</f>
        <v>25</v>
      </c>
      <c r="AC369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369" s="8">
        <f>IFERROR(
   Working_Sales[[#This Row],[Price_Per_Unit_Decimal_Separator_Fixed]],
   Working_Sales[[#This Row],[Total_Amount_Converted_To_Integer]]/Working_Sales[[#This Row],[Quantity_Converted_To_Integer]]
)</f>
        <v>25</v>
      </c>
      <c r="AE369" t="s">
        <v>31</v>
      </c>
      <c r="AF369" s="2" t="str">
        <f>CLEAN(TRIM(Working_Sales[[#This Row],[Total Amount]]))</f>
        <v>75</v>
      </c>
      <c r="AG369" s="2">
        <f>INT(Working_Sales[[#This Row],[Total_Amount_Whitespace_Removed]])</f>
        <v>75</v>
      </c>
      <c r="AH36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370" spans="1:34" x14ac:dyDescent="0.35">
      <c r="A370" t="s">
        <v>852</v>
      </c>
      <c r="B370" s="6" t="str">
        <f>CLEAN(TRIM(Working_Sales[[#This Row],[Transaction ID]]))</f>
        <v>279</v>
      </c>
      <c r="C370" t="s">
        <v>252</v>
      </c>
      <c r="D370" s="2" t="str">
        <f>CLEAN(TRIM(Working_Sales[[#This Row],[Date]]))</f>
        <v>2023-08-05</v>
      </c>
      <c r="E37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45143</v>
      </c>
      <c r="F37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45143</v>
      </c>
      <c r="G37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45143</v>
      </c>
      <c r="H370" t="s">
        <v>2633</v>
      </c>
      <c r="I370" s="2" t="str">
        <f>CLEAN(TRIM(Working_Sales[[#This Row],[Customer ID]]))</f>
        <v>CUST-111</v>
      </c>
      <c r="J37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7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CUST111</v>
      </c>
      <c r="L370" t="s">
        <v>34</v>
      </c>
      <c r="M370" s="4" t="str">
        <f>CLEAN(TRIM(Working_Sales[[#This Row],[Gender]]))</f>
        <v>Male</v>
      </c>
      <c r="N370" s="4" t="str" cm="1">
        <f t="array" ref="N370">_xlfn.SWITCH(
   Working_Sales[[#This Row],[Gender_Whitespace_Removed]],
   "m", "Male",
   "f", "Female",
   Working_Sales[[#This Row],[Gender_Whitespace_Removed]]
)</f>
        <v>Male</v>
      </c>
      <c r="O370" s="6" t="str">
        <f>PROPER(Working_Sales[[#This Row],[Gender_Abbreviation_Expanded]])</f>
        <v>Male</v>
      </c>
      <c r="P370">
        <v>50</v>
      </c>
      <c r="Q370" s="2" t="str">
        <f>CLEAN(TRIM(Working_Sales[[#This Row],[Age]]))</f>
        <v>50</v>
      </c>
      <c r="R370" s="6">
        <f>INT(SUBSTITUTE(Working_Sales[[#This Row],[Age_Whitespace_Removed]],".",","))</f>
        <v>50</v>
      </c>
      <c r="S370" t="s">
        <v>56</v>
      </c>
      <c r="T370" s="2" t="str">
        <f>CLEAN(TRIM(Working_Sales[[#This Row],[Product Category]]))</f>
        <v>Clothing</v>
      </c>
      <c r="U370" s="6" t="str">
        <f>PROPER(Working_Sales[[#This Row],[Product_Category_Whitespace_Removed]])</f>
        <v>Clothing</v>
      </c>
      <c r="V370" t="s">
        <v>22</v>
      </c>
      <c r="W370" s="2" t="str">
        <f>CLEAN(TRIM(Working_Sales[[#This Row],[Quantity]]))</f>
        <v>1</v>
      </c>
      <c r="X370" s="2">
        <f>INT(Working_Sales[[#This Row],[`]])</f>
        <v>1</v>
      </c>
      <c r="Y370" s="6">
        <f>IFERROR(
   Working_Sales[[#This Row],[Quantity_Converted_To_Integer]],
   Working_Sales[[#This Row],[Total_Amount_Whitespace_Removed]]/Working_Sales[[#This Row],[Price_Per_Unit_Decimal_Separator_Fixed]])</f>
        <v>1</v>
      </c>
      <c r="Z370" t="s">
        <v>57</v>
      </c>
      <c r="AA370" s="2" t="str">
        <f>CLEAN(TRIM(Working_Sales[[#This Row],[Price per Unit]]))</f>
        <v>500</v>
      </c>
      <c r="AB370" s="2">
        <f>INT(
   SUBSTITUTE(Working_Sales[[#This Row],[Price_Per_Unit_Whitespace_Removed]],
   "$",
   ""
   )
)</f>
        <v>500</v>
      </c>
      <c r="AC370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370" s="8">
        <f>IFERROR(
   Working_Sales[[#This Row],[Price_Per_Unit_Decimal_Separator_Fixed]],
   Working_Sales[[#This Row],[Total_Amount_Converted_To_Integer]]/Working_Sales[[#This Row],[Quantity_Converted_To_Integer]]
)</f>
        <v>500</v>
      </c>
      <c r="AE370" t="s">
        <v>57</v>
      </c>
      <c r="AF370" s="2" t="str">
        <f>CLEAN(TRIM(Working_Sales[[#This Row],[Total Amount]]))</f>
        <v>500</v>
      </c>
      <c r="AG370" s="2">
        <f>INT(Working_Sales[[#This Row],[Total_Amount_Whitespace_Removed]])</f>
        <v>500</v>
      </c>
      <c r="AH37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371" spans="1:34" x14ac:dyDescent="0.35">
      <c r="A371" t="s">
        <v>853</v>
      </c>
      <c r="B371" s="6" t="str">
        <f>CLEAN(TRIM(Working_Sales[[#This Row],[Transaction ID]]))</f>
        <v>886</v>
      </c>
      <c r="C371" t="s">
        <v>2088</v>
      </c>
      <c r="D371" s="2" t="str">
        <f>CLEAN(TRIM(Working_Sales[[#This Row],[Date]]))</f>
        <v>09-Apr-2023</v>
      </c>
      <c r="E37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45025</v>
      </c>
      <c r="F37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45025</v>
      </c>
      <c r="G37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45025</v>
      </c>
      <c r="H371" t="s">
        <v>2634</v>
      </c>
      <c r="I371" s="2" t="str">
        <f>CLEAN(TRIM(Working_Sales[[#This Row],[Customer ID]]))</f>
        <v>CUST-042</v>
      </c>
      <c r="J37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7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CUST042</v>
      </c>
      <c r="L371" t="s">
        <v>34</v>
      </c>
      <c r="M371" s="4" t="str">
        <f>CLEAN(TRIM(Working_Sales[[#This Row],[Gender]]))</f>
        <v>Male</v>
      </c>
      <c r="N371" s="4" t="str" cm="1">
        <f t="array" ref="N371">_xlfn.SWITCH(
   Working_Sales[[#This Row],[Gender_Whitespace_Removed]],
   "m", "Male",
   "f", "Female",
   Working_Sales[[#This Row],[Gender_Whitespace_Removed]]
)</f>
        <v>Male</v>
      </c>
      <c r="O371" s="6" t="str">
        <f>PROPER(Working_Sales[[#This Row],[Gender_Abbreviation_Expanded]])</f>
        <v>Male</v>
      </c>
      <c r="P371">
        <v>37</v>
      </c>
      <c r="Q371" s="2" t="str">
        <f>CLEAN(TRIM(Working_Sales[[#This Row],[Age]]))</f>
        <v>37</v>
      </c>
      <c r="R371" s="6">
        <f>INT(SUBSTITUTE(Working_Sales[[#This Row],[Age_Whitespace_Removed]],".",","))</f>
        <v>37</v>
      </c>
      <c r="S371" t="s">
        <v>99</v>
      </c>
      <c r="T371" s="2" t="str">
        <f>CLEAN(TRIM(Working_Sales[[#This Row],[Product Category]]))</f>
        <v>ELECTRONICS</v>
      </c>
      <c r="U371" s="6" t="str">
        <f>PROPER(Working_Sales[[#This Row],[Product_Category_Whitespace_Removed]])</f>
        <v>Electronics</v>
      </c>
      <c r="V371" t="s">
        <v>29</v>
      </c>
      <c r="W371" s="2" t="str">
        <f>CLEAN(TRIM(Working_Sales[[#This Row],[Quantity]]))</f>
        <v>3</v>
      </c>
      <c r="X371" s="2">
        <f>INT(Working_Sales[[#This Row],[`]])</f>
        <v>3</v>
      </c>
      <c r="Y371" s="6">
        <f>IFERROR(
   Working_Sales[[#This Row],[Quantity_Converted_To_Integer]],
   Working_Sales[[#This Row],[Total_Amount_Whitespace_Removed]]/Working_Sales[[#This Row],[Price_Per_Unit_Decimal_Separator_Fixed]])</f>
        <v>3</v>
      </c>
      <c r="Z371" t="s">
        <v>288</v>
      </c>
      <c r="AA371" s="2" t="str">
        <f>CLEAN(TRIM(Working_Sales[[#This Row],[Price per Unit]]))</f>
        <v>300.00</v>
      </c>
      <c r="AB371" s="2" t="e">
        <f>INT(
   SUBSTITUTE(Working_Sales[[#This Row],[Price_Per_Unit_Whitespace_Removed]],
   "$",
   ""
   )
)</f>
        <v>#VALUE!</v>
      </c>
      <c r="AC371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371" s="8">
        <f>IFERROR(
   Working_Sales[[#This Row],[Price_Per_Unit_Decimal_Separator_Fixed]],
   Working_Sales[[#This Row],[Total_Amount_Converted_To_Integer]]/Working_Sales[[#This Row],[Quantity_Converted_To_Integer]]
)</f>
        <v>300</v>
      </c>
      <c r="AE371" t="s">
        <v>128</v>
      </c>
      <c r="AF371" s="2" t="str">
        <f>CLEAN(TRIM(Working_Sales[[#This Row],[Total Amount]]))</f>
        <v>900</v>
      </c>
      <c r="AG371" s="2">
        <f>INT(Working_Sales[[#This Row],[Total_Amount_Whitespace_Removed]])</f>
        <v>900</v>
      </c>
      <c r="AH37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372" spans="1:34" x14ac:dyDescent="0.35">
      <c r="A372" t="s">
        <v>854</v>
      </c>
      <c r="B372" s="6" t="str">
        <f>CLEAN(TRIM(Working_Sales[[#This Row],[Transaction ID]]))</f>
        <v>660</v>
      </c>
      <c r="C372" t="s">
        <v>855</v>
      </c>
      <c r="D372" s="2" t="str">
        <f>CLEAN(TRIM(Working_Sales[[#This Row],[Date]]))</f>
        <v>2023-04-29</v>
      </c>
      <c r="E37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45045</v>
      </c>
      <c r="F37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45045</v>
      </c>
      <c r="G37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45045</v>
      </c>
      <c r="H372" t="s">
        <v>2635</v>
      </c>
      <c r="I372" s="2" t="str">
        <f>CLEAN(TRIM(Working_Sales[[#This Row],[Customer ID]]))</f>
        <v>cust088</v>
      </c>
      <c r="J37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7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CUST088</v>
      </c>
      <c r="L372" t="s">
        <v>26</v>
      </c>
      <c r="M372" s="4" t="str">
        <f>CLEAN(TRIM(Working_Sales[[#This Row],[Gender]]))</f>
        <v>Female</v>
      </c>
      <c r="N372" s="4" t="str" cm="1">
        <f t="array" ref="N372">_xlfn.SWITCH(
   Working_Sales[[#This Row],[Gender_Whitespace_Removed]],
   "m", "Male",
   "f", "Female",
   Working_Sales[[#This Row],[Gender_Whitespace_Removed]]
)</f>
        <v>Female</v>
      </c>
      <c r="O372" s="6" t="str">
        <f>PROPER(Working_Sales[[#This Row],[Gender_Abbreviation_Expanded]])</f>
        <v>Female</v>
      </c>
      <c r="P372">
        <v>38</v>
      </c>
      <c r="Q372" s="2" t="str">
        <f>CLEAN(TRIM(Working_Sales[[#This Row],[Age]]))</f>
        <v>38</v>
      </c>
      <c r="R372" s="6">
        <f>INT(SUBSTITUTE(Working_Sales[[#This Row],[Age_Whitespace_Removed]],".",","))</f>
        <v>38</v>
      </c>
      <c r="S372" t="s">
        <v>36</v>
      </c>
      <c r="T372" s="2" t="str">
        <f>CLEAN(TRIM(Working_Sales[[#This Row],[Product Category]]))</f>
        <v>Beauty</v>
      </c>
      <c r="U372" s="6" t="str">
        <f>PROPER(Working_Sales[[#This Row],[Product_Category_Whitespace_Removed]])</f>
        <v>Beauty</v>
      </c>
      <c r="V372" t="s">
        <v>37</v>
      </c>
      <c r="W372" s="2" t="str">
        <f>CLEAN(TRIM(Working_Sales[[#This Row],[Quantity]]))</f>
        <v>2</v>
      </c>
      <c r="X372" s="2">
        <f>INT(Working_Sales[[#This Row],[`]])</f>
        <v>2</v>
      </c>
      <c r="Y372" s="6">
        <f>IFERROR(
   Working_Sales[[#This Row],[Quantity_Converted_To_Integer]],
   Working_Sales[[#This Row],[Total_Amount_Whitespace_Removed]]/Working_Sales[[#This Row],[Price_Per_Unit_Decimal_Separator_Fixed]])</f>
        <v>2</v>
      </c>
      <c r="AA372" s="2" t="str">
        <f>CLEAN(TRIM(Working_Sales[[#This Row],[Price per Unit]]))</f>
        <v/>
      </c>
      <c r="AB372" s="2" t="e">
        <f>INT(
   SUBSTITUTE(Working_Sales[[#This Row],[Price_Per_Unit_Whitespace_Removed]],
   "$",
   ""
   )
)</f>
        <v>#VALUE!</v>
      </c>
      <c r="AC372" s="2" t="e">
        <f>INT(
   IFERROR(
      Working_Sales[[#This Row],[Price_Per_Unit_Dollar_Sign_Removed]],
      SUBSTITUTE(
         Working_Sales[[#This Row],[Price_Per_Unit_Whitespace_Removed]],
        ".",
         ","
      )
   )
)</f>
        <v>#VALUE!</v>
      </c>
      <c r="AD372" s="8">
        <f>IFERROR(
   Working_Sales[[#This Row],[Price_Per_Unit_Decimal_Separator_Fixed]],
   Working_Sales[[#This Row],[Total_Amount_Converted_To_Integer]]/Working_Sales[[#This Row],[Quantity_Converted_To_Integer]]
)</f>
        <v>500</v>
      </c>
      <c r="AE372" t="s">
        <v>163</v>
      </c>
      <c r="AF372" s="2" t="str">
        <f>CLEAN(TRIM(Working_Sales[[#This Row],[Total Amount]]))</f>
        <v>1000</v>
      </c>
      <c r="AG372" s="2">
        <f>INT(Working_Sales[[#This Row],[Total_Amount_Whitespace_Removed]])</f>
        <v>1000</v>
      </c>
      <c r="AH37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373" spans="1:34" x14ac:dyDescent="0.35">
      <c r="A373" t="s">
        <v>29</v>
      </c>
      <c r="B373" s="6" t="str">
        <f>CLEAN(TRIM(Working_Sales[[#This Row],[Transaction ID]]))</f>
        <v>3</v>
      </c>
      <c r="C373" t="s">
        <v>553</v>
      </c>
      <c r="D373" s="2" t="str">
        <f>CLEAN(TRIM(Working_Sales[[#This Row],[Date]]))</f>
        <v>2023-01-13</v>
      </c>
      <c r="E37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44939</v>
      </c>
      <c r="F37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44939</v>
      </c>
      <c r="G37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44939</v>
      </c>
      <c r="H373" t="s">
        <v>2636</v>
      </c>
      <c r="I373" s="2" t="str">
        <f>CLEAN(TRIM(Working_Sales[[#This Row],[Customer ID]]))</f>
        <v>CUST-287</v>
      </c>
      <c r="J37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7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CUST287</v>
      </c>
      <c r="L373" t="s">
        <v>34</v>
      </c>
      <c r="M373" s="4" t="str">
        <f>CLEAN(TRIM(Working_Sales[[#This Row],[Gender]]))</f>
        <v>Male</v>
      </c>
      <c r="N373" s="4" t="str" cm="1">
        <f t="array" ref="N373">_xlfn.SWITCH(
   Working_Sales[[#This Row],[Gender_Whitespace_Removed]],
   "m", "Male",
   "f", "Female",
   Working_Sales[[#This Row],[Gender_Whitespace_Removed]]
)</f>
        <v>Male</v>
      </c>
      <c r="O373" s="6" t="str">
        <f>PROPER(Working_Sales[[#This Row],[Gender_Abbreviation_Expanded]])</f>
        <v>Male</v>
      </c>
      <c r="P373">
        <v>50</v>
      </c>
      <c r="Q373" s="2" t="str">
        <f>CLEAN(TRIM(Working_Sales[[#This Row],[Age]]))</f>
        <v>50</v>
      </c>
      <c r="R373" s="6">
        <f>INT(SUBSTITUTE(Working_Sales[[#This Row],[Age_Whitespace_Removed]],".",","))</f>
        <v>50</v>
      </c>
      <c r="S373" t="s">
        <v>13</v>
      </c>
      <c r="T373" s="2" t="str">
        <f>CLEAN(TRIM(Working_Sales[[#This Row],[Product Category]]))</f>
        <v>Electronics</v>
      </c>
      <c r="U373" s="6" t="str">
        <f>PROPER(Working_Sales[[#This Row],[Product_Category_Whitespace_Removed]])</f>
        <v>Electronics</v>
      </c>
      <c r="V373" t="s">
        <v>22</v>
      </c>
      <c r="W373" s="2" t="str">
        <f>CLEAN(TRIM(Working_Sales[[#This Row],[Quantity]]))</f>
        <v>1</v>
      </c>
      <c r="X373" s="2">
        <f>INT(Working_Sales[[#This Row],[`]])</f>
        <v>1</v>
      </c>
      <c r="Y373" s="6">
        <f>IFERROR(
   Working_Sales[[#This Row],[Quantity_Converted_To_Integer]],
   Working_Sales[[#This Row],[Total_Amount_Whitespace_Removed]]/Working_Sales[[#This Row],[Price_Per_Unit_Decimal_Separator_Fixed]])</f>
        <v>1</v>
      </c>
      <c r="Z373" t="s">
        <v>70</v>
      </c>
      <c r="AA373" s="2" t="str">
        <f>CLEAN(TRIM(Working_Sales[[#This Row],[Price per Unit]]))</f>
        <v>30</v>
      </c>
      <c r="AB373" s="2">
        <f>INT(
   SUBSTITUTE(Working_Sales[[#This Row],[Price_Per_Unit_Whitespace_Removed]],
   "$",
   ""
   )
)</f>
        <v>30</v>
      </c>
      <c r="AC373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373" s="8">
        <f>IFERROR(
   Working_Sales[[#This Row],[Price_Per_Unit_Decimal_Separator_Fixed]],
   Working_Sales[[#This Row],[Total_Amount_Converted_To_Integer]]/Working_Sales[[#This Row],[Quantity_Converted_To_Integer]]
)</f>
        <v>30</v>
      </c>
      <c r="AE373" t="s">
        <v>70</v>
      </c>
      <c r="AF373" s="2" t="str">
        <f>CLEAN(TRIM(Working_Sales[[#This Row],[Total Amount]]))</f>
        <v>30</v>
      </c>
      <c r="AG373" s="2">
        <f>INT(Working_Sales[[#This Row],[Total_Amount_Whitespace_Removed]])</f>
        <v>30</v>
      </c>
      <c r="AH37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374" spans="1:34" x14ac:dyDescent="0.35">
      <c r="A374" t="s">
        <v>857</v>
      </c>
      <c r="B374" s="6" t="str">
        <f>CLEAN(TRIM(Working_Sales[[#This Row],[Transaction ID]]))</f>
        <v>230</v>
      </c>
      <c r="C374" t="s">
        <v>858</v>
      </c>
      <c r="D374" s="2" t="str">
        <f>CLEAN(TRIM(Working_Sales[[#This Row],[Date]]))</f>
        <v>April 23, 2023</v>
      </c>
      <c r="E374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374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37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45039</v>
      </c>
      <c r="H374" t="s">
        <v>2293</v>
      </c>
      <c r="I374" s="2" t="str">
        <f>CLEAN(TRIM(Working_Sales[[#This Row],[Customer ID]]))</f>
        <v>CUST288</v>
      </c>
      <c r="J37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CUST288</v>
      </c>
      <c r="K37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CUST288</v>
      </c>
      <c r="L374" t="s">
        <v>34</v>
      </c>
      <c r="M374" s="4" t="str">
        <f>CLEAN(TRIM(Working_Sales[[#This Row],[Gender]]))</f>
        <v>Male</v>
      </c>
      <c r="N374" s="4" t="str" cm="1">
        <f t="array" ref="N374">_xlfn.SWITCH(
   Working_Sales[[#This Row],[Gender_Whitespace_Removed]],
   "m", "Male",
   "f", "Female",
   Working_Sales[[#This Row],[Gender_Whitespace_Removed]]
)</f>
        <v>Male</v>
      </c>
      <c r="O374" s="6" t="str">
        <f>PROPER(Working_Sales[[#This Row],[Gender_Abbreviation_Expanded]])</f>
        <v>Male</v>
      </c>
      <c r="P374">
        <v>54</v>
      </c>
      <c r="Q374" s="2" t="str">
        <f>CLEAN(TRIM(Working_Sales[[#This Row],[Age]]))</f>
        <v>54</v>
      </c>
      <c r="R374" s="6">
        <f>INT(SUBSTITUTE(Working_Sales[[#This Row],[Age_Whitespace_Removed]],".",","))</f>
        <v>54</v>
      </c>
      <c r="S374" t="s">
        <v>42</v>
      </c>
      <c r="T374" s="2" t="str">
        <f>CLEAN(TRIM(Working_Sales[[#This Row],[Product Category]]))</f>
        <v>Beauty</v>
      </c>
      <c r="U374" s="6" t="str">
        <f>PROPER(Working_Sales[[#This Row],[Product_Category_Whitespace_Removed]])</f>
        <v>Beauty</v>
      </c>
      <c r="V374" t="s">
        <v>22</v>
      </c>
      <c r="W374" s="2" t="str">
        <f>CLEAN(TRIM(Working_Sales[[#This Row],[Quantity]]))</f>
        <v>1</v>
      </c>
      <c r="X374" s="2">
        <f>INT(Working_Sales[[#This Row],[`]])</f>
        <v>1</v>
      </c>
      <c r="Y374" s="6">
        <f>IFERROR(
   Working_Sales[[#This Row],[Quantity_Converted_To_Integer]],
   Working_Sales[[#This Row],[Total_Amount_Whitespace_Removed]]/Working_Sales[[#This Row],[Price_Per_Unit_Decimal_Separator_Fixed]])</f>
        <v>1</v>
      </c>
      <c r="Z374" t="s">
        <v>49</v>
      </c>
      <c r="AA374" s="2" t="str">
        <f>CLEAN(TRIM(Working_Sales[[#This Row],[Price per Unit]]))</f>
        <v>$25</v>
      </c>
      <c r="AB374" s="2">
        <f>INT(
   SUBSTITUTE(Working_Sales[[#This Row],[Price_Per_Unit_Whitespace_Removed]],
   "$",
   ""
   )
)</f>
        <v>25</v>
      </c>
      <c r="AC374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374" s="8">
        <f>IFERROR(
   Working_Sales[[#This Row],[Price_Per_Unit_Decimal_Separator_Fixed]],
   Working_Sales[[#This Row],[Total_Amount_Converted_To_Integer]]/Working_Sales[[#This Row],[Quantity_Converted_To_Integer]]
)</f>
        <v>25</v>
      </c>
      <c r="AE374" t="s">
        <v>30</v>
      </c>
      <c r="AF374" s="2" t="str">
        <f>CLEAN(TRIM(Working_Sales[[#This Row],[Total Amount]]))</f>
        <v>25</v>
      </c>
      <c r="AG374" s="2">
        <f>INT(Working_Sales[[#This Row],[Total_Amount_Whitespace_Removed]])</f>
        <v>25</v>
      </c>
      <c r="AH37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375" spans="1:34" x14ac:dyDescent="0.35">
      <c r="A375" t="s">
        <v>859</v>
      </c>
      <c r="B375" s="6" t="str">
        <f>CLEAN(TRIM(Working_Sales[[#This Row],[Transaction ID]]))</f>
        <v>850</v>
      </c>
      <c r="C375" t="s">
        <v>665</v>
      </c>
      <c r="D375" s="2" t="str">
        <f>CLEAN(TRIM(Working_Sales[[#This Row],[Date]]))</f>
        <v>07/28/2023</v>
      </c>
      <c r="E375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37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45135</v>
      </c>
      <c r="G37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45135</v>
      </c>
      <c r="H375" t="s">
        <v>2637</v>
      </c>
      <c r="I375" s="2" t="str">
        <f>CLEAN(TRIM(Working_Sales[[#This Row],[Customer ID]]))</f>
        <v>CUST-020</v>
      </c>
      <c r="J37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7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CUST020</v>
      </c>
      <c r="L375" t="s">
        <v>26</v>
      </c>
      <c r="M375" s="4" t="str">
        <f>CLEAN(TRIM(Working_Sales[[#This Row],[Gender]]))</f>
        <v>Female</v>
      </c>
      <c r="N375" s="4" t="str" cm="1">
        <f t="array" ref="N375">_xlfn.SWITCH(
   Working_Sales[[#This Row],[Gender_Whitespace_Removed]],
   "m", "Male",
   "f", "Female",
   Working_Sales[[#This Row],[Gender_Whitespace_Removed]]
)</f>
        <v>Female</v>
      </c>
      <c r="O375" s="6" t="str">
        <f>PROPER(Working_Sales[[#This Row],[Gender_Abbreviation_Expanded]])</f>
        <v>Female</v>
      </c>
      <c r="P375">
        <v>26</v>
      </c>
      <c r="Q375" s="2" t="str">
        <f>CLEAN(TRIM(Working_Sales[[#This Row],[Age]]))</f>
        <v>26</v>
      </c>
      <c r="R375" s="6">
        <f>INT(SUBSTITUTE(Working_Sales[[#This Row],[Age_Whitespace_Removed]],".",","))</f>
        <v>26</v>
      </c>
      <c r="S375" t="s">
        <v>36</v>
      </c>
      <c r="T375" s="2" t="str">
        <f>CLEAN(TRIM(Working_Sales[[#This Row],[Product Category]]))</f>
        <v>Beauty</v>
      </c>
      <c r="U375" s="6" t="str">
        <f>PROPER(Working_Sales[[#This Row],[Product_Category_Whitespace_Removed]])</f>
        <v>Beauty</v>
      </c>
      <c r="V375" t="s">
        <v>37</v>
      </c>
      <c r="W375" s="2" t="str">
        <f>CLEAN(TRIM(Working_Sales[[#This Row],[Quantity]]))</f>
        <v>2</v>
      </c>
      <c r="X375" s="2">
        <f>INT(Working_Sales[[#This Row],[`]])</f>
        <v>2</v>
      </c>
      <c r="Y375" s="6">
        <f>IFERROR(
   Working_Sales[[#This Row],[Quantity_Converted_To_Integer]],
   Working_Sales[[#This Row],[Total_Amount_Whitespace_Removed]]/Working_Sales[[#This Row],[Price_Per_Unit_Decimal_Separator_Fixed]])</f>
        <v>2</v>
      </c>
      <c r="Z375" t="s">
        <v>57</v>
      </c>
      <c r="AA375" s="2" t="str">
        <f>CLEAN(TRIM(Working_Sales[[#This Row],[Price per Unit]]))</f>
        <v>500</v>
      </c>
      <c r="AB375" s="2">
        <f>INT(
   SUBSTITUTE(Working_Sales[[#This Row],[Price_Per_Unit_Whitespace_Removed]],
   "$",
   ""
   )
)</f>
        <v>500</v>
      </c>
      <c r="AC375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375" s="8">
        <f>IFERROR(
   Working_Sales[[#This Row],[Price_Per_Unit_Decimal_Separator_Fixed]],
   Working_Sales[[#This Row],[Total_Amount_Converted_To_Integer]]/Working_Sales[[#This Row],[Quantity_Converted_To_Integer]]
)</f>
        <v>500</v>
      </c>
      <c r="AE375" t="s">
        <v>163</v>
      </c>
      <c r="AF375" s="2" t="str">
        <f>CLEAN(TRIM(Working_Sales[[#This Row],[Total Amount]]))</f>
        <v>1000</v>
      </c>
      <c r="AG375" s="2">
        <f>INT(Working_Sales[[#This Row],[Total_Amount_Whitespace_Removed]])</f>
        <v>1000</v>
      </c>
      <c r="AH37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376" spans="1:34" x14ac:dyDescent="0.35">
      <c r="A376" t="s">
        <v>860</v>
      </c>
      <c r="B376" s="6" t="str">
        <f>CLEAN(TRIM(Working_Sales[[#This Row],[Transaction ID]]))</f>
        <v>943</v>
      </c>
      <c r="C376" t="s">
        <v>1768</v>
      </c>
      <c r="D376" s="2" t="str">
        <f>CLEAN(TRIM(Working_Sales[[#This Row],[Date]]))</f>
        <v>10/16/2023</v>
      </c>
      <c r="E376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37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45215</v>
      </c>
      <c r="G37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45215</v>
      </c>
      <c r="H376" t="s">
        <v>2638</v>
      </c>
      <c r="I376" s="2" t="str">
        <f>CLEAN(TRIM(Working_Sales[[#This Row],[Customer ID]]))</f>
        <v>CUST024</v>
      </c>
      <c r="J37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CUST024</v>
      </c>
      <c r="K37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CUST024</v>
      </c>
      <c r="L376" t="s">
        <v>26</v>
      </c>
      <c r="M376" s="4" t="str">
        <f>CLEAN(TRIM(Working_Sales[[#This Row],[Gender]]))</f>
        <v>Female</v>
      </c>
      <c r="N376" s="4" t="str" cm="1">
        <f t="array" ref="N376">_xlfn.SWITCH(
   Working_Sales[[#This Row],[Gender_Whitespace_Removed]],
   "m", "Male",
   "f", "Female",
   Working_Sales[[#This Row],[Gender_Whitespace_Removed]]
)</f>
        <v>Female</v>
      </c>
      <c r="O376" s="6" t="str">
        <f>PROPER(Working_Sales[[#This Row],[Gender_Abbreviation_Expanded]])</f>
        <v>Female</v>
      </c>
      <c r="P376">
        <v>57</v>
      </c>
      <c r="Q376" s="2" t="str">
        <f>CLEAN(TRIM(Working_Sales[[#This Row],[Age]]))</f>
        <v>57</v>
      </c>
      <c r="R376" s="6">
        <f>INT(SUBSTITUTE(Working_Sales[[#This Row],[Age_Whitespace_Removed]],".",","))</f>
        <v>57</v>
      </c>
      <c r="S376" t="s">
        <v>56</v>
      </c>
      <c r="T376" s="2" t="str">
        <f>CLEAN(TRIM(Working_Sales[[#This Row],[Product Category]]))</f>
        <v>Clothing</v>
      </c>
      <c r="U376" s="6" t="str">
        <f>PROPER(Working_Sales[[#This Row],[Product_Category_Whitespace_Removed]])</f>
        <v>Clothing</v>
      </c>
      <c r="V376" t="s">
        <v>14</v>
      </c>
      <c r="W376" s="2" t="str">
        <f>CLEAN(TRIM(Working_Sales[[#This Row],[Quantity]]))</f>
        <v>4</v>
      </c>
      <c r="X376" s="2">
        <f>INT(Working_Sales[[#This Row],[`]])</f>
        <v>4</v>
      </c>
      <c r="Y376" s="6">
        <f>IFERROR(
   Working_Sales[[#This Row],[Quantity_Converted_To_Integer]],
   Working_Sales[[#This Row],[Total_Amount_Whitespace_Removed]]/Working_Sales[[#This Row],[Price_Per_Unit_Decimal_Separator_Fixed]])</f>
        <v>4</v>
      </c>
      <c r="Z376" t="s">
        <v>23</v>
      </c>
      <c r="AA376" s="2" t="str">
        <f>CLEAN(TRIM(Working_Sales[[#This Row],[Price per Unit]]))</f>
        <v>300</v>
      </c>
      <c r="AB376" s="2">
        <f>INT(
   SUBSTITUTE(Working_Sales[[#This Row],[Price_Per_Unit_Whitespace_Removed]],
   "$",
   ""
   )
)</f>
        <v>300</v>
      </c>
      <c r="AC376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376" s="8">
        <f>IFERROR(
   Working_Sales[[#This Row],[Price_Per_Unit_Decimal_Separator_Fixed]],
   Working_Sales[[#This Row],[Total_Amount_Converted_To_Integer]]/Working_Sales[[#This Row],[Quantity_Converted_To_Integer]]
)</f>
        <v>300</v>
      </c>
      <c r="AE376" t="s">
        <v>79</v>
      </c>
      <c r="AF376" s="2" t="str">
        <f>CLEAN(TRIM(Working_Sales[[#This Row],[Total Amount]]))</f>
        <v>1200</v>
      </c>
      <c r="AG376" s="2">
        <f>INT(Working_Sales[[#This Row],[Total_Amount_Whitespace_Removed]])</f>
        <v>1200</v>
      </c>
      <c r="AH37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377" spans="1:34" x14ac:dyDescent="0.35">
      <c r="A377" t="s">
        <v>862</v>
      </c>
      <c r="B377" s="6" t="str">
        <f>CLEAN(TRIM(Working_Sales[[#This Row],[Transaction ID]]))</f>
        <v>665</v>
      </c>
      <c r="C377" t="s">
        <v>1184</v>
      </c>
      <c r="D377" s="2" t="str">
        <f>CLEAN(TRIM(Working_Sales[[#This Row],[Date]]))</f>
        <v>04/20/2023</v>
      </c>
      <c r="E377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37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45036</v>
      </c>
      <c r="G37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45036</v>
      </c>
      <c r="H377" t="s">
        <v>2639</v>
      </c>
      <c r="I377" s="2" t="str">
        <f>CLEAN(TRIM(Working_Sales[[#This Row],[Customer ID]]))</f>
        <v>cust289</v>
      </c>
      <c r="J37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7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CUST289</v>
      </c>
      <c r="L377" t="s">
        <v>34</v>
      </c>
      <c r="M377" s="4" t="str">
        <f>CLEAN(TRIM(Working_Sales[[#This Row],[Gender]]))</f>
        <v>Male</v>
      </c>
      <c r="N377" s="4" t="str" cm="1">
        <f t="array" ref="N377">_xlfn.SWITCH(
   Working_Sales[[#This Row],[Gender_Whitespace_Removed]],
   "m", "Male",
   "f", "Female",
   Working_Sales[[#This Row],[Gender_Whitespace_Removed]]
)</f>
        <v>Male</v>
      </c>
      <c r="O377" s="6" t="str">
        <f>PROPER(Working_Sales[[#This Row],[Gender_Abbreviation_Expanded]])</f>
        <v>Male</v>
      </c>
      <c r="P377">
        <v>57</v>
      </c>
      <c r="Q377" s="2" t="str">
        <f>CLEAN(TRIM(Working_Sales[[#This Row],[Age]]))</f>
        <v>57</v>
      </c>
      <c r="R377" s="6">
        <f>INT(SUBSTITUTE(Working_Sales[[#This Row],[Age_Whitespace_Removed]],".",","))</f>
        <v>57</v>
      </c>
      <c r="S377" t="s">
        <v>56</v>
      </c>
      <c r="T377" s="2" t="str">
        <f>CLEAN(TRIM(Working_Sales[[#This Row],[Product Category]]))</f>
        <v>Clothing</v>
      </c>
      <c r="U377" s="6" t="str">
        <f>PROPER(Working_Sales[[#This Row],[Product_Category_Whitespace_Removed]])</f>
        <v>Clothing</v>
      </c>
      <c r="V377" t="s">
        <v>22</v>
      </c>
      <c r="W377" s="2" t="str">
        <f>CLEAN(TRIM(Working_Sales[[#This Row],[Quantity]]))</f>
        <v>1</v>
      </c>
      <c r="X377" s="2">
        <f>INT(Working_Sales[[#This Row],[`]])</f>
        <v>1</v>
      </c>
      <c r="Y377" s="6">
        <f>IFERROR(
   Working_Sales[[#This Row],[Quantity_Converted_To_Integer]],
   Working_Sales[[#This Row],[Total_Amount_Whitespace_Removed]]/Working_Sales[[#This Row],[Price_Per_Unit_Decimal_Separator_Fixed]])</f>
        <v>1</v>
      </c>
      <c r="Z377" t="s">
        <v>15</v>
      </c>
      <c r="AA377" s="2" t="str">
        <f>CLEAN(TRIM(Working_Sales[[#This Row],[Price per Unit]]))</f>
        <v>50</v>
      </c>
      <c r="AB377" s="2">
        <f>INT(
   SUBSTITUTE(Working_Sales[[#This Row],[Price_Per_Unit_Whitespace_Removed]],
   "$",
   ""
   )
)</f>
        <v>50</v>
      </c>
      <c r="AC377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377" s="8">
        <f>IFERROR(
   Working_Sales[[#This Row],[Price_Per_Unit_Decimal_Separator_Fixed]],
   Working_Sales[[#This Row],[Total_Amount_Converted_To_Integer]]/Working_Sales[[#This Row],[Quantity_Converted_To_Integer]]
)</f>
        <v>50</v>
      </c>
      <c r="AE377" t="s">
        <v>15</v>
      </c>
      <c r="AF377" s="2" t="str">
        <f>CLEAN(TRIM(Working_Sales[[#This Row],[Total Amount]]))</f>
        <v>50</v>
      </c>
      <c r="AG377" s="2">
        <f>INT(Working_Sales[[#This Row],[Total_Amount_Whitespace_Removed]])</f>
        <v>50</v>
      </c>
      <c r="AH37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378" spans="1:34" x14ac:dyDescent="0.35">
      <c r="A378" t="s">
        <v>863</v>
      </c>
      <c r="B378" s="6" t="str">
        <f>CLEAN(TRIM(Working_Sales[[#This Row],[Transaction ID]]))</f>
        <v>871</v>
      </c>
      <c r="C378" t="s">
        <v>864</v>
      </c>
      <c r="D378" s="2" t="str">
        <f>CLEAN(TRIM(Working_Sales[[#This Row],[Date]]))</f>
        <v>31/08/2023</v>
      </c>
      <c r="E37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45169</v>
      </c>
      <c r="F37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45169</v>
      </c>
      <c r="G37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45169</v>
      </c>
      <c r="H378" t="s">
        <v>2640</v>
      </c>
      <c r="I378" s="2" t="str">
        <f>CLEAN(TRIM(Working_Sales[[#This Row],[Customer ID]]))</f>
        <v>cust290</v>
      </c>
      <c r="J37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7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CUST290</v>
      </c>
      <c r="L378" t="s">
        <v>34</v>
      </c>
      <c r="M378" s="4" t="str">
        <f>CLEAN(TRIM(Working_Sales[[#This Row],[Gender]]))</f>
        <v>Male</v>
      </c>
      <c r="N378" s="4" t="str" cm="1">
        <f t="array" ref="N378">_xlfn.SWITCH(
   Working_Sales[[#This Row],[Gender_Whitespace_Removed]],
   "m", "Male",
   "f", "Female",
   Working_Sales[[#This Row],[Gender_Whitespace_Removed]]
)</f>
        <v>Male</v>
      </c>
      <c r="O378" s="6" t="str">
        <f>PROPER(Working_Sales[[#This Row],[Gender_Abbreviation_Expanded]])</f>
        <v>Male</v>
      </c>
      <c r="P378">
        <v>62</v>
      </c>
      <c r="Q378" s="2" t="str">
        <f>CLEAN(TRIM(Working_Sales[[#This Row],[Age]]))</f>
        <v>62</v>
      </c>
      <c r="R378" s="6">
        <f>INT(SUBSTITUTE(Working_Sales[[#This Row],[Age_Whitespace_Removed]],".",","))</f>
        <v>62</v>
      </c>
      <c r="S378" t="s">
        <v>36</v>
      </c>
      <c r="T378" s="2" t="str">
        <f>CLEAN(TRIM(Working_Sales[[#This Row],[Product Category]]))</f>
        <v>Beauty</v>
      </c>
      <c r="U378" s="6" t="str">
        <f>PROPER(Working_Sales[[#This Row],[Product_Category_Whitespace_Removed]])</f>
        <v>Beauty</v>
      </c>
      <c r="V378" t="s">
        <v>37</v>
      </c>
      <c r="W378" s="2" t="str">
        <f>CLEAN(TRIM(Working_Sales[[#This Row],[Quantity]]))</f>
        <v>2</v>
      </c>
      <c r="X378" s="2">
        <f>INT(Working_Sales[[#This Row],[`]])</f>
        <v>2</v>
      </c>
      <c r="Y378" s="6">
        <f>IFERROR(
   Working_Sales[[#This Row],[Quantity_Converted_To_Integer]],
   Working_Sales[[#This Row],[Total_Amount_Whitespace_Removed]]/Working_Sales[[#This Row],[Price_Per_Unit_Decimal_Separator_Fixed]])</f>
        <v>2</v>
      </c>
      <c r="Z378" t="s">
        <v>70</v>
      </c>
      <c r="AA378" s="2" t="str">
        <f>CLEAN(TRIM(Working_Sales[[#This Row],[Price per Unit]]))</f>
        <v>30</v>
      </c>
      <c r="AB378" s="2">
        <f>INT(
   SUBSTITUTE(Working_Sales[[#This Row],[Price_Per_Unit_Whitespace_Removed]],
   "$",
   ""
   )
)</f>
        <v>30</v>
      </c>
      <c r="AC378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378" s="8">
        <f>IFERROR(
   Working_Sales[[#This Row],[Price_Per_Unit_Decimal_Separator_Fixed]],
   Working_Sales[[#This Row],[Total_Amount_Converted_To_Integer]]/Working_Sales[[#This Row],[Quantity_Converted_To_Integer]]
)</f>
        <v>30</v>
      </c>
      <c r="AE378" t="s">
        <v>71</v>
      </c>
      <c r="AF378" s="2" t="str">
        <f>CLEAN(TRIM(Working_Sales[[#This Row],[Total Amount]]))</f>
        <v>60</v>
      </c>
      <c r="AG378" s="2">
        <f>INT(Working_Sales[[#This Row],[Total_Amount_Whitespace_Removed]])</f>
        <v>60</v>
      </c>
      <c r="AH37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379" spans="1:34" x14ac:dyDescent="0.35">
      <c r="A379" t="s">
        <v>16</v>
      </c>
      <c r="B379" s="6" t="str">
        <f>CLEAN(TRIM(Working_Sales[[#This Row],[Transaction ID]]))</f>
        <v>200</v>
      </c>
      <c r="C379" t="s">
        <v>1275</v>
      </c>
      <c r="D379" s="2" t="str">
        <f>CLEAN(TRIM(Working_Sales[[#This Row],[Date]]))</f>
        <v>September 01, 2023</v>
      </c>
      <c r="E379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379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37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45170</v>
      </c>
      <c r="H379" t="s">
        <v>1925</v>
      </c>
      <c r="I379" s="2" t="str">
        <f>CLEAN(TRIM(Working_Sales[[#This Row],[Customer ID]]))</f>
        <v>CUST291</v>
      </c>
      <c r="J37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CUST291</v>
      </c>
      <c r="K37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CUST291</v>
      </c>
      <c r="L379" t="s">
        <v>34</v>
      </c>
      <c r="M379" s="4" t="str">
        <f>CLEAN(TRIM(Working_Sales[[#This Row],[Gender]]))</f>
        <v>Male</v>
      </c>
      <c r="N379" s="4" t="str" cm="1">
        <f t="array" ref="N379">_xlfn.SWITCH(
   Working_Sales[[#This Row],[Gender_Whitespace_Removed]],
   "m", "Male",
   "f", "Female",
   Working_Sales[[#This Row],[Gender_Whitespace_Removed]]
)</f>
        <v>Male</v>
      </c>
      <c r="O379" s="6" t="str">
        <f>PROPER(Working_Sales[[#This Row],[Gender_Abbreviation_Expanded]])</f>
        <v>Male</v>
      </c>
      <c r="P379">
        <v>27</v>
      </c>
      <c r="Q379" s="2" t="str">
        <f>CLEAN(TRIM(Working_Sales[[#This Row],[Age]]))</f>
        <v>27</v>
      </c>
      <c r="R379" s="6">
        <f>INT(SUBSTITUTE(Working_Sales[[#This Row],[Age_Whitespace_Removed]],".",","))</f>
        <v>27</v>
      </c>
      <c r="S379" t="s">
        <v>36</v>
      </c>
      <c r="T379" s="2" t="str">
        <f>CLEAN(TRIM(Working_Sales[[#This Row],[Product Category]]))</f>
        <v>Beauty</v>
      </c>
      <c r="U379" s="6" t="str">
        <f>PROPER(Working_Sales[[#This Row],[Product_Category_Whitespace_Removed]])</f>
        <v>Beauty</v>
      </c>
      <c r="V379" t="s">
        <v>29</v>
      </c>
      <c r="W379" s="2" t="str">
        <f>CLEAN(TRIM(Working_Sales[[#This Row],[Quantity]]))</f>
        <v>3</v>
      </c>
      <c r="X379" s="2">
        <f>INT(Working_Sales[[#This Row],[`]])</f>
        <v>3</v>
      </c>
      <c r="Y379" s="6">
        <f>IFERROR(
   Working_Sales[[#This Row],[Quantity_Converted_To_Integer]],
   Working_Sales[[#This Row],[Total_Amount_Whitespace_Removed]]/Working_Sales[[#This Row],[Price_Per_Unit_Decimal_Separator_Fixed]])</f>
        <v>3</v>
      </c>
      <c r="Z379" t="s">
        <v>15</v>
      </c>
      <c r="AA379" s="2" t="str">
        <f>CLEAN(TRIM(Working_Sales[[#This Row],[Price per Unit]]))</f>
        <v>50</v>
      </c>
      <c r="AB379" s="2">
        <f>INT(
   SUBSTITUTE(Working_Sales[[#This Row],[Price_Per_Unit_Whitespace_Removed]],
   "$",
   ""
   )
)</f>
        <v>50</v>
      </c>
      <c r="AC379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379" s="8">
        <f>IFERROR(
   Working_Sales[[#This Row],[Price_Per_Unit_Decimal_Separator_Fixed]],
   Working_Sales[[#This Row],[Total_Amount_Converted_To_Integer]]/Working_Sales[[#This Row],[Quantity_Converted_To_Integer]]
)</f>
        <v>50</v>
      </c>
      <c r="AE379" t="s">
        <v>130</v>
      </c>
      <c r="AF379" s="2" t="str">
        <f>CLEAN(TRIM(Working_Sales[[#This Row],[Total Amount]]))</f>
        <v>150</v>
      </c>
      <c r="AG379" s="2">
        <f>INT(Working_Sales[[#This Row],[Total_Amount_Whitespace_Removed]])</f>
        <v>150</v>
      </c>
      <c r="AH37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380" spans="1:34" x14ac:dyDescent="0.35">
      <c r="A380" t="s">
        <v>866</v>
      </c>
      <c r="B380" s="6" t="str">
        <f>CLEAN(TRIM(Working_Sales[[#This Row],[Transaction ID]]))</f>
        <v>372</v>
      </c>
      <c r="C380" t="s">
        <v>173</v>
      </c>
      <c r="D380" s="2" t="str">
        <f>CLEAN(TRIM(Working_Sales[[#This Row],[Date]]))</f>
        <v>07-Feb-2023</v>
      </c>
      <c r="E38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44964</v>
      </c>
      <c r="F38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44964</v>
      </c>
      <c r="G38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44964</v>
      </c>
      <c r="H380" t="s">
        <v>2641</v>
      </c>
      <c r="I380" s="2" t="str">
        <f>CLEAN(TRIM(Working_Sales[[#This Row],[Customer ID]]))</f>
        <v>Cust292</v>
      </c>
      <c r="J38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8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CUST292</v>
      </c>
      <c r="L380" t="s">
        <v>140</v>
      </c>
      <c r="M380" s="4" t="str">
        <f>CLEAN(TRIM(Working_Sales[[#This Row],[Gender]]))</f>
        <v>FEMALE</v>
      </c>
      <c r="N380" s="4" t="str" cm="1">
        <f t="array" ref="N380">_xlfn.SWITCH(
   Working_Sales[[#This Row],[Gender_Whitespace_Removed]],
   "m", "Male",
   "f", "Female",
   Working_Sales[[#This Row],[Gender_Whitespace_Removed]]
)</f>
        <v>FEMALE</v>
      </c>
      <c r="O380" s="6" t="str">
        <f>PROPER(Working_Sales[[#This Row],[Gender_Abbreviation_Expanded]])</f>
        <v>Female</v>
      </c>
      <c r="P380">
        <v>24</v>
      </c>
      <c r="Q380" s="2" t="str">
        <f>CLEAN(TRIM(Working_Sales[[#This Row],[Age]]))</f>
        <v>24</v>
      </c>
      <c r="R380" s="6">
        <f>INT(SUBSTITUTE(Working_Sales[[#This Row],[Age_Whitespace_Removed]],".",","))</f>
        <v>24</v>
      </c>
      <c r="S380" t="s">
        <v>62</v>
      </c>
      <c r="T380" s="2" t="str">
        <f>CLEAN(TRIM(Working_Sales[[#This Row],[Product Category]]))</f>
        <v>beauty</v>
      </c>
      <c r="U380" s="6" t="str">
        <f>PROPER(Working_Sales[[#This Row],[Product_Category_Whitespace_Removed]])</f>
        <v>Beauty</v>
      </c>
      <c r="V380" t="s">
        <v>29</v>
      </c>
      <c r="W380" s="2" t="str">
        <f>CLEAN(TRIM(Working_Sales[[#This Row],[Quantity]]))</f>
        <v>3</v>
      </c>
      <c r="X380" s="2">
        <f>INT(Working_Sales[[#This Row],[`]])</f>
        <v>3</v>
      </c>
      <c r="Y380" s="6">
        <f>IFERROR(
   Working_Sales[[#This Row],[Quantity_Converted_To_Integer]],
   Working_Sales[[#This Row],[Total_Amount_Whitespace_Removed]]/Working_Sales[[#This Row],[Price_Per_Unit_Decimal_Separator_Fixed]])</f>
        <v>3</v>
      </c>
      <c r="Z380" t="s">
        <v>57</v>
      </c>
      <c r="AA380" s="2" t="str">
        <f>CLEAN(TRIM(Working_Sales[[#This Row],[Price per Unit]]))</f>
        <v>500</v>
      </c>
      <c r="AB380" s="2">
        <f>INT(
   SUBSTITUTE(Working_Sales[[#This Row],[Price_Per_Unit_Whitespace_Removed]],
   "$",
   ""
   )
)</f>
        <v>500</v>
      </c>
      <c r="AC380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380" s="8">
        <f>IFERROR(
   Working_Sales[[#This Row],[Price_Per_Unit_Decimal_Separator_Fixed]],
   Working_Sales[[#This Row],[Total_Amount_Converted_To_Integer]]/Working_Sales[[#This Row],[Quantity_Converted_To_Integer]]
)</f>
        <v>500</v>
      </c>
      <c r="AE380" t="s">
        <v>85</v>
      </c>
      <c r="AF380" s="2" t="str">
        <f>CLEAN(TRIM(Working_Sales[[#This Row],[Total Amount]]))</f>
        <v>1500</v>
      </c>
      <c r="AG380" s="2">
        <f>INT(Working_Sales[[#This Row],[Total_Amount_Whitespace_Removed]])</f>
        <v>1500</v>
      </c>
      <c r="AH38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381" spans="1:34" x14ac:dyDescent="0.35">
      <c r="A381" t="s">
        <v>868</v>
      </c>
      <c r="B381" s="6" t="str">
        <f>CLEAN(TRIM(Working_Sales[[#This Row],[Transaction ID]]))</f>
        <v>873</v>
      </c>
      <c r="C381" t="s">
        <v>257</v>
      </c>
      <c r="D381" s="2" t="str">
        <f>CLEAN(TRIM(Working_Sales[[#This Row],[Date]]))</f>
        <v>2023-09-29</v>
      </c>
      <c r="E38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45198</v>
      </c>
      <c r="F38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45198</v>
      </c>
      <c r="G38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45198</v>
      </c>
      <c r="H381" t="s">
        <v>1327</v>
      </c>
      <c r="I381" s="2" t="str">
        <f>CLEAN(TRIM(Working_Sales[[#This Row],[Customer ID]]))</f>
        <v>CUST-293</v>
      </c>
      <c r="J38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8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CUST293</v>
      </c>
      <c r="L381" t="s">
        <v>26</v>
      </c>
      <c r="M381" s="4" t="str">
        <f>CLEAN(TRIM(Working_Sales[[#This Row],[Gender]]))</f>
        <v>Female</v>
      </c>
      <c r="N381" s="4" t="str" cm="1">
        <f t="array" ref="N381">_xlfn.SWITCH(
   Working_Sales[[#This Row],[Gender_Whitespace_Removed]],
   "m", "Male",
   "f", "Female",
   Working_Sales[[#This Row],[Gender_Whitespace_Removed]]
)</f>
        <v>Female</v>
      </c>
      <c r="O381" s="6" t="str">
        <f>PROPER(Working_Sales[[#This Row],[Gender_Abbreviation_Expanded]])</f>
        <v>Female</v>
      </c>
      <c r="P381">
        <v>27</v>
      </c>
      <c r="Q381" s="2" t="str">
        <f>CLEAN(TRIM(Working_Sales[[#This Row],[Age]]))</f>
        <v>27</v>
      </c>
      <c r="R381" s="6">
        <f>INT(SUBSTITUTE(Working_Sales[[#This Row],[Age_Whitespace_Removed]],".",","))</f>
        <v>27</v>
      </c>
      <c r="S381" t="s">
        <v>13</v>
      </c>
      <c r="T381" s="2" t="str">
        <f>CLEAN(TRIM(Working_Sales[[#This Row],[Product Category]]))</f>
        <v>Electronics</v>
      </c>
      <c r="U381" s="6" t="str">
        <f>PROPER(Working_Sales[[#This Row],[Product_Category_Whitespace_Removed]])</f>
        <v>Electronics</v>
      </c>
      <c r="V381" t="s">
        <v>14</v>
      </c>
      <c r="W381" s="2" t="str">
        <f>CLEAN(TRIM(Working_Sales[[#This Row],[Quantity]]))</f>
        <v>4</v>
      </c>
      <c r="X381" s="2">
        <f>INT(Working_Sales[[#This Row],[`]])</f>
        <v>4</v>
      </c>
      <c r="Y381" s="6">
        <f>IFERROR(
   Working_Sales[[#This Row],[Quantity_Converted_To_Integer]],
   Working_Sales[[#This Row],[Total_Amount_Whitespace_Removed]]/Working_Sales[[#This Row],[Price_Per_Unit_Decimal_Separator_Fixed]])</f>
        <v>4</v>
      </c>
      <c r="Z381" t="s">
        <v>371</v>
      </c>
      <c r="AA381" s="2" t="str">
        <f>CLEAN(TRIM(Working_Sales[[#This Row],[Price per Unit]]))</f>
        <v>25.00</v>
      </c>
      <c r="AB381" s="2" t="e">
        <f>INT(
   SUBSTITUTE(Working_Sales[[#This Row],[Price_Per_Unit_Whitespace_Removed]],
   "$",
   ""
   )
)</f>
        <v>#VALUE!</v>
      </c>
      <c r="AC381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381" s="8">
        <f>IFERROR(
   Working_Sales[[#This Row],[Price_Per_Unit_Decimal_Separator_Fixed]],
   Working_Sales[[#This Row],[Total_Amount_Converted_To_Integer]]/Working_Sales[[#This Row],[Quantity_Converted_To_Integer]]
)</f>
        <v>25</v>
      </c>
      <c r="AF381" s="2" t="str">
        <f>CLEAN(TRIM(Working_Sales[[#This Row],[Total Amount]]))</f>
        <v/>
      </c>
      <c r="AG381" s="2" t="e">
        <f>INT(Working_Sales[[#This Row],[Total_Amount_Whitespace_Removed]])</f>
        <v>#VALUE!</v>
      </c>
      <c r="AH38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382" spans="1:34" x14ac:dyDescent="0.35">
      <c r="A382" t="s">
        <v>869</v>
      </c>
      <c r="B382" s="6" t="str">
        <f>CLEAN(TRIM(Working_Sales[[#This Row],[Transaction ID]]))</f>
        <v>915</v>
      </c>
      <c r="C382" t="s">
        <v>2089</v>
      </c>
      <c r="D382" s="2" t="str">
        <f>CLEAN(TRIM(Working_Sales[[#This Row],[Date]]))</f>
        <v>30/05/2023</v>
      </c>
      <c r="E38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45076</v>
      </c>
      <c r="F38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45076</v>
      </c>
      <c r="G38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45076</v>
      </c>
      <c r="H382" t="s">
        <v>2642</v>
      </c>
      <c r="I382" s="2" t="str">
        <f>CLEAN(TRIM(Working_Sales[[#This Row],[Customer ID]]))</f>
        <v>CUST294</v>
      </c>
      <c r="J38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CUST294</v>
      </c>
      <c r="K38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CUST294</v>
      </c>
      <c r="L382" t="s">
        <v>112</v>
      </c>
      <c r="M382" s="4" t="str">
        <f>CLEAN(TRIM(Working_Sales[[#This Row],[Gender]]))</f>
        <v>female</v>
      </c>
      <c r="N382" s="4" t="str" cm="1">
        <f t="array" ref="N382">_xlfn.SWITCH(
   Working_Sales[[#This Row],[Gender_Whitespace_Removed]],
   "m", "Male",
   "f", "Female",
   Working_Sales[[#This Row],[Gender_Whitespace_Removed]]
)</f>
        <v>female</v>
      </c>
      <c r="O382" s="6" t="str">
        <f>PROPER(Working_Sales[[#This Row],[Gender_Abbreviation_Expanded]])</f>
        <v>Female</v>
      </c>
      <c r="P382">
        <v>26</v>
      </c>
      <c r="Q382" s="2" t="str">
        <f>CLEAN(TRIM(Working_Sales[[#This Row],[Age]]))</f>
        <v>26</v>
      </c>
      <c r="R382" s="6">
        <f>INT(SUBSTITUTE(Working_Sales[[#This Row],[Age_Whitespace_Removed]],".",","))</f>
        <v>26</v>
      </c>
      <c r="S382" t="s">
        <v>36</v>
      </c>
      <c r="T382" s="2" t="str">
        <f>CLEAN(TRIM(Working_Sales[[#This Row],[Product Category]]))</f>
        <v>Beauty</v>
      </c>
      <c r="U382" s="6" t="str">
        <f>PROPER(Working_Sales[[#This Row],[Product_Category_Whitespace_Removed]])</f>
        <v>Beauty</v>
      </c>
      <c r="V382" t="s">
        <v>29</v>
      </c>
      <c r="W382" s="2" t="str">
        <f>CLEAN(TRIM(Working_Sales[[#This Row],[Quantity]]))</f>
        <v>3</v>
      </c>
      <c r="X382" s="2">
        <f>INT(Working_Sales[[#This Row],[`]])</f>
        <v>3</v>
      </c>
      <c r="Y382" s="6">
        <f>IFERROR(
   Working_Sales[[#This Row],[Quantity_Converted_To_Integer]],
   Working_Sales[[#This Row],[Total_Amount_Whitespace_Removed]]/Working_Sales[[#This Row],[Price_Per_Unit_Decimal_Separator_Fixed]])</f>
        <v>3</v>
      </c>
      <c r="Z382" t="s">
        <v>70</v>
      </c>
      <c r="AA382" s="2" t="str">
        <f>CLEAN(TRIM(Working_Sales[[#This Row],[Price per Unit]]))</f>
        <v>30</v>
      </c>
      <c r="AB382" s="2">
        <f>INT(
   SUBSTITUTE(Working_Sales[[#This Row],[Price_Per_Unit_Whitespace_Removed]],
   "$",
   ""
   )
)</f>
        <v>30</v>
      </c>
      <c r="AC382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382" s="8">
        <f>IFERROR(
   Working_Sales[[#This Row],[Price_Per_Unit_Decimal_Separator_Fixed]],
   Working_Sales[[#This Row],[Total_Amount_Converted_To_Integer]]/Working_Sales[[#This Row],[Quantity_Converted_To_Integer]]
)</f>
        <v>30</v>
      </c>
      <c r="AE382" t="s">
        <v>191</v>
      </c>
      <c r="AF382" s="2" t="str">
        <f>CLEAN(TRIM(Working_Sales[[#This Row],[Total Amount]]))</f>
        <v>90</v>
      </c>
      <c r="AG382" s="2">
        <f>INT(Working_Sales[[#This Row],[Total_Amount_Whitespace_Removed]])</f>
        <v>90</v>
      </c>
      <c r="AH38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383" spans="1:34" x14ac:dyDescent="0.35">
      <c r="A383" t="s">
        <v>871</v>
      </c>
      <c r="B383" s="6" t="str">
        <f>CLEAN(TRIM(Working_Sales[[#This Row],[Transaction ID]]))</f>
        <v>66</v>
      </c>
      <c r="C383" t="s">
        <v>2090</v>
      </c>
      <c r="D383" s="2" t="str">
        <f>CLEAN(TRIM(Working_Sales[[#This Row],[Date]]))</f>
        <v>04/27/2023</v>
      </c>
      <c r="E383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38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45043</v>
      </c>
      <c r="G38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45043</v>
      </c>
      <c r="H383" t="s">
        <v>2643</v>
      </c>
      <c r="I383" s="2" t="str">
        <f>CLEAN(TRIM(Working_Sales[[#This Row],[Customer ID]]))</f>
        <v>CUST127</v>
      </c>
      <c r="J38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CUST127</v>
      </c>
      <c r="K38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CUST127</v>
      </c>
      <c r="L383" t="s">
        <v>26</v>
      </c>
      <c r="M383" s="4" t="str">
        <f>CLEAN(TRIM(Working_Sales[[#This Row],[Gender]]))</f>
        <v>Female</v>
      </c>
      <c r="N383" s="4" t="str" cm="1">
        <f t="array" ref="N383">_xlfn.SWITCH(
   Working_Sales[[#This Row],[Gender_Whitespace_Removed]],
   "m", "Male",
   "f", "Female",
   Working_Sales[[#This Row],[Gender_Whitespace_Removed]]
)</f>
        <v>Female</v>
      </c>
      <c r="O383" s="6" t="str">
        <f>PROPER(Working_Sales[[#This Row],[Gender_Abbreviation_Expanded]])</f>
        <v>Female</v>
      </c>
      <c r="P383">
        <v>45</v>
      </c>
      <c r="Q383" s="2" t="str">
        <f>CLEAN(TRIM(Working_Sales[[#This Row],[Age]]))</f>
        <v>45</v>
      </c>
      <c r="R383" s="6">
        <f>INT(SUBSTITUTE(Working_Sales[[#This Row],[Age_Whitespace_Removed]],".",","))</f>
        <v>45</v>
      </c>
      <c r="S383" t="s">
        <v>13</v>
      </c>
      <c r="T383" s="2" t="str">
        <f>CLEAN(TRIM(Working_Sales[[#This Row],[Product Category]]))</f>
        <v>Electronics</v>
      </c>
      <c r="U383" s="6" t="str">
        <f>PROPER(Working_Sales[[#This Row],[Product_Category_Whitespace_Removed]])</f>
        <v>Electronics</v>
      </c>
      <c r="V383" t="s">
        <v>22</v>
      </c>
      <c r="W383" s="2" t="str">
        <f>CLEAN(TRIM(Working_Sales[[#This Row],[Quantity]]))</f>
        <v>1</v>
      </c>
      <c r="X383" s="2">
        <f>INT(Working_Sales[[#This Row],[`]])</f>
        <v>1</v>
      </c>
      <c r="Y383" s="6">
        <f>IFERROR(
   Working_Sales[[#This Row],[Quantity_Converted_To_Integer]],
   Working_Sales[[#This Row],[Total_Amount_Whitespace_Removed]]/Working_Sales[[#This Row],[Price_Per_Unit_Decimal_Separator_Fixed]])</f>
        <v>1</v>
      </c>
      <c r="Z383" t="s">
        <v>70</v>
      </c>
      <c r="AA383" s="2" t="str">
        <f>CLEAN(TRIM(Working_Sales[[#This Row],[Price per Unit]]))</f>
        <v>30</v>
      </c>
      <c r="AB383" s="2">
        <f>INT(
   SUBSTITUTE(Working_Sales[[#This Row],[Price_Per_Unit_Whitespace_Removed]],
   "$",
   ""
   )
)</f>
        <v>30</v>
      </c>
      <c r="AC383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383" s="8">
        <f>IFERROR(
   Working_Sales[[#This Row],[Price_Per_Unit_Decimal_Separator_Fixed]],
   Working_Sales[[#This Row],[Total_Amount_Converted_To_Integer]]/Working_Sales[[#This Row],[Quantity_Converted_To_Integer]]
)</f>
        <v>30</v>
      </c>
      <c r="AF383" s="2" t="str">
        <f>CLEAN(TRIM(Working_Sales[[#This Row],[Total Amount]]))</f>
        <v/>
      </c>
      <c r="AG383" s="2" t="e">
        <f>INT(Working_Sales[[#This Row],[Total_Amount_Whitespace_Removed]])</f>
        <v>#VALUE!</v>
      </c>
      <c r="AH38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384" spans="1:34" x14ac:dyDescent="0.35">
      <c r="A384" t="s">
        <v>873</v>
      </c>
      <c r="B384" s="6" t="str">
        <f>CLEAN(TRIM(Working_Sales[[#This Row],[Transaction ID]]))</f>
        <v>483</v>
      </c>
      <c r="C384" t="s">
        <v>410</v>
      </c>
      <c r="D384" s="2" t="str">
        <f>CLEAN(TRIM(Working_Sales[[#This Row],[Date]]))</f>
        <v>2023-04-25</v>
      </c>
      <c r="E38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45041</v>
      </c>
      <c r="F38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45041</v>
      </c>
      <c r="G38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45041</v>
      </c>
      <c r="H384" t="s">
        <v>2644</v>
      </c>
      <c r="I384" s="2" t="str">
        <f>CLEAN(TRIM(Working_Sales[[#This Row],[Customer ID]]))</f>
        <v>CUST081</v>
      </c>
      <c r="J38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CUST081</v>
      </c>
      <c r="K38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CUST081</v>
      </c>
      <c r="L384" t="s">
        <v>34</v>
      </c>
      <c r="M384" s="4" t="str">
        <f>CLEAN(TRIM(Working_Sales[[#This Row],[Gender]]))</f>
        <v>Male</v>
      </c>
      <c r="N384" s="4" t="str" cm="1">
        <f t="array" ref="N384">_xlfn.SWITCH(
   Working_Sales[[#This Row],[Gender_Whitespace_Removed]],
   "m", "Male",
   "f", "Female",
   Working_Sales[[#This Row],[Gender_Whitespace_Removed]]
)</f>
        <v>Male</v>
      </c>
      <c r="O384" s="6" t="str">
        <f>PROPER(Working_Sales[[#This Row],[Gender_Abbreviation_Expanded]])</f>
        <v>Male</v>
      </c>
      <c r="P384">
        <v>55</v>
      </c>
      <c r="Q384" s="2" t="str">
        <f>CLEAN(TRIM(Working_Sales[[#This Row],[Age]]))</f>
        <v>55</v>
      </c>
      <c r="R384" s="6">
        <f>INT(SUBSTITUTE(Working_Sales[[#This Row],[Age_Whitespace_Removed]],".",","))</f>
        <v>55</v>
      </c>
      <c r="S384" t="s">
        <v>400</v>
      </c>
      <c r="T384" s="2" t="str">
        <f>CLEAN(TRIM(Working_Sales[[#This Row],[Product Category]]))</f>
        <v>Clothing</v>
      </c>
      <c r="U384" s="6" t="str">
        <f>PROPER(Working_Sales[[#This Row],[Product_Category_Whitespace_Removed]])</f>
        <v>Clothing</v>
      </c>
      <c r="V384" t="s">
        <v>22</v>
      </c>
      <c r="W384" s="2" t="str">
        <f>CLEAN(TRIM(Working_Sales[[#This Row],[Quantity]]))</f>
        <v>1</v>
      </c>
      <c r="X384" s="2">
        <f>INT(Working_Sales[[#This Row],[`]])</f>
        <v>1</v>
      </c>
      <c r="Y384" s="6">
        <f>IFERROR(
   Working_Sales[[#This Row],[Quantity_Converted_To_Integer]],
   Working_Sales[[#This Row],[Total_Amount_Whitespace_Removed]]/Working_Sales[[#This Row],[Price_Per_Unit_Decimal_Separator_Fixed]])</f>
        <v>1</v>
      </c>
      <c r="Z384" t="s">
        <v>70</v>
      </c>
      <c r="AA384" s="2" t="str">
        <f>CLEAN(TRIM(Working_Sales[[#This Row],[Price per Unit]]))</f>
        <v>30</v>
      </c>
      <c r="AB384" s="2">
        <f>INT(
   SUBSTITUTE(Working_Sales[[#This Row],[Price_Per_Unit_Whitespace_Removed]],
   "$",
   ""
   )
)</f>
        <v>30</v>
      </c>
      <c r="AC384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384" s="8">
        <f>IFERROR(
   Working_Sales[[#This Row],[Price_Per_Unit_Decimal_Separator_Fixed]],
   Working_Sales[[#This Row],[Total_Amount_Converted_To_Integer]]/Working_Sales[[#This Row],[Quantity_Converted_To_Integer]]
)</f>
        <v>30</v>
      </c>
      <c r="AE384" t="s">
        <v>70</v>
      </c>
      <c r="AF384" s="2" t="str">
        <f>CLEAN(TRIM(Working_Sales[[#This Row],[Total Amount]]))</f>
        <v>30</v>
      </c>
      <c r="AG384" s="2">
        <f>INT(Working_Sales[[#This Row],[Total_Amount_Whitespace_Removed]])</f>
        <v>30</v>
      </c>
      <c r="AH38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385" spans="1:34" x14ac:dyDescent="0.35">
      <c r="A385" t="s">
        <v>204</v>
      </c>
      <c r="B385" s="6" t="str">
        <f>CLEAN(TRIM(Working_Sales[[#This Row],[Transaction ID]]))</f>
        <v>41</v>
      </c>
      <c r="C385" t="s">
        <v>875</v>
      </c>
      <c r="D385" s="2" t="str">
        <f>CLEAN(TRIM(Working_Sales[[#This Row],[Date]]))</f>
        <v>02/22/2023</v>
      </c>
      <c r="E385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38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44979</v>
      </c>
      <c r="G38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44979</v>
      </c>
      <c r="H385" t="s">
        <v>2447</v>
      </c>
      <c r="I385" s="2" t="str">
        <f>CLEAN(TRIM(Working_Sales[[#This Row],[Customer ID]]))</f>
        <v>cust133</v>
      </c>
      <c r="J38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8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CUST133</v>
      </c>
      <c r="L385" t="s">
        <v>11</v>
      </c>
      <c r="M385" s="4" t="str">
        <f>CLEAN(TRIM(Working_Sales[[#This Row],[Gender]]))</f>
        <v>MALE</v>
      </c>
      <c r="N385" s="4" t="str" cm="1">
        <f t="array" ref="N385">_xlfn.SWITCH(
   Working_Sales[[#This Row],[Gender_Whitespace_Removed]],
   "m", "Male",
   "f", "Female",
   Working_Sales[[#This Row],[Gender_Whitespace_Removed]]
)</f>
        <v>MALE</v>
      </c>
      <c r="O385" s="6" t="str">
        <f>PROPER(Working_Sales[[#This Row],[Gender_Abbreviation_Expanded]])</f>
        <v>Male</v>
      </c>
      <c r="P385" t="s">
        <v>877</v>
      </c>
      <c r="Q385" s="2" t="str">
        <f>CLEAN(TRIM(Working_Sales[[#This Row],[Age]]))</f>
        <v>34</v>
      </c>
      <c r="R385" s="6">
        <f>INT(SUBSTITUTE(Working_Sales[[#This Row],[Age_Whitespace_Removed]],".",","))</f>
        <v>34</v>
      </c>
      <c r="S385" t="s">
        <v>56</v>
      </c>
      <c r="T385" s="2" t="str">
        <f>CLEAN(TRIM(Working_Sales[[#This Row],[Product Category]]))</f>
        <v>Clothing</v>
      </c>
      <c r="U385" s="6" t="str">
        <f>PROPER(Working_Sales[[#This Row],[Product_Category_Whitespace_Removed]])</f>
        <v>Clothing</v>
      </c>
      <c r="V385" t="s">
        <v>37</v>
      </c>
      <c r="W385" s="2" t="str">
        <f>CLEAN(TRIM(Working_Sales[[#This Row],[Quantity]]))</f>
        <v>2</v>
      </c>
      <c r="X385" s="2">
        <f>INT(Working_Sales[[#This Row],[`]])</f>
        <v>2</v>
      </c>
      <c r="Y385" s="6">
        <f>IFERROR(
   Working_Sales[[#This Row],[Quantity_Converted_To_Integer]],
   Working_Sales[[#This Row],[Total_Amount_Whitespace_Removed]]/Working_Sales[[#This Row],[Price_Per_Unit_Decimal_Separator_Fixed]])</f>
        <v>2</v>
      </c>
      <c r="Z385" t="s">
        <v>30</v>
      </c>
      <c r="AA385" s="2" t="str">
        <f>CLEAN(TRIM(Working_Sales[[#This Row],[Price per Unit]]))</f>
        <v>25</v>
      </c>
      <c r="AB385" s="2">
        <f>INT(
   SUBSTITUTE(Working_Sales[[#This Row],[Price_Per_Unit_Whitespace_Removed]],
   "$",
   ""
   )
)</f>
        <v>25</v>
      </c>
      <c r="AC385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385" s="8">
        <f>IFERROR(
   Working_Sales[[#This Row],[Price_Per_Unit_Decimal_Separator_Fixed]],
   Working_Sales[[#This Row],[Total_Amount_Converted_To_Integer]]/Working_Sales[[#This Row],[Quantity_Converted_To_Integer]]
)</f>
        <v>25</v>
      </c>
      <c r="AE385" t="s">
        <v>15</v>
      </c>
      <c r="AF385" s="2" t="str">
        <f>CLEAN(TRIM(Working_Sales[[#This Row],[Total Amount]]))</f>
        <v>50</v>
      </c>
      <c r="AG385" s="2">
        <f>INT(Working_Sales[[#This Row],[Total_Amount_Whitespace_Removed]])</f>
        <v>50</v>
      </c>
      <c r="AH38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386" spans="1:34" x14ac:dyDescent="0.35">
      <c r="A386" t="s">
        <v>878</v>
      </c>
      <c r="B386" s="6" t="str">
        <f>CLEAN(TRIM(Working_Sales[[#This Row],[Transaction ID]]))</f>
        <v>772</v>
      </c>
      <c r="C386" t="s">
        <v>879</v>
      </c>
      <c r="D386" s="2" t="str">
        <f>CLEAN(TRIM(Working_Sales[[#This Row],[Date]]))</f>
        <v>2023-07-12</v>
      </c>
      <c r="E38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45119</v>
      </c>
      <c r="F38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45119</v>
      </c>
      <c r="G38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45119</v>
      </c>
      <c r="H386" t="s">
        <v>2645</v>
      </c>
      <c r="I386" s="2" t="str">
        <f>CLEAN(TRIM(Working_Sales[[#This Row],[Customer ID]]))</f>
        <v>cust295</v>
      </c>
      <c r="J38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8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CUST295</v>
      </c>
      <c r="L386" t="s">
        <v>34</v>
      </c>
      <c r="M386" s="4" t="str">
        <f>CLEAN(TRIM(Working_Sales[[#This Row],[Gender]]))</f>
        <v>Male</v>
      </c>
      <c r="N386" s="4" t="str" cm="1">
        <f t="array" ref="N386">_xlfn.SWITCH(
   Working_Sales[[#This Row],[Gender_Whitespace_Removed]],
   "m", "Male",
   "f", "Female",
   Working_Sales[[#This Row],[Gender_Whitespace_Removed]]
)</f>
        <v>Male</v>
      </c>
      <c r="O386" s="6" t="str">
        <f>PROPER(Working_Sales[[#This Row],[Gender_Abbreviation_Expanded]])</f>
        <v>Male</v>
      </c>
      <c r="P386">
        <v>26</v>
      </c>
      <c r="Q386" s="2" t="str">
        <f>CLEAN(TRIM(Working_Sales[[#This Row],[Age]]))</f>
        <v>26</v>
      </c>
      <c r="R386" s="6">
        <f>INT(SUBSTITUTE(Working_Sales[[#This Row],[Age_Whitespace_Removed]],".",","))</f>
        <v>26</v>
      </c>
      <c r="S386" t="s">
        <v>13</v>
      </c>
      <c r="T386" s="2" t="str">
        <f>CLEAN(TRIM(Working_Sales[[#This Row],[Product Category]]))</f>
        <v>Electronics</v>
      </c>
      <c r="U386" s="6" t="str">
        <f>PROPER(Working_Sales[[#This Row],[Product_Category_Whitespace_Removed]])</f>
        <v>Electronics</v>
      </c>
      <c r="V386" t="s">
        <v>22</v>
      </c>
      <c r="W386" s="2" t="str">
        <f>CLEAN(TRIM(Working_Sales[[#This Row],[Quantity]]))</f>
        <v>1</v>
      </c>
      <c r="X386" s="2">
        <f>INT(Working_Sales[[#This Row],[`]])</f>
        <v>1</v>
      </c>
      <c r="Y386" s="6">
        <f>IFERROR(
   Working_Sales[[#This Row],[Quantity_Converted_To_Integer]],
   Working_Sales[[#This Row],[Total_Amount_Whitespace_Removed]]/Working_Sales[[#This Row],[Price_Per_Unit_Decimal_Separator_Fixed]])</f>
        <v>1</v>
      </c>
      <c r="Z386" t="s">
        <v>70</v>
      </c>
      <c r="AA386" s="2" t="str">
        <f>CLEAN(TRIM(Working_Sales[[#This Row],[Price per Unit]]))</f>
        <v>30</v>
      </c>
      <c r="AB386" s="2">
        <f>INT(
   SUBSTITUTE(Working_Sales[[#This Row],[Price_Per_Unit_Whitespace_Removed]],
   "$",
   ""
   )
)</f>
        <v>30</v>
      </c>
      <c r="AC386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386" s="8">
        <f>IFERROR(
   Working_Sales[[#This Row],[Price_Per_Unit_Decimal_Separator_Fixed]],
   Working_Sales[[#This Row],[Total_Amount_Converted_To_Integer]]/Working_Sales[[#This Row],[Quantity_Converted_To_Integer]]
)</f>
        <v>30</v>
      </c>
      <c r="AE386" t="s">
        <v>70</v>
      </c>
      <c r="AF386" s="2" t="str">
        <f>CLEAN(TRIM(Working_Sales[[#This Row],[Total Amount]]))</f>
        <v>30</v>
      </c>
      <c r="AG386" s="2">
        <f>INT(Working_Sales[[#This Row],[Total_Amount_Whitespace_Removed]])</f>
        <v>30</v>
      </c>
      <c r="AH38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387" spans="1:34" x14ac:dyDescent="0.35">
      <c r="A387" t="s">
        <v>880</v>
      </c>
      <c r="B387" s="6" t="str">
        <f>CLEAN(TRIM(Working_Sales[[#This Row],[Transaction ID]]))</f>
        <v>732</v>
      </c>
      <c r="C387" t="s">
        <v>270</v>
      </c>
      <c r="D387" s="2" t="str">
        <f>CLEAN(TRIM(Working_Sales[[#This Row],[Date]]))</f>
        <v>11-Feb-2023</v>
      </c>
      <c r="E38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44968</v>
      </c>
      <c r="F38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44968</v>
      </c>
      <c r="G38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44968</v>
      </c>
      <c r="H387" t="s">
        <v>2646</v>
      </c>
      <c r="I387" s="2" t="str">
        <f>CLEAN(TRIM(Working_Sales[[#This Row],[Customer ID]]))</f>
        <v>CUST296</v>
      </c>
      <c r="J38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CUST296</v>
      </c>
      <c r="K38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CUST296</v>
      </c>
      <c r="L387" t="s">
        <v>34</v>
      </c>
      <c r="M387" s="4" t="str">
        <f>CLEAN(TRIM(Working_Sales[[#This Row],[Gender]]))</f>
        <v>Male</v>
      </c>
      <c r="N387" s="4" t="str" cm="1">
        <f t="array" ref="N387">_xlfn.SWITCH(
   Working_Sales[[#This Row],[Gender_Whitespace_Removed]],
   "m", "Male",
   "f", "Female",
   Working_Sales[[#This Row],[Gender_Whitespace_Removed]]
)</f>
        <v>Male</v>
      </c>
      <c r="O387" s="6" t="str">
        <f>PROPER(Working_Sales[[#This Row],[Gender_Abbreviation_Expanded]])</f>
        <v>Male</v>
      </c>
      <c r="P387" t="s">
        <v>596</v>
      </c>
      <c r="Q387" s="2" t="str">
        <f>CLEAN(TRIM(Working_Sales[[#This Row],[Age]]))</f>
        <v>61</v>
      </c>
      <c r="R387" s="6">
        <f>INT(SUBSTITUTE(Working_Sales[[#This Row],[Age_Whitespace_Removed]],".",","))</f>
        <v>61</v>
      </c>
      <c r="S387" t="s">
        <v>99</v>
      </c>
      <c r="T387" s="2" t="str">
        <f>CLEAN(TRIM(Working_Sales[[#This Row],[Product Category]]))</f>
        <v>ELECTRONICS</v>
      </c>
      <c r="U387" s="6" t="str">
        <f>PROPER(Working_Sales[[#This Row],[Product_Category_Whitespace_Removed]])</f>
        <v>Electronics</v>
      </c>
      <c r="V387" t="s">
        <v>37</v>
      </c>
      <c r="W387" s="2" t="str">
        <f>CLEAN(TRIM(Working_Sales[[#This Row],[Quantity]]))</f>
        <v>2</v>
      </c>
      <c r="X387" s="2">
        <f>INT(Working_Sales[[#This Row],[`]])</f>
        <v>2</v>
      </c>
      <c r="Y387" s="6">
        <f>IFERROR(
   Working_Sales[[#This Row],[Quantity_Converted_To_Integer]],
   Working_Sales[[#This Row],[Total_Amount_Whitespace_Removed]]/Working_Sales[[#This Row],[Price_Per_Unit_Decimal_Separator_Fixed]])</f>
        <v>2</v>
      </c>
      <c r="Z387" t="s">
        <v>57</v>
      </c>
      <c r="AA387" s="2" t="str">
        <f>CLEAN(TRIM(Working_Sales[[#This Row],[Price per Unit]]))</f>
        <v>500</v>
      </c>
      <c r="AB387" s="2">
        <f>INT(
   SUBSTITUTE(Working_Sales[[#This Row],[Price_Per_Unit_Whitespace_Removed]],
   "$",
   ""
   )
)</f>
        <v>500</v>
      </c>
      <c r="AC387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387" s="8">
        <f>IFERROR(
   Working_Sales[[#This Row],[Price_Per_Unit_Decimal_Separator_Fixed]],
   Working_Sales[[#This Row],[Total_Amount_Converted_To_Integer]]/Working_Sales[[#This Row],[Quantity_Converted_To_Integer]]
)</f>
        <v>500</v>
      </c>
      <c r="AE387" t="s">
        <v>163</v>
      </c>
      <c r="AF387" s="2" t="str">
        <f>CLEAN(TRIM(Working_Sales[[#This Row],[Total Amount]]))</f>
        <v>1000</v>
      </c>
      <c r="AG387" s="2">
        <f>INT(Working_Sales[[#This Row],[Total_Amount_Whitespace_Removed]])</f>
        <v>1000</v>
      </c>
      <c r="AH38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388" spans="1:34" x14ac:dyDescent="0.35">
      <c r="A388" t="s">
        <v>881</v>
      </c>
      <c r="B388" s="6" t="str">
        <f>CLEAN(TRIM(Working_Sales[[#This Row],[Transaction ID]]))</f>
        <v>473</v>
      </c>
      <c r="C388" t="s">
        <v>882</v>
      </c>
      <c r="D388" s="2" t="str">
        <f>CLEAN(TRIM(Working_Sales[[#This Row],[Date]]))</f>
        <v>25/02/2023</v>
      </c>
      <c r="E38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44982</v>
      </c>
      <c r="F38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44982</v>
      </c>
      <c r="G38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44982</v>
      </c>
      <c r="H388" t="s">
        <v>2647</v>
      </c>
      <c r="I388" s="2" t="str">
        <f>CLEAN(TRIM(Working_Sales[[#This Row],[Customer ID]]))</f>
        <v>cust086</v>
      </c>
      <c r="J38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8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CUST086</v>
      </c>
      <c r="L388" t="s">
        <v>34</v>
      </c>
      <c r="M388" s="4" t="str">
        <f>CLEAN(TRIM(Working_Sales[[#This Row],[Gender]]))</f>
        <v>Male</v>
      </c>
      <c r="N388" s="4" t="str" cm="1">
        <f t="array" ref="N388">_xlfn.SWITCH(
   Working_Sales[[#This Row],[Gender_Whitespace_Removed]],
   "m", "Male",
   "f", "Female",
   Working_Sales[[#This Row],[Gender_Whitespace_Removed]]
)</f>
        <v>Male</v>
      </c>
      <c r="O388" s="6" t="str">
        <f>PROPER(Working_Sales[[#This Row],[Gender_Abbreviation_Expanded]])</f>
        <v>Male</v>
      </c>
      <c r="P388">
        <v>64</v>
      </c>
      <c r="Q388" s="2" t="str">
        <f>CLEAN(TRIM(Working_Sales[[#This Row],[Age]]))</f>
        <v>64</v>
      </c>
      <c r="R388" s="6">
        <f>INT(SUBSTITUTE(Working_Sales[[#This Row],[Age_Whitespace_Removed]],".",","))</f>
        <v>64</v>
      </c>
      <c r="S388" t="s">
        <v>36</v>
      </c>
      <c r="T388" s="2" t="str">
        <f>CLEAN(TRIM(Working_Sales[[#This Row],[Product Category]]))</f>
        <v>Beauty</v>
      </c>
      <c r="U388" s="6" t="str">
        <f>PROPER(Working_Sales[[#This Row],[Product_Category_Whitespace_Removed]])</f>
        <v>Beauty</v>
      </c>
      <c r="V388" t="s">
        <v>22</v>
      </c>
      <c r="W388" s="2" t="str">
        <f>CLEAN(TRIM(Working_Sales[[#This Row],[Quantity]]))</f>
        <v>1</v>
      </c>
      <c r="X388" s="2">
        <f>INT(Working_Sales[[#This Row],[`]])</f>
        <v>1</v>
      </c>
      <c r="Y388" s="6">
        <f>IFERROR(
   Working_Sales[[#This Row],[Quantity_Converted_To_Integer]],
   Working_Sales[[#This Row],[Total_Amount_Whitespace_Removed]]/Working_Sales[[#This Row],[Price_Per_Unit_Decimal_Separator_Fixed]])</f>
        <v>1</v>
      </c>
      <c r="Z388" t="s">
        <v>153</v>
      </c>
      <c r="AA388" s="2" t="str">
        <f>CLEAN(TRIM(Working_Sales[[#This Row],[Price per Unit]]))</f>
        <v>50.00</v>
      </c>
      <c r="AB388" s="2" t="e">
        <f>INT(
   SUBSTITUTE(Working_Sales[[#This Row],[Price_Per_Unit_Whitespace_Removed]],
   "$",
   ""
   )
)</f>
        <v>#VALUE!</v>
      </c>
      <c r="AC388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388" s="8">
        <f>IFERROR(
   Working_Sales[[#This Row],[Price_Per_Unit_Decimal_Separator_Fixed]],
   Working_Sales[[#This Row],[Total_Amount_Converted_To_Integer]]/Working_Sales[[#This Row],[Quantity_Converted_To_Integer]]
)</f>
        <v>50</v>
      </c>
      <c r="AE388" t="s">
        <v>15</v>
      </c>
      <c r="AF388" s="2" t="str">
        <f>CLEAN(TRIM(Working_Sales[[#This Row],[Total Amount]]))</f>
        <v>50</v>
      </c>
      <c r="AG388" s="2">
        <f>INT(Working_Sales[[#This Row],[Total_Amount_Whitespace_Removed]])</f>
        <v>50</v>
      </c>
      <c r="AH38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389" spans="1:34" x14ac:dyDescent="0.35">
      <c r="A389" t="s">
        <v>883</v>
      </c>
      <c r="B389" s="6" t="str">
        <f>CLEAN(TRIM(Working_Sales[[#This Row],[Transaction ID]]))</f>
        <v>962</v>
      </c>
      <c r="C389" t="s">
        <v>884</v>
      </c>
      <c r="D389" s="2" t="str">
        <f>CLEAN(TRIM(Working_Sales[[#This Row],[Date]]))</f>
        <v>19/10/2023</v>
      </c>
      <c r="E38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45218</v>
      </c>
      <c r="F38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45218</v>
      </c>
      <c r="G38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45218</v>
      </c>
      <c r="H389" t="s">
        <v>2649</v>
      </c>
      <c r="I389" s="2" t="str">
        <f>CLEAN(TRIM(Working_Sales[[#This Row],[Customer ID]]))</f>
        <v>CUST298</v>
      </c>
      <c r="J38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CUST298</v>
      </c>
      <c r="K38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CUST298</v>
      </c>
      <c r="L389" t="s">
        <v>34</v>
      </c>
      <c r="M389" s="4" t="str">
        <f>CLEAN(TRIM(Working_Sales[[#This Row],[Gender]]))</f>
        <v>Male</v>
      </c>
      <c r="N389" s="4" t="str" cm="1">
        <f t="array" ref="N389">_xlfn.SWITCH(
   Working_Sales[[#This Row],[Gender_Whitespace_Removed]],
   "m", "Male",
   "f", "Female",
   Working_Sales[[#This Row],[Gender_Whitespace_Removed]]
)</f>
        <v>Male</v>
      </c>
      <c r="O389" s="6" t="str">
        <f>PROPER(Working_Sales[[#This Row],[Gender_Abbreviation_Expanded]])</f>
        <v>Male</v>
      </c>
      <c r="P389">
        <v>44</v>
      </c>
      <c r="Q389" s="2" t="str">
        <f>CLEAN(TRIM(Working_Sales[[#This Row],[Age]]))</f>
        <v>44</v>
      </c>
      <c r="R389" s="6">
        <f>INT(SUBSTITUTE(Working_Sales[[#This Row],[Age_Whitespace_Removed]],".",","))</f>
        <v>44</v>
      </c>
      <c r="S389" t="s">
        <v>56</v>
      </c>
      <c r="T389" s="2" t="str">
        <f>CLEAN(TRIM(Working_Sales[[#This Row],[Product Category]]))</f>
        <v>Clothing</v>
      </c>
      <c r="U389" s="6" t="str">
        <f>PROPER(Working_Sales[[#This Row],[Product_Category_Whitespace_Removed]])</f>
        <v>Clothing</v>
      </c>
      <c r="V389" t="s">
        <v>37</v>
      </c>
      <c r="W389" s="2" t="str">
        <f>CLEAN(TRIM(Working_Sales[[#This Row],[Quantity]]))</f>
        <v>2</v>
      </c>
      <c r="X389" s="2">
        <f>INT(Working_Sales[[#This Row],[`]])</f>
        <v>2</v>
      </c>
      <c r="Y389" s="6">
        <f>IFERROR(
   Working_Sales[[#This Row],[Quantity_Converted_To_Integer]],
   Working_Sales[[#This Row],[Total_Amount_Whitespace_Removed]]/Working_Sales[[#This Row],[Price_Per_Unit_Decimal_Separator_Fixed]])</f>
        <v>2</v>
      </c>
      <c r="Z389" t="s">
        <v>70</v>
      </c>
      <c r="AA389" s="2" t="str">
        <f>CLEAN(TRIM(Working_Sales[[#This Row],[Price per Unit]]))</f>
        <v>30</v>
      </c>
      <c r="AB389" s="2">
        <f>INT(
   SUBSTITUTE(Working_Sales[[#This Row],[Price_Per_Unit_Whitespace_Removed]],
   "$",
   ""
   )
)</f>
        <v>30</v>
      </c>
      <c r="AC389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389" s="8">
        <f>IFERROR(
   Working_Sales[[#This Row],[Price_Per_Unit_Decimal_Separator_Fixed]],
   Working_Sales[[#This Row],[Total_Amount_Converted_To_Integer]]/Working_Sales[[#This Row],[Quantity_Converted_To_Integer]]
)</f>
        <v>30</v>
      </c>
      <c r="AE389" t="s">
        <v>71</v>
      </c>
      <c r="AF389" s="2" t="str">
        <f>CLEAN(TRIM(Working_Sales[[#This Row],[Total Amount]]))</f>
        <v>60</v>
      </c>
      <c r="AG389" s="2">
        <f>INT(Working_Sales[[#This Row],[Total_Amount_Whitespace_Removed]])</f>
        <v>60</v>
      </c>
      <c r="AH38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390" spans="1:34" x14ac:dyDescent="0.35">
      <c r="A390" t="s">
        <v>885</v>
      </c>
      <c r="B390" s="6" t="str">
        <f>CLEAN(TRIM(Working_Sales[[#This Row],[Transaction ID]]))</f>
        <v>572</v>
      </c>
      <c r="C390" t="s">
        <v>886</v>
      </c>
      <c r="D390" s="2" t="str">
        <f>CLEAN(TRIM(Working_Sales[[#This Row],[Date]]))</f>
        <v>20/04/2023</v>
      </c>
      <c r="E39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45036</v>
      </c>
      <c r="F39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45036</v>
      </c>
      <c r="G39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45036</v>
      </c>
      <c r="H390" t="s">
        <v>2650</v>
      </c>
      <c r="I390" s="2" t="str">
        <f>CLEAN(TRIM(Working_Sales[[#This Row],[Customer ID]]))</f>
        <v>CUST299</v>
      </c>
      <c r="J39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CUST299</v>
      </c>
      <c r="K39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CUST299</v>
      </c>
      <c r="L390" t="s">
        <v>34</v>
      </c>
      <c r="M390" s="4" t="str">
        <f>CLEAN(TRIM(Working_Sales[[#This Row],[Gender]]))</f>
        <v>Male</v>
      </c>
      <c r="N390" s="4" t="str" cm="1">
        <f t="array" ref="N390">_xlfn.SWITCH(
   Working_Sales[[#This Row],[Gender_Whitespace_Removed]],
   "m", "Male",
   "f", "Female",
   Working_Sales[[#This Row],[Gender_Whitespace_Removed]]
)</f>
        <v>Male</v>
      </c>
      <c r="O390" s="6" t="str">
        <f>PROPER(Working_Sales[[#This Row],[Gender_Abbreviation_Expanded]])</f>
        <v>Male</v>
      </c>
      <c r="P390">
        <v>31</v>
      </c>
      <c r="Q390" s="2" t="str">
        <f>CLEAN(TRIM(Working_Sales[[#This Row],[Age]]))</f>
        <v>31</v>
      </c>
      <c r="R390" s="6">
        <f>INT(SUBSTITUTE(Working_Sales[[#This Row],[Age_Whitespace_Removed]],".",","))</f>
        <v>31</v>
      </c>
      <c r="S390" t="s">
        <v>56</v>
      </c>
      <c r="T390" s="2" t="str">
        <f>CLEAN(TRIM(Working_Sales[[#This Row],[Product Category]]))</f>
        <v>Clothing</v>
      </c>
      <c r="U390" s="6" t="str">
        <f>PROPER(Working_Sales[[#This Row],[Product_Category_Whitespace_Removed]])</f>
        <v>Clothing</v>
      </c>
      <c r="V390" t="s">
        <v>14</v>
      </c>
      <c r="W390" s="2" t="str">
        <f>CLEAN(TRIM(Working_Sales[[#This Row],[Quantity]]))</f>
        <v>4</v>
      </c>
      <c r="X390" s="2">
        <f>INT(Working_Sales[[#This Row],[`]])</f>
        <v>4</v>
      </c>
      <c r="Y390" s="6">
        <f>IFERROR(
   Working_Sales[[#This Row],[Quantity_Converted_To_Integer]],
   Working_Sales[[#This Row],[Total_Amount_Whitespace_Removed]]/Working_Sales[[#This Row],[Price_Per_Unit_Decimal_Separator_Fixed]])</f>
        <v>4</v>
      </c>
      <c r="Z390" t="s">
        <v>282</v>
      </c>
      <c r="AA390" s="2" t="str">
        <f>CLEAN(TRIM(Working_Sales[[#This Row],[Price per Unit]]))</f>
        <v>500</v>
      </c>
      <c r="AB390" s="2">
        <f>INT(
   SUBSTITUTE(Working_Sales[[#This Row],[Price_Per_Unit_Whitespace_Removed]],
   "$",
   ""
   )
)</f>
        <v>500</v>
      </c>
      <c r="AC390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390" s="8">
        <f>IFERROR(
   Working_Sales[[#This Row],[Price_Per_Unit_Decimal_Separator_Fixed]],
   Working_Sales[[#This Row],[Total_Amount_Converted_To_Integer]]/Working_Sales[[#This Row],[Quantity_Converted_To_Integer]]
)</f>
        <v>500</v>
      </c>
      <c r="AE390" t="s">
        <v>232</v>
      </c>
      <c r="AF390" s="2" t="str">
        <f>CLEAN(TRIM(Working_Sales[[#This Row],[Total Amount]]))</f>
        <v>2000</v>
      </c>
      <c r="AG390" s="2">
        <f>INT(Working_Sales[[#This Row],[Total_Amount_Whitespace_Removed]])</f>
        <v>2000</v>
      </c>
      <c r="AH39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391" spans="1:34" x14ac:dyDescent="0.35">
      <c r="A391" t="s">
        <v>887</v>
      </c>
      <c r="B391" s="6" t="str">
        <f>CLEAN(TRIM(Working_Sales[[#This Row],[Transaction ID]]))</f>
        <v>274</v>
      </c>
      <c r="C391" t="s">
        <v>151</v>
      </c>
      <c r="D391" s="2" t="str">
        <f>CLEAN(TRIM(Working_Sales[[#This Row],[Date]]))</f>
        <v>April 09, 2023</v>
      </c>
      <c r="E391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391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39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45025</v>
      </c>
      <c r="H391" t="s">
        <v>2210</v>
      </c>
      <c r="I391" s="2" t="str">
        <f>CLEAN(TRIM(Working_Sales[[#This Row],[Customer ID]]))</f>
        <v>CUST300</v>
      </c>
      <c r="J39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CUST300</v>
      </c>
      <c r="K39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CUST300</v>
      </c>
      <c r="L391" t="s">
        <v>140</v>
      </c>
      <c r="M391" s="4" t="str">
        <f>CLEAN(TRIM(Working_Sales[[#This Row],[Gender]]))</f>
        <v>FEMALE</v>
      </c>
      <c r="N391" s="4" t="str" cm="1">
        <f t="array" ref="N391">_xlfn.SWITCH(
   Working_Sales[[#This Row],[Gender_Whitespace_Removed]],
   "m", "Male",
   "f", "Female",
   Working_Sales[[#This Row],[Gender_Whitespace_Removed]]
)</f>
        <v>FEMALE</v>
      </c>
      <c r="O391" s="6" t="str">
        <f>PROPER(Working_Sales[[#This Row],[Gender_Abbreviation_Expanded]])</f>
        <v>Female</v>
      </c>
      <c r="P391">
        <v>23</v>
      </c>
      <c r="Q391" s="2" t="str">
        <f>CLEAN(TRIM(Working_Sales[[#This Row],[Age]]))</f>
        <v>23</v>
      </c>
      <c r="R391" s="6">
        <f>INT(SUBSTITUTE(Working_Sales[[#This Row],[Age_Whitespace_Removed]],".",","))</f>
        <v>23</v>
      </c>
      <c r="S391" t="s">
        <v>56</v>
      </c>
      <c r="T391" s="2" t="str">
        <f>CLEAN(TRIM(Working_Sales[[#This Row],[Product Category]]))</f>
        <v>Clothing</v>
      </c>
      <c r="U391" s="6" t="str">
        <f>PROPER(Working_Sales[[#This Row],[Product_Category_Whitespace_Removed]])</f>
        <v>Clothing</v>
      </c>
      <c r="V391" t="s">
        <v>37</v>
      </c>
      <c r="W391" s="2" t="str">
        <f>CLEAN(TRIM(Working_Sales[[#This Row],[Quantity]]))</f>
        <v>2</v>
      </c>
      <c r="X391" s="2">
        <f>INT(Working_Sales[[#This Row],[`]])</f>
        <v>2</v>
      </c>
      <c r="Y391" s="6">
        <f>IFERROR(
   Working_Sales[[#This Row],[Quantity_Converted_To_Integer]],
   Working_Sales[[#This Row],[Total_Amount_Whitespace_Removed]]/Working_Sales[[#This Row],[Price_Per_Unit_Decimal_Separator_Fixed]])</f>
        <v>2</v>
      </c>
      <c r="Z391" t="s">
        <v>162</v>
      </c>
      <c r="AA391" s="2" t="str">
        <f>CLEAN(TRIM(Working_Sales[[#This Row],[Price per Unit]]))</f>
        <v>$500</v>
      </c>
      <c r="AB391" s="2">
        <f>INT(
   SUBSTITUTE(Working_Sales[[#This Row],[Price_Per_Unit_Whitespace_Removed]],
   "$",
   ""
   )
)</f>
        <v>500</v>
      </c>
      <c r="AC391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391" s="8">
        <f>IFERROR(
   Working_Sales[[#This Row],[Price_Per_Unit_Decimal_Separator_Fixed]],
   Working_Sales[[#This Row],[Total_Amount_Converted_To_Integer]]/Working_Sales[[#This Row],[Quantity_Converted_To_Integer]]
)</f>
        <v>500</v>
      </c>
      <c r="AE391" t="s">
        <v>163</v>
      </c>
      <c r="AF391" s="2" t="str">
        <f>CLEAN(TRIM(Working_Sales[[#This Row],[Total Amount]]))</f>
        <v>1000</v>
      </c>
      <c r="AG391" s="2">
        <f>INT(Working_Sales[[#This Row],[Total_Amount_Whitespace_Removed]])</f>
        <v>1000</v>
      </c>
      <c r="AH39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392" spans="1:34" x14ac:dyDescent="0.35">
      <c r="A392" t="s">
        <v>889</v>
      </c>
      <c r="B392" s="6" t="str">
        <f>CLEAN(TRIM(Working_Sales[[#This Row],[Transaction ID]]))</f>
        <v>706</v>
      </c>
      <c r="C392" t="s">
        <v>890</v>
      </c>
      <c r="D392" s="2" t="str">
        <f>CLEAN(TRIM(Working_Sales[[#This Row],[Date]]))</f>
        <v>2023-11-15</v>
      </c>
      <c r="E39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45245</v>
      </c>
      <c r="F39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45245</v>
      </c>
      <c r="G39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45245</v>
      </c>
      <c r="H392" t="s">
        <v>898</v>
      </c>
      <c r="I392" s="2" t="str">
        <f>CLEAN(TRIM(Working_Sales[[#This Row],[Customer ID]]))</f>
        <v>CUST301</v>
      </c>
      <c r="J39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9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CUST301</v>
      </c>
      <c r="L392" t="s">
        <v>20</v>
      </c>
      <c r="M392" s="4" t="str">
        <f>CLEAN(TRIM(Working_Sales[[#This Row],[Gender]]))</f>
        <v>male</v>
      </c>
      <c r="N392" s="4" t="str" cm="1">
        <f t="array" ref="N392">_xlfn.SWITCH(
   Working_Sales[[#This Row],[Gender_Whitespace_Removed]],
   "m", "Male",
   "f", "Female",
   Working_Sales[[#This Row],[Gender_Whitespace_Removed]]
)</f>
        <v>male</v>
      </c>
      <c r="O392" s="6" t="str">
        <f>PROPER(Working_Sales[[#This Row],[Gender_Abbreviation_Expanded]])</f>
        <v>Male</v>
      </c>
      <c r="P392">
        <v>51</v>
      </c>
      <c r="Q392" s="2" t="str">
        <f>CLEAN(TRIM(Working_Sales[[#This Row],[Age]]))</f>
        <v>51</v>
      </c>
      <c r="R392" s="6">
        <f>INT(SUBSTITUTE(Working_Sales[[#This Row],[Age_Whitespace_Removed]],".",","))</f>
        <v>51</v>
      </c>
      <c r="S392" t="s">
        <v>109</v>
      </c>
      <c r="T392" s="2" t="str">
        <f>CLEAN(TRIM(Working_Sales[[#This Row],[Product Category]]))</f>
        <v>Electronics</v>
      </c>
      <c r="U392" s="6" t="str">
        <f>PROPER(Working_Sales[[#This Row],[Product_Category_Whitespace_Removed]])</f>
        <v>Electronics</v>
      </c>
      <c r="V392" t="s">
        <v>14</v>
      </c>
      <c r="W392" s="2" t="str">
        <f>CLEAN(TRIM(Working_Sales[[#This Row],[Quantity]]))</f>
        <v>4</v>
      </c>
      <c r="X392" s="2">
        <f>INT(Working_Sales[[#This Row],[`]])</f>
        <v>4</v>
      </c>
      <c r="Y392" s="6">
        <f>IFERROR(
   Working_Sales[[#This Row],[Quantity_Converted_To_Integer]],
   Working_Sales[[#This Row],[Total_Amount_Whitespace_Removed]]/Working_Sales[[#This Row],[Price_Per_Unit_Decimal_Separator_Fixed]])</f>
        <v>4</v>
      </c>
      <c r="Z392" t="s">
        <v>49</v>
      </c>
      <c r="AA392" s="2" t="str">
        <f>CLEAN(TRIM(Working_Sales[[#This Row],[Price per Unit]]))</f>
        <v>$25</v>
      </c>
      <c r="AB392" s="2">
        <f>INT(
   SUBSTITUTE(Working_Sales[[#This Row],[Price_Per_Unit_Whitespace_Removed]],
   "$",
   ""
   )
)</f>
        <v>25</v>
      </c>
      <c r="AC392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392" s="8">
        <f>IFERROR(
   Working_Sales[[#This Row],[Price_Per_Unit_Decimal_Separator_Fixed]],
   Working_Sales[[#This Row],[Total_Amount_Converted_To_Integer]]/Working_Sales[[#This Row],[Quantity_Converted_To_Integer]]
)</f>
        <v>25</v>
      </c>
      <c r="AE392" t="s">
        <v>38</v>
      </c>
      <c r="AF392" s="2" t="str">
        <f>CLEAN(TRIM(Working_Sales[[#This Row],[Total Amount]]))</f>
        <v>100</v>
      </c>
      <c r="AG392" s="2">
        <f>INT(Working_Sales[[#This Row],[Total_Amount_Whitespace_Removed]])</f>
        <v>100</v>
      </c>
      <c r="AH39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393" spans="1:34" x14ac:dyDescent="0.35">
      <c r="A393" t="s">
        <v>891</v>
      </c>
      <c r="B393" s="6" t="str">
        <f>CLEAN(TRIM(Working_Sales[[#This Row],[Transaction ID]]))</f>
        <v>740</v>
      </c>
      <c r="C393" t="s">
        <v>892</v>
      </c>
      <c r="D393" s="2" t="str">
        <f>CLEAN(TRIM(Working_Sales[[#This Row],[Date]]))</f>
        <v>2023-02-05</v>
      </c>
      <c r="E39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44962</v>
      </c>
      <c r="F39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44962</v>
      </c>
      <c r="G39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44962</v>
      </c>
      <c r="H393" t="s">
        <v>2651</v>
      </c>
      <c r="I393" s="2" t="str">
        <f>CLEAN(TRIM(Working_Sales[[#This Row],[Customer ID]]))</f>
        <v>CUST278</v>
      </c>
      <c r="J39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CUST278</v>
      </c>
      <c r="K39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CUST278</v>
      </c>
      <c r="L393" t="s">
        <v>26</v>
      </c>
      <c r="M393" s="4" t="str">
        <f>CLEAN(TRIM(Working_Sales[[#This Row],[Gender]]))</f>
        <v>Female</v>
      </c>
      <c r="N393" s="4" t="str" cm="1">
        <f t="array" ref="N393">_xlfn.SWITCH(
   Working_Sales[[#This Row],[Gender_Whitespace_Removed]],
   "m", "Male",
   "f", "Female",
   Working_Sales[[#This Row],[Gender_Whitespace_Removed]]
)</f>
        <v>Female</v>
      </c>
      <c r="O393" s="6" t="str">
        <f>PROPER(Working_Sales[[#This Row],[Gender_Abbreviation_Expanded]])</f>
        <v>Female</v>
      </c>
      <c r="P393">
        <v>25</v>
      </c>
      <c r="Q393" s="2" t="str">
        <f>CLEAN(TRIM(Working_Sales[[#This Row],[Age]]))</f>
        <v>25</v>
      </c>
      <c r="R393" s="6">
        <f>INT(SUBSTITUTE(Working_Sales[[#This Row],[Age_Whitespace_Removed]],".",","))</f>
        <v>25</v>
      </c>
      <c r="S393" t="s">
        <v>36</v>
      </c>
      <c r="T393" s="2" t="str">
        <f>CLEAN(TRIM(Working_Sales[[#This Row],[Product Category]]))</f>
        <v>Beauty</v>
      </c>
      <c r="U393" s="6" t="str">
        <f>PROPER(Working_Sales[[#This Row],[Product_Category_Whitespace_Removed]])</f>
        <v>Beauty</v>
      </c>
      <c r="W393" s="2" t="str">
        <f>CLEAN(TRIM(Working_Sales[[#This Row],[Quantity]]))</f>
        <v/>
      </c>
      <c r="X393" s="2" t="e">
        <f>INT(Working_Sales[[#This Row],[`]])</f>
        <v>#VALUE!</v>
      </c>
      <c r="Y393" s="6">
        <f>IFERROR(
   Working_Sales[[#This Row],[Quantity_Converted_To_Integer]],
   Working_Sales[[#This Row],[Total_Amount_Whitespace_Removed]]/Working_Sales[[#This Row],[Price_Per_Unit_Decimal_Separator_Fixed]])</f>
        <v>4</v>
      </c>
      <c r="Z393" t="s">
        <v>96</v>
      </c>
      <c r="AA393" s="2" t="str">
        <f>CLEAN(TRIM(Working_Sales[[#This Row],[Price per Unit]]))</f>
        <v>$50</v>
      </c>
      <c r="AB393" s="2">
        <f>INT(
   SUBSTITUTE(Working_Sales[[#This Row],[Price_Per_Unit_Whitespace_Removed]],
   "$",
   ""
   )
)</f>
        <v>50</v>
      </c>
      <c r="AC393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393" s="8">
        <f>IFERROR(
   Working_Sales[[#This Row],[Price_Per_Unit_Decimal_Separator_Fixed]],
   Working_Sales[[#This Row],[Total_Amount_Converted_To_Integer]]/Working_Sales[[#This Row],[Quantity_Converted_To_Integer]]
)</f>
        <v>50</v>
      </c>
      <c r="AE393" t="s">
        <v>16</v>
      </c>
      <c r="AF393" s="2" t="str">
        <f>CLEAN(TRIM(Working_Sales[[#This Row],[Total Amount]]))</f>
        <v>200</v>
      </c>
      <c r="AG393" s="2">
        <f>INT(Working_Sales[[#This Row],[Total_Amount_Whitespace_Removed]])</f>
        <v>200</v>
      </c>
      <c r="AH39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394" spans="1:34" x14ac:dyDescent="0.35">
      <c r="A394" t="s">
        <v>57</v>
      </c>
      <c r="B394" s="6" t="str">
        <f>CLEAN(TRIM(Working_Sales[[#This Row],[Transaction ID]]))</f>
        <v>500</v>
      </c>
      <c r="C394" t="s">
        <v>592</v>
      </c>
      <c r="D394" s="2" t="str">
        <f>CLEAN(TRIM(Working_Sales[[#This Row],[Date]]))</f>
        <v>2023-03-01</v>
      </c>
      <c r="E39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44986</v>
      </c>
      <c r="F39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44986</v>
      </c>
      <c r="G39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44986</v>
      </c>
      <c r="H394" t="s">
        <v>2652</v>
      </c>
      <c r="I394" s="2" t="str">
        <f>CLEAN(TRIM(Working_Sales[[#This Row],[Customer ID]]))</f>
        <v>CUST302</v>
      </c>
      <c r="J39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9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CUST302</v>
      </c>
      <c r="L394" t="s">
        <v>26</v>
      </c>
      <c r="M394" s="4" t="str">
        <f>CLEAN(TRIM(Working_Sales[[#This Row],[Gender]]))</f>
        <v>Female</v>
      </c>
      <c r="N394" s="4" t="str" cm="1">
        <f t="array" ref="N394">_xlfn.SWITCH(
   Working_Sales[[#This Row],[Gender_Whitespace_Removed]],
   "m", "Male",
   "f", "Female",
   Working_Sales[[#This Row],[Gender_Whitespace_Removed]]
)</f>
        <v>Female</v>
      </c>
      <c r="O394" s="6" t="str">
        <f>PROPER(Working_Sales[[#This Row],[Gender_Abbreviation_Expanded]])</f>
        <v>Female</v>
      </c>
      <c r="P394">
        <v>60</v>
      </c>
      <c r="Q394" s="2" t="str">
        <f>CLEAN(TRIM(Working_Sales[[#This Row],[Age]]))</f>
        <v>60</v>
      </c>
      <c r="R394" s="6">
        <f>INT(SUBSTITUTE(Working_Sales[[#This Row],[Age_Whitespace_Removed]],".",","))</f>
        <v>60</v>
      </c>
      <c r="S394" t="s">
        <v>36</v>
      </c>
      <c r="T394" s="2" t="str">
        <f>CLEAN(TRIM(Working_Sales[[#This Row],[Product Category]]))</f>
        <v>Beauty</v>
      </c>
      <c r="U394" s="6" t="str">
        <f>PROPER(Working_Sales[[#This Row],[Product_Category_Whitespace_Removed]])</f>
        <v>Beauty</v>
      </c>
      <c r="V394" t="s">
        <v>14</v>
      </c>
      <c r="W394" s="2" t="str">
        <f>CLEAN(TRIM(Working_Sales[[#This Row],[Quantity]]))</f>
        <v>4</v>
      </c>
      <c r="X394" s="2">
        <f>INT(Working_Sales[[#This Row],[`]])</f>
        <v>4</v>
      </c>
      <c r="Y394" s="6">
        <f>IFERROR(
   Working_Sales[[#This Row],[Quantity_Converted_To_Integer]],
   Working_Sales[[#This Row],[Total_Amount_Whitespace_Removed]]/Working_Sales[[#This Row],[Price_Per_Unit_Decimal_Separator_Fixed]])</f>
        <v>4</v>
      </c>
      <c r="Z394" t="s">
        <v>30</v>
      </c>
      <c r="AA394" s="2" t="str">
        <f>CLEAN(TRIM(Working_Sales[[#This Row],[Price per Unit]]))</f>
        <v>25</v>
      </c>
      <c r="AB394" s="2">
        <f>INT(
   SUBSTITUTE(Working_Sales[[#This Row],[Price_Per_Unit_Whitespace_Removed]],
   "$",
   ""
   )
)</f>
        <v>25</v>
      </c>
      <c r="AC394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394" s="8">
        <f>IFERROR(
   Working_Sales[[#This Row],[Price_Per_Unit_Decimal_Separator_Fixed]],
   Working_Sales[[#This Row],[Total_Amount_Converted_To_Integer]]/Working_Sales[[#This Row],[Quantity_Converted_To_Integer]]
)</f>
        <v>25</v>
      </c>
      <c r="AE394" t="s">
        <v>38</v>
      </c>
      <c r="AF394" s="2" t="str">
        <f>CLEAN(TRIM(Working_Sales[[#This Row],[Total Amount]]))</f>
        <v>100</v>
      </c>
      <c r="AG394" s="2">
        <f>INT(Working_Sales[[#This Row],[Total_Amount_Whitespace_Removed]])</f>
        <v>100</v>
      </c>
      <c r="AH39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395" spans="1:34" x14ac:dyDescent="0.35">
      <c r="A395" t="s">
        <v>893</v>
      </c>
      <c r="B395" s="6" t="str">
        <f>CLEAN(TRIM(Working_Sales[[#This Row],[Transaction ID]]))</f>
        <v>769</v>
      </c>
      <c r="C395" t="s">
        <v>894</v>
      </c>
      <c r="D395" s="2" t="str">
        <f>CLEAN(TRIM(Working_Sales[[#This Row],[Date]]))</f>
        <v>2023-06-09</v>
      </c>
      <c r="E39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45086</v>
      </c>
      <c r="F39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45086</v>
      </c>
      <c r="G39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45086</v>
      </c>
      <c r="H395" t="s">
        <v>2653</v>
      </c>
      <c r="I395" s="2" t="str">
        <f>CLEAN(TRIM(Working_Sales[[#This Row],[Customer ID]]))</f>
        <v>Cust303</v>
      </c>
      <c r="J39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9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CUST303</v>
      </c>
      <c r="L395" t="s">
        <v>46</v>
      </c>
      <c r="M395" s="4" t="str">
        <f>CLEAN(TRIM(Working_Sales[[#This Row],[Gender]]))</f>
        <v>F</v>
      </c>
      <c r="N395" s="4" t="str" cm="1">
        <f t="array" ref="N395">_xlfn.SWITCH(
   Working_Sales[[#This Row],[Gender_Whitespace_Removed]],
   "m", "Male",
   "f", "Female",
   Working_Sales[[#This Row],[Gender_Whitespace_Removed]]
)</f>
        <v>Female</v>
      </c>
      <c r="O395" s="6" t="str">
        <f>PROPER(Working_Sales[[#This Row],[Gender_Abbreviation_Expanded]])</f>
        <v>Female</v>
      </c>
      <c r="P395">
        <v>31</v>
      </c>
      <c r="Q395" s="2" t="str">
        <f>CLEAN(TRIM(Working_Sales[[#This Row],[Age]]))</f>
        <v>31</v>
      </c>
      <c r="R395" s="6">
        <f>INT(SUBSTITUTE(Working_Sales[[#This Row],[Age_Whitespace_Removed]],".",","))</f>
        <v>31</v>
      </c>
      <c r="S395" t="s">
        <v>48</v>
      </c>
      <c r="T395" s="2" t="str">
        <f>CLEAN(TRIM(Working_Sales[[#This Row],[Product Category]]))</f>
        <v>electronics</v>
      </c>
      <c r="U395" s="6" t="str">
        <f>PROPER(Working_Sales[[#This Row],[Product_Category_Whitespace_Removed]])</f>
        <v>Electronics</v>
      </c>
      <c r="V395" t="s">
        <v>14</v>
      </c>
      <c r="W395" s="2" t="str">
        <f>CLEAN(TRIM(Working_Sales[[#This Row],[Quantity]]))</f>
        <v>4</v>
      </c>
      <c r="X395" s="2">
        <f>INT(Working_Sales[[#This Row],[`]])</f>
        <v>4</v>
      </c>
      <c r="Y395" s="6">
        <f>IFERROR(
   Working_Sales[[#This Row],[Quantity_Converted_To_Integer]],
   Working_Sales[[#This Row],[Total_Amount_Whitespace_Removed]]/Working_Sales[[#This Row],[Price_Per_Unit_Decimal_Separator_Fixed]])</f>
        <v>4</v>
      </c>
      <c r="Z395" t="s">
        <v>70</v>
      </c>
      <c r="AA395" s="2" t="str">
        <f>CLEAN(TRIM(Working_Sales[[#This Row],[Price per Unit]]))</f>
        <v>30</v>
      </c>
      <c r="AB395" s="2">
        <f>INT(
   SUBSTITUTE(Working_Sales[[#This Row],[Price_Per_Unit_Whitespace_Removed]],
   "$",
   ""
   )
)</f>
        <v>30</v>
      </c>
      <c r="AC395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395" s="8">
        <f>IFERROR(
   Working_Sales[[#This Row],[Price_Per_Unit_Decimal_Separator_Fixed]],
   Working_Sales[[#This Row],[Total_Amount_Converted_To_Integer]]/Working_Sales[[#This Row],[Quantity_Converted_To_Integer]]
)</f>
        <v>30</v>
      </c>
      <c r="AE395" t="s">
        <v>44</v>
      </c>
      <c r="AF395" s="2" t="str">
        <f>CLEAN(TRIM(Working_Sales[[#This Row],[Total Amount]]))</f>
        <v>120</v>
      </c>
      <c r="AG395" s="2">
        <f>INT(Working_Sales[[#This Row],[Total_Amount_Whitespace_Removed]])</f>
        <v>120</v>
      </c>
      <c r="AH39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396" spans="1:34" x14ac:dyDescent="0.35">
      <c r="A396" t="s">
        <v>895</v>
      </c>
      <c r="B396" s="6" t="str">
        <f>CLEAN(TRIM(Working_Sales[[#This Row],[Transaction ID]]))</f>
        <v>178</v>
      </c>
      <c r="C396" t="s">
        <v>691</v>
      </c>
      <c r="D396" s="2" t="str">
        <f>CLEAN(TRIM(Working_Sales[[#This Row],[Date]]))</f>
        <v>2023-10-04</v>
      </c>
      <c r="E39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45203</v>
      </c>
      <c r="F39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45203</v>
      </c>
      <c r="G39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45203</v>
      </c>
      <c r="H396" t="s">
        <v>2654</v>
      </c>
      <c r="I396" s="2" t="str">
        <f>CLEAN(TRIM(Working_Sales[[#This Row],[Customer ID]]))</f>
        <v>CUST304</v>
      </c>
      <c r="J39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CUST304</v>
      </c>
      <c r="K39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CUST304</v>
      </c>
      <c r="L396" t="s">
        <v>34</v>
      </c>
      <c r="M396" s="4" t="str">
        <f>CLEAN(TRIM(Working_Sales[[#This Row],[Gender]]))</f>
        <v>Male</v>
      </c>
      <c r="N396" s="4" t="str" cm="1">
        <f t="array" ref="N396">_xlfn.SWITCH(
   Working_Sales[[#This Row],[Gender_Whitespace_Removed]],
   "m", "Male",
   "f", "Female",
   Working_Sales[[#This Row],[Gender_Whitespace_Removed]]
)</f>
        <v>Male</v>
      </c>
      <c r="O396" s="6" t="str">
        <f>PROPER(Working_Sales[[#This Row],[Gender_Abbreviation_Expanded]])</f>
        <v>Male</v>
      </c>
      <c r="P396">
        <v>40</v>
      </c>
      <c r="Q396" s="2" t="str">
        <f>CLEAN(TRIM(Working_Sales[[#This Row],[Age]]))</f>
        <v>40</v>
      </c>
      <c r="R396" s="6">
        <f>INT(SUBSTITUTE(Working_Sales[[#This Row],[Age_Whitespace_Removed]],".",","))</f>
        <v>40</v>
      </c>
      <c r="S396" t="s">
        <v>89</v>
      </c>
      <c r="T396" s="2" t="str">
        <f>CLEAN(TRIM(Working_Sales[[#This Row],[Product Category]]))</f>
        <v>CLOTHING</v>
      </c>
      <c r="U396" s="6" t="str">
        <f>PROPER(Working_Sales[[#This Row],[Product_Category_Whitespace_Removed]])</f>
        <v>Clothing</v>
      </c>
      <c r="V396" t="s">
        <v>37</v>
      </c>
      <c r="W396" s="2" t="str">
        <f>CLEAN(TRIM(Working_Sales[[#This Row],[Quantity]]))</f>
        <v>2</v>
      </c>
      <c r="X396" s="2">
        <f>INT(Working_Sales[[#This Row],[`]])</f>
        <v>2</v>
      </c>
      <c r="Y396" s="6">
        <f>IFERROR(
   Working_Sales[[#This Row],[Quantity_Converted_To_Integer]],
   Working_Sales[[#This Row],[Total_Amount_Whitespace_Removed]]/Working_Sales[[#This Row],[Price_Per_Unit_Decimal_Separator_Fixed]])</f>
        <v>2</v>
      </c>
      <c r="Z396" t="s">
        <v>100</v>
      </c>
      <c r="AA396" s="2" t="str">
        <f>CLEAN(TRIM(Working_Sales[[#This Row],[Price per Unit]]))</f>
        <v>30</v>
      </c>
      <c r="AB396" s="2">
        <f>INT(
   SUBSTITUTE(Working_Sales[[#This Row],[Price_Per_Unit_Whitespace_Removed]],
   "$",
   ""
   )
)</f>
        <v>30</v>
      </c>
      <c r="AC396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396" s="8">
        <f>IFERROR(
   Working_Sales[[#This Row],[Price_Per_Unit_Decimal_Separator_Fixed]],
   Working_Sales[[#This Row],[Total_Amount_Converted_To_Integer]]/Working_Sales[[#This Row],[Quantity_Converted_To_Integer]]
)</f>
        <v>30</v>
      </c>
      <c r="AE396" t="s">
        <v>71</v>
      </c>
      <c r="AF396" s="2" t="str">
        <f>CLEAN(TRIM(Working_Sales[[#This Row],[Total Amount]]))</f>
        <v>60</v>
      </c>
      <c r="AG396" s="2">
        <f>INT(Working_Sales[[#This Row],[Total_Amount_Whitespace_Removed]])</f>
        <v>60</v>
      </c>
      <c r="AH39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397" spans="1:34" x14ac:dyDescent="0.35">
      <c r="A397" t="s">
        <v>897</v>
      </c>
      <c r="B397" s="6" t="str">
        <f>CLEAN(TRIM(Working_Sales[[#This Row],[Transaction ID]]))</f>
        <v>301</v>
      </c>
      <c r="C397" t="s">
        <v>1107</v>
      </c>
      <c r="D397" s="2" t="str">
        <f>CLEAN(TRIM(Working_Sales[[#This Row],[Date]]))</f>
        <v>26-Mar-2023</v>
      </c>
      <c r="E39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45011</v>
      </c>
      <c r="F39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45011</v>
      </c>
      <c r="G39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45011</v>
      </c>
      <c r="H397" t="s">
        <v>2655</v>
      </c>
      <c r="I397" s="2" t="str">
        <f>CLEAN(TRIM(Working_Sales[[#This Row],[Customer ID]]))</f>
        <v>Cust100</v>
      </c>
      <c r="J39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9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CUST100</v>
      </c>
      <c r="L397" t="s">
        <v>34</v>
      </c>
      <c r="M397" s="4" t="str">
        <f>CLEAN(TRIM(Working_Sales[[#This Row],[Gender]]))</f>
        <v>Male</v>
      </c>
      <c r="N397" s="4" t="str" cm="1">
        <f t="array" ref="N397">_xlfn.SWITCH(
   Working_Sales[[#This Row],[Gender_Whitespace_Removed]],
   "m", "Male",
   "f", "Female",
   Working_Sales[[#This Row],[Gender_Whitespace_Removed]]
)</f>
        <v>Male</v>
      </c>
      <c r="O397" s="6" t="str">
        <f>PROPER(Working_Sales[[#This Row],[Gender_Abbreviation_Expanded]])</f>
        <v>Male</v>
      </c>
      <c r="P397">
        <v>30</v>
      </c>
      <c r="Q397" s="2" t="str">
        <f>CLEAN(TRIM(Working_Sales[[#This Row],[Age]]))</f>
        <v>30</v>
      </c>
      <c r="R397" s="6">
        <f>INT(SUBSTITUTE(Working_Sales[[#This Row],[Age_Whitespace_Removed]],".",","))</f>
        <v>30</v>
      </c>
      <c r="S397" t="s">
        <v>56</v>
      </c>
      <c r="T397" s="2" t="str">
        <f>CLEAN(TRIM(Working_Sales[[#This Row],[Product Category]]))</f>
        <v>Clothing</v>
      </c>
      <c r="U397" s="6" t="str">
        <f>PROPER(Working_Sales[[#This Row],[Product_Category_Whitespace_Removed]])</f>
        <v>Clothing</v>
      </c>
      <c r="V397" t="s">
        <v>14</v>
      </c>
      <c r="W397" s="2" t="str">
        <f>CLEAN(TRIM(Working_Sales[[#This Row],[Quantity]]))</f>
        <v>4</v>
      </c>
      <c r="X397" s="2">
        <f>INT(Working_Sales[[#This Row],[`]])</f>
        <v>4</v>
      </c>
      <c r="Y397" s="6">
        <f>IFERROR(
   Working_Sales[[#This Row],[Quantity_Converted_To_Integer]],
   Working_Sales[[#This Row],[Total_Amount_Whitespace_Removed]]/Working_Sales[[#This Row],[Price_Per_Unit_Decimal_Separator_Fixed]])</f>
        <v>4</v>
      </c>
      <c r="Z397" t="s">
        <v>70</v>
      </c>
      <c r="AA397" s="2" t="str">
        <f>CLEAN(TRIM(Working_Sales[[#This Row],[Price per Unit]]))</f>
        <v>30</v>
      </c>
      <c r="AB397" s="2">
        <f>INT(
   SUBSTITUTE(Working_Sales[[#This Row],[Price_Per_Unit_Whitespace_Removed]],
   "$",
   ""
   )
)</f>
        <v>30</v>
      </c>
      <c r="AC397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397" s="8">
        <f>IFERROR(
   Working_Sales[[#This Row],[Price_Per_Unit_Decimal_Separator_Fixed]],
   Working_Sales[[#This Row],[Total_Amount_Converted_To_Integer]]/Working_Sales[[#This Row],[Quantity_Converted_To_Integer]]
)</f>
        <v>30</v>
      </c>
      <c r="AE397" t="s">
        <v>44</v>
      </c>
      <c r="AF397" s="2" t="str">
        <f>CLEAN(TRIM(Working_Sales[[#This Row],[Total Amount]]))</f>
        <v>120</v>
      </c>
      <c r="AG397" s="2">
        <f>INT(Working_Sales[[#This Row],[Total_Amount_Whitespace_Removed]])</f>
        <v>120</v>
      </c>
      <c r="AH39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398" spans="1:34" x14ac:dyDescent="0.35">
      <c r="A398" t="s">
        <v>141</v>
      </c>
      <c r="B398" s="6" t="str">
        <f>CLEAN(TRIM(Working_Sales[[#This Row],[Transaction ID]]))</f>
        <v>38</v>
      </c>
      <c r="C398" t="s">
        <v>2091</v>
      </c>
      <c r="D398" s="2" t="str">
        <f>CLEAN(TRIM(Working_Sales[[#This Row],[Date]]))</f>
        <v>21/03/2023</v>
      </c>
      <c r="E39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45006</v>
      </c>
      <c r="F39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45006</v>
      </c>
      <c r="G39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45006</v>
      </c>
      <c r="H398" t="s">
        <v>2656</v>
      </c>
      <c r="I398" s="2" t="str">
        <f>CLEAN(TRIM(Working_Sales[[#This Row],[Customer ID]]))</f>
        <v>CUST264</v>
      </c>
      <c r="J39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39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CUST264</v>
      </c>
      <c r="L398" t="s">
        <v>11</v>
      </c>
      <c r="M398" s="4" t="str">
        <f>CLEAN(TRIM(Working_Sales[[#This Row],[Gender]]))</f>
        <v>MALE</v>
      </c>
      <c r="N398" s="4" t="str" cm="1">
        <f t="array" ref="N398">_xlfn.SWITCH(
   Working_Sales[[#This Row],[Gender_Whitespace_Removed]],
   "m", "Male",
   "f", "Female",
   Working_Sales[[#This Row],[Gender_Whitespace_Removed]]
)</f>
        <v>MALE</v>
      </c>
      <c r="O398" s="6" t="str">
        <f>PROPER(Working_Sales[[#This Row],[Gender_Abbreviation_Expanded]])</f>
        <v>Male</v>
      </c>
      <c r="P398">
        <v>38</v>
      </c>
      <c r="Q398" s="2" t="str">
        <f>CLEAN(TRIM(Working_Sales[[#This Row],[Age]]))</f>
        <v>38</v>
      </c>
      <c r="R398" s="6">
        <f>INT(SUBSTITUTE(Working_Sales[[#This Row],[Age_Whitespace_Removed]],".",","))</f>
        <v>38</v>
      </c>
      <c r="S398" t="s">
        <v>36</v>
      </c>
      <c r="T398" s="2" t="str">
        <f>CLEAN(TRIM(Working_Sales[[#This Row],[Product Category]]))</f>
        <v>Beauty</v>
      </c>
      <c r="U398" s="6" t="str">
        <f>PROPER(Working_Sales[[#This Row],[Product_Category_Whitespace_Removed]])</f>
        <v>Beauty</v>
      </c>
      <c r="V398" t="s">
        <v>14</v>
      </c>
      <c r="W398" s="2" t="str">
        <f>CLEAN(TRIM(Working_Sales[[#This Row],[Quantity]]))</f>
        <v>4</v>
      </c>
      <c r="X398" s="2">
        <f>INT(Working_Sales[[#This Row],[`]])</f>
        <v>4</v>
      </c>
      <c r="Y398" s="6">
        <f>IFERROR(
   Working_Sales[[#This Row],[Quantity_Converted_To_Integer]],
   Working_Sales[[#This Row],[Total_Amount_Whitespace_Removed]]/Working_Sales[[#This Row],[Price_Per_Unit_Decimal_Separator_Fixed]])</f>
        <v>4</v>
      </c>
      <c r="AA398" s="2" t="str">
        <f>CLEAN(TRIM(Working_Sales[[#This Row],[Price per Unit]]))</f>
        <v/>
      </c>
      <c r="AB398" s="2" t="e">
        <f>INT(
   SUBSTITUTE(Working_Sales[[#This Row],[Price_Per_Unit_Whitespace_Removed]],
   "$",
   ""
   )
)</f>
        <v>#VALUE!</v>
      </c>
      <c r="AC398" s="2" t="e">
        <f>INT(
   IFERROR(
      Working_Sales[[#This Row],[Price_Per_Unit_Dollar_Sign_Removed]],
      SUBSTITUTE(
         Working_Sales[[#This Row],[Price_Per_Unit_Whitespace_Removed]],
        ".",
         ","
      )
   )
)</f>
        <v>#VALUE!</v>
      </c>
      <c r="AD398" s="8">
        <f>IFERROR(
   Working_Sales[[#This Row],[Price_Per_Unit_Decimal_Separator_Fixed]],
   Working_Sales[[#This Row],[Total_Amount_Converted_To_Integer]]/Working_Sales[[#This Row],[Quantity_Converted_To_Integer]]
)</f>
        <v>50</v>
      </c>
      <c r="AE398" t="s">
        <v>16</v>
      </c>
      <c r="AF398" s="2" t="str">
        <f>CLEAN(TRIM(Working_Sales[[#This Row],[Total Amount]]))</f>
        <v>200</v>
      </c>
      <c r="AG398" s="2">
        <f>INT(Working_Sales[[#This Row],[Total_Amount_Whitespace_Removed]])</f>
        <v>200</v>
      </c>
      <c r="AH39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399" spans="1:34" x14ac:dyDescent="0.35">
      <c r="A399" t="s">
        <v>900</v>
      </c>
      <c r="B399" s="6" t="str">
        <f>CLEAN(TRIM(Working_Sales[[#This Row],[Transaction ID]]))</f>
        <v>499</v>
      </c>
      <c r="C399" t="s">
        <v>901</v>
      </c>
      <c r="D399" s="2" t="str">
        <f>CLEAN(TRIM(Working_Sales[[#This Row],[Date]]))</f>
        <v>15/01/2023</v>
      </c>
      <c r="E39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44941</v>
      </c>
      <c r="F39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44941</v>
      </c>
      <c r="G39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44941</v>
      </c>
      <c r="H399" t="s">
        <v>2657</v>
      </c>
      <c r="I399" s="2" t="str">
        <f>CLEAN(TRIM(Working_Sales[[#This Row],[Customer ID]]))</f>
        <v>CUST204</v>
      </c>
      <c r="J39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CUST204</v>
      </c>
      <c r="K39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CUST204</v>
      </c>
      <c r="L399" t="s">
        <v>34</v>
      </c>
      <c r="M399" s="4" t="str">
        <f>CLEAN(TRIM(Working_Sales[[#This Row],[Gender]]))</f>
        <v>Male</v>
      </c>
      <c r="N399" s="4" t="str" cm="1">
        <f t="array" ref="N399">_xlfn.SWITCH(
   Working_Sales[[#This Row],[Gender_Whitespace_Removed]],
   "m", "Male",
   "f", "Female",
   Working_Sales[[#This Row],[Gender_Whitespace_Removed]]
)</f>
        <v>Male</v>
      </c>
      <c r="O399" s="6" t="str">
        <f>PROPER(Working_Sales[[#This Row],[Gender_Abbreviation_Expanded]])</f>
        <v>Male</v>
      </c>
      <c r="P399">
        <v>46</v>
      </c>
      <c r="Q399" s="2" t="str">
        <f>CLEAN(TRIM(Working_Sales[[#This Row],[Age]]))</f>
        <v>46</v>
      </c>
      <c r="R399" s="6">
        <f>INT(SUBSTITUTE(Working_Sales[[#This Row],[Age_Whitespace_Removed]],".",","))</f>
        <v>46</v>
      </c>
      <c r="S399" t="s">
        <v>434</v>
      </c>
      <c r="T399" s="2" t="str">
        <f>CLEAN(TRIM(Working_Sales[[#This Row],[Product Category]]))</f>
        <v>Beauty</v>
      </c>
      <c r="U399" s="6" t="str">
        <f>PROPER(Working_Sales[[#This Row],[Product_Category_Whitespace_Removed]])</f>
        <v>Beauty</v>
      </c>
      <c r="V399" t="s">
        <v>37</v>
      </c>
      <c r="W399" s="2" t="str">
        <f>CLEAN(TRIM(Working_Sales[[#This Row],[Quantity]]))</f>
        <v>2</v>
      </c>
      <c r="X399" s="2">
        <f>INT(Working_Sales[[#This Row],[`]])</f>
        <v>2</v>
      </c>
      <c r="Y399" s="6">
        <f>IFERROR(
   Working_Sales[[#This Row],[Quantity_Converted_To_Integer]],
   Working_Sales[[#This Row],[Total_Amount_Whitespace_Removed]]/Working_Sales[[#This Row],[Price_Per_Unit_Decimal_Separator_Fixed]])</f>
        <v>2</v>
      </c>
      <c r="Z399" t="s">
        <v>70</v>
      </c>
      <c r="AA399" s="2" t="str">
        <f>CLEAN(TRIM(Working_Sales[[#This Row],[Price per Unit]]))</f>
        <v>30</v>
      </c>
      <c r="AB399" s="2">
        <f>INT(
   SUBSTITUTE(Working_Sales[[#This Row],[Price_Per_Unit_Whitespace_Removed]],
   "$",
   ""
   )
)</f>
        <v>30</v>
      </c>
      <c r="AC399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399" s="8">
        <f>IFERROR(
   Working_Sales[[#This Row],[Price_Per_Unit_Decimal_Separator_Fixed]],
   Working_Sales[[#This Row],[Total_Amount_Converted_To_Integer]]/Working_Sales[[#This Row],[Quantity_Converted_To_Integer]]
)</f>
        <v>30</v>
      </c>
      <c r="AE399" t="s">
        <v>71</v>
      </c>
      <c r="AF399" s="2" t="str">
        <f>CLEAN(TRIM(Working_Sales[[#This Row],[Total Amount]]))</f>
        <v>60</v>
      </c>
      <c r="AG399" s="2">
        <f>INT(Working_Sales[[#This Row],[Total_Amount_Whitespace_Removed]])</f>
        <v>60</v>
      </c>
      <c r="AH39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400" spans="1:34" x14ac:dyDescent="0.35">
      <c r="A400" t="s">
        <v>903</v>
      </c>
      <c r="B400" s="6" t="str">
        <f>CLEAN(TRIM(Working_Sales[[#This Row],[Transaction ID]]))</f>
        <v>203</v>
      </c>
      <c r="C400" t="s">
        <v>1045</v>
      </c>
      <c r="D400" s="2" t="str">
        <f>CLEAN(TRIM(Working_Sales[[#This Row],[Date]]))</f>
        <v>05/16/2023</v>
      </c>
      <c r="E400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40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45062</v>
      </c>
      <c r="G40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45062</v>
      </c>
      <c r="H400" t="s">
        <v>2658</v>
      </c>
      <c r="I400" s="2" t="str">
        <f>CLEAN(TRIM(Working_Sales[[#This Row],[Customer ID]]))</f>
        <v>CUST274</v>
      </c>
      <c r="J40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CUST274</v>
      </c>
      <c r="K40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CUST274</v>
      </c>
      <c r="L400" t="s">
        <v>20</v>
      </c>
      <c r="M400" s="4" t="str">
        <f>CLEAN(TRIM(Working_Sales[[#This Row],[Gender]]))</f>
        <v>male</v>
      </c>
      <c r="N400" s="4" t="str" cm="1">
        <f t="array" ref="N400">_xlfn.SWITCH(
   Working_Sales[[#This Row],[Gender_Whitespace_Removed]],
   "m", "Male",
   "f", "Female",
   Working_Sales[[#This Row],[Gender_Whitespace_Removed]]
)</f>
        <v>male</v>
      </c>
      <c r="O400" s="6" t="str">
        <f>PROPER(Working_Sales[[#This Row],[Gender_Abbreviation_Expanded]])</f>
        <v>Male</v>
      </c>
      <c r="P400">
        <v>56</v>
      </c>
      <c r="Q400" s="2" t="str">
        <f>CLEAN(TRIM(Working_Sales[[#This Row],[Age]]))</f>
        <v>56</v>
      </c>
      <c r="R400" s="6">
        <f>INT(SUBSTITUTE(Working_Sales[[#This Row],[Age_Whitespace_Removed]],".",","))</f>
        <v>56</v>
      </c>
      <c r="S400" t="s">
        <v>56</v>
      </c>
      <c r="T400" s="2" t="str">
        <f>CLEAN(TRIM(Working_Sales[[#This Row],[Product Category]]))</f>
        <v>Clothing</v>
      </c>
      <c r="U400" s="6" t="str">
        <f>PROPER(Working_Sales[[#This Row],[Product_Category_Whitespace_Removed]])</f>
        <v>Clothing</v>
      </c>
      <c r="V400" t="s">
        <v>37</v>
      </c>
      <c r="W400" s="2" t="str">
        <f>CLEAN(TRIM(Working_Sales[[#This Row],[Quantity]]))</f>
        <v>2</v>
      </c>
      <c r="X400" s="2">
        <f>INT(Working_Sales[[#This Row],[`]])</f>
        <v>2</v>
      </c>
      <c r="Y400" s="6">
        <f>IFERROR(
   Working_Sales[[#This Row],[Quantity_Converted_To_Integer]],
   Working_Sales[[#This Row],[Total_Amount_Whitespace_Removed]]/Working_Sales[[#This Row],[Price_Per_Unit_Decimal_Separator_Fixed]])</f>
        <v>2</v>
      </c>
      <c r="Z400" t="s">
        <v>162</v>
      </c>
      <c r="AA400" s="2" t="str">
        <f>CLEAN(TRIM(Working_Sales[[#This Row],[Price per Unit]]))</f>
        <v>$500</v>
      </c>
      <c r="AB400" s="2">
        <f>INT(
   SUBSTITUTE(Working_Sales[[#This Row],[Price_Per_Unit_Whitespace_Removed]],
   "$",
   ""
   )
)</f>
        <v>500</v>
      </c>
      <c r="AC400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400" s="8">
        <f>IFERROR(
   Working_Sales[[#This Row],[Price_Per_Unit_Decimal_Separator_Fixed]],
   Working_Sales[[#This Row],[Total_Amount_Converted_To_Integer]]/Working_Sales[[#This Row],[Quantity_Converted_To_Integer]]
)</f>
        <v>500</v>
      </c>
      <c r="AE400" t="s">
        <v>163</v>
      </c>
      <c r="AF400" s="2" t="str">
        <f>CLEAN(TRIM(Working_Sales[[#This Row],[Total Amount]]))</f>
        <v>1000</v>
      </c>
      <c r="AG400" s="2">
        <f>INT(Working_Sales[[#This Row],[Total_Amount_Whitespace_Removed]])</f>
        <v>1000</v>
      </c>
      <c r="AH40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401" spans="1:34" x14ac:dyDescent="0.35">
      <c r="A401" t="s">
        <v>906</v>
      </c>
      <c r="B401" s="6" t="str">
        <f>CLEAN(TRIM(Working_Sales[[#This Row],[Transaction ID]]))</f>
        <v>237</v>
      </c>
      <c r="C401" t="s">
        <v>2068</v>
      </c>
      <c r="D401" s="2" t="str">
        <f>CLEAN(TRIM(Working_Sales[[#This Row],[Date]]))</f>
        <v>February 04, 2023</v>
      </c>
      <c r="E401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401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40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44961</v>
      </c>
      <c r="H401" t="s">
        <v>2659</v>
      </c>
      <c r="I401" s="2" t="str">
        <f>CLEAN(TRIM(Working_Sales[[#This Row],[Customer ID]]))</f>
        <v>cust305</v>
      </c>
      <c r="J40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0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CUST305</v>
      </c>
      <c r="L401" t="s">
        <v>46</v>
      </c>
      <c r="M401" s="4" t="str">
        <f>CLEAN(TRIM(Working_Sales[[#This Row],[Gender]]))</f>
        <v>F</v>
      </c>
      <c r="N401" s="4" t="str" cm="1">
        <f t="array" ref="N401">_xlfn.SWITCH(
   Working_Sales[[#This Row],[Gender_Whitespace_Removed]],
   "m", "Male",
   "f", "Female",
   Working_Sales[[#This Row],[Gender_Whitespace_Removed]]
)</f>
        <v>Female</v>
      </c>
      <c r="O401" s="6" t="str">
        <f>PROPER(Working_Sales[[#This Row],[Gender_Abbreviation_Expanded]])</f>
        <v>Female</v>
      </c>
      <c r="P401">
        <v>50</v>
      </c>
      <c r="Q401" s="2" t="str">
        <f>CLEAN(TRIM(Working_Sales[[#This Row],[Age]]))</f>
        <v>50</v>
      </c>
      <c r="R401" s="6">
        <f>INT(SUBSTITUTE(Working_Sales[[#This Row],[Age_Whitespace_Removed]],".",","))</f>
        <v>50</v>
      </c>
      <c r="S401" t="s">
        <v>36</v>
      </c>
      <c r="T401" s="2" t="str">
        <f>CLEAN(TRIM(Working_Sales[[#This Row],[Product Category]]))</f>
        <v>Beauty</v>
      </c>
      <c r="U401" s="6" t="str">
        <f>PROPER(Working_Sales[[#This Row],[Product_Category_Whitespace_Removed]])</f>
        <v>Beauty</v>
      </c>
      <c r="V401" t="s">
        <v>37</v>
      </c>
      <c r="W401" s="2" t="str">
        <f>CLEAN(TRIM(Working_Sales[[#This Row],[Quantity]]))</f>
        <v>2</v>
      </c>
      <c r="X401" s="2">
        <f>INT(Working_Sales[[#This Row],[`]])</f>
        <v>2</v>
      </c>
      <c r="Y401" s="6">
        <f>IFERROR(
   Working_Sales[[#This Row],[Quantity_Converted_To_Integer]],
   Working_Sales[[#This Row],[Total_Amount_Whitespace_Removed]]/Working_Sales[[#This Row],[Price_Per_Unit_Decimal_Separator_Fixed]])</f>
        <v>2</v>
      </c>
      <c r="Z401" t="s">
        <v>162</v>
      </c>
      <c r="AA401" s="2" t="str">
        <f>CLEAN(TRIM(Working_Sales[[#This Row],[Price per Unit]]))</f>
        <v>$500</v>
      </c>
      <c r="AB401" s="2">
        <f>INT(
   SUBSTITUTE(Working_Sales[[#This Row],[Price_Per_Unit_Whitespace_Removed]],
   "$",
   ""
   )
)</f>
        <v>500</v>
      </c>
      <c r="AC401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401" s="8">
        <f>IFERROR(
   Working_Sales[[#This Row],[Price_Per_Unit_Decimal_Separator_Fixed]],
   Working_Sales[[#This Row],[Total_Amount_Converted_To_Integer]]/Working_Sales[[#This Row],[Quantity_Converted_To_Integer]]
)</f>
        <v>500</v>
      </c>
      <c r="AE401" t="s">
        <v>163</v>
      </c>
      <c r="AF401" s="2" t="str">
        <f>CLEAN(TRIM(Working_Sales[[#This Row],[Total Amount]]))</f>
        <v>1000</v>
      </c>
      <c r="AG401" s="2">
        <f>INT(Working_Sales[[#This Row],[Total_Amount_Whitespace_Removed]])</f>
        <v>1000</v>
      </c>
      <c r="AH40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402" spans="1:34" x14ac:dyDescent="0.35">
      <c r="A402" t="s">
        <v>130</v>
      </c>
      <c r="B402" s="6" t="str">
        <f>CLEAN(TRIM(Working_Sales[[#This Row],[Transaction ID]]))</f>
        <v>150</v>
      </c>
      <c r="C402" t="s">
        <v>908</v>
      </c>
      <c r="D402" s="2" t="str">
        <f>CLEAN(TRIM(Working_Sales[[#This Row],[Date]]))</f>
        <v>2023-01-06</v>
      </c>
      <c r="E40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44932</v>
      </c>
      <c r="F40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44932</v>
      </c>
      <c r="G40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44932</v>
      </c>
      <c r="H402" t="s">
        <v>2660</v>
      </c>
      <c r="I402" s="2" t="str">
        <f>CLEAN(TRIM(Working_Sales[[#This Row],[Customer ID]]))</f>
        <v>CUST-306</v>
      </c>
      <c r="J40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0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CUST306</v>
      </c>
      <c r="L402" t="s">
        <v>46</v>
      </c>
      <c r="M402" s="4" t="str">
        <f>CLEAN(TRIM(Working_Sales[[#This Row],[Gender]]))</f>
        <v>F</v>
      </c>
      <c r="N402" s="4" t="str" cm="1">
        <f t="array" ref="N402">_xlfn.SWITCH(
   Working_Sales[[#This Row],[Gender_Whitespace_Removed]],
   "m", "Male",
   "f", "Female",
   Working_Sales[[#This Row],[Gender_Whitespace_Removed]]
)</f>
        <v>Female</v>
      </c>
      <c r="O402" s="6" t="str">
        <f>PROPER(Working_Sales[[#This Row],[Gender_Abbreviation_Expanded]])</f>
        <v>Female</v>
      </c>
      <c r="P402">
        <v>58</v>
      </c>
      <c r="Q402" s="2" t="str">
        <f>CLEAN(TRIM(Working_Sales[[#This Row],[Age]]))</f>
        <v>58</v>
      </c>
      <c r="R402" s="6">
        <f>INT(SUBSTITUTE(Working_Sales[[#This Row],[Age_Whitespace_Removed]],".",","))</f>
        <v>58</v>
      </c>
      <c r="S402" t="s">
        <v>13</v>
      </c>
      <c r="T402" s="2" t="str">
        <f>CLEAN(TRIM(Working_Sales[[#This Row],[Product Category]]))</f>
        <v>Electronics</v>
      </c>
      <c r="U402" s="6" t="str">
        <f>PROPER(Working_Sales[[#This Row],[Product_Category_Whitespace_Removed]])</f>
        <v>Electronics</v>
      </c>
      <c r="V402" t="s">
        <v>14</v>
      </c>
      <c r="W402" s="2" t="str">
        <f>CLEAN(TRIM(Working_Sales[[#This Row],[Quantity]]))</f>
        <v>4</v>
      </c>
      <c r="X402" s="2">
        <f>INT(Working_Sales[[#This Row],[`]])</f>
        <v>4</v>
      </c>
      <c r="Y402" s="6">
        <f>IFERROR(
   Working_Sales[[#This Row],[Quantity_Converted_To_Integer]],
   Working_Sales[[#This Row],[Total_Amount_Whitespace_Removed]]/Working_Sales[[#This Row],[Price_Per_Unit_Decimal_Separator_Fixed]])</f>
        <v>4</v>
      </c>
      <c r="Z402" t="s">
        <v>70</v>
      </c>
      <c r="AA402" s="2" t="str">
        <f>CLEAN(TRIM(Working_Sales[[#This Row],[Price per Unit]]))</f>
        <v>30</v>
      </c>
      <c r="AB402" s="2">
        <f>INT(
   SUBSTITUTE(Working_Sales[[#This Row],[Price_Per_Unit_Whitespace_Removed]],
   "$",
   ""
   )
)</f>
        <v>30</v>
      </c>
      <c r="AC402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402" s="8">
        <f>IFERROR(
   Working_Sales[[#This Row],[Price_Per_Unit_Decimal_Separator_Fixed]],
   Working_Sales[[#This Row],[Total_Amount_Converted_To_Integer]]/Working_Sales[[#This Row],[Quantity_Converted_To_Integer]]
)</f>
        <v>30</v>
      </c>
      <c r="AE402" t="s">
        <v>44</v>
      </c>
      <c r="AF402" s="2" t="str">
        <f>CLEAN(TRIM(Working_Sales[[#This Row],[Total Amount]]))</f>
        <v>120</v>
      </c>
      <c r="AG402" s="2">
        <f>INT(Working_Sales[[#This Row],[Total_Amount_Whitespace_Removed]])</f>
        <v>120</v>
      </c>
      <c r="AH40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403" spans="1:34" x14ac:dyDescent="0.35">
      <c r="A403" t="s">
        <v>910</v>
      </c>
      <c r="B403" s="6" t="str">
        <f>CLEAN(TRIM(Working_Sales[[#This Row],[Transaction ID]]))</f>
        <v>218</v>
      </c>
      <c r="C403" t="s">
        <v>911</v>
      </c>
      <c r="D403" s="2" t="str">
        <f>CLEAN(TRIM(Working_Sales[[#This Row],[Date]]))</f>
        <v>09/22/2023</v>
      </c>
      <c r="E403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40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45191</v>
      </c>
      <c r="G40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45191</v>
      </c>
      <c r="H403" t="s">
        <v>2661</v>
      </c>
      <c r="I403" s="2" t="str">
        <f>CLEAN(TRIM(Working_Sales[[#This Row],[Customer ID]]))</f>
        <v>cust305</v>
      </c>
      <c r="J40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0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CUST305</v>
      </c>
      <c r="L403" t="s">
        <v>34</v>
      </c>
      <c r="M403" s="4" t="str">
        <f>CLEAN(TRIM(Working_Sales[[#This Row],[Gender]]))</f>
        <v>Male</v>
      </c>
      <c r="N403" s="4" t="str" cm="1">
        <f t="array" ref="N403">_xlfn.SWITCH(
   Working_Sales[[#This Row],[Gender_Whitespace_Removed]],
   "m", "Male",
   "f", "Female",
   Working_Sales[[#This Row],[Gender_Whitespace_Removed]]
)</f>
        <v>Male</v>
      </c>
      <c r="O403" s="6" t="str">
        <f>PROPER(Working_Sales[[#This Row],[Gender_Abbreviation_Expanded]])</f>
        <v>Male</v>
      </c>
      <c r="P403">
        <v>64</v>
      </c>
      <c r="Q403" s="2" t="str">
        <f>CLEAN(TRIM(Working_Sales[[#This Row],[Age]]))</f>
        <v>64</v>
      </c>
      <c r="R403" s="6">
        <f>INT(SUBSTITUTE(Working_Sales[[#This Row],[Age_Whitespace_Removed]],".",","))</f>
        <v>64</v>
      </c>
      <c r="S403" t="s">
        <v>36</v>
      </c>
      <c r="T403" s="2" t="str">
        <f>CLEAN(TRIM(Working_Sales[[#This Row],[Product Category]]))</f>
        <v>Beauty</v>
      </c>
      <c r="U403" s="6" t="str">
        <f>PROPER(Working_Sales[[#This Row],[Product_Category_Whitespace_Removed]])</f>
        <v>Beauty</v>
      </c>
      <c r="V403" t="s">
        <v>29</v>
      </c>
      <c r="W403" s="2" t="str">
        <f>CLEAN(TRIM(Working_Sales[[#This Row],[Quantity]]))</f>
        <v>3</v>
      </c>
      <c r="X403" s="2">
        <f>INT(Working_Sales[[#This Row],[`]])</f>
        <v>3</v>
      </c>
      <c r="Y403" s="6">
        <f>IFERROR(
   Working_Sales[[#This Row],[Quantity_Converted_To_Integer]],
   Working_Sales[[#This Row],[Total_Amount_Whitespace_Removed]]/Working_Sales[[#This Row],[Price_Per_Unit_Decimal_Separator_Fixed]])</f>
        <v>3</v>
      </c>
      <c r="Z403" t="s">
        <v>43</v>
      </c>
      <c r="AA403" s="2" t="str">
        <f>CLEAN(TRIM(Working_Sales[[#This Row],[Price per Unit]]))</f>
        <v>30.00</v>
      </c>
      <c r="AB403" s="2" t="e">
        <f>INT(
   SUBSTITUTE(Working_Sales[[#This Row],[Price_Per_Unit_Whitespace_Removed]],
   "$",
   ""
   )
)</f>
        <v>#VALUE!</v>
      </c>
      <c r="AC403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403" s="8">
        <f>IFERROR(
   Working_Sales[[#This Row],[Price_Per_Unit_Decimal_Separator_Fixed]],
   Working_Sales[[#This Row],[Total_Amount_Converted_To_Integer]]/Working_Sales[[#This Row],[Quantity_Converted_To_Integer]]
)</f>
        <v>30</v>
      </c>
      <c r="AE403" t="s">
        <v>191</v>
      </c>
      <c r="AF403" s="2" t="str">
        <f>CLEAN(TRIM(Working_Sales[[#This Row],[Total Amount]]))</f>
        <v>90</v>
      </c>
      <c r="AG403" s="2">
        <f>INT(Working_Sales[[#This Row],[Total_Amount_Whitespace_Removed]])</f>
        <v>90</v>
      </c>
      <c r="AH40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404" spans="1:34" x14ac:dyDescent="0.35">
      <c r="A404" t="s">
        <v>913</v>
      </c>
      <c r="B404" s="6" t="str">
        <f>CLEAN(TRIM(Working_Sales[[#This Row],[Transaction ID]]))</f>
        <v>685</v>
      </c>
      <c r="C404" t="s">
        <v>914</v>
      </c>
      <c r="D404" s="2" t="str">
        <f>CLEAN(TRIM(Working_Sales[[#This Row],[Date]]))</f>
        <v>2023-06-02</v>
      </c>
      <c r="E40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45079</v>
      </c>
      <c r="F40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45079</v>
      </c>
      <c r="G40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45079</v>
      </c>
      <c r="H404" t="s">
        <v>2662</v>
      </c>
      <c r="I404" s="2" t="str">
        <f>CLEAN(TRIM(Working_Sales[[#This Row],[Customer ID]]))</f>
        <v>CUST307</v>
      </c>
      <c r="J40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CUST307</v>
      </c>
      <c r="K40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CUST307</v>
      </c>
      <c r="L404" t="s">
        <v>268</v>
      </c>
      <c r="M404" s="4" t="str">
        <f>CLEAN(TRIM(Working_Sales[[#This Row],[Gender]]))</f>
        <v>M</v>
      </c>
      <c r="N404" s="4" t="str" cm="1">
        <f t="array" ref="N404">_xlfn.SWITCH(
   Working_Sales[[#This Row],[Gender_Whitespace_Removed]],
   "m", "Male",
   "f", "Female",
   Working_Sales[[#This Row],[Gender_Whitespace_Removed]]
)</f>
        <v>Male</v>
      </c>
      <c r="O404" s="6" t="str">
        <f>PROPER(Working_Sales[[#This Row],[Gender_Abbreviation_Expanded]])</f>
        <v>Male</v>
      </c>
      <c r="P404">
        <v>57</v>
      </c>
      <c r="Q404" s="2" t="str">
        <f>CLEAN(TRIM(Working_Sales[[#This Row],[Age]]))</f>
        <v>57</v>
      </c>
      <c r="R404" s="6">
        <f>INT(SUBSTITUTE(Working_Sales[[#This Row],[Age_Whitespace_Removed]],".",","))</f>
        <v>57</v>
      </c>
      <c r="S404" t="s">
        <v>13</v>
      </c>
      <c r="T404" s="2" t="str">
        <f>CLEAN(TRIM(Working_Sales[[#This Row],[Product Category]]))</f>
        <v>Electronics</v>
      </c>
      <c r="U404" s="6" t="str">
        <f>PROPER(Working_Sales[[#This Row],[Product_Category_Whitespace_Removed]])</f>
        <v>Electronics</v>
      </c>
      <c r="V404" t="s">
        <v>37</v>
      </c>
      <c r="W404" s="2" t="str">
        <f>CLEAN(TRIM(Working_Sales[[#This Row],[Quantity]]))</f>
        <v>2</v>
      </c>
      <c r="X404" s="2">
        <f>INT(Working_Sales[[#This Row],[`]])</f>
        <v>2</v>
      </c>
      <c r="Y404" s="6">
        <f>IFERROR(
   Working_Sales[[#This Row],[Quantity_Converted_To_Integer]],
   Working_Sales[[#This Row],[Total_Amount_Whitespace_Removed]]/Working_Sales[[#This Row],[Price_Per_Unit_Decimal_Separator_Fixed]])</f>
        <v>2</v>
      </c>
      <c r="Z404" t="s">
        <v>49</v>
      </c>
      <c r="AA404" s="2" t="str">
        <f>CLEAN(TRIM(Working_Sales[[#This Row],[Price per Unit]]))</f>
        <v>$25</v>
      </c>
      <c r="AB404" s="2">
        <f>INT(
   SUBSTITUTE(Working_Sales[[#This Row],[Price_Per_Unit_Whitespace_Removed]],
   "$",
   ""
   )
)</f>
        <v>25</v>
      </c>
      <c r="AC404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404" s="8">
        <f>IFERROR(
   Working_Sales[[#This Row],[Price_Per_Unit_Decimal_Separator_Fixed]],
   Working_Sales[[#This Row],[Total_Amount_Converted_To_Integer]]/Working_Sales[[#This Row],[Quantity_Converted_To_Integer]]
)</f>
        <v>25</v>
      </c>
      <c r="AE404" t="s">
        <v>15</v>
      </c>
      <c r="AF404" s="2" t="str">
        <f>CLEAN(TRIM(Working_Sales[[#This Row],[Total Amount]]))</f>
        <v>50</v>
      </c>
      <c r="AG404" s="2">
        <f>INT(Working_Sales[[#This Row],[Total_Amount_Whitespace_Removed]])</f>
        <v>50</v>
      </c>
      <c r="AH40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405" spans="1:34" x14ac:dyDescent="0.35">
      <c r="A405" t="s">
        <v>915</v>
      </c>
      <c r="B405" s="6" t="str">
        <f>CLEAN(TRIM(Working_Sales[[#This Row],[Transaction ID]]))</f>
        <v>527</v>
      </c>
      <c r="C405" t="s">
        <v>916</v>
      </c>
      <c r="D405" s="2" t="str">
        <f>CLEAN(TRIM(Working_Sales[[#This Row],[Date]]))</f>
        <v>April 11, 2023</v>
      </c>
      <c r="E405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405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40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45027</v>
      </c>
      <c r="H405" t="s">
        <v>2293</v>
      </c>
      <c r="I405" s="2" t="str">
        <f>CLEAN(TRIM(Working_Sales[[#This Row],[Customer ID]]))</f>
        <v>CUST288</v>
      </c>
      <c r="J40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CUST288</v>
      </c>
      <c r="K40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CUST288</v>
      </c>
      <c r="L405" t="s">
        <v>34</v>
      </c>
      <c r="M405" s="4" t="str">
        <f>CLEAN(TRIM(Working_Sales[[#This Row],[Gender]]))</f>
        <v>Male</v>
      </c>
      <c r="N405" s="4" t="str" cm="1">
        <f t="array" ref="N405">_xlfn.SWITCH(
   Working_Sales[[#This Row],[Gender_Whitespace_Removed]],
   "m", "Male",
   "f", "Female",
   Working_Sales[[#This Row],[Gender_Whitespace_Removed]]
)</f>
        <v>Male</v>
      </c>
      <c r="O405" s="6" t="str">
        <f>PROPER(Working_Sales[[#This Row],[Gender_Abbreviation_Expanded]])</f>
        <v>Male</v>
      </c>
      <c r="P405">
        <v>57</v>
      </c>
      <c r="Q405" s="2" t="str">
        <f>CLEAN(TRIM(Working_Sales[[#This Row],[Age]]))</f>
        <v>57</v>
      </c>
      <c r="R405" s="6">
        <f>INT(SUBSTITUTE(Working_Sales[[#This Row],[Age_Whitespace_Removed]],".",","))</f>
        <v>57</v>
      </c>
      <c r="S405" t="s">
        <v>56</v>
      </c>
      <c r="T405" s="2" t="str">
        <f>CLEAN(TRIM(Working_Sales[[#This Row],[Product Category]]))</f>
        <v>Clothing</v>
      </c>
      <c r="U405" s="6" t="str">
        <f>PROPER(Working_Sales[[#This Row],[Product_Category_Whitespace_Removed]])</f>
        <v>Clothing</v>
      </c>
      <c r="V405" t="s">
        <v>37</v>
      </c>
      <c r="W405" s="2" t="str">
        <f>CLEAN(TRIM(Working_Sales[[#This Row],[Quantity]]))</f>
        <v>2</v>
      </c>
      <c r="X405" s="2">
        <f>INT(Working_Sales[[#This Row],[`]])</f>
        <v>2</v>
      </c>
      <c r="Y405" s="6">
        <f>IFERROR(
   Working_Sales[[#This Row],[Quantity_Converted_To_Integer]],
   Working_Sales[[#This Row],[Total_Amount_Whitespace_Removed]]/Working_Sales[[#This Row],[Price_Per_Unit_Decimal_Separator_Fixed]])</f>
        <v>2</v>
      </c>
      <c r="Z405" t="s">
        <v>30</v>
      </c>
      <c r="AA405" s="2" t="str">
        <f>CLEAN(TRIM(Working_Sales[[#This Row],[Price per Unit]]))</f>
        <v>25</v>
      </c>
      <c r="AB405" s="2">
        <f>INT(
   SUBSTITUTE(Working_Sales[[#This Row],[Price_Per_Unit_Whitespace_Removed]],
   "$",
   ""
   )
)</f>
        <v>25</v>
      </c>
      <c r="AC405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405" s="8">
        <f>IFERROR(
   Working_Sales[[#This Row],[Price_Per_Unit_Decimal_Separator_Fixed]],
   Working_Sales[[#This Row],[Total_Amount_Converted_To_Integer]]/Working_Sales[[#This Row],[Quantity_Converted_To_Integer]]
)</f>
        <v>25</v>
      </c>
      <c r="AE405" t="s">
        <v>15</v>
      </c>
      <c r="AF405" s="2" t="str">
        <f>CLEAN(TRIM(Working_Sales[[#This Row],[Total Amount]]))</f>
        <v>50</v>
      </c>
      <c r="AG405" s="2">
        <f>INT(Working_Sales[[#This Row],[Total_Amount_Whitespace_Removed]])</f>
        <v>50</v>
      </c>
      <c r="AH40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406" spans="1:34" x14ac:dyDescent="0.35">
      <c r="A406" t="s">
        <v>917</v>
      </c>
      <c r="B406" s="6" t="str">
        <f>CLEAN(TRIM(Working_Sales[[#This Row],[Transaction ID]]))</f>
        <v>636</v>
      </c>
      <c r="C406" t="s">
        <v>918</v>
      </c>
      <c r="D406" s="2" t="str">
        <f>CLEAN(TRIM(Working_Sales[[#This Row],[Date]]))</f>
        <v>2023-03-23</v>
      </c>
      <c r="E40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45008</v>
      </c>
      <c r="F40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45008</v>
      </c>
      <c r="G40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45008</v>
      </c>
      <c r="H406" t="s">
        <v>2663</v>
      </c>
      <c r="I406" s="2" t="str">
        <f>CLEAN(TRIM(Working_Sales[[#This Row],[Customer ID]]))</f>
        <v>Cust308</v>
      </c>
      <c r="J40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0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CUST308</v>
      </c>
      <c r="L406" t="s">
        <v>26</v>
      </c>
      <c r="M406" s="4" t="str">
        <f>CLEAN(TRIM(Working_Sales[[#This Row],[Gender]]))</f>
        <v>Female</v>
      </c>
      <c r="N406" s="4" t="str" cm="1">
        <f t="array" ref="N406">_xlfn.SWITCH(
   Working_Sales[[#This Row],[Gender_Whitespace_Removed]],
   "m", "Male",
   "f", "Female",
   Working_Sales[[#This Row],[Gender_Whitespace_Removed]]
)</f>
        <v>Female</v>
      </c>
      <c r="O406" s="6" t="str">
        <f>PROPER(Working_Sales[[#This Row],[Gender_Abbreviation_Expanded]])</f>
        <v>Female</v>
      </c>
      <c r="P406">
        <v>21</v>
      </c>
      <c r="Q406" s="2" t="str">
        <f>CLEAN(TRIM(Working_Sales[[#This Row],[Age]]))</f>
        <v>21</v>
      </c>
      <c r="R406" s="6">
        <f>INT(SUBSTITUTE(Working_Sales[[#This Row],[Age_Whitespace_Removed]],".",","))</f>
        <v>21</v>
      </c>
      <c r="S406" t="s">
        <v>36</v>
      </c>
      <c r="T406" s="2" t="str">
        <f>CLEAN(TRIM(Working_Sales[[#This Row],[Product Category]]))</f>
        <v>Beauty</v>
      </c>
      <c r="U406" s="6" t="str">
        <f>PROPER(Working_Sales[[#This Row],[Product_Category_Whitespace_Removed]])</f>
        <v>Beauty</v>
      </c>
      <c r="V406" t="s">
        <v>29</v>
      </c>
      <c r="W406" s="2" t="str">
        <f>CLEAN(TRIM(Working_Sales[[#This Row],[Quantity]]))</f>
        <v>3</v>
      </c>
      <c r="X406" s="2">
        <f>INT(Working_Sales[[#This Row],[`]])</f>
        <v>3</v>
      </c>
      <c r="Y406" s="6">
        <f>IFERROR(
   Working_Sales[[#This Row],[Quantity_Converted_To_Integer]],
   Working_Sales[[#This Row],[Total_Amount_Whitespace_Removed]]/Working_Sales[[#This Row],[Price_Per_Unit_Decimal_Separator_Fixed]])</f>
        <v>3</v>
      </c>
      <c r="Z406" t="s">
        <v>57</v>
      </c>
      <c r="AA406" s="2" t="str">
        <f>CLEAN(TRIM(Working_Sales[[#This Row],[Price per Unit]]))</f>
        <v>500</v>
      </c>
      <c r="AB406" s="2">
        <f>INT(
   SUBSTITUTE(Working_Sales[[#This Row],[Price_Per_Unit_Whitespace_Removed]],
   "$",
   ""
   )
)</f>
        <v>500</v>
      </c>
      <c r="AC406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406" s="8">
        <f>IFERROR(
   Working_Sales[[#This Row],[Price_Per_Unit_Decimal_Separator_Fixed]],
   Working_Sales[[#This Row],[Total_Amount_Converted_To_Integer]]/Working_Sales[[#This Row],[Quantity_Converted_To_Integer]]
)</f>
        <v>500</v>
      </c>
      <c r="AE406" t="s">
        <v>85</v>
      </c>
      <c r="AF406" s="2" t="str">
        <f>CLEAN(TRIM(Working_Sales[[#This Row],[Total Amount]]))</f>
        <v>1500</v>
      </c>
      <c r="AG406" s="2">
        <f>INT(Working_Sales[[#This Row],[Total_Amount_Whitespace_Removed]])</f>
        <v>1500</v>
      </c>
      <c r="AH40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407" spans="1:34" x14ac:dyDescent="0.35">
      <c r="A407" t="s">
        <v>919</v>
      </c>
      <c r="B407" s="6" t="str">
        <f>CLEAN(TRIM(Working_Sales[[#This Row],[Transaction ID]]))</f>
        <v>619</v>
      </c>
      <c r="C407" t="s">
        <v>920</v>
      </c>
      <c r="D407" s="2" t="str">
        <f>CLEAN(TRIM(Working_Sales[[#This Row],[Date]]))</f>
        <v>10/13/2023</v>
      </c>
      <c r="E407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40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45212</v>
      </c>
      <c r="G40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45212</v>
      </c>
      <c r="H407" t="s">
        <v>2341</v>
      </c>
      <c r="I407" s="2" t="str">
        <f>CLEAN(TRIM(Working_Sales[[#This Row],[Customer ID]]))</f>
        <v>cust021</v>
      </c>
      <c r="J40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0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CUST021</v>
      </c>
      <c r="L407" t="s">
        <v>34</v>
      </c>
      <c r="M407" s="4" t="str">
        <f>CLEAN(TRIM(Working_Sales[[#This Row],[Gender]]))</f>
        <v>Male</v>
      </c>
      <c r="N407" s="4" t="str" cm="1">
        <f t="array" ref="N407">_xlfn.SWITCH(
   Working_Sales[[#This Row],[Gender_Whitespace_Removed]],
   "m", "Male",
   "f", "Female",
   Working_Sales[[#This Row],[Gender_Whitespace_Removed]]
)</f>
        <v>Male</v>
      </c>
      <c r="O407" s="6" t="str">
        <f>PROPER(Working_Sales[[#This Row],[Gender_Abbreviation_Expanded]])</f>
        <v>Male</v>
      </c>
      <c r="P407" t="s">
        <v>921</v>
      </c>
      <c r="Q407" s="2" t="str">
        <f>CLEAN(TRIM(Working_Sales[[#This Row],[Age]]))</f>
        <v>47</v>
      </c>
      <c r="R407" s="6">
        <f>INT(SUBSTITUTE(Working_Sales[[#This Row],[Age_Whitespace_Removed]],".",","))</f>
        <v>47</v>
      </c>
      <c r="S407" t="s">
        <v>13</v>
      </c>
      <c r="T407" s="2" t="str">
        <f>CLEAN(TRIM(Working_Sales[[#This Row],[Product Category]]))</f>
        <v>Electronics</v>
      </c>
      <c r="U407" s="6" t="str">
        <f>PROPER(Working_Sales[[#This Row],[Product_Category_Whitespace_Removed]])</f>
        <v>Electronics</v>
      </c>
      <c r="V407" t="s">
        <v>14</v>
      </c>
      <c r="W407" s="2" t="str">
        <f>CLEAN(TRIM(Working_Sales[[#This Row],[Quantity]]))</f>
        <v>4</v>
      </c>
      <c r="X407" s="2">
        <f>INT(Working_Sales[[#This Row],[`]])</f>
        <v>4</v>
      </c>
      <c r="Y407" s="6">
        <f>IFERROR(
   Working_Sales[[#This Row],[Quantity_Converted_To_Integer]],
   Working_Sales[[#This Row],[Total_Amount_Whitespace_Removed]]/Working_Sales[[#This Row],[Price_Per_Unit_Decimal_Separator_Fixed]])</f>
        <v>4</v>
      </c>
      <c r="Z407" t="s">
        <v>30</v>
      </c>
      <c r="AA407" s="2" t="str">
        <f>CLEAN(TRIM(Working_Sales[[#This Row],[Price per Unit]]))</f>
        <v>25</v>
      </c>
      <c r="AB407" s="2">
        <f>INT(
   SUBSTITUTE(Working_Sales[[#This Row],[Price_Per_Unit_Whitespace_Removed]],
   "$",
   ""
   )
)</f>
        <v>25</v>
      </c>
      <c r="AC407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407" s="8">
        <f>IFERROR(
   Working_Sales[[#This Row],[Price_Per_Unit_Decimal_Separator_Fixed]],
   Working_Sales[[#This Row],[Total_Amount_Converted_To_Integer]]/Working_Sales[[#This Row],[Quantity_Converted_To_Integer]]
)</f>
        <v>25</v>
      </c>
      <c r="AE407" t="s">
        <v>38</v>
      </c>
      <c r="AF407" s="2" t="str">
        <f>CLEAN(TRIM(Working_Sales[[#This Row],[Total Amount]]))</f>
        <v>100</v>
      </c>
      <c r="AG407" s="2">
        <f>INT(Working_Sales[[#This Row],[Total_Amount_Whitespace_Removed]])</f>
        <v>100</v>
      </c>
      <c r="AH40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408" spans="1:34" x14ac:dyDescent="0.35">
      <c r="A408" t="s">
        <v>922</v>
      </c>
      <c r="B408" s="6" t="str">
        <f>CLEAN(TRIM(Working_Sales[[#This Row],[Transaction ID]]))</f>
        <v>419</v>
      </c>
      <c r="C408" t="s">
        <v>1471</v>
      </c>
      <c r="D408" s="2" t="str">
        <f>CLEAN(TRIM(Working_Sales[[#This Row],[Date]]))</f>
        <v>05/22/2023</v>
      </c>
      <c r="E408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40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45068</v>
      </c>
      <c r="G40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45068</v>
      </c>
      <c r="H408" t="s">
        <v>2664</v>
      </c>
      <c r="I408" s="2" t="str">
        <f>CLEAN(TRIM(Working_Sales[[#This Row],[Customer ID]]))</f>
        <v>CUST104</v>
      </c>
      <c r="J40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CUST104</v>
      </c>
      <c r="K40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CUST104</v>
      </c>
      <c r="L408" t="s">
        <v>26</v>
      </c>
      <c r="M408" s="4" t="str">
        <f>CLEAN(TRIM(Working_Sales[[#This Row],[Gender]]))</f>
        <v>Female</v>
      </c>
      <c r="N408" s="4" t="str" cm="1">
        <f t="array" ref="N408">_xlfn.SWITCH(
   Working_Sales[[#This Row],[Gender_Whitespace_Removed]],
   "m", "Male",
   "f", "Female",
   Working_Sales[[#This Row],[Gender_Whitespace_Removed]]
)</f>
        <v>Female</v>
      </c>
      <c r="O408" s="6" t="str">
        <f>PROPER(Working_Sales[[#This Row],[Gender_Abbreviation_Expanded]])</f>
        <v>Female</v>
      </c>
      <c r="P408">
        <v>44</v>
      </c>
      <c r="Q408" s="2" t="str">
        <f>CLEAN(TRIM(Working_Sales[[#This Row],[Age]]))</f>
        <v>44</v>
      </c>
      <c r="R408" s="6">
        <f>INT(SUBSTITUTE(Working_Sales[[#This Row],[Age_Whitespace_Removed]],".",","))</f>
        <v>44</v>
      </c>
      <c r="S408" t="s">
        <v>56</v>
      </c>
      <c r="T408" s="2" t="str">
        <f>CLEAN(TRIM(Working_Sales[[#This Row],[Product Category]]))</f>
        <v>Clothing</v>
      </c>
      <c r="U408" s="6" t="str">
        <f>PROPER(Working_Sales[[#This Row],[Product_Category_Whitespace_Removed]])</f>
        <v>Clothing</v>
      </c>
      <c r="V408" t="s">
        <v>29</v>
      </c>
      <c r="W408" s="2" t="str">
        <f>CLEAN(TRIM(Working_Sales[[#This Row],[Quantity]]))</f>
        <v>3</v>
      </c>
      <c r="X408" s="2">
        <f>INT(Working_Sales[[#This Row],[`]])</f>
        <v>3</v>
      </c>
      <c r="Y408" s="6">
        <f>IFERROR(
   Working_Sales[[#This Row],[Quantity_Converted_To_Integer]],
   Working_Sales[[#This Row],[Total_Amount_Whitespace_Removed]]/Working_Sales[[#This Row],[Price_Per_Unit_Decimal_Separator_Fixed]])</f>
        <v>3</v>
      </c>
      <c r="Z408" t="s">
        <v>70</v>
      </c>
      <c r="AA408" s="2" t="str">
        <f>CLEAN(TRIM(Working_Sales[[#This Row],[Price per Unit]]))</f>
        <v>30</v>
      </c>
      <c r="AB408" s="2">
        <f>INT(
   SUBSTITUTE(Working_Sales[[#This Row],[Price_Per_Unit_Whitespace_Removed]],
   "$",
   ""
   )
)</f>
        <v>30</v>
      </c>
      <c r="AC408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408" s="8">
        <f>IFERROR(
   Working_Sales[[#This Row],[Price_Per_Unit_Decimal_Separator_Fixed]],
   Working_Sales[[#This Row],[Total_Amount_Converted_To_Integer]]/Working_Sales[[#This Row],[Quantity_Converted_To_Integer]]
)</f>
        <v>30</v>
      </c>
      <c r="AE408" t="s">
        <v>191</v>
      </c>
      <c r="AF408" s="2" t="str">
        <f>CLEAN(TRIM(Working_Sales[[#This Row],[Total Amount]]))</f>
        <v>90</v>
      </c>
      <c r="AG408" s="2">
        <f>INT(Working_Sales[[#This Row],[Total_Amount_Whitespace_Removed]])</f>
        <v>90</v>
      </c>
      <c r="AH40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409" spans="1:34" x14ac:dyDescent="0.35">
      <c r="A409" t="s">
        <v>923</v>
      </c>
      <c r="B409" s="6" t="str">
        <f>CLEAN(TRIM(Working_Sales[[#This Row],[Transaction ID]]))</f>
        <v>303</v>
      </c>
      <c r="C409" t="s">
        <v>2092</v>
      </c>
      <c r="D409" s="2" t="str">
        <f>CLEAN(TRIM(Working_Sales[[#This Row],[Date]]))</f>
        <v>January 02, 2023</v>
      </c>
      <c r="E409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409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40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44928</v>
      </c>
      <c r="H409" t="s">
        <v>1093</v>
      </c>
      <c r="I409" s="2" t="str">
        <f>CLEAN(TRIM(Working_Sales[[#This Row],[Customer ID]]))</f>
        <v>CUST208</v>
      </c>
      <c r="J40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CUST208</v>
      </c>
      <c r="K40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CUST208</v>
      </c>
      <c r="L409" t="s">
        <v>11</v>
      </c>
      <c r="M409" s="4" t="str">
        <f>CLEAN(TRIM(Working_Sales[[#This Row],[Gender]]))</f>
        <v>MALE</v>
      </c>
      <c r="N409" s="4" t="str" cm="1">
        <f t="array" ref="N409">_xlfn.SWITCH(
   Working_Sales[[#This Row],[Gender_Whitespace_Removed]],
   "m", "Male",
   "f", "Female",
   Working_Sales[[#This Row],[Gender_Whitespace_Removed]]
)</f>
        <v>MALE</v>
      </c>
      <c r="O409" s="6" t="str">
        <f>PROPER(Working_Sales[[#This Row],[Gender_Abbreviation_Expanded]])</f>
        <v>Male</v>
      </c>
      <c r="P409" t="s">
        <v>924</v>
      </c>
      <c r="Q409" s="2" t="str">
        <f>CLEAN(TRIM(Working_Sales[[#This Row],[Age]]))</f>
        <v>19</v>
      </c>
      <c r="R409" s="6">
        <f>INT(SUBSTITUTE(Working_Sales[[#This Row],[Age_Whitespace_Removed]],".",","))</f>
        <v>19</v>
      </c>
      <c r="S409" t="s">
        <v>13</v>
      </c>
      <c r="T409" s="2" t="str">
        <f>CLEAN(TRIM(Working_Sales[[#This Row],[Product Category]]))</f>
        <v>Electronics</v>
      </c>
      <c r="U409" s="6" t="str">
        <f>PROPER(Working_Sales[[#This Row],[Product_Category_Whitespace_Removed]])</f>
        <v>Electronics</v>
      </c>
      <c r="V409" t="s">
        <v>29</v>
      </c>
      <c r="W409" s="2" t="str">
        <f>CLEAN(TRIM(Working_Sales[[#This Row],[Quantity]]))</f>
        <v>3</v>
      </c>
      <c r="X409" s="2">
        <f>INT(Working_Sales[[#This Row],[`]])</f>
        <v>3</v>
      </c>
      <c r="Y409" s="6">
        <f>IFERROR(
   Working_Sales[[#This Row],[Quantity_Converted_To_Integer]],
   Working_Sales[[#This Row],[Total_Amount_Whitespace_Removed]]/Working_Sales[[#This Row],[Price_Per_Unit_Decimal_Separator_Fixed]])</f>
        <v>3</v>
      </c>
      <c r="Z409" t="s">
        <v>70</v>
      </c>
      <c r="AA409" s="2" t="str">
        <f>CLEAN(TRIM(Working_Sales[[#This Row],[Price per Unit]]))</f>
        <v>30</v>
      </c>
      <c r="AB409" s="2">
        <f>INT(
   SUBSTITUTE(Working_Sales[[#This Row],[Price_Per_Unit_Whitespace_Removed]],
   "$",
   ""
   )
)</f>
        <v>30</v>
      </c>
      <c r="AC409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409" s="8">
        <f>IFERROR(
   Working_Sales[[#This Row],[Price_Per_Unit_Decimal_Separator_Fixed]],
   Working_Sales[[#This Row],[Total_Amount_Converted_To_Integer]]/Working_Sales[[#This Row],[Quantity_Converted_To_Integer]]
)</f>
        <v>30</v>
      </c>
      <c r="AE409" t="s">
        <v>191</v>
      </c>
      <c r="AF409" s="2" t="str">
        <f>CLEAN(TRIM(Working_Sales[[#This Row],[Total Amount]]))</f>
        <v>90</v>
      </c>
      <c r="AG409" s="2">
        <f>INT(Working_Sales[[#This Row],[Total_Amount_Whitespace_Removed]])</f>
        <v>90</v>
      </c>
      <c r="AH40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410" spans="1:34" x14ac:dyDescent="0.35">
      <c r="A410" t="s">
        <v>925</v>
      </c>
      <c r="B410" s="6" t="str">
        <f>CLEAN(TRIM(Working_Sales[[#This Row],[Transaction ID]]))</f>
        <v>870</v>
      </c>
      <c r="C410" t="s">
        <v>2093</v>
      </c>
      <c r="D410" s="2" t="str">
        <f>CLEAN(TRIM(Working_Sales[[#This Row],[Date]]))</f>
        <v>08-Jul-2023</v>
      </c>
      <c r="E41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45115</v>
      </c>
      <c r="F41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45115</v>
      </c>
      <c r="G41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45115</v>
      </c>
      <c r="H410" t="s">
        <v>2665</v>
      </c>
      <c r="I410" s="2" t="str">
        <f>CLEAN(TRIM(Working_Sales[[#This Row],[Customer ID]]))</f>
        <v>cust309</v>
      </c>
      <c r="J41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1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CUST309</v>
      </c>
      <c r="L410" t="s">
        <v>26</v>
      </c>
      <c r="M410" s="4" t="str">
        <f>CLEAN(TRIM(Working_Sales[[#This Row],[Gender]]))</f>
        <v>Female</v>
      </c>
      <c r="N410" s="4" t="str" cm="1">
        <f t="array" ref="N410">_xlfn.SWITCH(
   Working_Sales[[#This Row],[Gender_Whitespace_Removed]],
   "m", "Male",
   "f", "Female",
   Working_Sales[[#This Row],[Gender_Whitespace_Removed]]
)</f>
        <v>Female</v>
      </c>
      <c r="O410" s="6" t="str">
        <f>PROPER(Working_Sales[[#This Row],[Gender_Abbreviation_Expanded]])</f>
        <v>Female</v>
      </c>
      <c r="P410">
        <v>46</v>
      </c>
      <c r="Q410" s="2" t="str">
        <f>CLEAN(TRIM(Working_Sales[[#This Row],[Age]]))</f>
        <v>46</v>
      </c>
      <c r="R410" s="6">
        <f>INT(SUBSTITUTE(Working_Sales[[#This Row],[Age_Whitespace_Removed]],".",","))</f>
        <v>46</v>
      </c>
      <c r="S410" t="s">
        <v>99</v>
      </c>
      <c r="T410" s="2" t="str">
        <f>CLEAN(TRIM(Working_Sales[[#This Row],[Product Category]]))</f>
        <v>ELECTRONICS</v>
      </c>
      <c r="U410" s="6" t="str">
        <f>PROPER(Working_Sales[[#This Row],[Product_Category_Whitespace_Removed]])</f>
        <v>Electronics</v>
      </c>
      <c r="V410" t="s">
        <v>14</v>
      </c>
      <c r="W410" s="2" t="str">
        <f>CLEAN(TRIM(Working_Sales[[#This Row],[Quantity]]))</f>
        <v>4</v>
      </c>
      <c r="X410" s="2">
        <f>INT(Working_Sales[[#This Row],[`]])</f>
        <v>4</v>
      </c>
      <c r="Y410" s="6">
        <f>IFERROR(
   Working_Sales[[#This Row],[Quantity_Converted_To_Integer]],
   Working_Sales[[#This Row],[Total_Amount_Whitespace_Removed]]/Working_Sales[[#This Row],[Price_Per_Unit_Decimal_Separator_Fixed]])</f>
        <v>4</v>
      </c>
      <c r="Z410" t="s">
        <v>70</v>
      </c>
      <c r="AA410" s="2" t="str">
        <f>CLEAN(TRIM(Working_Sales[[#This Row],[Price per Unit]]))</f>
        <v>30</v>
      </c>
      <c r="AB410" s="2">
        <f>INT(
   SUBSTITUTE(Working_Sales[[#This Row],[Price_Per_Unit_Whitespace_Removed]],
   "$",
   ""
   )
)</f>
        <v>30</v>
      </c>
      <c r="AC410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410" s="8">
        <f>IFERROR(
   Working_Sales[[#This Row],[Price_Per_Unit_Decimal_Separator_Fixed]],
   Working_Sales[[#This Row],[Total_Amount_Converted_To_Integer]]/Working_Sales[[#This Row],[Quantity_Converted_To_Integer]]
)</f>
        <v>30</v>
      </c>
      <c r="AE410" t="s">
        <v>44</v>
      </c>
      <c r="AF410" s="2" t="str">
        <f>CLEAN(TRIM(Working_Sales[[#This Row],[Total Amount]]))</f>
        <v>120</v>
      </c>
      <c r="AG410" s="2">
        <f>INT(Working_Sales[[#This Row],[Total_Amount_Whitespace_Removed]])</f>
        <v>120</v>
      </c>
      <c r="AH41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411" spans="1:34" x14ac:dyDescent="0.35">
      <c r="A411" t="s">
        <v>926</v>
      </c>
      <c r="B411" s="6" t="str">
        <f>CLEAN(TRIM(Working_Sales[[#This Row],[Transaction ID]]))</f>
        <v>930</v>
      </c>
      <c r="C411" t="s">
        <v>927</v>
      </c>
      <c r="D411" s="2" t="str">
        <f>CLEAN(TRIM(Working_Sales[[#This Row],[Date]]))</f>
        <v>2023-05-10</v>
      </c>
      <c r="E41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45056</v>
      </c>
      <c r="F41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45056</v>
      </c>
      <c r="G41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45056</v>
      </c>
      <c r="H411" t="s">
        <v>2666</v>
      </c>
      <c r="I411" s="2" t="str">
        <f>CLEAN(TRIM(Working_Sales[[#This Row],[Customer ID]]))</f>
        <v>CUST245</v>
      </c>
      <c r="J41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CUST245</v>
      </c>
      <c r="K41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CUST245</v>
      </c>
      <c r="L411" t="s">
        <v>20</v>
      </c>
      <c r="M411" s="4" t="str">
        <f>CLEAN(TRIM(Working_Sales[[#This Row],[Gender]]))</f>
        <v>male</v>
      </c>
      <c r="N411" s="4" t="str" cm="1">
        <f t="array" ref="N411">_xlfn.SWITCH(
   Working_Sales[[#This Row],[Gender_Whitespace_Removed]],
   "m", "Male",
   "f", "Female",
   Working_Sales[[#This Row],[Gender_Whitespace_Removed]]
)</f>
        <v>male</v>
      </c>
      <c r="O411" s="6" t="str">
        <f>PROPER(Working_Sales[[#This Row],[Gender_Abbreviation_Expanded]])</f>
        <v>Male</v>
      </c>
      <c r="P411">
        <v>54</v>
      </c>
      <c r="Q411" s="2" t="str">
        <f>CLEAN(TRIM(Working_Sales[[#This Row],[Age]]))</f>
        <v>54</v>
      </c>
      <c r="R411" s="6">
        <f>INT(SUBSTITUTE(Working_Sales[[#This Row],[Age_Whitespace_Removed]],".",","))</f>
        <v>54</v>
      </c>
      <c r="S411" t="s">
        <v>56</v>
      </c>
      <c r="T411" s="2" t="str">
        <f>CLEAN(TRIM(Working_Sales[[#This Row],[Product Category]]))</f>
        <v>Clothing</v>
      </c>
      <c r="U411" s="6" t="str">
        <f>PROPER(Working_Sales[[#This Row],[Product_Category_Whitespace_Removed]])</f>
        <v>Clothing</v>
      </c>
      <c r="V411" t="s">
        <v>14</v>
      </c>
      <c r="W411" s="2" t="str">
        <f>CLEAN(TRIM(Working_Sales[[#This Row],[Quantity]]))</f>
        <v>4</v>
      </c>
      <c r="X411" s="2">
        <f>INT(Working_Sales[[#This Row],[`]])</f>
        <v>4</v>
      </c>
      <c r="Y411" s="6">
        <f>IFERROR(
   Working_Sales[[#This Row],[Quantity_Converted_To_Integer]],
   Working_Sales[[#This Row],[Total_Amount_Whitespace_Removed]]/Working_Sales[[#This Row],[Price_Per_Unit_Decimal_Separator_Fixed]])</f>
        <v>4</v>
      </c>
      <c r="Z411" t="s">
        <v>15</v>
      </c>
      <c r="AA411" s="2" t="str">
        <f>CLEAN(TRIM(Working_Sales[[#This Row],[Price per Unit]]))</f>
        <v>50</v>
      </c>
      <c r="AB411" s="2">
        <f>INT(
   SUBSTITUTE(Working_Sales[[#This Row],[Price_Per_Unit_Whitespace_Removed]],
   "$",
   ""
   )
)</f>
        <v>50</v>
      </c>
      <c r="AC411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411" s="8">
        <f>IFERROR(
   Working_Sales[[#This Row],[Price_Per_Unit_Decimal_Separator_Fixed]],
   Working_Sales[[#This Row],[Total_Amount_Converted_To_Integer]]/Working_Sales[[#This Row],[Quantity_Converted_To_Integer]]
)</f>
        <v>50</v>
      </c>
      <c r="AE411" t="s">
        <v>16</v>
      </c>
      <c r="AF411" s="2" t="str">
        <f>CLEAN(TRIM(Working_Sales[[#This Row],[Total Amount]]))</f>
        <v>200</v>
      </c>
      <c r="AG411" s="2">
        <f>INT(Working_Sales[[#This Row],[Total_Amount_Whitespace_Removed]])</f>
        <v>200</v>
      </c>
      <c r="AH41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412" spans="1:34" x14ac:dyDescent="0.35">
      <c r="A412" t="s">
        <v>928</v>
      </c>
      <c r="B412" s="6" t="str">
        <f>CLEAN(TRIM(Working_Sales[[#This Row],[Transaction ID]]))</f>
        <v>883</v>
      </c>
      <c r="C412" t="s">
        <v>929</v>
      </c>
      <c r="D412" s="2" t="str">
        <f>CLEAN(TRIM(Working_Sales[[#This Row],[Date]]))</f>
        <v>2023-05-09</v>
      </c>
      <c r="E41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45055</v>
      </c>
      <c r="F41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45055</v>
      </c>
      <c r="G41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45055</v>
      </c>
      <c r="H412" t="s">
        <v>2667</v>
      </c>
      <c r="I412" s="2" t="str">
        <f>CLEAN(TRIM(Working_Sales[[#This Row],[Customer ID]]))</f>
        <v>cust310</v>
      </c>
      <c r="J41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1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CUST310</v>
      </c>
      <c r="L412" t="s">
        <v>11</v>
      </c>
      <c r="M412" s="4" t="str">
        <f>CLEAN(TRIM(Working_Sales[[#This Row],[Gender]]))</f>
        <v>MALE</v>
      </c>
      <c r="N412" s="4" t="str" cm="1">
        <f t="array" ref="N412">_xlfn.SWITCH(
   Working_Sales[[#This Row],[Gender_Whitespace_Removed]],
   "m", "Male",
   "f", "Female",
   Working_Sales[[#This Row],[Gender_Whitespace_Removed]]
)</f>
        <v>MALE</v>
      </c>
      <c r="O412" s="6" t="str">
        <f>PROPER(Working_Sales[[#This Row],[Gender_Abbreviation_Expanded]])</f>
        <v>Male</v>
      </c>
      <c r="P412">
        <v>40</v>
      </c>
      <c r="Q412" s="2" t="str">
        <f>CLEAN(TRIM(Working_Sales[[#This Row],[Age]]))</f>
        <v>40</v>
      </c>
      <c r="R412" s="6">
        <f>INT(SUBSTITUTE(Working_Sales[[#This Row],[Age_Whitespace_Removed]],".",","))</f>
        <v>40</v>
      </c>
      <c r="S412" t="s">
        <v>13</v>
      </c>
      <c r="T412" s="2" t="str">
        <f>CLEAN(TRIM(Working_Sales[[#This Row],[Product Category]]))</f>
        <v>Electronics</v>
      </c>
      <c r="U412" s="6" t="str">
        <f>PROPER(Working_Sales[[#This Row],[Product_Category_Whitespace_Removed]])</f>
        <v>Electronics</v>
      </c>
      <c r="V412" t="s">
        <v>22</v>
      </c>
      <c r="W412" s="2" t="str">
        <f>CLEAN(TRIM(Working_Sales[[#This Row],[Quantity]]))</f>
        <v>1</v>
      </c>
      <c r="X412" s="2">
        <f>INT(Working_Sales[[#This Row],[`]])</f>
        <v>1</v>
      </c>
      <c r="Y412" s="6">
        <f>IFERROR(
   Working_Sales[[#This Row],[Quantity_Converted_To_Integer]],
   Working_Sales[[#This Row],[Total_Amount_Whitespace_Removed]]/Working_Sales[[#This Row],[Price_Per_Unit_Decimal_Separator_Fixed]])</f>
        <v>1</v>
      </c>
      <c r="Z412" t="s">
        <v>57</v>
      </c>
      <c r="AA412" s="2" t="str">
        <f>CLEAN(TRIM(Working_Sales[[#This Row],[Price per Unit]]))</f>
        <v>500</v>
      </c>
      <c r="AB412" s="2">
        <f>INT(
   SUBSTITUTE(Working_Sales[[#This Row],[Price_Per_Unit_Whitespace_Removed]],
   "$",
   ""
   )
)</f>
        <v>500</v>
      </c>
      <c r="AC412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412" s="8">
        <f>IFERROR(
   Working_Sales[[#This Row],[Price_Per_Unit_Decimal_Separator_Fixed]],
   Working_Sales[[#This Row],[Total_Amount_Converted_To_Integer]]/Working_Sales[[#This Row],[Quantity_Converted_To_Integer]]
)</f>
        <v>500</v>
      </c>
      <c r="AE412" t="s">
        <v>57</v>
      </c>
      <c r="AF412" s="2" t="str">
        <f>CLEAN(TRIM(Working_Sales[[#This Row],[Total Amount]]))</f>
        <v>500</v>
      </c>
      <c r="AG412" s="2">
        <f>INT(Working_Sales[[#This Row],[Total_Amount_Whitespace_Removed]])</f>
        <v>500</v>
      </c>
      <c r="AH41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413" spans="1:34" x14ac:dyDescent="0.35">
      <c r="A413" t="s">
        <v>930</v>
      </c>
      <c r="B413" s="6" t="str">
        <f>CLEAN(TRIM(Working_Sales[[#This Row],[Transaction ID]]))</f>
        <v>938</v>
      </c>
      <c r="C413" t="s">
        <v>2094</v>
      </c>
      <c r="D413" s="2" t="str">
        <f>CLEAN(TRIM(Working_Sales[[#This Row],[Date]]))</f>
        <v>19-Nov-2023</v>
      </c>
      <c r="E41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45249</v>
      </c>
      <c r="F41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45249</v>
      </c>
      <c r="G41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45249</v>
      </c>
      <c r="H413" t="s">
        <v>2668</v>
      </c>
      <c r="I413" s="2" t="str">
        <f>CLEAN(TRIM(Working_Sales[[#This Row],[Customer ID]]))</f>
        <v>CUST268</v>
      </c>
      <c r="J41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CUST268</v>
      </c>
      <c r="K41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CUST268</v>
      </c>
      <c r="L413" t="s">
        <v>11</v>
      </c>
      <c r="M413" s="4" t="str">
        <f>CLEAN(TRIM(Working_Sales[[#This Row],[Gender]]))</f>
        <v>MALE</v>
      </c>
      <c r="N413" s="4" t="str" cm="1">
        <f t="array" ref="N413">_xlfn.SWITCH(
   Working_Sales[[#This Row],[Gender_Whitespace_Removed]],
   "m", "Male",
   "f", "Female",
   Working_Sales[[#This Row],[Gender_Whitespace_Removed]]
)</f>
        <v>MALE</v>
      </c>
      <c r="O413" s="6" t="str">
        <f>PROPER(Working_Sales[[#This Row],[Gender_Abbreviation_Expanded]])</f>
        <v>Male</v>
      </c>
      <c r="P413">
        <v>49</v>
      </c>
      <c r="Q413" s="2" t="str">
        <f>CLEAN(TRIM(Working_Sales[[#This Row],[Age]]))</f>
        <v>49</v>
      </c>
      <c r="R413" s="6">
        <f>INT(SUBSTITUTE(Working_Sales[[#This Row],[Age_Whitespace_Removed]],".",","))</f>
        <v>49</v>
      </c>
      <c r="S413" t="s">
        <v>400</v>
      </c>
      <c r="T413" s="2" t="str">
        <f>CLEAN(TRIM(Working_Sales[[#This Row],[Product Category]]))</f>
        <v>Clothing</v>
      </c>
      <c r="U413" s="6" t="str">
        <f>PROPER(Working_Sales[[#This Row],[Product_Category_Whitespace_Removed]])</f>
        <v>Clothing</v>
      </c>
      <c r="V413" t="s">
        <v>14</v>
      </c>
      <c r="W413" s="2" t="str">
        <f>CLEAN(TRIM(Working_Sales[[#This Row],[Quantity]]))</f>
        <v>4</v>
      </c>
      <c r="X413" s="2">
        <f>INT(Working_Sales[[#This Row],[`]])</f>
        <v>4</v>
      </c>
      <c r="Y413" s="6">
        <f>IFERROR(
   Working_Sales[[#This Row],[Quantity_Converted_To_Integer]],
   Working_Sales[[#This Row],[Total_Amount_Whitespace_Removed]]/Working_Sales[[#This Row],[Price_Per_Unit_Decimal_Separator_Fixed]])</f>
        <v>4</v>
      </c>
      <c r="Z413" t="s">
        <v>15</v>
      </c>
      <c r="AA413" s="2" t="str">
        <f>CLEAN(TRIM(Working_Sales[[#This Row],[Price per Unit]]))</f>
        <v>50</v>
      </c>
      <c r="AB413" s="2">
        <f>INT(
   SUBSTITUTE(Working_Sales[[#This Row],[Price_Per_Unit_Whitespace_Removed]],
   "$",
   ""
   )
)</f>
        <v>50</v>
      </c>
      <c r="AC413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413" s="8">
        <f>IFERROR(
   Working_Sales[[#This Row],[Price_Per_Unit_Decimal_Separator_Fixed]],
   Working_Sales[[#This Row],[Total_Amount_Converted_To_Integer]]/Working_Sales[[#This Row],[Quantity_Converted_To_Integer]]
)</f>
        <v>50</v>
      </c>
      <c r="AE413" t="s">
        <v>16</v>
      </c>
      <c r="AF413" s="2" t="str">
        <f>CLEAN(TRIM(Working_Sales[[#This Row],[Total Amount]]))</f>
        <v>200</v>
      </c>
      <c r="AG413" s="2">
        <f>INT(Working_Sales[[#This Row],[Total_Amount_Whitespace_Removed]])</f>
        <v>200</v>
      </c>
      <c r="AH41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414" spans="1:34" x14ac:dyDescent="0.35">
      <c r="A414" t="s">
        <v>931</v>
      </c>
      <c r="B414" s="6" t="str">
        <f>CLEAN(TRIM(Working_Sales[[#This Row],[Transaction ID]]))</f>
        <v>389</v>
      </c>
      <c r="C414" t="s">
        <v>932</v>
      </c>
      <c r="D414" s="2" t="str">
        <f>CLEAN(TRIM(Working_Sales[[#This Row],[Date]]))</f>
        <v>December 01, 2023</v>
      </c>
      <c r="E414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414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41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45261</v>
      </c>
      <c r="H414" t="s">
        <v>2669</v>
      </c>
      <c r="I414" s="2" t="str">
        <f>CLEAN(TRIM(Working_Sales[[#This Row],[Customer ID]]))</f>
        <v>cust260</v>
      </c>
      <c r="J41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1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CUST260</v>
      </c>
      <c r="L414" t="s">
        <v>268</v>
      </c>
      <c r="M414" s="4" t="str">
        <f>CLEAN(TRIM(Working_Sales[[#This Row],[Gender]]))</f>
        <v>M</v>
      </c>
      <c r="N414" s="4" t="str" cm="1">
        <f t="array" ref="N414">_xlfn.SWITCH(
   Working_Sales[[#This Row],[Gender_Whitespace_Removed]],
   "m", "Male",
   "f", "Female",
   Working_Sales[[#This Row],[Gender_Whitespace_Removed]]
)</f>
        <v>Male</v>
      </c>
      <c r="O414" s="6" t="str">
        <f>PROPER(Working_Sales[[#This Row],[Gender_Abbreviation_Expanded]])</f>
        <v>Male</v>
      </c>
      <c r="P414">
        <v>21</v>
      </c>
      <c r="Q414" s="2" t="str">
        <f>CLEAN(TRIM(Working_Sales[[#This Row],[Age]]))</f>
        <v>21</v>
      </c>
      <c r="R414" s="6">
        <f>INT(SUBSTITUTE(Working_Sales[[#This Row],[Age_Whitespace_Removed]],".",","))</f>
        <v>21</v>
      </c>
      <c r="S414" t="s">
        <v>56</v>
      </c>
      <c r="T414" s="2" t="str">
        <f>CLEAN(TRIM(Working_Sales[[#This Row],[Product Category]]))</f>
        <v>Clothing</v>
      </c>
      <c r="U414" s="6" t="str">
        <f>PROPER(Working_Sales[[#This Row],[Product_Category_Whitespace_Removed]])</f>
        <v>Clothing</v>
      </c>
      <c r="V414" t="s">
        <v>37</v>
      </c>
      <c r="W414" s="2" t="str">
        <f>CLEAN(TRIM(Working_Sales[[#This Row],[Quantity]]))</f>
        <v>2</v>
      </c>
      <c r="X414" s="2">
        <f>INT(Working_Sales[[#This Row],[`]])</f>
        <v>2</v>
      </c>
      <c r="Y414" s="6">
        <f>IFERROR(
   Working_Sales[[#This Row],[Quantity_Converted_To_Integer]],
   Working_Sales[[#This Row],[Total_Amount_Whitespace_Removed]]/Working_Sales[[#This Row],[Price_Per_Unit_Decimal_Separator_Fixed]])</f>
        <v>2</v>
      </c>
      <c r="Z414" t="s">
        <v>49</v>
      </c>
      <c r="AA414" s="2" t="str">
        <f>CLEAN(TRIM(Working_Sales[[#This Row],[Price per Unit]]))</f>
        <v>$25</v>
      </c>
      <c r="AB414" s="2">
        <f>INT(
   SUBSTITUTE(Working_Sales[[#This Row],[Price_Per_Unit_Whitespace_Removed]],
   "$",
   ""
   )
)</f>
        <v>25</v>
      </c>
      <c r="AC414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414" s="8">
        <f>IFERROR(
   Working_Sales[[#This Row],[Price_Per_Unit_Decimal_Separator_Fixed]],
   Working_Sales[[#This Row],[Total_Amount_Converted_To_Integer]]/Working_Sales[[#This Row],[Quantity_Converted_To_Integer]]
)</f>
        <v>25</v>
      </c>
      <c r="AE414" t="s">
        <v>15</v>
      </c>
      <c r="AF414" s="2" t="str">
        <f>CLEAN(TRIM(Working_Sales[[#This Row],[Total Amount]]))</f>
        <v>50</v>
      </c>
      <c r="AG414" s="2">
        <f>INT(Working_Sales[[#This Row],[Total_Amount_Whitespace_Removed]])</f>
        <v>50</v>
      </c>
      <c r="AH41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415" spans="1:34" x14ac:dyDescent="0.35">
      <c r="A415" t="s">
        <v>934</v>
      </c>
      <c r="B415" s="6" t="str">
        <f>CLEAN(TRIM(Working_Sales[[#This Row],[Transaction ID]]))</f>
        <v>676</v>
      </c>
      <c r="C415" t="s">
        <v>1019</v>
      </c>
      <c r="D415" s="2" t="str">
        <f>CLEAN(TRIM(Working_Sales[[#This Row],[Date]]))</f>
        <v>19/07/2023</v>
      </c>
      <c r="E41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45126</v>
      </c>
      <c r="F41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45126</v>
      </c>
      <c r="G41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45126</v>
      </c>
      <c r="H415" t="s">
        <v>2670</v>
      </c>
      <c r="I415" s="2" t="str">
        <f>CLEAN(TRIM(Working_Sales[[#This Row],[Customer ID]]))</f>
        <v>CUST176</v>
      </c>
      <c r="J41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CUST176</v>
      </c>
      <c r="K41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CUST176</v>
      </c>
      <c r="L415" t="s">
        <v>20</v>
      </c>
      <c r="M415" s="4" t="str">
        <f>CLEAN(TRIM(Working_Sales[[#This Row],[Gender]]))</f>
        <v>male</v>
      </c>
      <c r="N415" s="4" t="str" cm="1">
        <f t="array" ref="N415">_xlfn.SWITCH(
   Working_Sales[[#This Row],[Gender_Whitespace_Removed]],
   "m", "Male",
   "f", "Female",
   Working_Sales[[#This Row],[Gender_Whitespace_Removed]]
)</f>
        <v>male</v>
      </c>
      <c r="O415" s="6" t="str">
        <f>PROPER(Working_Sales[[#This Row],[Gender_Abbreviation_Expanded]])</f>
        <v>Male</v>
      </c>
      <c r="P415">
        <v>63</v>
      </c>
      <c r="Q415" s="2" t="str">
        <f>CLEAN(TRIM(Working_Sales[[#This Row],[Age]]))</f>
        <v>63</v>
      </c>
      <c r="R415" s="6">
        <f>INT(SUBSTITUTE(Working_Sales[[#This Row],[Age_Whitespace_Removed]],".",","))</f>
        <v>63</v>
      </c>
      <c r="S415" t="s">
        <v>13</v>
      </c>
      <c r="T415" s="2" t="str">
        <f>CLEAN(TRIM(Working_Sales[[#This Row],[Product Category]]))</f>
        <v>Electronics</v>
      </c>
      <c r="U415" s="6" t="str">
        <f>PROPER(Working_Sales[[#This Row],[Product_Category_Whitespace_Removed]])</f>
        <v>Electronics</v>
      </c>
      <c r="V415" t="s">
        <v>29</v>
      </c>
      <c r="W415" s="2" t="str">
        <f>CLEAN(TRIM(Working_Sales[[#This Row],[Quantity]]))</f>
        <v>3</v>
      </c>
      <c r="X415" s="2">
        <f>INT(Working_Sales[[#This Row],[`]])</f>
        <v>3</v>
      </c>
      <c r="Y415" s="6">
        <f>IFERROR(
   Working_Sales[[#This Row],[Quantity_Converted_To_Integer]],
   Working_Sales[[#This Row],[Total_Amount_Whitespace_Removed]]/Working_Sales[[#This Row],[Price_Per_Unit_Decimal_Separator_Fixed]])</f>
        <v>3</v>
      </c>
      <c r="Z415" t="s">
        <v>57</v>
      </c>
      <c r="AA415" s="2" t="str">
        <f>CLEAN(TRIM(Working_Sales[[#This Row],[Price per Unit]]))</f>
        <v>500</v>
      </c>
      <c r="AB415" s="2">
        <f>INT(
   SUBSTITUTE(Working_Sales[[#This Row],[Price_Per_Unit_Whitespace_Removed]],
   "$",
   ""
   )
)</f>
        <v>500</v>
      </c>
      <c r="AC415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415" s="8">
        <f>IFERROR(
   Working_Sales[[#This Row],[Price_Per_Unit_Decimal_Separator_Fixed]],
   Working_Sales[[#This Row],[Total_Amount_Converted_To_Integer]]/Working_Sales[[#This Row],[Quantity_Converted_To_Integer]]
)</f>
        <v>500</v>
      </c>
      <c r="AE415" t="s">
        <v>85</v>
      </c>
      <c r="AF415" s="2" t="str">
        <f>CLEAN(TRIM(Working_Sales[[#This Row],[Total Amount]]))</f>
        <v>1500</v>
      </c>
      <c r="AG415" s="2">
        <f>INT(Working_Sales[[#This Row],[Total_Amount_Whitespace_Removed]])</f>
        <v>1500</v>
      </c>
      <c r="AH41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416" spans="1:34" x14ac:dyDescent="0.35">
      <c r="A416" t="s">
        <v>935</v>
      </c>
      <c r="B416" s="6" t="str">
        <f>CLEAN(TRIM(Working_Sales[[#This Row],[Transaction ID]]))</f>
        <v>388</v>
      </c>
      <c r="C416" t="s">
        <v>2095</v>
      </c>
      <c r="D416" s="2" t="str">
        <f>CLEAN(TRIM(Working_Sales[[#This Row],[Date]]))</f>
        <v>2023-11-10</v>
      </c>
      <c r="E41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45240</v>
      </c>
      <c r="F41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45240</v>
      </c>
      <c r="G41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45240</v>
      </c>
      <c r="H416" t="s">
        <v>2671</v>
      </c>
      <c r="I416" s="2" t="str">
        <f>CLEAN(TRIM(Working_Sales[[#This Row],[Customer ID]]))</f>
        <v>cust100</v>
      </c>
      <c r="J41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1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CUST100</v>
      </c>
      <c r="L416" t="s">
        <v>34</v>
      </c>
      <c r="M416" s="4" t="str">
        <f>CLEAN(TRIM(Working_Sales[[#This Row],[Gender]]))</f>
        <v>Male</v>
      </c>
      <c r="N416" s="4" t="str" cm="1">
        <f t="array" ref="N416">_xlfn.SWITCH(
   Working_Sales[[#This Row],[Gender_Whitespace_Removed]],
   "m", "Male",
   "f", "Female",
   Working_Sales[[#This Row],[Gender_Whitespace_Removed]]
)</f>
        <v>Male</v>
      </c>
      <c r="O416" s="6" t="str">
        <f>PROPER(Working_Sales[[#This Row],[Gender_Abbreviation_Expanded]])</f>
        <v>Male</v>
      </c>
      <c r="P416">
        <v>50</v>
      </c>
      <c r="Q416" s="2" t="str">
        <f>CLEAN(TRIM(Working_Sales[[#This Row],[Age]]))</f>
        <v>50</v>
      </c>
      <c r="R416" s="6">
        <f>INT(SUBSTITUTE(Working_Sales[[#This Row],[Age_Whitespace_Removed]],".",","))</f>
        <v>50</v>
      </c>
      <c r="S416" t="s">
        <v>13</v>
      </c>
      <c r="T416" s="2" t="str">
        <f>CLEAN(TRIM(Working_Sales[[#This Row],[Product Category]]))</f>
        <v>Electronics</v>
      </c>
      <c r="U416" s="6" t="str">
        <f>PROPER(Working_Sales[[#This Row],[Product_Category_Whitespace_Removed]])</f>
        <v>Electronics</v>
      </c>
      <c r="V416" t="s">
        <v>22</v>
      </c>
      <c r="W416" s="2" t="str">
        <f>CLEAN(TRIM(Working_Sales[[#This Row],[Quantity]]))</f>
        <v>1</v>
      </c>
      <c r="X416" s="2">
        <f>INT(Working_Sales[[#This Row],[`]])</f>
        <v>1</v>
      </c>
      <c r="Y416" s="6">
        <f>IFERROR(
   Working_Sales[[#This Row],[Quantity_Converted_To_Integer]],
   Working_Sales[[#This Row],[Total_Amount_Whitespace_Removed]]/Working_Sales[[#This Row],[Price_Per_Unit_Decimal_Separator_Fixed]])</f>
        <v>1</v>
      </c>
      <c r="Z416" t="s">
        <v>49</v>
      </c>
      <c r="AA416" s="2" t="str">
        <f>CLEAN(TRIM(Working_Sales[[#This Row],[Price per Unit]]))</f>
        <v>$25</v>
      </c>
      <c r="AB416" s="2">
        <f>INT(
   SUBSTITUTE(Working_Sales[[#This Row],[Price_Per_Unit_Whitespace_Removed]],
   "$",
   ""
   )
)</f>
        <v>25</v>
      </c>
      <c r="AC416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416" s="8">
        <f>IFERROR(
   Working_Sales[[#This Row],[Price_Per_Unit_Decimal_Separator_Fixed]],
   Working_Sales[[#This Row],[Total_Amount_Converted_To_Integer]]/Working_Sales[[#This Row],[Quantity_Converted_To_Integer]]
)</f>
        <v>25</v>
      </c>
      <c r="AE416" t="s">
        <v>30</v>
      </c>
      <c r="AF416" s="2" t="str">
        <f>CLEAN(TRIM(Working_Sales[[#This Row],[Total Amount]]))</f>
        <v>25</v>
      </c>
      <c r="AG416" s="2">
        <f>INT(Working_Sales[[#This Row],[Total_Amount_Whitespace_Removed]])</f>
        <v>25</v>
      </c>
      <c r="AH41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417" spans="1:34" x14ac:dyDescent="0.35">
      <c r="A417" t="s">
        <v>937</v>
      </c>
      <c r="B417" s="6" t="str">
        <f>CLEAN(TRIM(Working_Sales[[#This Row],[Transaction ID]]))</f>
        <v>586</v>
      </c>
      <c r="C417" t="s">
        <v>938</v>
      </c>
      <c r="D417" s="2" t="str">
        <f>CLEAN(TRIM(Working_Sales[[#This Row],[Date]]))</f>
        <v>2023-12-11</v>
      </c>
      <c r="E41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45271</v>
      </c>
      <c r="F41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45271</v>
      </c>
      <c r="G41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45271</v>
      </c>
      <c r="H417" t="s">
        <v>2672</v>
      </c>
      <c r="I417" s="2" t="str">
        <f>CLEAN(TRIM(Working_Sales[[#This Row],[Customer ID]]))</f>
        <v>cust311</v>
      </c>
      <c r="J41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1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CUST311</v>
      </c>
      <c r="L417" t="s">
        <v>20</v>
      </c>
      <c r="M417" s="4" t="str">
        <f>CLEAN(TRIM(Working_Sales[[#This Row],[Gender]]))</f>
        <v>male</v>
      </c>
      <c r="N417" s="4" t="str" cm="1">
        <f t="array" ref="N417">_xlfn.SWITCH(
   Working_Sales[[#This Row],[Gender_Whitespace_Removed]],
   "m", "Male",
   "f", "Female",
   Working_Sales[[#This Row],[Gender_Whitespace_Removed]]
)</f>
        <v>male</v>
      </c>
      <c r="O417" s="6" t="str">
        <f>PROPER(Working_Sales[[#This Row],[Gender_Abbreviation_Expanded]])</f>
        <v>Male</v>
      </c>
      <c r="P417" t="s">
        <v>716</v>
      </c>
      <c r="Q417" s="2" t="str">
        <f>CLEAN(TRIM(Working_Sales[[#This Row],[Age]]))</f>
        <v>50</v>
      </c>
      <c r="R417" s="6">
        <f>INT(SUBSTITUTE(Working_Sales[[#This Row],[Age_Whitespace_Removed]],".",","))</f>
        <v>50</v>
      </c>
      <c r="S417" t="s">
        <v>13</v>
      </c>
      <c r="T417" s="2" t="str">
        <f>CLEAN(TRIM(Working_Sales[[#This Row],[Product Category]]))</f>
        <v>Electronics</v>
      </c>
      <c r="U417" s="6" t="str">
        <f>PROPER(Working_Sales[[#This Row],[Product_Category_Whitespace_Removed]])</f>
        <v>Electronics</v>
      </c>
      <c r="V417" t="s">
        <v>22</v>
      </c>
      <c r="W417" s="2" t="str">
        <f>CLEAN(TRIM(Working_Sales[[#This Row],[Quantity]]))</f>
        <v>1</v>
      </c>
      <c r="X417" s="2">
        <f>INT(Working_Sales[[#This Row],[`]])</f>
        <v>1</v>
      </c>
      <c r="Y417" s="6">
        <f>IFERROR(
   Working_Sales[[#This Row],[Quantity_Converted_To_Integer]],
   Working_Sales[[#This Row],[Total_Amount_Whitespace_Removed]]/Working_Sales[[#This Row],[Price_Per_Unit_Decimal_Separator_Fixed]])</f>
        <v>1</v>
      </c>
      <c r="Z417" t="s">
        <v>15</v>
      </c>
      <c r="AA417" s="2" t="str">
        <f>CLEAN(TRIM(Working_Sales[[#This Row],[Price per Unit]]))</f>
        <v>50</v>
      </c>
      <c r="AB417" s="2">
        <f>INT(
   SUBSTITUTE(Working_Sales[[#This Row],[Price_Per_Unit_Whitespace_Removed]],
   "$",
   ""
   )
)</f>
        <v>50</v>
      </c>
      <c r="AC417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417" s="8">
        <f>IFERROR(
   Working_Sales[[#This Row],[Price_Per_Unit_Decimal_Separator_Fixed]],
   Working_Sales[[#This Row],[Total_Amount_Converted_To_Integer]]/Working_Sales[[#This Row],[Quantity_Converted_To_Integer]]
)</f>
        <v>50</v>
      </c>
      <c r="AE417" t="s">
        <v>15</v>
      </c>
      <c r="AF417" s="2" t="str">
        <f>CLEAN(TRIM(Working_Sales[[#This Row],[Total Amount]]))</f>
        <v>50</v>
      </c>
      <c r="AG417" s="2">
        <f>INT(Working_Sales[[#This Row],[Total_Amount_Whitespace_Removed]])</f>
        <v>50</v>
      </c>
      <c r="AH41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418" spans="1:34" x14ac:dyDescent="0.35">
      <c r="A418" t="s">
        <v>939</v>
      </c>
      <c r="B418" s="6" t="str">
        <f>CLEAN(TRIM(Working_Sales[[#This Row],[Transaction ID]]))</f>
        <v>391</v>
      </c>
      <c r="C418" t="s">
        <v>940</v>
      </c>
      <c r="D418" s="2" t="str">
        <f>CLEAN(TRIM(Working_Sales[[#This Row],[Date]]))</f>
        <v>January 05, 2023</v>
      </c>
      <c r="E418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418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41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44931</v>
      </c>
      <c r="H418" t="s">
        <v>1481</v>
      </c>
      <c r="I418" s="2" t="str">
        <f>CLEAN(TRIM(Working_Sales[[#This Row],[Customer ID]]))</f>
        <v>CUST312</v>
      </c>
      <c r="J41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CUST312</v>
      </c>
      <c r="K41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CUST312</v>
      </c>
      <c r="L418" t="s">
        <v>34</v>
      </c>
      <c r="M418" s="4" t="str">
        <f>CLEAN(TRIM(Working_Sales[[#This Row],[Gender]]))</f>
        <v>Male</v>
      </c>
      <c r="N418" s="4" t="str" cm="1">
        <f t="array" ref="N418">_xlfn.SWITCH(
   Working_Sales[[#This Row],[Gender_Whitespace_Removed]],
   "m", "Male",
   "f", "Female",
   Working_Sales[[#This Row],[Gender_Whitespace_Removed]]
)</f>
        <v>Male</v>
      </c>
      <c r="O418" s="6" t="str">
        <f>PROPER(Working_Sales[[#This Row],[Gender_Abbreviation_Expanded]])</f>
        <v>Male</v>
      </c>
      <c r="P418">
        <v>19</v>
      </c>
      <c r="Q418" s="2" t="str">
        <f>CLEAN(TRIM(Working_Sales[[#This Row],[Age]]))</f>
        <v>19</v>
      </c>
      <c r="R418" s="6">
        <f>INT(SUBSTITUTE(Working_Sales[[#This Row],[Age_Whitespace_Removed]],".",","))</f>
        <v>19</v>
      </c>
      <c r="S418" t="s">
        <v>434</v>
      </c>
      <c r="T418" s="2" t="str">
        <f>CLEAN(TRIM(Working_Sales[[#This Row],[Product Category]]))</f>
        <v>Beauty</v>
      </c>
      <c r="U418" s="6" t="str">
        <f>PROPER(Working_Sales[[#This Row],[Product_Category_Whitespace_Removed]])</f>
        <v>Beauty</v>
      </c>
      <c r="V418" t="s">
        <v>37</v>
      </c>
      <c r="W418" s="2" t="str">
        <f>CLEAN(TRIM(Working_Sales[[#This Row],[Quantity]]))</f>
        <v>2</v>
      </c>
      <c r="X418" s="2">
        <f>INT(Working_Sales[[#This Row],[`]])</f>
        <v>2</v>
      </c>
      <c r="Y418" s="6">
        <f>IFERROR(
   Working_Sales[[#This Row],[Quantity_Converted_To_Integer]],
   Working_Sales[[#This Row],[Total_Amount_Whitespace_Removed]]/Working_Sales[[#This Row],[Price_Per_Unit_Decimal_Separator_Fixed]])</f>
        <v>2</v>
      </c>
      <c r="Z418" t="s">
        <v>30</v>
      </c>
      <c r="AA418" s="2" t="str">
        <f>CLEAN(TRIM(Working_Sales[[#This Row],[Price per Unit]]))</f>
        <v>25</v>
      </c>
      <c r="AB418" s="2">
        <f>INT(
   SUBSTITUTE(Working_Sales[[#This Row],[Price_Per_Unit_Whitespace_Removed]],
   "$",
   ""
   )
)</f>
        <v>25</v>
      </c>
      <c r="AC418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418" s="8">
        <f>IFERROR(
   Working_Sales[[#This Row],[Price_Per_Unit_Decimal_Separator_Fixed]],
   Working_Sales[[#This Row],[Total_Amount_Converted_To_Integer]]/Working_Sales[[#This Row],[Quantity_Converted_To_Integer]]
)</f>
        <v>25</v>
      </c>
      <c r="AE418" t="s">
        <v>15</v>
      </c>
      <c r="AF418" s="2" t="str">
        <f>CLEAN(TRIM(Working_Sales[[#This Row],[Total Amount]]))</f>
        <v>50</v>
      </c>
      <c r="AG418" s="2">
        <f>INT(Working_Sales[[#This Row],[Total_Amount_Whitespace_Removed]])</f>
        <v>50</v>
      </c>
      <c r="AH41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419" spans="1:34" x14ac:dyDescent="0.35">
      <c r="A419" t="s">
        <v>942</v>
      </c>
      <c r="B419" s="6" t="str">
        <f>CLEAN(TRIM(Working_Sales[[#This Row],[Transaction ID]]))</f>
        <v>926</v>
      </c>
      <c r="C419" t="s">
        <v>943</v>
      </c>
      <c r="D419" s="2" t="str">
        <f>CLEAN(TRIM(Working_Sales[[#This Row],[Date]]))</f>
        <v>2023-08-14</v>
      </c>
      <c r="E41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45152</v>
      </c>
      <c r="F41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45152</v>
      </c>
      <c r="G41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45152</v>
      </c>
      <c r="H419" t="s">
        <v>2673</v>
      </c>
      <c r="I419" s="2" t="str">
        <f>CLEAN(TRIM(Working_Sales[[#This Row],[Customer ID]]))</f>
        <v>CUST-313</v>
      </c>
      <c r="J41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1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CUST313</v>
      </c>
      <c r="L419" t="s">
        <v>34</v>
      </c>
      <c r="M419" s="4" t="str">
        <f>CLEAN(TRIM(Working_Sales[[#This Row],[Gender]]))</f>
        <v>Male</v>
      </c>
      <c r="N419" s="4" t="str" cm="1">
        <f t="array" ref="N419">_xlfn.SWITCH(
   Working_Sales[[#This Row],[Gender_Whitespace_Removed]],
   "m", "Male",
   "f", "Female",
   Working_Sales[[#This Row],[Gender_Whitespace_Removed]]
)</f>
        <v>Male</v>
      </c>
      <c r="O419" s="6" t="str">
        <f>PROPER(Working_Sales[[#This Row],[Gender_Abbreviation_Expanded]])</f>
        <v>Male</v>
      </c>
      <c r="P419">
        <v>22</v>
      </c>
      <c r="Q419" s="2" t="str">
        <f>CLEAN(TRIM(Working_Sales[[#This Row],[Age]]))</f>
        <v>22</v>
      </c>
      <c r="R419" s="6">
        <f>INT(SUBSTITUTE(Working_Sales[[#This Row],[Age_Whitespace_Removed]],".",","))</f>
        <v>22</v>
      </c>
      <c r="S419" t="s">
        <v>13</v>
      </c>
      <c r="T419" s="2" t="str">
        <f>CLEAN(TRIM(Working_Sales[[#This Row],[Product Category]]))</f>
        <v>Electronics</v>
      </c>
      <c r="U419" s="6" t="str">
        <f>PROPER(Working_Sales[[#This Row],[Product_Category_Whitespace_Removed]])</f>
        <v>Electronics</v>
      </c>
      <c r="V419" t="s">
        <v>22</v>
      </c>
      <c r="W419" s="2" t="str">
        <f>CLEAN(TRIM(Working_Sales[[#This Row],[Quantity]]))</f>
        <v>1</v>
      </c>
      <c r="X419" s="2">
        <f>INT(Working_Sales[[#This Row],[`]])</f>
        <v>1</v>
      </c>
      <c r="Y419" s="6">
        <f>IFERROR(
   Working_Sales[[#This Row],[Quantity_Converted_To_Integer]],
   Working_Sales[[#This Row],[Total_Amount_Whitespace_Removed]]/Working_Sales[[#This Row],[Price_Per_Unit_Decimal_Separator_Fixed]])</f>
        <v>1</v>
      </c>
      <c r="Z419" t="s">
        <v>70</v>
      </c>
      <c r="AA419" s="2" t="str">
        <f>CLEAN(TRIM(Working_Sales[[#This Row],[Price per Unit]]))</f>
        <v>30</v>
      </c>
      <c r="AB419" s="2">
        <f>INT(
   SUBSTITUTE(Working_Sales[[#This Row],[Price_Per_Unit_Whitespace_Removed]],
   "$",
   ""
   )
)</f>
        <v>30</v>
      </c>
      <c r="AC419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419" s="8">
        <f>IFERROR(
   Working_Sales[[#This Row],[Price_Per_Unit_Decimal_Separator_Fixed]],
   Working_Sales[[#This Row],[Total_Amount_Converted_To_Integer]]/Working_Sales[[#This Row],[Quantity_Converted_To_Integer]]
)</f>
        <v>30</v>
      </c>
      <c r="AE419" t="s">
        <v>70</v>
      </c>
      <c r="AF419" s="2" t="str">
        <f>CLEAN(TRIM(Working_Sales[[#This Row],[Total Amount]]))</f>
        <v>30</v>
      </c>
      <c r="AG419" s="2">
        <f>INT(Working_Sales[[#This Row],[Total_Amount_Whitespace_Removed]])</f>
        <v>30</v>
      </c>
      <c r="AH41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420" spans="1:34" x14ac:dyDescent="0.35">
      <c r="A420" t="s">
        <v>944</v>
      </c>
      <c r="B420" s="6" t="str">
        <f>CLEAN(TRIM(Working_Sales[[#This Row],[Transaction ID]]))</f>
        <v>353</v>
      </c>
      <c r="C420" t="s">
        <v>2096</v>
      </c>
      <c r="D420" s="2" t="str">
        <f>CLEAN(TRIM(Working_Sales[[#This Row],[Date]]))</f>
        <v>14-May-2023</v>
      </c>
      <c r="E42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45060</v>
      </c>
      <c r="F42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45060</v>
      </c>
      <c r="G42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45060</v>
      </c>
      <c r="H420" t="s">
        <v>2674</v>
      </c>
      <c r="I420" s="2" t="str">
        <f>CLEAN(TRIM(Working_Sales[[#This Row],[Customer ID]]))</f>
        <v>CUST272</v>
      </c>
      <c r="J42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CUST272</v>
      </c>
      <c r="K42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CUST272</v>
      </c>
      <c r="L420" t="s">
        <v>34</v>
      </c>
      <c r="M420" s="4" t="str">
        <f>CLEAN(TRIM(Working_Sales[[#This Row],[Gender]]))</f>
        <v>Male</v>
      </c>
      <c r="N420" s="4" t="str" cm="1">
        <f t="array" ref="N420">_xlfn.SWITCH(
   Working_Sales[[#This Row],[Gender_Whitespace_Removed]],
   "m", "Male",
   "f", "Female",
   Working_Sales[[#This Row],[Gender_Whitespace_Removed]]
)</f>
        <v>Male</v>
      </c>
      <c r="O420" s="6" t="str">
        <f>PROPER(Working_Sales[[#This Row],[Gender_Abbreviation_Expanded]])</f>
        <v>Male</v>
      </c>
      <c r="P420">
        <v>31</v>
      </c>
      <c r="Q420" s="2" t="str">
        <f>CLEAN(TRIM(Working_Sales[[#This Row],[Age]]))</f>
        <v>31</v>
      </c>
      <c r="R420" s="6">
        <f>INT(SUBSTITUTE(Working_Sales[[#This Row],[Age_Whitespace_Removed]],".",","))</f>
        <v>31</v>
      </c>
      <c r="S420" t="s">
        <v>13</v>
      </c>
      <c r="T420" s="2" t="str">
        <f>CLEAN(TRIM(Working_Sales[[#This Row],[Product Category]]))</f>
        <v>Electronics</v>
      </c>
      <c r="U420" s="6" t="str">
        <f>PROPER(Working_Sales[[#This Row],[Product_Category_Whitespace_Removed]])</f>
        <v>Electronics</v>
      </c>
      <c r="V420" t="s">
        <v>22</v>
      </c>
      <c r="W420" s="2" t="str">
        <f>CLEAN(TRIM(Working_Sales[[#This Row],[Quantity]]))</f>
        <v>1</v>
      </c>
      <c r="X420" s="2">
        <f>INT(Working_Sales[[#This Row],[`]])</f>
        <v>1</v>
      </c>
      <c r="Y420" s="6">
        <f>IFERROR(
   Working_Sales[[#This Row],[Quantity_Converted_To_Integer]],
   Working_Sales[[#This Row],[Total_Amount_Whitespace_Removed]]/Working_Sales[[#This Row],[Price_Per_Unit_Decimal_Separator_Fixed]])</f>
        <v>1</v>
      </c>
      <c r="Z420" t="s">
        <v>57</v>
      </c>
      <c r="AA420" s="2" t="str">
        <f>CLEAN(TRIM(Working_Sales[[#This Row],[Price per Unit]]))</f>
        <v>500</v>
      </c>
      <c r="AB420" s="2">
        <f>INT(
   SUBSTITUTE(Working_Sales[[#This Row],[Price_Per_Unit_Whitespace_Removed]],
   "$",
   ""
   )
)</f>
        <v>500</v>
      </c>
      <c r="AC420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420" s="8">
        <f>IFERROR(
   Working_Sales[[#This Row],[Price_Per_Unit_Decimal_Separator_Fixed]],
   Working_Sales[[#This Row],[Total_Amount_Converted_To_Integer]]/Working_Sales[[#This Row],[Quantity_Converted_To_Integer]]
)</f>
        <v>500</v>
      </c>
      <c r="AE420" t="s">
        <v>57</v>
      </c>
      <c r="AF420" s="2" t="str">
        <f>CLEAN(TRIM(Working_Sales[[#This Row],[Total Amount]]))</f>
        <v>500</v>
      </c>
      <c r="AG420" s="2">
        <f>INT(Working_Sales[[#This Row],[Total_Amount_Whitespace_Removed]])</f>
        <v>500</v>
      </c>
      <c r="AH42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421" spans="1:34" x14ac:dyDescent="0.35">
      <c r="A421" t="s">
        <v>945</v>
      </c>
      <c r="B421" s="6" t="str">
        <f>CLEAN(TRIM(Working_Sales[[#This Row],[Transaction ID]]))</f>
        <v>194</v>
      </c>
      <c r="C421" t="s">
        <v>946</v>
      </c>
      <c r="D421" s="2" t="str">
        <f>CLEAN(TRIM(Working_Sales[[#This Row],[Date]]))</f>
        <v>September 06, 2023</v>
      </c>
      <c r="E421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421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42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45175</v>
      </c>
      <c r="H421" t="s">
        <v>2675</v>
      </c>
      <c r="I421" s="2" t="str">
        <f>CLEAN(TRIM(Working_Sales[[#This Row],[Customer ID]]))</f>
        <v>Cust072</v>
      </c>
      <c r="J42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2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CUST072</v>
      </c>
      <c r="L421" t="s">
        <v>34</v>
      </c>
      <c r="M421" s="4" t="str">
        <f>CLEAN(TRIM(Working_Sales[[#This Row],[Gender]]))</f>
        <v>Male</v>
      </c>
      <c r="N421" s="4" t="str" cm="1">
        <f t="array" ref="N421">_xlfn.SWITCH(
   Working_Sales[[#This Row],[Gender_Whitespace_Removed]],
   "m", "Male",
   "f", "Female",
   Working_Sales[[#This Row],[Gender_Whitespace_Removed]]
)</f>
        <v>Male</v>
      </c>
      <c r="O421" s="6" t="str">
        <f>PROPER(Working_Sales[[#This Row],[Gender_Abbreviation_Expanded]])</f>
        <v>Male</v>
      </c>
      <c r="P421">
        <v>55</v>
      </c>
      <c r="Q421" s="2" t="str">
        <f>CLEAN(TRIM(Working_Sales[[#This Row],[Age]]))</f>
        <v>55</v>
      </c>
      <c r="R421" s="6">
        <f>INT(SUBSTITUTE(Working_Sales[[#This Row],[Age_Whitespace_Removed]],".",","))</f>
        <v>55</v>
      </c>
      <c r="S421" t="s">
        <v>56</v>
      </c>
      <c r="T421" s="2" t="str">
        <f>CLEAN(TRIM(Working_Sales[[#This Row],[Product Category]]))</f>
        <v>Clothing</v>
      </c>
      <c r="U421" s="6" t="str">
        <f>PROPER(Working_Sales[[#This Row],[Product_Category_Whitespace_Removed]])</f>
        <v>Clothing</v>
      </c>
      <c r="V421" t="s">
        <v>14</v>
      </c>
      <c r="W421" s="2" t="str">
        <f>CLEAN(TRIM(Working_Sales[[#This Row],[Quantity]]))</f>
        <v>4</v>
      </c>
      <c r="X421" s="2">
        <f>INT(Working_Sales[[#This Row],[`]])</f>
        <v>4</v>
      </c>
      <c r="Y421" s="6">
        <f>IFERROR(
   Working_Sales[[#This Row],[Quantity_Converted_To_Integer]],
   Working_Sales[[#This Row],[Total_Amount_Whitespace_Removed]]/Working_Sales[[#This Row],[Price_Per_Unit_Decimal_Separator_Fixed]])</f>
        <v>4</v>
      </c>
      <c r="Z421" t="s">
        <v>15</v>
      </c>
      <c r="AA421" s="2" t="str">
        <f>CLEAN(TRIM(Working_Sales[[#This Row],[Price per Unit]]))</f>
        <v>50</v>
      </c>
      <c r="AB421" s="2">
        <f>INT(
   SUBSTITUTE(Working_Sales[[#This Row],[Price_Per_Unit_Whitespace_Removed]],
   "$",
   ""
   )
)</f>
        <v>50</v>
      </c>
      <c r="AC421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421" s="8">
        <f>IFERROR(
   Working_Sales[[#This Row],[Price_Per_Unit_Decimal_Separator_Fixed]],
   Working_Sales[[#This Row],[Total_Amount_Converted_To_Integer]]/Working_Sales[[#This Row],[Quantity_Converted_To_Integer]]
)</f>
        <v>50</v>
      </c>
      <c r="AE421" t="s">
        <v>16</v>
      </c>
      <c r="AF421" s="2" t="str">
        <f>CLEAN(TRIM(Working_Sales[[#This Row],[Total Amount]]))</f>
        <v>200</v>
      </c>
      <c r="AG421" s="2">
        <f>INT(Working_Sales[[#This Row],[Total_Amount_Whitespace_Removed]])</f>
        <v>200</v>
      </c>
      <c r="AH42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422" spans="1:34" x14ac:dyDescent="0.35">
      <c r="A422" t="s">
        <v>948</v>
      </c>
      <c r="B422" s="6" t="str">
        <f>CLEAN(TRIM(Working_Sales[[#This Row],[Transaction ID]]))</f>
        <v>236</v>
      </c>
      <c r="C422" t="s">
        <v>949</v>
      </c>
      <c r="D422" s="2" t="str">
        <f>CLEAN(TRIM(Working_Sales[[#This Row],[Date]]))</f>
        <v>2023-04-28</v>
      </c>
      <c r="E42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45044</v>
      </c>
      <c r="F42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45044</v>
      </c>
      <c r="G42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45044</v>
      </c>
      <c r="H422" t="s">
        <v>2676</v>
      </c>
      <c r="I422" s="2" t="str">
        <f>CLEAN(TRIM(Working_Sales[[#This Row],[Customer ID]]))</f>
        <v>CUST314</v>
      </c>
      <c r="J42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CUST314</v>
      </c>
      <c r="K42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CUST314</v>
      </c>
      <c r="L422" t="s">
        <v>26</v>
      </c>
      <c r="M422" s="4" t="str">
        <f>CLEAN(TRIM(Working_Sales[[#This Row],[Gender]]))</f>
        <v>Female</v>
      </c>
      <c r="N422" s="4" t="str" cm="1">
        <f t="array" ref="N422">_xlfn.SWITCH(
   Working_Sales[[#This Row],[Gender_Whitespace_Removed]],
   "m", "Male",
   "f", "Female",
   Working_Sales[[#This Row],[Gender_Whitespace_Removed]]
)</f>
        <v>Female</v>
      </c>
      <c r="O422" s="6" t="str">
        <f>PROPER(Working_Sales[[#This Row],[Gender_Abbreviation_Expanded]])</f>
        <v>Female</v>
      </c>
      <c r="P422">
        <v>54</v>
      </c>
      <c r="Q422" s="2" t="str">
        <f>CLEAN(TRIM(Working_Sales[[#This Row],[Age]]))</f>
        <v>54</v>
      </c>
      <c r="R422" s="6">
        <f>INT(SUBSTITUTE(Working_Sales[[#This Row],[Age_Whitespace_Removed]],".",","))</f>
        <v>54</v>
      </c>
      <c r="S422" t="s">
        <v>28</v>
      </c>
      <c r="T422" s="2" t="str">
        <f>CLEAN(TRIM(Working_Sales[[#This Row],[Product Category]]))</f>
        <v>clothing</v>
      </c>
      <c r="U422" s="6" t="str">
        <f>PROPER(Working_Sales[[#This Row],[Product_Category_Whitespace_Removed]])</f>
        <v>Clothing</v>
      </c>
      <c r="V422" t="s">
        <v>22</v>
      </c>
      <c r="W422" s="2" t="str">
        <f>CLEAN(TRIM(Working_Sales[[#This Row],[Quantity]]))</f>
        <v>1</v>
      </c>
      <c r="X422" s="2">
        <f>INT(Working_Sales[[#This Row],[`]])</f>
        <v>1</v>
      </c>
      <c r="Y422" s="6">
        <f>IFERROR(
   Working_Sales[[#This Row],[Quantity_Converted_To_Integer]],
   Working_Sales[[#This Row],[Total_Amount_Whitespace_Removed]]/Working_Sales[[#This Row],[Price_Per_Unit_Decimal_Separator_Fixed]])</f>
        <v>1</v>
      </c>
      <c r="Z422" t="s">
        <v>30</v>
      </c>
      <c r="AA422" s="2" t="str">
        <f>CLEAN(TRIM(Working_Sales[[#This Row],[Price per Unit]]))</f>
        <v>25</v>
      </c>
      <c r="AB422" s="2">
        <f>INT(
   SUBSTITUTE(Working_Sales[[#This Row],[Price_Per_Unit_Whitespace_Removed]],
   "$",
   ""
   )
)</f>
        <v>25</v>
      </c>
      <c r="AC422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422" s="8">
        <f>IFERROR(
   Working_Sales[[#This Row],[Price_Per_Unit_Decimal_Separator_Fixed]],
   Working_Sales[[#This Row],[Total_Amount_Converted_To_Integer]]/Working_Sales[[#This Row],[Quantity_Converted_To_Integer]]
)</f>
        <v>25</v>
      </c>
      <c r="AE422" t="s">
        <v>30</v>
      </c>
      <c r="AF422" s="2" t="str">
        <f>CLEAN(TRIM(Working_Sales[[#This Row],[Total Amount]]))</f>
        <v>25</v>
      </c>
      <c r="AG422" s="2">
        <f>INT(Working_Sales[[#This Row],[Total_Amount_Whitespace_Removed]])</f>
        <v>25</v>
      </c>
      <c r="AH42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423" spans="1:34" x14ac:dyDescent="0.35">
      <c r="A423" t="s">
        <v>951</v>
      </c>
      <c r="B423" s="6" t="str">
        <f>CLEAN(TRIM(Working_Sales[[#This Row],[Transaction ID]]))</f>
        <v>792</v>
      </c>
      <c r="C423" t="s">
        <v>2097</v>
      </c>
      <c r="D423" s="2" t="str">
        <f>CLEAN(TRIM(Working_Sales[[#This Row],[Date]]))</f>
        <v>09-Jul-2023</v>
      </c>
      <c r="E42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45116</v>
      </c>
      <c r="F42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45116</v>
      </c>
      <c r="G42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45116</v>
      </c>
      <c r="H423" t="s">
        <v>2677</v>
      </c>
      <c r="I423" s="2" t="str">
        <f>CLEAN(TRIM(Working_Sales[[#This Row],[Customer ID]]))</f>
        <v>CUST247</v>
      </c>
      <c r="J42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2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CUST247</v>
      </c>
      <c r="L423" t="s">
        <v>46</v>
      </c>
      <c r="M423" s="4" t="str">
        <f>CLEAN(TRIM(Working_Sales[[#This Row],[Gender]]))</f>
        <v>F</v>
      </c>
      <c r="N423" s="4" t="str" cm="1">
        <f t="array" ref="N423">_xlfn.SWITCH(
   Working_Sales[[#This Row],[Gender_Whitespace_Removed]],
   "m", "Male",
   "f", "Female",
   Working_Sales[[#This Row],[Gender_Whitespace_Removed]]
)</f>
        <v>Female</v>
      </c>
      <c r="O423" s="6" t="str">
        <f>PROPER(Working_Sales[[#This Row],[Gender_Abbreviation_Expanded]])</f>
        <v>Female</v>
      </c>
      <c r="P423">
        <v>20</v>
      </c>
      <c r="Q423" s="2" t="str">
        <f>CLEAN(TRIM(Working_Sales[[#This Row],[Age]]))</f>
        <v>20</v>
      </c>
      <c r="R423" s="6">
        <f>INT(SUBSTITUTE(Working_Sales[[#This Row],[Age_Whitespace_Removed]],".",","))</f>
        <v>20</v>
      </c>
      <c r="S423" t="s">
        <v>42</v>
      </c>
      <c r="T423" s="2" t="str">
        <f>CLEAN(TRIM(Working_Sales[[#This Row],[Product Category]]))</f>
        <v>Beauty</v>
      </c>
      <c r="U423" s="6" t="str">
        <f>PROPER(Working_Sales[[#This Row],[Product_Category_Whitespace_Removed]])</f>
        <v>Beauty</v>
      </c>
      <c r="V423" t="s">
        <v>22</v>
      </c>
      <c r="W423" s="2" t="str">
        <f>CLEAN(TRIM(Working_Sales[[#This Row],[Quantity]]))</f>
        <v>1</v>
      </c>
      <c r="X423" s="2">
        <f>INT(Working_Sales[[#This Row],[`]])</f>
        <v>1</v>
      </c>
      <c r="Y423" s="6">
        <f>IFERROR(
   Working_Sales[[#This Row],[Quantity_Converted_To_Integer]],
   Working_Sales[[#This Row],[Total_Amount_Whitespace_Removed]]/Working_Sales[[#This Row],[Price_Per_Unit_Decimal_Separator_Fixed]])</f>
        <v>1</v>
      </c>
      <c r="AA423" s="2" t="str">
        <f>CLEAN(TRIM(Working_Sales[[#This Row],[Price per Unit]]))</f>
        <v/>
      </c>
      <c r="AB423" s="2" t="e">
        <f>INT(
   SUBSTITUTE(Working_Sales[[#This Row],[Price_Per_Unit_Whitespace_Removed]],
   "$",
   ""
   )
)</f>
        <v>#VALUE!</v>
      </c>
      <c r="AC423" s="2" t="e">
        <f>INT(
   IFERROR(
      Working_Sales[[#This Row],[Price_Per_Unit_Dollar_Sign_Removed]],
      SUBSTITUTE(
         Working_Sales[[#This Row],[Price_Per_Unit_Whitespace_Removed]],
        ".",
         ","
      )
   )
)</f>
        <v>#VALUE!</v>
      </c>
      <c r="AD423" s="8">
        <f>IFERROR(
   Working_Sales[[#This Row],[Price_Per_Unit_Decimal_Separator_Fixed]],
   Working_Sales[[#This Row],[Total_Amount_Converted_To_Integer]]/Working_Sales[[#This Row],[Quantity_Converted_To_Integer]]
)</f>
        <v>50</v>
      </c>
      <c r="AE423" t="s">
        <v>15</v>
      </c>
      <c r="AF423" s="2" t="str">
        <f>CLEAN(TRIM(Working_Sales[[#This Row],[Total Amount]]))</f>
        <v>50</v>
      </c>
      <c r="AG423" s="2">
        <f>INT(Working_Sales[[#This Row],[Total_Amount_Whitespace_Removed]])</f>
        <v>50</v>
      </c>
      <c r="AH42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424" spans="1:34" x14ac:dyDescent="0.35">
      <c r="A424" t="s">
        <v>952</v>
      </c>
      <c r="B424" s="6" t="str">
        <f>CLEAN(TRIM(Working_Sales[[#This Row],[Transaction ID]]))</f>
        <v>847</v>
      </c>
      <c r="C424" t="s">
        <v>953</v>
      </c>
      <c r="D424" s="2" t="str">
        <f>CLEAN(TRIM(Working_Sales[[#This Row],[Date]]))</f>
        <v>2023-04-08</v>
      </c>
      <c r="E42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45024</v>
      </c>
      <c r="F42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45024</v>
      </c>
      <c r="G42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45024</v>
      </c>
      <c r="H424" t="s">
        <v>1632</v>
      </c>
      <c r="I424" s="2" t="str">
        <f>CLEAN(TRIM(Working_Sales[[#This Row],[Customer ID]]))</f>
        <v>CUST270</v>
      </c>
      <c r="J42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CUST270</v>
      </c>
      <c r="K42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CUST270</v>
      </c>
      <c r="L424" t="s">
        <v>26</v>
      </c>
      <c r="M424" s="4" t="str">
        <f>CLEAN(TRIM(Working_Sales[[#This Row],[Gender]]))</f>
        <v>Female</v>
      </c>
      <c r="N424" s="4" t="str" cm="1">
        <f t="array" ref="N424">_xlfn.SWITCH(
   Working_Sales[[#This Row],[Gender_Whitespace_Removed]],
   "m", "Male",
   "f", "Female",
   Working_Sales[[#This Row],[Gender_Whitespace_Removed]]
)</f>
        <v>Female</v>
      </c>
      <c r="O424" s="6" t="str">
        <f>PROPER(Working_Sales[[#This Row],[Gender_Abbreviation_Expanded]])</f>
        <v>Female</v>
      </c>
      <c r="P424">
        <v>18</v>
      </c>
      <c r="Q424" s="2" t="str">
        <f>CLEAN(TRIM(Working_Sales[[#This Row],[Age]]))</f>
        <v>18</v>
      </c>
      <c r="R424" s="6">
        <f>INT(SUBSTITUTE(Working_Sales[[#This Row],[Age_Whitespace_Removed]],".",","))</f>
        <v>18</v>
      </c>
      <c r="S424" t="s">
        <v>13</v>
      </c>
      <c r="T424" s="2" t="str">
        <f>CLEAN(TRIM(Working_Sales[[#This Row],[Product Category]]))</f>
        <v>Electronics</v>
      </c>
      <c r="U424" s="6" t="str">
        <f>PROPER(Working_Sales[[#This Row],[Product_Category_Whitespace_Removed]])</f>
        <v>Electronics</v>
      </c>
      <c r="V424" t="s">
        <v>14</v>
      </c>
      <c r="W424" s="2" t="str">
        <f>CLEAN(TRIM(Working_Sales[[#This Row],[Quantity]]))</f>
        <v>4</v>
      </c>
      <c r="X424" s="2">
        <f>INT(Working_Sales[[#This Row],[`]])</f>
        <v>4</v>
      </c>
      <c r="Y424" s="6">
        <f>IFERROR(
   Working_Sales[[#This Row],[Quantity_Converted_To_Integer]],
   Working_Sales[[#This Row],[Total_Amount_Whitespace_Removed]]/Working_Sales[[#This Row],[Price_Per_Unit_Decimal_Separator_Fixed]])</f>
        <v>4</v>
      </c>
      <c r="Z424" t="s">
        <v>23</v>
      </c>
      <c r="AA424" s="2" t="str">
        <f>CLEAN(TRIM(Working_Sales[[#This Row],[Price per Unit]]))</f>
        <v>300</v>
      </c>
      <c r="AB424" s="2">
        <f>INT(
   SUBSTITUTE(Working_Sales[[#This Row],[Price_Per_Unit_Whitespace_Removed]],
   "$",
   ""
   )
)</f>
        <v>300</v>
      </c>
      <c r="AC424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424" s="8">
        <f>IFERROR(
   Working_Sales[[#This Row],[Price_Per_Unit_Decimal_Separator_Fixed]],
   Working_Sales[[#This Row],[Total_Amount_Converted_To_Integer]]/Working_Sales[[#This Row],[Quantity_Converted_To_Integer]]
)</f>
        <v>300</v>
      </c>
      <c r="AE424" t="s">
        <v>79</v>
      </c>
      <c r="AF424" s="2" t="str">
        <f>CLEAN(TRIM(Working_Sales[[#This Row],[Total Amount]]))</f>
        <v>1200</v>
      </c>
      <c r="AG424" s="2">
        <f>INT(Working_Sales[[#This Row],[Total_Amount_Whitespace_Removed]])</f>
        <v>1200</v>
      </c>
      <c r="AH42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425" spans="1:34" x14ac:dyDescent="0.35">
      <c r="A425" t="s">
        <v>447</v>
      </c>
      <c r="B425" s="6" t="str">
        <f>CLEAN(TRIM(Working_Sales[[#This Row],[Transaction ID]]))</f>
        <v>56</v>
      </c>
      <c r="C425" t="s">
        <v>77</v>
      </c>
      <c r="D425" s="2" t="str">
        <f>CLEAN(TRIM(Working_Sales[[#This Row],[Date]]))</f>
        <v>31/05/2023</v>
      </c>
      <c r="E42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45077</v>
      </c>
      <c r="F42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45077</v>
      </c>
      <c r="G42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45077</v>
      </c>
      <c r="H425" t="s">
        <v>2678</v>
      </c>
      <c r="I425" s="2" t="str">
        <f>CLEAN(TRIM(Working_Sales[[#This Row],[Customer ID]]))</f>
        <v>CUST315</v>
      </c>
      <c r="J42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CUST315</v>
      </c>
      <c r="K42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CUST315</v>
      </c>
      <c r="L425" t="s">
        <v>26</v>
      </c>
      <c r="M425" s="4" t="str">
        <f>CLEAN(TRIM(Working_Sales[[#This Row],[Gender]]))</f>
        <v>Female</v>
      </c>
      <c r="N425" s="4" t="str" cm="1">
        <f t="array" ref="N425">_xlfn.SWITCH(
   Working_Sales[[#This Row],[Gender_Whitespace_Removed]],
   "m", "Male",
   "f", "Female",
   Working_Sales[[#This Row],[Gender_Whitespace_Removed]]
)</f>
        <v>Female</v>
      </c>
      <c r="O425" s="6" t="str">
        <f>PROPER(Working_Sales[[#This Row],[Gender_Abbreviation_Expanded]])</f>
        <v>Female</v>
      </c>
      <c r="P425">
        <v>26</v>
      </c>
      <c r="Q425" s="2" t="str">
        <f>CLEAN(TRIM(Working_Sales[[#This Row],[Age]]))</f>
        <v>26</v>
      </c>
      <c r="R425" s="6">
        <f>INT(SUBSTITUTE(Working_Sales[[#This Row],[Age_Whitespace_Removed]],".",","))</f>
        <v>26</v>
      </c>
      <c r="S425" t="s">
        <v>56</v>
      </c>
      <c r="T425" s="2" t="str">
        <f>CLEAN(TRIM(Working_Sales[[#This Row],[Product Category]]))</f>
        <v>Clothing</v>
      </c>
      <c r="U425" s="6" t="str">
        <f>PROPER(Working_Sales[[#This Row],[Product_Category_Whitespace_Removed]])</f>
        <v>Clothing</v>
      </c>
      <c r="V425" t="s">
        <v>29</v>
      </c>
      <c r="W425" s="2" t="str">
        <f>CLEAN(TRIM(Working_Sales[[#This Row],[Quantity]]))</f>
        <v>3</v>
      </c>
      <c r="X425" s="2">
        <f>INT(Working_Sales[[#This Row],[`]])</f>
        <v>3</v>
      </c>
      <c r="Y425" s="6">
        <f>IFERROR(
   Working_Sales[[#This Row],[Quantity_Converted_To_Integer]],
   Working_Sales[[#This Row],[Total_Amount_Whitespace_Removed]]/Working_Sales[[#This Row],[Price_Per_Unit_Decimal_Separator_Fixed]])</f>
        <v>3</v>
      </c>
      <c r="Z425" t="s">
        <v>23</v>
      </c>
      <c r="AA425" s="2" t="str">
        <f>CLEAN(TRIM(Working_Sales[[#This Row],[Price per Unit]]))</f>
        <v>300</v>
      </c>
      <c r="AB425" s="2">
        <f>INT(
   SUBSTITUTE(Working_Sales[[#This Row],[Price_Per_Unit_Whitespace_Removed]],
   "$",
   ""
   )
)</f>
        <v>300</v>
      </c>
      <c r="AC425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425" s="8">
        <f>IFERROR(
   Working_Sales[[#This Row],[Price_Per_Unit_Decimal_Separator_Fixed]],
   Working_Sales[[#This Row],[Total_Amount_Converted_To_Integer]]/Working_Sales[[#This Row],[Quantity_Converted_To_Integer]]
)</f>
        <v>300</v>
      </c>
      <c r="AE425" t="s">
        <v>128</v>
      </c>
      <c r="AF425" s="2" t="str">
        <f>CLEAN(TRIM(Working_Sales[[#This Row],[Total Amount]]))</f>
        <v>900</v>
      </c>
      <c r="AG425" s="2">
        <f>INT(Working_Sales[[#This Row],[Total_Amount_Whitespace_Removed]])</f>
        <v>900</v>
      </c>
      <c r="AH42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426" spans="1:34" x14ac:dyDescent="0.35">
      <c r="A426" t="s">
        <v>955</v>
      </c>
      <c r="B426" s="6" t="str">
        <f>CLEAN(TRIM(Working_Sales[[#This Row],[Transaction ID]]))</f>
        <v>512</v>
      </c>
      <c r="C426" t="s">
        <v>956</v>
      </c>
      <c r="D426" s="2" t="str">
        <f>CLEAN(TRIM(Working_Sales[[#This Row],[Date]]))</f>
        <v>2023-11-07</v>
      </c>
      <c r="E42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45237</v>
      </c>
      <c r="F42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45237</v>
      </c>
      <c r="G42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45237</v>
      </c>
      <c r="H426" t="s">
        <v>2679</v>
      </c>
      <c r="I426" s="2" t="str">
        <f>CLEAN(TRIM(Working_Sales[[#This Row],[Customer ID]]))</f>
        <v>CUST316</v>
      </c>
      <c r="J42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CUST316</v>
      </c>
      <c r="K42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CUST316</v>
      </c>
      <c r="L426" t="s">
        <v>26</v>
      </c>
      <c r="M426" s="4" t="str">
        <f>CLEAN(TRIM(Working_Sales[[#This Row],[Gender]]))</f>
        <v>Female</v>
      </c>
      <c r="N426" s="4" t="str" cm="1">
        <f t="array" ref="N426">_xlfn.SWITCH(
   Working_Sales[[#This Row],[Gender_Whitespace_Removed]],
   "m", "Male",
   "f", "Female",
   Working_Sales[[#This Row],[Gender_Whitespace_Removed]]
)</f>
        <v>Female</v>
      </c>
      <c r="O426" s="6" t="str">
        <f>PROPER(Working_Sales[[#This Row],[Gender_Abbreviation_Expanded]])</f>
        <v>Female</v>
      </c>
      <c r="P426" t="s">
        <v>726</v>
      </c>
      <c r="Q426" s="2" t="str">
        <f>CLEAN(TRIM(Working_Sales[[#This Row],[Age]]))</f>
        <v>57</v>
      </c>
      <c r="R426" s="6">
        <f>INT(SUBSTITUTE(Working_Sales[[#This Row],[Age_Whitespace_Removed]],".",","))</f>
        <v>57</v>
      </c>
      <c r="S426" t="s">
        <v>69</v>
      </c>
      <c r="T426" s="2" t="str">
        <f>CLEAN(TRIM(Working_Sales[[#This Row],[Product Category]]))</f>
        <v>BEAUTY</v>
      </c>
      <c r="U426" s="6" t="str">
        <f>PROPER(Working_Sales[[#This Row],[Product_Category_Whitespace_Removed]])</f>
        <v>Beauty</v>
      </c>
      <c r="V426" t="s">
        <v>22</v>
      </c>
      <c r="W426" s="2" t="str">
        <f>CLEAN(TRIM(Working_Sales[[#This Row],[Quantity]]))</f>
        <v>1</v>
      </c>
      <c r="X426" s="2">
        <f>INT(Working_Sales[[#This Row],[`]])</f>
        <v>1</v>
      </c>
      <c r="Y426" s="6">
        <f>IFERROR(
   Working_Sales[[#This Row],[Quantity_Converted_To_Integer]],
   Working_Sales[[#This Row],[Total_Amount_Whitespace_Removed]]/Working_Sales[[#This Row],[Price_Per_Unit_Decimal_Separator_Fixed]])</f>
        <v>1</v>
      </c>
      <c r="Z426" t="s">
        <v>30</v>
      </c>
      <c r="AA426" s="2" t="str">
        <f>CLEAN(TRIM(Working_Sales[[#This Row],[Price per Unit]]))</f>
        <v>25</v>
      </c>
      <c r="AB426" s="2">
        <f>INT(
   SUBSTITUTE(Working_Sales[[#This Row],[Price_Per_Unit_Whitespace_Removed]],
   "$",
   ""
   )
)</f>
        <v>25</v>
      </c>
      <c r="AC426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426" s="8">
        <f>IFERROR(
   Working_Sales[[#This Row],[Price_Per_Unit_Decimal_Separator_Fixed]],
   Working_Sales[[#This Row],[Total_Amount_Converted_To_Integer]]/Working_Sales[[#This Row],[Quantity_Converted_To_Integer]]
)</f>
        <v>25</v>
      </c>
      <c r="AE426" t="s">
        <v>30</v>
      </c>
      <c r="AF426" s="2" t="str">
        <f>CLEAN(TRIM(Working_Sales[[#This Row],[Total Amount]]))</f>
        <v>25</v>
      </c>
      <c r="AG426" s="2">
        <f>INT(Working_Sales[[#This Row],[Total_Amount_Whitespace_Removed]])</f>
        <v>25</v>
      </c>
      <c r="AH42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427" spans="1:34" x14ac:dyDescent="0.35">
      <c r="A427" t="s">
        <v>957</v>
      </c>
      <c r="B427" s="6" t="str">
        <f>CLEAN(TRIM(Working_Sales[[#This Row],[Transaction ID]]))</f>
        <v>97</v>
      </c>
      <c r="C427" t="s">
        <v>958</v>
      </c>
      <c r="D427" s="2" t="str">
        <f>CLEAN(TRIM(Working_Sales[[#This Row],[Date]]))</f>
        <v>October 13, 2023</v>
      </c>
      <c r="E427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427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42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45212</v>
      </c>
      <c r="H427" t="s">
        <v>2680</v>
      </c>
      <c r="I427" s="2" t="str">
        <f>CLEAN(TRIM(Working_Sales[[#This Row],[Customer ID]]))</f>
        <v>cust249</v>
      </c>
      <c r="J42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2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CUST249</v>
      </c>
      <c r="L427" t="s">
        <v>46</v>
      </c>
      <c r="M427" s="4" t="str">
        <f>CLEAN(TRIM(Working_Sales[[#This Row],[Gender]]))</f>
        <v>F</v>
      </c>
      <c r="N427" s="4" t="str" cm="1">
        <f t="array" ref="N427">_xlfn.SWITCH(
   Working_Sales[[#This Row],[Gender_Whitespace_Removed]],
   "m", "Male",
   "f", "Female",
   Working_Sales[[#This Row],[Gender_Whitespace_Removed]]
)</f>
        <v>Female</v>
      </c>
      <c r="O427" s="6" t="str">
        <f>PROPER(Working_Sales[[#This Row],[Gender_Abbreviation_Expanded]])</f>
        <v>Female</v>
      </c>
      <c r="P427">
        <v>51</v>
      </c>
      <c r="Q427" s="2" t="str">
        <f>CLEAN(TRIM(Working_Sales[[#This Row],[Age]]))</f>
        <v>51</v>
      </c>
      <c r="R427" s="6">
        <f>INT(SUBSTITUTE(Working_Sales[[#This Row],[Age_Whitespace_Removed]],".",","))</f>
        <v>51</v>
      </c>
      <c r="S427" t="s">
        <v>69</v>
      </c>
      <c r="T427" s="2" t="str">
        <f>CLEAN(TRIM(Working_Sales[[#This Row],[Product Category]]))</f>
        <v>BEAUTY</v>
      </c>
      <c r="U427" s="6" t="str">
        <f>PROPER(Working_Sales[[#This Row],[Product_Category_Whitespace_Removed]])</f>
        <v>Beauty</v>
      </c>
      <c r="V427" t="s">
        <v>37</v>
      </c>
      <c r="W427" s="2" t="str">
        <f>CLEAN(TRIM(Working_Sales[[#This Row],[Quantity]]))</f>
        <v>2</v>
      </c>
      <c r="X427" s="2">
        <f>INT(Working_Sales[[#This Row],[`]])</f>
        <v>2</v>
      </c>
      <c r="Y427" s="6">
        <f>IFERROR(
   Working_Sales[[#This Row],[Quantity_Converted_To_Integer]],
   Working_Sales[[#This Row],[Total_Amount_Whitespace_Removed]]/Working_Sales[[#This Row],[Price_Per_Unit_Decimal_Separator_Fixed]])</f>
        <v>2</v>
      </c>
      <c r="Z427" t="s">
        <v>57</v>
      </c>
      <c r="AA427" s="2" t="str">
        <f>CLEAN(TRIM(Working_Sales[[#This Row],[Price per Unit]]))</f>
        <v>500</v>
      </c>
      <c r="AB427" s="2">
        <f>INT(
   SUBSTITUTE(Working_Sales[[#This Row],[Price_Per_Unit_Whitespace_Removed]],
   "$",
   ""
   )
)</f>
        <v>500</v>
      </c>
      <c r="AC427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427" s="8">
        <f>IFERROR(
   Working_Sales[[#This Row],[Price_Per_Unit_Decimal_Separator_Fixed]],
   Working_Sales[[#This Row],[Total_Amount_Converted_To_Integer]]/Working_Sales[[#This Row],[Quantity_Converted_To_Integer]]
)</f>
        <v>500</v>
      </c>
      <c r="AE427" t="s">
        <v>163</v>
      </c>
      <c r="AF427" s="2" t="str">
        <f>CLEAN(TRIM(Working_Sales[[#This Row],[Total Amount]]))</f>
        <v>1000</v>
      </c>
      <c r="AG427" s="2">
        <f>INT(Working_Sales[[#This Row],[Total_Amount_Whitespace_Removed]])</f>
        <v>1000</v>
      </c>
      <c r="AH42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428" spans="1:34" x14ac:dyDescent="0.35">
      <c r="A428" t="s">
        <v>960</v>
      </c>
      <c r="B428" s="6" t="str">
        <f>CLEAN(TRIM(Working_Sales[[#This Row],[Transaction ID]]))</f>
        <v>142</v>
      </c>
      <c r="C428" t="s">
        <v>2035</v>
      </c>
      <c r="D428" s="2" t="str">
        <f>CLEAN(TRIM(Working_Sales[[#This Row],[Date]]))</f>
        <v>02-Feb-2023</v>
      </c>
      <c r="E42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44959</v>
      </c>
      <c r="F42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44959</v>
      </c>
      <c r="G42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44959</v>
      </c>
      <c r="H428" t="s">
        <v>2681</v>
      </c>
      <c r="I428" s="2" t="str">
        <f>CLEAN(TRIM(Working_Sales[[#This Row],[Customer ID]]))</f>
        <v>CUST085</v>
      </c>
      <c r="J42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2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CUST085</v>
      </c>
      <c r="L428" t="s">
        <v>34</v>
      </c>
      <c r="M428" s="4" t="str">
        <f>CLEAN(TRIM(Working_Sales[[#This Row],[Gender]]))</f>
        <v>Male</v>
      </c>
      <c r="N428" s="4" t="str" cm="1">
        <f t="array" ref="N428">_xlfn.SWITCH(
   Working_Sales[[#This Row],[Gender_Whitespace_Removed]],
   "m", "Male",
   "f", "Female",
   Working_Sales[[#This Row],[Gender_Whitespace_Removed]]
)</f>
        <v>Male</v>
      </c>
      <c r="O428" s="6" t="str">
        <f>PROPER(Working_Sales[[#This Row],[Gender_Abbreviation_Expanded]])</f>
        <v>Male</v>
      </c>
      <c r="P428">
        <v>35</v>
      </c>
      <c r="Q428" s="2" t="str">
        <f>CLEAN(TRIM(Working_Sales[[#This Row],[Age]]))</f>
        <v>35</v>
      </c>
      <c r="R428" s="6">
        <f>INT(SUBSTITUTE(Working_Sales[[#This Row],[Age_Whitespace_Removed]],".",","))</f>
        <v>35</v>
      </c>
      <c r="S428" t="s">
        <v>117</v>
      </c>
      <c r="T428" s="2" t="str">
        <f>CLEAN(TRIM(Working_Sales[[#This Row],[Product Category]]))</f>
        <v>Electronics</v>
      </c>
      <c r="U428" s="6" t="str">
        <f>PROPER(Working_Sales[[#This Row],[Product_Category_Whitespace_Removed]])</f>
        <v>Electronics</v>
      </c>
      <c r="V428" t="s">
        <v>14</v>
      </c>
      <c r="W428" s="2" t="str">
        <f>CLEAN(TRIM(Working_Sales[[#This Row],[Quantity]]))</f>
        <v>4</v>
      </c>
      <c r="X428" s="2">
        <f>INT(Working_Sales[[#This Row],[`]])</f>
        <v>4</v>
      </c>
      <c r="Y428" s="6">
        <f>IFERROR(
   Working_Sales[[#This Row],[Quantity_Converted_To_Integer]],
   Working_Sales[[#This Row],[Total_Amount_Whitespace_Removed]]/Working_Sales[[#This Row],[Price_Per_Unit_Decimal_Separator_Fixed]])</f>
        <v>4</v>
      </c>
      <c r="Z428" t="s">
        <v>23</v>
      </c>
      <c r="AA428" s="2" t="str">
        <f>CLEAN(TRIM(Working_Sales[[#This Row],[Price per Unit]]))</f>
        <v>300</v>
      </c>
      <c r="AB428" s="2">
        <f>INT(
   SUBSTITUTE(Working_Sales[[#This Row],[Price_Per_Unit_Whitespace_Removed]],
   "$",
   ""
   )
)</f>
        <v>300</v>
      </c>
      <c r="AC428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428" s="8">
        <f>IFERROR(
   Working_Sales[[#This Row],[Price_Per_Unit_Decimal_Separator_Fixed]],
   Working_Sales[[#This Row],[Total_Amount_Converted_To_Integer]]/Working_Sales[[#This Row],[Quantity_Converted_To_Integer]]
)</f>
        <v>300</v>
      </c>
      <c r="AE428" t="s">
        <v>79</v>
      </c>
      <c r="AF428" s="2" t="str">
        <f>CLEAN(TRIM(Working_Sales[[#This Row],[Total Amount]]))</f>
        <v>1200</v>
      </c>
      <c r="AG428" s="2">
        <f>INT(Working_Sales[[#This Row],[Total_Amount_Whitespace_Removed]])</f>
        <v>1200</v>
      </c>
      <c r="AH42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429" spans="1:34" x14ac:dyDescent="0.35">
      <c r="A429" t="s">
        <v>962</v>
      </c>
      <c r="B429" s="6" t="str">
        <f>CLEAN(TRIM(Working_Sales[[#This Row],[Transaction ID]]))</f>
        <v>707</v>
      </c>
      <c r="C429" t="s">
        <v>2098</v>
      </c>
      <c r="D429" s="2" t="str">
        <f>CLEAN(TRIM(Working_Sales[[#This Row],[Date]]))</f>
        <v>01-Oct-2023</v>
      </c>
      <c r="E42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45200</v>
      </c>
      <c r="F42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45200</v>
      </c>
      <c r="G42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45200</v>
      </c>
      <c r="H429" t="s">
        <v>2682</v>
      </c>
      <c r="I429" s="2" t="str">
        <f>CLEAN(TRIM(Working_Sales[[#This Row],[Customer ID]]))</f>
        <v>CUST317</v>
      </c>
      <c r="J42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CUST317</v>
      </c>
      <c r="K42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CUST317</v>
      </c>
      <c r="L429" t="s">
        <v>112</v>
      </c>
      <c r="M429" s="4" t="str">
        <f>CLEAN(TRIM(Working_Sales[[#This Row],[Gender]]))</f>
        <v>female</v>
      </c>
      <c r="N429" s="4" t="str" cm="1">
        <f t="array" ref="N429">_xlfn.SWITCH(
   Working_Sales[[#This Row],[Gender_Whitespace_Removed]],
   "m", "Male",
   "f", "Female",
   Working_Sales[[#This Row],[Gender_Whitespace_Removed]]
)</f>
        <v>female</v>
      </c>
      <c r="O429" s="6" t="str">
        <f>PROPER(Working_Sales[[#This Row],[Gender_Abbreviation_Expanded]])</f>
        <v>Female</v>
      </c>
      <c r="P429" t="s">
        <v>963</v>
      </c>
      <c r="Q429" s="2" t="str">
        <f>CLEAN(TRIM(Working_Sales[[#This Row],[Age]]))</f>
        <v>26</v>
      </c>
      <c r="R429" s="6">
        <f>INT(SUBSTITUTE(Working_Sales[[#This Row],[Age_Whitespace_Removed]],".",","))</f>
        <v>26</v>
      </c>
      <c r="S429" t="s">
        <v>56</v>
      </c>
      <c r="T429" s="2" t="str">
        <f>CLEAN(TRIM(Working_Sales[[#This Row],[Product Category]]))</f>
        <v>Clothing</v>
      </c>
      <c r="U429" s="6" t="str">
        <f>PROPER(Working_Sales[[#This Row],[Product_Category_Whitespace_Removed]])</f>
        <v>Clothing</v>
      </c>
      <c r="V429" t="s">
        <v>22</v>
      </c>
      <c r="W429" s="2" t="str">
        <f>CLEAN(TRIM(Working_Sales[[#This Row],[Quantity]]))</f>
        <v>1</v>
      </c>
      <c r="X429" s="2">
        <f>INT(Working_Sales[[#This Row],[`]])</f>
        <v>1</v>
      </c>
      <c r="Y429" s="6">
        <f>IFERROR(
   Working_Sales[[#This Row],[Quantity_Converted_To_Integer]],
   Working_Sales[[#This Row],[Total_Amount_Whitespace_Removed]]/Working_Sales[[#This Row],[Price_Per_Unit_Decimal_Separator_Fixed]])</f>
        <v>1</v>
      </c>
      <c r="Z429" t="s">
        <v>84</v>
      </c>
      <c r="AA429" s="2" t="str">
        <f>CLEAN(TRIM(Working_Sales[[#This Row],[Price per Unit]]))</f>
        <v>500.00</v>
      </c>
      <c r="AB429" s="2" t="e">
        <f>INT(
   SUBSTITUTE(Working_Sales[[#This Row],[Price_Per_Unit_Whitespace_Removed]],
   "$",
   ""
   )
)</f>
        <v>#VALUE!</v>
      </c>
      <c r="AC429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429" s="8">
        <f>IFERROR(
   Working_Sales[[#This Row],[Price_Per_Unit_Decimal_Separator_Fixed]],
   Working_Sales[[#This Row],[Total_Amount_Converted_To_Integer]]/Working_Sales[[#This Row],[Quantity_Converted_To_Integer]]
)</f>
        <v>500</v>
      </c>
      <c r="AE429" t="s">
        <v>57</v>
      </c>
      <c r="AF429" s="2" t="str">
        <f>CLEAN(TRIM(Working_Sales[[#This Row],[Total Amount]]))</f>
        <v>500</v>
      </c>
      <c r="AG429" s="2">
        <f>INT(Working_Sales[[#This Row],[Total_Amount_Whitespace_Removed]])</f>
        <v>500</v>
      </c>
      <c r="AH42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430" spans="1:34" x14ac:dyDescent="0.35">
      <c r="A430" t="s">
        <v>964</v>
      </c>
      <c r="B430" s="6" t="str">
        <f>CLEAN(TRIM(Working_Sales[[#This Row],[Transaction ID]]))</f>
        <v>874</v>
      </c>
      <c r="C430" t="s">
        <v>965</v>
      </c>
      <c r="D430" s="2" t="str">
        <f>CLEAN(TRIM(Working_Sales[[#This Row],[Date]]))</f>
        <v>2023-06-26</v>
      </c>
      <c r="E43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45103</v>
      </c>
      <c r="F43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45103</v>
      </c>
      <c r="G43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45103</v>
      </c>
      <c r="H430" t="s">
        <v>2683</v>
      </c>
      <c r="I430" s="2" t="str">
        <f>CLEAN(TRIM(Working_Sales[[#This Row],[Customer ID]]))</f>
        <v>CUST011</v>
      </c>
      <c r="J43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3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CUST011</v>
      </c>
      <c r="L430" t="s">
        <v>268</v>
      </c>
      <c r="M430" s="4" t="str">
        <f>CLEAN(TRIM(Working_Sales[[#This Row],[Gender]]))</f>
        <v>M</v>
      </c>
      <c r="N430" s="4" t="str" cm="1">
        <f t="array" ref="N430">_xlfn.SWITCH(
   Working_Sales[[#This Row],[Gender_Whitespace_Removed]],
   "m", "Male",
   "f", "Female",
   Working_Sales[[#This Row],[Gender_Whitespace_Removed]]
)</f>
        <v>Male</v>
      </c>
      <c r="O430" s="6" t="str">
        <f>PROPER(Working_Sales[[#This Row],[Gender_Abbreviation_Expanded]])</f>
        <v>Male</v>
      </c>
      <c r="P430">
        <v>60</v>
      </c>
      <c r="Q430" s="2" t="str">
        <f>CLEAN(TRIM(Working_Sales[[#This Row],[Age]]))</f>
        <v>60</v>
      </c>
      <c r="R430" s="6">
        <f>INT(SUBSTITUTE(Working_Sales[[#This Row],[Age_Whitespace_Removed]],".",","))</f>
        <v>60</v>
      </c>
      <c r="S430" t="s">
        <v>36</v>
      </c>
      <c r="T430" s="2" t="str">
        <f>CLEAN(TRIM(Working_Sales[[#This Row],[Product Category]]))</f>
        <v>Beauty</v>
      </c>
      <c r="U430" s="6" t="str">
        <f>PROPER(Working_Sales[[#This Row],[Product_Category_Whitespace_Removed]])</f>
        <v>Beauty</v>
      </c>
      <c r="V430" t="s">
        <v>22</v>
      </c>
      <c r="W430" s="2" t="str">
        <f>CLEAN(TRIM(Working_Sales[[#This Row],[Quantity]]))</f>
        <v>1</v>
      </c>
      <c r="X430" s="2">
        <f>INT(Working_Sales[[#This Row],[`]])</f>
        <v>1</v>
      </c>
      <c r="Y430" s="6">
        <f>IFERROR(
   Working_Sales[[#This Row],[Quantity_Converted_To_Integer]],
   Working_Sales[[#This Row],[Total_Amount_Whitespace_Removed]]/Working_Sales[[#This Row],[Price_Per_Unit_Decimal_Separator_Fixed]])</f>
        <v>1</v>
      </c>
      <c r="Z430" t="s">
        <v>70</v>
      </c>
      <c r="AA430" s="2" t="str">
        <f>CLEAN(TRIM(Working_Sales[[#This Row],[Price per Unit]]))</f>
        <v>30</v>
      </c>
      <c r="AB430" s="2">
        <f>INT(
   SUBSTITUTE(Working_Sales[[#This Row],[Price_Per_Unit_Whitespace_Removed]],
   "$",
   ""
   )
)</f>
        <v>30</v>
      </c>
      <c r="AC430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430" s="8">
        <f>IFERROR(
   Working_Sales[[#This Row],[Price_Per_Unit_Decimal_Separator_Fixed]],
   Working_Sales[[#This Row],[Total_Amount_Converted_To_Integer]]/Working_Sales[[#This Row],[Quantity_Converted_To_Integer]]
)</f>
        <v>30</v>
      </c>
      <c r="AE430" t="s">
        <v>70</v>
      </c>
      <c r="AF430" s="2" t="str">
        <f>CLEAN(TRIM(Working_Sales[[#This Row],[Total Amount]]))</f>
        <v>30</v>
      </c>
      <c r="AG430" s="2">
        <f>INT(Working_Sales[[#This Row],[Total_Amount_Whitespace_Removed]])</f>
        <v>30</v>
      </c>
      <c r="AH43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431" spans="1:34" x14ac:dyDescent="0.35">
      <c r="A431" t="s">
        <v>966</v>
      </c>
      <c r="B431" s="6" t="str">
        <f>CLEAN(TRIM(Working_Sales[[#This Row],[Transaction ID]]))</f>
        <v>869</v>
      </c>
      <c r="C431" t="s">
        <v>967</v>
      </c>
      <c r="D431" s="2" t="str">
        <f>CLEAN(TRIM(Working_Sales[[#This Row],[Date]]))</f>
        <v>2023-10-25</v>
      </c>
      <c r="E43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45224</v>
      </c>
      <c r="F43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45224</v>
      </c>
      <c r="G43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45224</v>
      </c>
      <c r="H431" t="s">
        <v>1397</v>
      </c>
      <c r="I431" s="2" t="str">
        <f>CLEAN(TRIM(Working_Sales[[#This Row],[Customer ID]]))</f>
        <v>CUST127</v>
      </c>
      <c r="J43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CUST127</v>
      </c>
      <c r="K43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CUST127</v>
      </c>
      <c r="L431" t="s">
        <v>34</v>
      </c>
      <c r="M431" s="4" t="str">
        <f>CLEAN(TRIM(Working_Sales[[#This Row],[Gender]]))</f>
        <v>Male</v>
      </c>
      <c r="N431" s="4" t="str" cm="1">
        <f t="array" ref="N431">_xlfn.SWITCH(
   Working_Sales[[#This Row],[Gender_Whitespace_Removed]],
   "m", "Male",
   "f", "Female",
   Working_Sales[[#This Row],[Gender_Whitespace_Removed]]
)</f>
        <v>Male</v>
      </c>
      <c r="O431" s="6" t="str">
        <f>PROPER(Working_Sales[[#This Row],[Gender_Abbreviation_Expanded]])</f>
        <v>Male</v>
      </c>
      <c r="P431">
        <v>37</v>
      </c>
      <c r="Q431" s="2" t="str">
        <f>CLEAN(TRIM(Working_Sales[[#This Row],[Age]]))</f>
        <v>37</v>
      </c>
      <c r="R431" s="6">
        <f>INT(SUBSTITUTE(Working_Sales[[#This Row],[Age_Whitespace_Removed]],".",","))</f>
        <v>37</v>
      </c>
      <c r="S431" t="s">
        <v>42</v>
      </c>
      <c r="T431" s="2" t="str">
        <f>CLEAN(TRIM(Working_Sales[[#This Row],[Product Category]]))</f>
        <v>Beauty</v>
      </c>
      <c r="U431" s="6" t="str">
        <f>PROPER(Working_Sales[[#This Row],[Product_Category_Whitespace_Removed]])</f>
        <v>Beauty</v>
      </c>
      <c r="V431" t="s">
        <v>29</v>
      </c>
      <c r="W431" s="2" t="str">
        <f>CLEAN(TRIM(Working_Sales[[#This Row],[Quantity]]))</f>
        <v>3</v>
      </c>
      <c r="X431" s="2">
        <f>INT(Working_Sales[[#This Row],[`]])</f>
        <v>3</v>
      </c>
      <c r="Y431" s="6">
        <f>IFERROR(
   Working_Sales[[#This Row],[Quantity_Converted_To_Integer]],
   Working_Sales[[#This Row],[Total_Amount_Whitespace_Removed]]/Working_Sales[[#This Row],[Price_Per_Unit_Decimal_Separator_Fixed]])</f>
        <v>3</v>
      </c>
      <c r="Z431" t="s">
        <v>57</v>
      </c>
      <c r="AA431" s="2" t="str">
        <f>CLEAN(TRIM(Working_Sales[[#This Row],[Price per Unit]]))</f>
        <v>500</v>
      </c>
      <c r="AB431" s="2">
        <f>INT(
   SUBSTITUTE(Working_Sales[[#This Row],[Price_Per_Unit_Whitespace_Removed]],
   "$",
   ""
   )
)</f>
        <v>500</v>
      </c>
      <c r="AC431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431" s="8">
        <f>IFERROR(
   Working_Sales[[#This Row],[Price_Per_Unit_Decimal_Separator_Fixed]],
   Working_Sales[[#This Row],[Total_Amount_Converted_To_Integer]]/Working_Sales[[#This Row],[Quantity_Converted_To_Integer]]
)</f>
        <v>500</v>
      </c>
      <c r="AE431" t="s">
        <v>85</v>
      </c>
      <c r="AF431" s="2" t="str">
        <f>CLEAN(TRIM(Working_Sales[[#This Row],[Total Amount]]))</f>
        <v>1500</v>
      </c>
      <c r="AG431" s="2">
        <f>INT(Working_Sales[[#This Row],[Total_Amount_Whitespace_Removed]])</f>
        <v>1500</v>
      </c>
      <c r="AH43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432" spans="1:34" x14ac:dyDescent="0.35">
      <c r="A432" t="s">
        <v>968</v>
      </c>
      <c r="B432" s="6" t="str">
        <f>CLEAN(TRIM(Working_Sales[[#This Row],[Transaction ID]]))</f>
        <v>933</v>
      </c>
      <c r="C432" t="s">
        <v>969</v>
      </c>
      <c r="D432" s="2" t="str">
        <f>CLEAN(TRIM(Working_Sales[[#This Row],[Date]]))</f>
        <v>2023-02-03</v>
      </c>
      <c r="E43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44960</v>
      </c>
      <c r="F43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44960</v>
      </c>
      <c r="G43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44960</v>
      </c>
      <c r="H432" t="s">
        <v>2684</v>
      </c>
      <c r="I432" s="2" t="str">
        <f>CLEAN(TRIM(Working_Sales[[#This Row],[Customer ID]]))</f>
        <v>CUST184</v>
      </c>
      <c r="J43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CUST184</v>
      </c>
      <c r="K43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CUST184</v>
      </c>
      <c r="L432" t="s">
        <v>34</v>
      </c>
      <c r="M432" s="4" t="str">
        <f>CLEAN(TRIM(Working_Sales[[#This Row],[Gender]]))</f>
        <v>Male</v>
      </c>
      <c r="N432" s="4" t="str" cm="1">
        <f t="array" ref="N432">_xlfn.SWITCH(
   Working_Sales[[#This Row],[Gender_Whitespace_Removed]],
   "m", "Male",
   "f", "Female",
   Working_Sales[[#This Row],[Gender_Whitespace_Removed]]
)</f>
        <v>Male</v>
      </c>
      <c r="O432" s="6" t="str">
        <f>PROPER(Working_Sales[[#This Row],[Gender_Abbreviation_Expanded]])</f>
        <v>Male</v>
      </c>
      <c r="P432">
        <v>22</v>
      </c>
      <c r="Q432" s="2" t="str">
        <f>CLEAN(TRIM(Working_Sales[[#This Row],[Age]]))</f>
        <v>22</v>
      </c>
      <c r="R432" s="6">
        <f>INT(SUBSTITUTE(Working_Sales[[#This Row],[Age_Whitespace_Removed]],".",","))</f>
        <v>22</v>
      </c>
      <c r="S432" t="s">
        <v>62</v>
      </c>
      <c r="T432" s="2" t="str">
        <f>CLEAN(TRIM(Working_Sales[[#This Row],[Product Category]]))</f>
        <v>beauty</v>
      </c>
      <c r="U432" s="6" t="str">
        <f>PROPER(Working_Sales[[#This Row],[Product_Category_Whitespace_Removed]])</f>
        <v>Beauty</v>
      </c>
      <c r="V432" t="s">
        <v>22</v>
      </c>
      <c r="W432" s="2" t="str">
        <f>CLEAN(TRIM(Working_Sales[[#This Row],[Quantity]]))</f>
        <v>1</v>
      </c>
      <c r="X432" s="2">
        <f>INT(Working_Sales[[#This Row],[`]])</f>
        <v>1</v>
      </c>
      <c r="Y432" s="6">
        <f>IFERROR(
   Working_Sales[[#This Row],[Quantity_Converted_To_Integer]],
   Working_Sales[[#This Row],[Total_Amount_Whitespace_Removed]]/Working_Sales[[#This Row],[Price_Per_Unit_Decimal_Separator_Fixed]])</f>
        <v>1</v>
      </c>
      <c r="Z432" t="s">
        <v>147</v>
      </c>
      <c r="AA432" s="2" t="str">
        <f>CLEAN(TRIM(Working_Sales[[#This Row],[Price per Unit]]))</f>
        <v>$30</v>
      </c>
      <c r="AB432" s="2">
        <f>INT(
   SUBSTITUTE(Working_Sales[[#This Row],[Price_Per_Unit_Whitespace_Removed]],
   "$",
   ""
   )
)</f>
        <v>30</v>
      </c>
      <c r="AC432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432" s="8">
        <f>IFERROR(
   Working_Sales[[#This Row],[Price_Per_Unit_Decimal_Separator_Fixed]],
   Working_Sales[[#This Row],[Total_Amount_Converted_To_Integer]]/Working_Sales[[#This Row],[Quantity_Converted_To_Integer]]
)</f>
        <v>30</v>
      </c>
      <c r="AE432" t="s">
        <v>70</v>
      </c>
      <c r="AF432" s="2" t="str">
        <f>CLEAN(TRIM(Working_Sales[[#This Row],[Total Amount]]))</f>
        <v>30</v>
      </c>
      <c r="AG432" s="2">
        <f>INT(Working_Sales[[#This Row],[Total_Amount_Whitespace_Removed]])</f>
        <v>30</v>
      </c>
      <c r="AH43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433" spans="1:34" x14ac:dyDescent="0.35">
      <c r="A433" t="s">
        <v>970</v>
      </c>
      <c r="B433" s="6" t="str">
        <f>CLEAN(TRIM(Working_Sales[[#This Row],[Transaction ID]]))</f>
        <v>121</v>
      </c>
      <c r="C433" t="s">
        <v>1832</v>
      </c>
      <c r="D433" s="2" t="str">
        <f>CLEAN(TRIM(Working_Sales[[#This Row],[Date]]))</f>
        <v>10/15/2023</v>
      </c>
      <c r="E433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43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45214</v>
      </c>
      <c r="G43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45214</v>
      </c>
      <c r="H433" t="s">
        <v>2685</v>
      </c>
      <c r="I433" s="2" t="str">
        <f>CLEAN(TRIM(Working_Sales[[#This Row],[Customer ID]]))</f>
        <v>CUST318</v>
      </c>
      <c r="J43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CUST318</v>
      </c>
      <c r="K43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CUST318</v>
      </c>
      <c r="L433" t="s">
        <v>26</v>
      </c>
      <c r="M433" s="4" t="str">
        <f>CLEAN(TRIM(Working_Sales[[#This Row],[Gender]]))</f>
        <v>Female</v>
      </c>
      <c r="N433" s="4" t="str" cm="1">
        <f t="array" ref="N433">_xlfn.SWITCH(
   Working_Sales[[#This Row],[Gender_Whitespace_Removed]],
   "m", "Male",
   "f", "Female",
   Working_Sales[[#This Row],[Gender_Whitespace_Removed]]
)</f>
        <v>Female</v>
      </c>
      <c r="O433" s="6" t="str">
        <f>PROPER(Working_Sales[[#This Row],[Gender_Abbreviation_Expanded]])</f>
        <v>Female</v>
      </c>
      <c r="P433">
        <v>28</v>
      </c>
      <c r="Q433" s="2" t="str">
        <f>CLEAN(TRIM(Working_Sales[[#This Row],[Age]]))</f>
        <v>28</v>
      </c>
      <c r="R433" s="6">
        <f>INT(SUBSTITUTE(Working_Sales[[#This Row],[Age_Whitespace_Removed]],".",","))</f>
        <v>28</v>
      </c>
      <c r="S433" t="s">
        <v>48</v>
      </c>
      <c r="T433" s="2" t="str">
        <f>CLEAN(TRIM(Working_Sales[[#This Row],[Product Category]]))</f>
        <v>electronics</v>
      </c>
      <c r="U433" s="6" t="str">
        <f>PROPER(Working_Sales[[#This Row],[Product_Category_Whitespace_Removed]])</f>
        <v>Electronics</v>
      </c>
      <c r="V433" t="s">
        <v>14</v>
      </c>
      <c r="W433" s="2" t="str">
        <f>CLEAN(TRIM(Working_Sales[[#This Row],[Quantity]]))</f>
        <v>4</v>
      </c>
      <c r="X433" s="2">
        <f>INT(Working_Sales[[#This Row],[`]])</f>
        <v>4</v>
      </c>
      <c r="Y433" s="6">
        <f>IFERROR(
   Working_Sales[[#This Row],[Quantity_Converted_To_Integer]],
   Working_Sales[[#This Row],[Total_Amount_Whitespace_Removed]]/Working_Sales[[#This Row],[Price_Per_Unit_Decimal_Separator_Fixed]])</f>
        <v>4</v>
      </c>
      <c r="Z433" t="s">
        <v>96</v>
      </c>
      <c r="AA433" s="2" t="str">
        <f>CLEAN(TRIM(Working_Sales[[#This Row],[Price per Unit]]))</f>
        <v>$50</v>
      </c>
      <c r="AB433" s="2">
        <f>INT(
   SUBSTITUTE(Working_Sales[[#This Row],[Price_Per_Unit_Whitespace_Removed]],
   "$",
   ""
   )
)</f>
        <v>50</v>
      </c>
      <c r="AC433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433" s="8">
        <f>IFERROR(
   Working_Sales[[#This Row],[Price_Per_Unit_Decimal_Separator_Fixed]],
   Working_Sales[[#This Row],[Total_Amount_Converted_To_Integer]]/Working_Sales[[#This Row],[Quantity_Converted_To_Integer]]
)</f>
        <v>50</v>
      </c>
      <c r="AE433" t="s">
        <v>16</v>
      </c>
      <c r="AF433" s="2" t="str">
        <f>CLEAN(TRIM(Working_Sales[[#This Row],[Total Amount]]))</f>
        <v>200</v>
      </c>
      <c r="AG433" s="2">
        <f>INT(Working_Sales[[#This Row],[Total_Amount_Whitespace_Removed]])</f>
        <v>200</v>
      </c>
      <c r="AH43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434" spans="1:34" x14ac:dyDescent="0.35">
      <c r="A434" t="s">
        <v>972</v>
      </c>
      <c r="B434" s="6" t="str">
        <f>CLEAN(TRIM(Working_Sales[[#This Row],[Transaction ID]]))</f>
        <v>713</v>
      </c>
      <c r="C434" t="s">
        <v>714</v>
      </c>
      <c r="D434" s="2" t="str">
        <f>CLEAN(TRIM(Working_Sales[[#This Row],[Date]]))</f>
        <v>14-Jan-2023</v>
      </c>
      <c r="E43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44940</v>
      </c>
      <c r="F43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44940</v>
      </c>
      <c r="G43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44940</v>
      </c>
      <c r="H434" t="s">
        <v>2686</v>
      </c>
      <c r="I434" s="2" t="str">
        <f>CLEAN(TRIM(Working_Sales[[#This Row],[Customer ID]]))</f>
        <v>CUST319</v>
      </c>
      <c r="J43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CUST319</v>
      </c>
      <c r="K43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CUST319</v>
      </c>
      <c r="L434" t="s">
        <v>268</v>
      </c>
      <c r="M434" s="4" t="str">
        <f>CLEAN(TRIM(Working_Sales[[#This Row],[Gender]]))</f>
        <v>M</v>
      </c>
      <c r="N434" s="4" t="str" cm="1">
        <f t="array" ref="N434">_xlfn.SWITCH(
   Working_Sales[[#This Row],[Gender_Whitespace_Removed]],
   "m", "Male",
   "f", "Female",
   Working_Sales[[#This Row],[Gender_Whitespace_Removed]]
)</f>
        <v>Male</v>
      </c>
      <c r="O434" s="6" t="str">
        <f>PROPER(Working_Sales[[#This Row],[Gender_Abbreviation_Expanded]])</f>
        <v>Male</v>
      </c>
      <c r="P434">
        <v>34</v>
      </c>
      <c r="Q434" s="2" t="str">
        <f>CLEAN(TRIM(Working_Sales[[#This Row],[Age]]))</f>
        <v>34</v>
      </c>
      <c r="R434" s="6">
        <f>INT(SUBSTITUTE(Working_Sales[[#This Row],[Age_Whitespace_Removed]],".",","))</f>
        <v>34</v>
      </c>
      <c r="S434" t="s">
        <v>62</v>
      </c>
      <c r="T434" s="2" t="str">
        <f>CLEAN(TRIM(Working_Sales[[#This Row],[Product Category]]))</f>
        <v>beauty</v>
      </c>
      <c r="U434" s="6" t="str">
        <f>PROPER(Working_Sales[[#This Row],[Product_Category_Whitespace_Removed]])</f>
        <v>Beauty</v>
      </c>
      <c r="V434" t="s">
        <v>29</v>
      </c>
      <c r="W434" s="2" t="str">
        <f>CLEAN(TRIM(Working_Sales[[#This Row],[Quantity]]))</f>
        <v>3</v>
      </c>
      <c r="X434" s="2">
        <f>INT(Working_Sales[[#This Row],[`]])</f>
        <v>3</v>
      </c>
      <c r="Y434" s="6">
        <f>IFERROR(
   Working_Sales[[#This Row],[Quantity_Converted_To_Integer]],
   Working_Sales[[#This Row],[Total_Amount_Whitespace_Removed]]/Working_Sales[[#This Row],[Price_Per_Unit_Decimal_Separator_Fixed]])</f>
        <v>3</v>
      </c>
      <c r="Z434" t="s">
        <v>30</v>
      </c>
      <c r="AA434" s="2" t="str">
        <f>CLEAN(TRIM(Working_Sales[[#This Row],[Price per Unit]]))</f>
        <v>25</v>
      </c>
      <c r="AB434" s="2">
        <f>INT(
   SUBSTITUTE(Working_Sales[[#This Row],[Price_Per_Unit_Whitespace_Removed]],
   "$",
   ""
   )
)</f>
        <v>25</v>
      </c>
      <c r="AC434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434" s="8">
        <f>IFERROR(
   Working_Sales[[#This Row],[Price_Per_Unit_Decimal_Separator_Fixed]],
   Working_Sales[[#This Row],[Total_Amount_Converted_To_Integer]]/Working_Sales[[#This Row],[Quantity_Converted_To_Integer]]
)</f>
        <v>25</v>
      </c>
      <c r="AE434" t="s">
        <v>31</v>
      </c>
      <c r="AF434" s="2" t="str">
        <f>CLEAN(TRIM(Working_Sales[[#This Row],[Total Amount]]))</f>
        <v>75</v>
      </c>
      <c r="AG434" s="2">
        <f>INT(Working_Sales[[#This Row],[Total_Amount_Whitespace_Removed]])</f>
        <v>75</v>
      </c>
      <c r="AH43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435" spans="1:34" x14ac:dyDescent="0.35">
      <c r="A435" t="s">
        <v>973</v>
      </c>
      <c r="B435" s="6" t="str">
        <f>CLEAN(TRIM(Working_Sales[[#This Row],[Transaction ID]]))</f>
        <v>573</v>
      </c>
      <c r="C435" t="s">
        <v>974</v>
      </c>
      <c r="D435" s="2" t="str">
        <f>CLEAN(TRIM(Working_Sales[[#This Row],[Date]]))</f>
        <v>09/19/2023</v>
      </c>
      <c r="E435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43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45188</v>
      </c>
      <c r="G43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45188</v>
      </c>
      <c r="H435" t="s">
        <v>2687</v>
      </c>
      <c r="I435" s="2" t="str">
        <f>CLEAN(TRIM(Working_Sales[[#This Row],[Customer ID]]))</f>
        <v>CUST320</v>
      </c>
      <c r="J43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CUST320</v>
      </c>
      <c r="K43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CUST320</v>
      </c>
      <c r="L435" t="s">
        <v>34</v>
      </c>
      <c r="M435" s="4" t="str">
        <f>CLEAN(TRIM(Working_Sales[[#This Row],[Gender]]))</f>
        <v>Male</v>
      </c>
      <c r="N435" s="4" t="str" cm="1">
        <f t="array" ref="N435">_xlfn.SWITCH(
   Working_Sales[[#This Row],[Gender_Whitespace_Removed]],
   "m", "Male",
   "f", "Female",
   Working_Sales[[#This Row],[Gender_Whitespace_Removed]]
)</f>
        <v>Male</v>
      </c>
      <c r="O435" s="6" t="str">
        <f>PROPER(Working_Sales[[#This Row],[Gender_Abbreviation_Expanded]])</f>
        <v>Male</v>
      </c>
      <c r="P435">
        <v>49</v>
      </c>
      <c r="Q435" s="2" t="str">
        <f>CLEAN(TRIM(Working_Sales[[#This Row],[Age]]))</f>
        <v>49</v>
      </c>
      <c r="R435" s="6">
        <f>INT(SUBSTITUTE(Working_Sales[[#This Row],[Age_Whitespace_Removed]],".",","))</f>
        <v>49</v>
      </c>
      <c r="S435" t="s">
        <v>434</v>
      </c>
      <c r="T435" s="2" t="str">
        <f>CLEAN(TRIM(Working_Sales[[#This Row],[Product Category]]))</f>
        <v>Beauty</v>
      </c>
      <c r="U435" s="6" t="str">
        <f>PROPER(Working_Sales[[#This Row],[Product_Category_Whitespace_Removed]])</f>
        <v>Beauty</v>
      </c>
      <c r="V435" t="s">
        <v>37</v>
      </c>
      <c r="W435" s="2" t="str">
        <f>CLEAN(TRIM(Working_Sales[[#This Row],[Quantity]]))</f>
        <v>2</v>
      </c>
      <c r="X435" s="2">
        <f>INT(Working_Sales[[#This Row],[`]])</f>
        <v>2</v>
      </c>
      <c r="Y435" s="6">
        <f>IFERROR(
   Working_Sales[[#This Row],[Quantity_Converted_To_Integer]],
   Working_Sales[[#This Row],[Total_Amount_Whitespace_Removed]]/Working_Sales[[#This Row],[Price_Per_Unit_Decimal_Separator_Fixed]])</f>
        <v>2</v>
      </c>
      <c r="Z435" t="s">
        <v>70</v>
      </c>
      <c r="AA435" s="2" t="str">
        <f>CLEAN(TRIM(Working_Sales[[#This Row],[Price per Unit]]))</f>
        <v>30</v>
      </c>
      <c r="AB435" s="2">
        <f>INT(
   SUBSTITUTE(Working_Sales[[#This Row],[Price_Per_Unit_Whitespace_Removed]],
   "$",
   ""
   )
)</f>
        <v>30</v>
      </c>
      <c r="AC435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435" s="8">
        <f>IFERROR(
   Working_Sales[[#This Row],[Price_Per_Unit_Decimal_Separator_Fixed]],
   Working_Sales[[#This Row],[Total_Amount_Converted_To_Integer]]/Working_Sales[[#This Row],[Quantity_Converted_To_Integer]]
)</f>
        <v>30</v>
      </c>
      <c r="AE435" t="s">
        <v>71</v>
      </c>
      <c r="AF435" s="2" t="str">
        <f>CLEAN(TRIM(Working_Sales[[#This Row],[Total Amount]]))</f>
        <v>60</v>
      </c>
      <c r="AG435" s="2">
        <f>INT(Working_Sales[[#This Row],[Total_Amount_Whitespace_Removed]])</f>
        <v>60</v>
      </c>
      <c r="AH43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436" spans="1:34" x14ac:dyDescent="0.35">
      <c r="A436" t="s">
        <v>27</v>
      </c>
      <c r="B436" s="6" t="str">
        <f>CLEAN(TRIM(Working_Sales[[#This Row],[Transaction ID]]))</f>
        <v>63</v>
      </c>
      <c r="C436" t="s">
        <v>497</v>
      </c>
      <c r="D436" s="2" t="str">
        <f>CLEAN(TRIM(Working_Sales[[#This Row],[Date]]))</f>
        <v>05-Feb-2023</v>
      </c>
      <c r="E43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44962</v>
      </c>
      <c r="F43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44962</v>
      </c>
      <c r="G43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44962</v>
      </c>
      <c r="H436" t="s">
        <v>2688</v>
      </c>
      <c r="I436" s="2" t="str">
        <f>CLEAN(TRIM(Working_Sales[[#This Row],[Customer ID]]))</f>
        <v>CUST321</v>
      </c>
      <c r="J43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CUST321</v>
      </c>
      <c r="K43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CUST321</v>
      </c>
      <c r="L436" t="s">
        <v>34</v>
      </c>
      <c r="M436" s="4" t="str">
        <f>CLEAN(TRIM(Working_Sales[[#This Row],[Gender]]))</f>
        <v>Male</v>
      </c>
      <c r="N436" s="4" t="str" cm="1">
        <f t="array" ref="N436">_xlfn.SWITCH(
   Working_Sales[[#This Row],[Gender_Whitespace_Removed]],
   "m", "Male",
   "f", "Female",
   Working_Sales[[#This Row],[Gender_Whitespace_Removed]]
)</f>
        <v>Male</v>
      </c>
      <c r="O436" s="6" t="str">
        <f>PROPER(Working_Sales[[#This Row],[Gender_Abbreviation_Expanded]])</f>
        <v>Male</v>
      </c>
      <c r="P436">
        <v>57</v>
      </c>
      <c r="Q436" s="2" t="str">
        <f>CLEAN(TRIM(Working_Sales[[#This Row],[Age]]))</f>
        <v>57</v>
      </c>
      <c r="R436" s="6">
        <f>INT(SUBSTITUTE(Working_Sales[[#This Row],[Age_Whitespace_Removed]],".",","))</f>
        <v>57</v>
      </c>
      <c r="S436" t="s">
        <v>13</v>
      </c>
      <c r="T436" s="2" t="str">
        <f>CLEAN(TRIM(Working_Sales[[#This Row],[Product Category]]))</f>
        <v>Electronics</v>
      </c>
      <c r="U436" s="6" t="str">
        <f>PROPER(Working_Sales[[#This Row],[Product_Category_Whitespace_Removed]])</f>
        <v>Electronics</v>
      </c>
      <c r="V436" t="s">
        <v>37</v>
      </c>
      <c r="W436" s="2" t="str">
        <f>CLEAN(TRIM(Working_Sales[[#This Row],[Quantity]]))</f>
        <v>2</v>
      </c>
      <c r="X436" s="2">
        <f>INT(Working_Sales[[#This Row],[`]])</f>
        <v>2</v>
      </c>
      <c r="Y436" s="6">
        <f>IFERROR(
   Working_Sales[[#This Row],[Quantity_Converted_To_Integer]],
   Working_Sales[[#This Row],[Total_Amount_Whitespace_Removed]]/Working_Sales[[#This Row],[Price_Per_Unit_Decimal_Separator_Fixed]])</f>
        <v>2</v>
      </c>
      <c r="Z436" t="s">
        <v>30</v>
      </c>
      <c r="AA436" s="2" t="str">
        <f>CLEAN(TRIM(Working_Sales[[#This Row],[Price per Unit]]))</f>
        <v>25</v>
      </c>
      <c r="AB436" s="2">
        <f>INT(
   SUBSTITUTE(Working_Sales[[#This Row],[Price_Per_Unit_Whitespace_Removed]],
   "$",
   ""
   )
)</f>
        <v>25</v>
      </c>
      <c r="AC436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436" s="8">
        <f>IFERROR(
   Working_Sales[[#This Row],[Price_Per_Unit_Decimal_Separator_Fixed]],
   Working_Sales[[#This Row],[Total_Amount_Converted_To_Integer]]/Working_Sales[[#This Row],[Quantity_Converted_To_Integer]]
)</f>
        <v>25</v>
      </c>
      <c r="AE436" t="s">
        <v>15</v>
      </c>
      <c r="AF436" s="2" t="str">
        <f>CLEAN(TRIM(Working_Sales[[#This Row],[Total Amount]]))</f>
        <v>50</v>
      </c>
      <c r="AG436" s="2">
        <f>INT(Working_Sales[[#This Row],[Total_Amount_Whitespace_Removed]])</f>
        <v>50</v>
      </c>
      <c r="AH43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437" spans="1:34" x14ac:dyDescent="0.35">
      <c r="A437" t="s">
        <v>976</v>
      </c>
      <c r="B437" s="6" t="str">
        <f>CLEAN(TRIM(Working_Sales[[#This Row],[Transaction ID]]))</f>
        <v>768</v>
      </c>
      <c r="C437" t="s">
        <v>977</v>
      </c>
      <c r="D437" s="2" t="str">
        <f>CLEAN(TRIM(Working_Sales[[#This Row],[Date]]))</f>
        <v>01/14/2023</v>
      </c>
      <c r="E437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43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44940</v>
      </c>
      <c r="G43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44940</v>
      </c>
      <c r="H437" t="s">
        <v>2522</v>
      </c>
      <c r="I437" s="2" t="str">
        <f>CLEAN(TRIM(Working_Sales[[#This Row],[Customer ID]]))</f>
        <v>cust200</v>
      </c>
      <c r="J43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3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CUST200</v>
      </c>
      <c r="L437" t="s">
        <v>46</v>
      </c>
      <c r="M437" s="4" t="str">
        <f>CLEAN(TRIM(Working_Sales[[#This Row],[Gender]]))</f>
        <v>F</v>
      </c>
      <c r="N437" s="4" t="str" cm="1">
        <f t="array" ref="N437">_xlfn.SWITCH(
   Working_Sales[[#This Row],[Gender_Whitespace_Removed]],
   "m", "Male",
   "f", "Female",
   Working_Sales[[#This Row],[Gender_Whitespace_Removed]]
)</f>
        <v>Female</v>
      </c>
      <c r="O437" s="6" t="str">
        <f>PROPER(Working_Sales[[#This Row],[Gender_Abbreviation_Expanded]])</f>
        <v>Female</v>
      </c>
      <c r="P437" t="s">
        <v>978</v>
      </c>
      <c r="Q437" s="2" t="str">
        <f>CLEAN(TRIM(Working_Sales[[#This Row],[Age]]))</f>
        <v>24.0</v>
      </c>
      <c r="R437" s="6">
        <f>INT(SUBSTITUTE(Working_Sales[[#This Row],[Age_Whitespace_Removed]],".",","))</f>
        <v>24</v>
      </c>
      <c r="S437" t="s">
        <v>42</v>
      </c>
      <c r="T437" s="2" t="str">
        <f>CLEAN(TRIM(Working_Sales[[#This Row],[Product Category]]))</f>
        <v>Beauty</v>
      </c>
      <c r="U437" s="6" t="str">
        <f>PROPER(Working_Sales[[#This Row],[Product_Category_Whitespace_Removed]])</f>
        <v>Beauty</v>
      </c>
      <c r="V437" t="s">
        <v>29</v>
      </c>
      <c r="W437" s="2" t="str">
        <f>CLEAN(TRIM(Working_Sales[[#This Row],[Quantity]]))</f>
        <v>3</v>
      </c>
      <c r="X437" s="2">
        <f>INT(Working_Sales[[#This Row],[`]])</f>
        <v>3</v>
      </c>
      <c r="Y437" s="6">
        <f>IFERROR(
   Working_Sales[[#This Row],[Quantity_Converted_To_Integer]],
   Working_Sales[[#This Row],[Total_Amount_Whitespace_Removed]]/Working_Sales[[#This Row],[Price_Per_Unit_Decimal_Separator_Fixed]])</f>
        <v>3</v>
      </c>
      <c r="Z437" t="s">
        <v>30</v>
      </c>
      <c r="AA437" s="2" t="str">
        <f>CLEAN(TRIM(Working_Sales[[#This Row],[Price per Unit]]))</f>
        <v>25</v>
      </c>
      <c r="AB437" s="2">
        <f>INT(
   SUBSTITUTE(Working_Sales[[#This Row],[Price_Per_Unit_Whitespace_Removed]],
   "$",
   ""
   )
)</f>
        <v>25</v>
      </c>
      <c r="AC437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437" s="8">
        <f>IFERROR(
   Working_Sales[[#This Row],[Price_Per_Unit_Decimal_Separator_Fixed]],
   Working_Sales[[#This Row],[Total_Amount_Converted_To_Integer]]/Working_Sales[[#This Row],[Quantity_Converted_To_Integer]]
)</f>
        <v>25</v>
      </c>
      <c r="AE437" t="s">
        <v>31</v>
      </c>
      <c r="AF437" s="2" t="str">
        <f>CLEAN(TRIM(Working_Sales[[#This Row],[Total Amount]]))</f>
        <v>75</v>
      </c>
      <c r="AG437" s="2">
        <f>INT(Working_Sales[[#This Row],[Total_Amount_Whitespace_Removed]])</f>
        <v>75</v>
      </c>
      <c r="AH43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438" spans="1:34" x14ac:dyDescent="0.35">
      <c r="A438" t="s">
        <v>979</v>
      </c>
      <c r="B438" s="6" t="str">
        <f>CLEAN(TRIM(Working_Sales[[#This Row],[Transaction ID]]))</f>
        <v>976</v>
      </c>
      <c r="C438" t="s">
        <v>1565</v>
      </c>
      <c r="D438" s="2" t="str">
        <f>CLEAN(TRIM(Working_Sales[[#This Row],[Date]]))</f>
        <v>2023-10-10</v>
      </c>
      <c r="E43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45209</v>
      </c>
      <c r="F43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45209</v>
      </c>
      <c r="G43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45209</v>
      </c>
      <c r="H438" t="s">
        <v>2689</v>
      </c>
      <c r="I438" s="2" t="str">
        <f>CLEAN(TRIM(Working_Sales[[#This Row],[Customer ID]]))</f>
        <v>CUST019</v>
      </c>
      <c r="J43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CUST019</v>
      </c>
      <c r="K43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CUST019</v>
      </c>
      <c r="L438" t="s">
        <v>46</v>
      </c>
      <c r="M438" s="4" t="str">
        <f>CLEAN(TRIM(Working_Sales[[#This Row],[Gender]]))</f>
        <v>F</v>
      </c>
      <c r="N438" s="4" t="str" cm="1">
        <f t="array" ref="N438">_xlfn.SWITCH(
   Working_Sales[[#This Row],[Gender_Whitespace_Removed]],
   "m", "Male",
   "f", "Female",
   Working_Sales[[#This Row],[Gender_Whitespace_Removed]]
)</f>
        <v>Female</v>
      </c>
      <c r="O438" s="6" t="str">
        <f>PROPER(Working_Sales[[#This Row],[Gender_Abbreviation_Expanded]])</f>
        <v>Female</v>
      </c>
      <c r="P438" t="s">
        <v>382</v>
      </c>
      <c r="Q438" s="2" t="str">
        <f>CLEAN(TRIM(Working_Sales[[#This Row],[Age]]))</f>
        <v>48.0</v>
      </c>
      <c r="R438" s="6">
        <f>INT(SUBSTITUTE(Working_Sales[[#This Row],[Age_Whitespace_Removed]],".",","))</f>
        <v>48</v>
      </c>
      <c r="S438" t="s">
        <v>36</v>
      </c>
      <c r="T438" s="2" t="str">
        <f>CLEAN(TRIM(Working_Sales[[#This Row],[Product Category]]))</f>
        <v>Beauty</v>
      </c>
      <c r="U438" s="6" t="str">
        <f>PROPER(Working_Sales[[#This Row],[Product_Category_Whitespace_Removed]])</f>
        <v>Beauty</v>
      </c>
      <c r="V438" t="s">
        <v>37</v>
      </c>
      <c r="W438" s="2" t="str">
        <f>CLEAN(TRIM(Working_Sales[[#This Row],[Quantity]]))</f>
        <v>2</v>
      </c>
      <c r="X438" s="2">
        <f>INT(Working_Sales[[#This Row],[`]])</f>
        <v>2</v>
      </c>
      <c r="Y438" s="6">
        <f>IFERROR(
   Working_Sales[[#This Row],[Quantity_Converted_To_Integer]],
   Working_Sales[[#This Row],[Total_Amount_Whitespace_Removed]]/Working_Sales[[#This Row],[Price_Per_Unit_Decimal_Separator_Fixed]])</f>
        <v>2</v>
      </c>
      <c r="Z438" t="s">
        <v>23</v>
      </c>
      <c r="AA438" s="2" t="str">
        <f>CLEAN(TRIM(Working_Sales[[#This Row],[Price per Unit]]))</f>
        <v>300</v>
      </c>
      <c r="AB438" s="2">
        <f>INT(
   SUBSTITUTE(Working_Sales[[#This Row],[Price_Per_Unit_Whitespace_Removed]],
   "$",
   ""
   )
)</f>
        <v>300</v>
      </c>
      <c r="AC438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438" s="8">
        <f>IFERROR(
   Working_Sales[[#This Row],[Price_Per_Unit_Decimal_Separator_Fixed]],
   Working_Sales[[#This Row],[Total_Amount_Converted_To_Integer]]/Working_Sales[[#This Row],[Quantity_Converted_To_Integer]]
)</f>
        <v>300</v>
      </c>
      <c r="AE438" t="s">
        <v>107</v>
      </c>
      <c r="AF438" s="2" t="str">
        <f>CLEAN(TRIM(Working_Sales[[#This Row],[Total Amount]]))</f>
        <v>600</v>
      </c>
      <c r="AG438" s="2">
        <f>INT(Working_Sales[[#This Row],[Total_Amount_Whitespace_Removed]])</f>
        <v>600</v>
      </c>
      <c r="AH43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600</v>
      </c>
    </row>
    <row r="439" spans="1:34" x14ac:dyDescent="0.35">
      <c r="A439" t="s">
        <v>980</v>
      </c>
      <c r="B439" s="6" t="str">
        <f>CLEAN(TRIM(Working_Sales[[#This Row],[Transaction ID]]))</f>
        <v>415</v>
      </c>
      <c r="C439" t="s">
        <v>981</v>
      </c>
      <c r="D439" s="2" t="str">
        <f>CLEAN(TRIM(Working_Sales[[#This Row],[Date]]))</f>
        <v>2023-01-27</v>
      </c>
      <c r="E43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44953</v>
      </c>
      <c r="F43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44953</v>
      </c>
      <c r="G43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44953</v>
      </c>
      <c r="H439" t="s">
        <v>2690</v>
      </c>
      <c r="I439" s="2" t="str">
        <f>CLEAN(TRIM(Working_Sales[[#This Row],[Customer ID]]))</f>
        <v>CUST021</v>
      </c>
      <c r="J43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3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CUST021</v>
      </c>
      <c r="L439" t="s">
        <v>34</v>
      </c>
      <c r="M439" s="4" t="str">
        <f>CLEAN(TRIM(Working_Sales[[#This Row],[Gender]]))</f>
        <v>Male</v>
      </c>
      <c r="N439" s="4" t="str" cm="1">
        <f t="array" ref="N439">_xlfn.SWITCH(
   Working_Sales[[#This Row],[Gender_Whitespace_Removed]],
   "m", "Male",
   "f", "Female",
   Working_Sales[[#This Row],[Gender_Whitespace_Removed]]
)</f>
        <v>Male</v>
      </c>
      <c r="O439" s="6" t="str">
        <f>PROPER(Working_Sales[[#This Row],[Gender_Abbreviation_Expanded]])</f>
        <v>Male</v>
      </c>
      <c r="P439">
        <v>53</v>
      </c>
      <c r="Q439" s="2" t="str">
        <f>CLEAN(TRIM(Working_Sales[[#This Row],[Age]]))</f>
        <v>53</v>
      </c>
      <c r="R439" s="6">
        <f>INT(SUBSTITUTE(Working_Sales[[#This Row],[Age_Whitespace_Removed]],".",","))</f>
        <v>53</v>
      </c>
      <c r="S439" t="s">
        <v>56</v>
      </c>
      <c r="T439" s="2" t="str">
        <f>CLEAN(TRIM(Working_Sales[[#This Row],[Product Category]]))</f>
        <v>Clothing</v>
      </c>
      <c r="U439" s="6" t="str">
        <f>PROPER(Working_Sales[[#This Row],[Product_Category_Whitespace_Removed]])</f>
        <v>Clothing</v>
      </c>
      <c r="V439" t="s">
        <v>37</v>
      </c>
      <c r="W439" s="2" t="str">
        <f>CLEAN(TRIM(Working_Sales[[#This Row],[Quantity]]))</f>
        <v>2</v>
      </c>
      <c r="X439" s="2">
        <f>INT(Working_Sales[[#This Row],[`]])</f>
        <v>2</v>
      </c>
      <c r="Y439" s="6">
        <f>IFERROR(
   Working_Sales[[#This Row],[Quantity_Converted_To_Integer]],
   Working_Sales[[#This Row],[Total_Amount_Whitespace_Removed]]/Working_Sales[[#This Row],[Price_Per_Unit_Decimal_Separator_Fixed]])</f>
        <v>2</v>
      </c>
      <c r="Z439" t="s">
        <v>70</v>
      </c>
      <c r="AA439" s="2" t="str">
        <f>CLEAN(TRIM(Working_Sales[[#This Row],[Price per Unit]]))</f>
        <v>30</v>
      </c>
      <c r="AB439" s="2">
        <f>INT(
   SUBSTITUTE(Working_Sales[[#This Row],[Price_Per_Unit_Whitespace_Removed]],
   "$",
   ""
   )
)</f>
        <v>30</v>
      </c>
      <c r="AC439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439" s="8">
        <f>IFERROR(
   Working_Sales[[#This Row],[Price_Per_Unit_Decimal_Separator_Fixed]],
   Working_Sales[[#This Row],[Total_Amount_Converted_To_Integer]]/Working_Sales[[#This Row],[Quantity_Converted_To_Integer]]
)</f>
        <v>30</v>
      </c>
      <c r="AE439" t="s">
        <v>71</v>
      </c>
      <c r="AF439" s="2" t="str">
        <f>CLEAN(TRIM(Working_Sales[[#This Row],[Total Amount]]))</f>
        <v>60</v>
      </c>
      <c r="AG439" s="2">
        <f>INT(Working_Sales[[#This Row],[Total_Amount_Whitespace_Removed]])</f>
        <v>60</v>
      </c>
      <c r="AH43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440" spans="1:34" x14ac:dyDescent="0.35">
      <c r="A440" t="s">
        <v>14</v>
      </c>
      <c r="B440" s="6" t="str">
        <f>CLEAN(TRIM(Working_Sales[[#This Row],[Transaction ID]]))</f>
        <v>4</v>
      </c>
      <c r="C440" t="s">
        <v>983</v>
      </c>
      <c r="D440" s="2" t="str">
        <f>CLEAN(TRIM(Working_Sales[[#This Row],[Date]]))</f>
        <v>2023-05-21</v>
      </c>
      <c r="E44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45067</v>
      </c>
      <c r="F44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45067</v>
      </c>
      <c r="G44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45067</v>
      </c>
      <c r="H440" t="s">
        <v>2691</v>
      </c>
      <c r="I440" s="2" t="str">
        <f>CLEAN(TRIM(Working_Sales[[#This Row],[Customer ID]]))</f>
        <v>CUST322</v>
      </c>
      <c r="J44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CUST322</v>
      </c>
      <c r="K44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CUST322</v>
      </c>
      <c r="L440" t="s">
        <v>34</v>
      </c>
      <c r="M440" s="4" t="str">
        <f>CLEAN(TRIM(Working_Sales[[#This Row],[Gender]]))</f>
        <v>Male</v>
      </c>
      <c r="N440" s="4" t="str" cm="1">
        <f t="array" ref="N440">_xlfn.SWITCH(
   Working_Sales[[#This Row],[Gender_Whitespace_Removed]],
   "m", "Male",
   "f", "Female",
   Working_Sales[[#This Row],[Gender_Whitespace_Removed]]
)</f>
        <v>Male</v>
      </c>
      <c r="O440" s="6" t="str">
        <f>PROPER(Working_Sales[[#This Row],[Gender_Abbreviation_Expanded]])</f>
        <v>Male</v>
      </c>
      <c r="P440">
        <v>37</v>
      </c>
      <c r="Q440" s="2" t="str">
        <f>CLEAN(TRIM(Working_Sales[[#This Row],[Age]]))</f>
        <v>37</v>
      </c>
      <c r="R440" s="6">
        <f>INT(SUBSTITUTE(Working_Sales[[#This Row],[Age_Whitespace_Removed]],".",","))</f>
        <v>37</v>
      </c>
      <c r="S440" t="s">
        <v>56</v>
      </c>
      <c r="T440" s="2" t="str">
        <f>CLEAN(TRIM(Working_Sales[[#This Row],[Product Category]]))</f>
        <v>Clothing</v>
      </c>
      <c r="U440" s="6" t="str">
        <f>PROPER(Working_Sales[[#This Row],[Product_Category_Whitespace_Removed]])</f>
        <v>Clothing</v>
      </c>
      <c r="V440" t="s">
        <v>22</v>
      </c>
      <c r="W440" s="2" t="str">
        <f>CLEAN(TRIM(Working_Sales[[#This Row],[Quantity]]))</f>
        <v>1</v>
      </c>
      <c r="X440" s="2">
        <f>INT(Working_Sales[[#This Row],[`]])</f>
        <v>1</v>
      </c>
      <c r="Y440" s="6">
        <f>IFERROR(
   Working_Sales[[#This Row],[Quantity_Converted_To_Integer]],
   Working_Sales[[#This Row],[Total_Amount_Whitespace_Removed]]/Working_Sales[[#This Row],[Price_Per_Unit_Decimal_Separator_Fixed]])</f>
        <v>1</v>
      </c>
      <c r="Z440" t="s">
        <v>57</v>
      </c>
      <c r="AA440" s="2" t="str">
        <f>CLEAN(TRIM(Working_Sales[[#This Row],[Price per Unit]]))</f>
        <v>500</v>
      </c>
      <c r="AB440" s="2">
        <f>INT(
   SUBSTITUTE(Working_Sales[[#This Row],[Price_Per_Unit_Whitespace_Removed]],
   "$",
   ""
   )
)</f>
        <v>500</v>
      </c>
      <c r="AC440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440" s="8">
        <f>IFERROR(
   Working_Sales[[#This Row],[Price_Per_Unit_Decimal_Separator_Fixed]],
   Working_Sales[[#This Row],[Total_Amount_Converted_To_Integer]]/Working_Sales[[#This Row],[Quantity_Converted_To_Integer]]
)</f>
        <v>500</v>
      </c>
      <c r="AE440" t="s">
        <v>57</v>
      </c>
      <c r="AF440" s="2" t="str">
        <f>CLEAN(TRIM(Working_Sales[[#This Row],[Total Amount]]))</f>
        <v>500</v>
      </c>
      <c r="AG440" s="2">
        <f>INT(Working_Sales[[#This Row],[Total_Amount_Whitespace_Removed]])</f>
        <v>500</v>
      </c>
      <c r="AH44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441" spans="1:34" x14ac:dyDescent="0.35">
      <c r="A441" t="s">
        <v>177</v>
      </c>
      <c r="B441" s="6" t="str">
        <f>CLEAN(TRIM(Working_Sales[[#This Row],[Transaction ID]]))</f>
        <v>59</v>
      </c>
      <c r="C441" t="s">
        <v>985</v>
      </c>
      <c r="D441" s="2" t="str">
        <f>CLEAN(TRIM(Working_Sales[[#This Row],[Date]]))</f>
        <v>2023-07-05</v>
      </c>
      <c r="E44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45112</v>
      </c>
      <c r="F44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45112</v>
      </c>
      <c r="G44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45112</v>
      </c>
      <c r="H441" t="s">
        <v>2692</v>
      </c>
      <c r="I441" s="2" t="str">
        <f>CLEAN(TRIM(Working_Sales[[#This Row],[Customer ID]]))</f>
        <v>CUST-323</v>
      </c>
      <c r="J44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4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CUST323</v>
      </c>
      <c r="L441" t="s">
        <v>34</v>
      </c>
      <c r="M441" s="4" t="str">
        <f>CLEAN(TRIM(Working_Sales[[#This Row],[Gender]]))</f>
        <v>Male</v>
      </c>
      <c r="N441" s="4" t="str" cm="1">
        <f t="array" ref="N441">_xlfn.SWITCH(
   Working_Sales[[#This Row],[Gender_Whitespace_Removed]],
   "m", "Male",
   "f", "Female",
   Working_Sales[[#This Row],[Gender_Whitespace_Removed]]
)</f>
        <v>Male</v>
      </c>
      <c r="O441" s="6" t="str">
        <f>PROPER(Working_Sales[[#This Row],[Gender_Abbreviation_Expanded]])</f>
        <v>Male</v>
      </c>
      <c r="P441">
        <v>62</v>
      </c>
      <c r="Q441" s="2" t="str">
        <f>CLEAN(TRIM(Working_Sales[[#This Row],[Age]]))</f>
        <v>62</v>
      </c>
      <c r="R441" s="6">
        <f>INT(SUBSTITUTE(Working_Sales[[#This Row],[Age_Whitespace_Removed]],".",","))</f>
        <v>62</v>
      </c>
      <c r="S441" t="s">
        <v>56</v>
      </c>
      <c r="T441" s="2" t="str">
        <f>CLEAN(TRIM(Working_Sales[[#This Row],[Product Category]]))</f>
        <v>Clothing</v>
      </c>
      <c r="U441" s="6" t="str">
        <f>PROPER(Working_Sales[[#This Row],[Product_Category_Whitespace_Removed]])</f>
        <v>Clothing</v>
      </c>
      <c r="V441" t="s">
        <v>22</v>
      </c>
      <c r="W441" s="2" t="str">
        <f>CLEAN(TRIM(Working_Sales[[#This Row],[Quantity]]))</f>
        <v>1</v>
      </c>
      <c r="X441" s="2">
        <f>INT(Working_Sales[[#This Row],[`]])</f>
        <v>1</v>
      </c>
      <c r="Y441" s="6">
        <f>IFERROR(
   Working_Sales[[#This Row],[Quantity_Converted_To_Integer]],
   Working_Sales[[#This Row],[Total_Amount_Whitespace_Removed]]/Working_Sales[[#This Row],[Price_Per_Unit_Decimal_Separator_Fixed]])</f>
        <v>1</v>
      </c>
      <c r="Z441" t="s">
        <v>153</v>
      </c>
      <c r="AA441" s="2" t="str">
        <f>CLEAN(TRIM(Working_Sales[[#This Row],[Price per Unit]]))</f>
        <v>50.00</v>
      </c>
      <c r="AB441" s="2" t="e">
        <f>INT(
   SUBSTITUTE(Working_Sales[[#This Row],[Price_Per_Unit_Whitespace_Removed]],
   "$",
   ""
   )
)</f>
        <v>#VALUE!</v>
      </c>
      <c r="AC441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441" s="8">
        <f>IFERROR(
   Working_Sales[[#This Row],[Price_Per_Unit_Decimal_Separator_Fixed]],
   Working_Sales[[#This Row],[Total_Amount_Converted_To_Integer]]/Working_Sales[[#This Row],[Quantity_Converted_To_Integer]]
)</f>
        <v>50</v>
      </c>
      <c r="AE441" t="s">
        <v>15</v>
      </c>
      <c r="AF441" s="2" t="str">
        <f>CLEAN(TRIM(Working_Sales[[#This Row],[Total Amount]]))</f>
        <v>50</v>
      </c>
      <c r="AG441" s="2">
        <f>INT(Working_Sales[[#This Row],[Total_Amount_Whitespace_Removed]])</f>
        <v>50</v>
      </c>
      <c r="AH44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442" spans="1:34" x14ac:dyDescent="0.35">
      <c r="A442" t="s">
        <v>987</v>
      </c>
      <c r="B442" s="6" t="str">
        <f>CLEAN(TRIM(Working_Sales[[#This Row],[Transaction ID]]))</f>
        <v>224</v>
      </c>
      <c r="C442" t="s">
        <v>988</v>
      </c>
      <c r="D442" s="2" t="str">
        <f>CLEAN(TRIM(Working_Sales[[#This Row],[Date]]))</f>
        <v>06/23/2023</v>
      </c>
      <c r="E442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44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45100</v>
      </c>
      <c r="G44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45100</v>
      </c>
      <c r="H442" t="s">
        <v>1746</v>
      </c>
      <c r="I442" s="2" t="str">
        <f>CLEAN(TRIM(Working_Sales[[#This Row],[Customer ID]]))</f>
        <v>CUST283</v>
      </c>
      <c r="J44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CUST283</v>
      </c>
      <c r="K44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CUST283</v>
      </c>
      <c r="L442" t="s">
        <v>140</v>
      </c>
      <c r="M442" s="4" t="str">
        <f>CLEAN(TRIM(Working_Sales[[#This Row],[Gender]]))</f>
        <v>FEMALE</v>
      </c>
      <c r="N442" s="4" t="str" cm="1">
        <f t="array" ref="N442">_xlfn.SWITCH(
   Working_Sales[[#This Row],[Gender_Whitespace_Removed]],
   "m", "Male",
   "f", "Female",
   Working_Sales[[#This Row],[Gender_Whitespace_Removed]]
)</f>
        <v>FEMALE</v>
      </c>
      <c r="O442" s="6" t="str">
        <f>PROPER(Working_Sales[[#This Row],[Gender_Abbreviation_Expanded]])</f>
        <v>Female</v>
      </c>
      <c r="P442">
        <v>25</v>
      </c>
      <c r="Q442" s="2" t="str">
        <f>CLEAN(TRIM(Working_Sales[[#This Row],[Age]]))</f>
        <v>25</v>
      </c>
      <c r="R442" s="6">
        <f>INT(SUBSTITUTE(Working_Sales[[#This Row],[Age_Whitespace_Removed]],".",","))</f>
        <v>25</v>
      </c>
      <c r="S442" t="s">
        <v>400</v>
      </c>
      <c r="T442" s="2" t="str">
        <f>CLEAN(TRIM(Working_Sales[[#This Row],[Product Category]]))</f>
        <v>Clothing</v>
      </c>
      <c r="U442" s="6" t="str">
        <f>PROPER(Working_Sales[[#This Row],[Product_Category_Whitespace_Removed]])</f>
        <v>Clothing</v>
      </c>
      <c r="V442" t="s">
        <v>22</v>
      </c>
      <c r="W442" s="2" t="str">
        <f>CLEAN(TRIM(Working_Sales[[#This Row],[Quantity]]))</f>
        <v>1</v>
      </c>
      <c r="X442" s="2">
        <f>INT(Working_Sales[[#This Row],[`]])</f>
        <v>1</v>
      </c>
      <c r="Y442" s="6">
        <f>IFERROR(
   Working_Sales[[#This Row],[Quantity_Converted_To_Integer]],
   Working_Sales[[#This Row],[Total_Amount_Whitespace_Removed]]/Working_Sales[[#This Row],[Price_Per_Unit_Decimal_Separator_Fixed]])</f>
        <v>1</v>
      </c>
      <c r="Z442" t="s">
        <v>15</v>
      </c>
      <c r="AA442" s="2" t="str">
        <f>CLEAN(TRIM(Working_Sales[[#This Row],[Price per Unit]]))</f>
        <v>50</v>
      </c>
      <c r="AB442" s="2">
        <f>INT(
   SUBSTITUTE(Working_Sales[[#This Row],[Price_Per_Unit_Whitespace_Removed]],
   "$",
   ""
   )
)</f>
        <v>50</v>
      </c>
      <c r="AC442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442" s="8">
        <f>IFERROR(
   Working_Sales[[#This Row],[Price_Per_Unit_Decimal_Separator_Fixed]],
   Working_Sales[[#This Row],[Total_Amount_Converted_To_Integer]]/Working_Sales[[#This Row],[Quantity_Converted_To_Integer]]
)</f>
        <v>50</v>
      </c>
      <c r="AE442" t="s">
        <v>15</v>
      </c>
      <c r="AF442" s="2" t="str">
        <f>CLEAN(TRIM(Working_Sales[[#This Row],[Total Amount]]))</f>
        <v>50</v>
      </c>
      <c r="AG442" s="2">
        <f>INT(Working_Sales[[#This Row],[Total_Amount_Whitespace_Removed]])</f>
        <v>50</v>
      </c>
      <c r="AH44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443" spans="1:34" x14ac:dyDescent="0.35">
      <c r="A443" t="s">
        <v>990</v>
      </c>
      <c r="B443" s="6" t="str">
        <f>CLEAN(TRIM(Working_Sales[[#This Row],[Transaction ID]]))</f>
        <v>625</v>
      </c>
      <c r="C443" t="s">
        <v>2087</v>
      </c>
      <c r="D443" s="2" t="str">
        <f>CLEAN(TRIM(Working_Sales[[#This Row],[Date]]))</f>
        <v>08-Dec-2023</v>
      </c>
      <c r="E44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45268</v>
      </c>
      <c r="F44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45268</v>
      </c>
      <c r="G44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45268</v>
      </c>
      <c r="H443" t="s">
        <v>2613</v>
      </c>
      <c r="I443" s="2" t="str">
        <f>CLEAN(TRIM(Working_Sales[[#This Row],[Customer ID]]))</f>
        <v>CUST108</v>
      </c>
      <c r="J44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CUST108</v>
      </c>
      <c r="K44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CUST108</v>
      </c>
      <c r="L443" t="s">
        <v>34</v>
      </c>
      <c r="M443" s="4" t="str">
        <f>CLEAN(TRIM(Working_Sales[[#This Row],[Gender]]))</f>
        <v>Male</v>
      </c>
      <c r="N443" s="4" t="str" cm="1">
        <f t="array" ref="N443">_xlfn.SWITCH(
   Working_Sales[[#This Row],[Gender_Whitespace_Removed]],
   "m", "Male",
   "f", "Female",
   Working_Sales[[#This Row],[Gender_Whitespace_Removed]]
)</f>
        <v>Male</v>
      </c>
      <c r="O443" s="6" t="str">
        <f>PROPER(Working_Sales[[#This Row],[Gender_Abbreviation_Expanded]])</f>
        <v>Male</v>
      </c>
      <c r="P443">
        <v>31</v>
      </c>
      <c r="Q443" s="2" t="str">
        <f>CLEAN(TRIM(Working_Sales[[#This Row],[Age]]))</f>
        <v>31</v>
      </c>
      <c r="R443" s="6">
        <f>INT(SUBSTITUTE(Working_Sales[[#This Row],[Age_Whitespace_Removed]],".",","))</f>
        <v>31</v>
      </c>
      <c r="S443" t="s">
        <v>56</v>
      </c>
      <c r="T443" s="2" t="str">
        <f>CLEAN(TRIM(Working_Sales[[#This Row],[Product Category]]))</f>
        <v>Clothing</v>
      </c>
      <c r="U443" s="6" t="str">
        <f>PROPER(Working_Sales[[#This Row],[Product_Category_Whitespace_Removed]])</f>
        <v>Clothing</v>
      </c>
      <c r="V443" t="s">
        <v>22</v>
      </c>
      <c r="W443" s="2" t="str">
        <f>CLEAN(TRIM(Working_Sales[[#This Row],[Quantity]]))</f>
        <v>1</v>
      </c>
      <c r="X443" s="2">
        <f>INT(Working_Sales[[#This Row],[`]])</f>
        <v>1</v>
      </c>
      <c r="Y443" s="6">
        <f>IFERROR(
   Working_Sales[[#This Row],[Quantity_Converted_To_Integer]],
   Working_Sales[[#This Row],[Total_Amount_Whitespace_Removed]]/Working_Sales[[#This Row],[Price_Per_Unit_Decimal_Separator_Fixed]])</f>
        <v>1</v>
      </c>
      <c r="Z443" t="s">
        <v>23</v>
      </c>
      <c r="AA443" s="2" t="str">
        <f>CLEAN(TRIM(Working_Sales[[#This Row],[Price per Unit]]))</f>
        <v>300</v>
      </c>
      <c r="AB443" s="2">
        <f>INT(
   SUBSTITUTE(Working_Sales[[#This Row],[Price_Per_Unit_Whitespace_Removed]],
   "$",
   ""
   )
)</f>
        <v>300</v>
      </c>
      <c r="AC443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443" s="8">
        <f>IFERROR(
   Working_Sales[[#This Row],[Price_Per_Unit_Decimal_Separator_Fixed]],
   Working_Sales[[#This Row],[Total_Amount_Converted_To_Integer]]/Working_Sales[[#This Row],[Quantity_Converted_To_Integer]]
)</f>
        <v>300</v>
      </c>
      <c r="AE443" t="s">
        <v>23</v>
      </c>
      <c r="AF443" s="2" t="str">
        <f>CLEAN(TRIM(Working_Sales[[#This Row],[Total Amount]]))</f>
        <v>300</v>
      </c>
      <c r="AG443" s="2">
        <f>INT(Working_Sales[[#This Row],[Total_Amount_Whitespace_Removed]])</f>
        <v>300</v>
      </c>
      <c r="AH44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444" spans="1:34" x14ac:dyDescent="0.35">
      <c r="A444" t="s">
        <v>991</v>
      </c>
      <c r="B444" s="6" t="str">
        <f>CLEAN(TRIM(Working_Sales[[#This Row],[Transaction ID]]))</f>
        <v>102</v>
      </c>
      <c r="C444" t="s">
        <v>992</v>
      </c>
      <c r="D444" s="2" t="str">
        <f>CLEAN(TRIM(Working_Sales[[#This Row],[Date]]))</f>
        <v>04/28/2023</v>
      </c>
      <c r="E444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44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45044</v>
      </c>
      <c r="G44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45044</v>
      </c>
      <c r="H444" t="s">
        <v>831</v>
      </c>
      <c r="I444" s="2" t="str">
        <f>CLEAN(TRIM(Working_Sales[[#This Row],[Customer ID]]))</f>
        <v>CUST324</v>
      </c>
      <c r="J44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CUST324</v>
      </c>
      <c r="K44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CUST324</v>
      </c>
      <c r="L444" t="s">
        <v>26</v>
      </c>
      <c r="M444" s="4" t="str">
        <f>CLEAN(TRIM(Working_Sales[[#This Row],[Gender]]))</f>
        <v>Female</v>
      </c>
      <c r="N444" s="4" t="str" cm="1">
        <f t="array" ref="N444">_xlfn.SWITCH(
   Working_Sales[[#This Row],[Gender_Whitespace_Removed]],
   "m", "Male",
   "f", "Female",
   Working_Sales[[#This Row],[Gender_Whitespace_Removed]]
)</f>
        <v>Female</v>
      </c>
      <c r="O444" s="6" t="str">
        <f>PROPER(Working_Sales[[#This Row],[Gender_Abbreviation_Expanded]])</f>
        <v>Female</v>
      </c>
      <c r="P444">
        <v>47</v>
      </c>
      <c r="Q444" s="2" t="str">
        <f>CLEAN(TRIM(Working_Sales[[#This Row],[Age]]))</f>
        <v>47</v>
      </c>
      <c r="R444" s="6">
        <f>INT(SUBSTITUTE(Working_Sales[[#This Row],[Age_Whitespace_Removed]],".",","))</f>
        <v>47</v>
      </c>
      <c r="S444" t="s">
        <v>434</v>
      </c>
      <c r="T444" s="2" t="str">
        <f>CLEAN(TRIM(Working_Sales[[#This Row],[Product Category]]))</f>
        <v>Beauty</v>
      </c>
      <c r="U444" s="6" t="str">
        <f>PROPER(Working_Sales[[#This Row],[Product_Category_Whitespace_Removed]])</f>
        <v>Beauty</v>
      </c>
      <c r="V444" t="s">
        <v>37</v>
      </c>
      <c r="W444" s="2" t="str">
        <f>CLEAN(TRIM(Working_Sales[[#This Row],[Quantity]]))</f>
        <v>2</v>
      </c>
      <c r="X444" s="2">
        <f>INT(Working_Sales[[#This Row],[`]])</f>
        <v>2</v>
      </c>
      <c r="Y444" s="6">
        <f>IFERROR(
   Working_Sales[[#This Row],[Quantity_Converted_To_Integer]],
   Working_Sales[[#This Row],[Total_Amount_Whitespace_Removed]]/Working_Sales[[#This Row],[Price_Per_Unit_Decimal_Separator_Fixed]])</f>
        <v>2</v>
      </c>
      <c r="Z444" t="s">
        <v>30</v>
      </c>
      <c r="AA444" s="2" t="str">
        <f>CLEAN(TRIM(Working_Sales[[#This Row],[Price per Unit]]))</f>
        <v>25</v>
      </c>
      <c r="AB444" s="2">
        <f>INT(
   SUBSTITUTE(Working_Sales[[#This Row],[Price_Per_Unit_Whitespace_Removed]],
   "$",
   ""
   )
)</f>
        <v>25</v>
      </c>
      <c r="AC444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444" s="8">
        <f>IFERROR(
   Working_Sales[[#This Row],[Price_Per_Unit_Decimal_Separator_Fixed]],
   Working_Sales[[#This Row],[Total_Amount_Converted_To_Integer]]/Working_Sales[[#This Row],[Quantity_Converted_To_Integer]]
)</f>
        <v>25</v>
      </c>
      <c r="AE444" t="s">
        <v>15</v>
      </c>
      <c r="AF444" s="2" t="str">
        <f>CLEAN(TRIM(Working_Sales[[#This Row],[Total Amount]]))</f>
        <v>50</v>
      </c>
      <c r="AG444" s="2">
        <f>INT(Working_Sales[[#This Row],[Total_Amount_Whitespace_Removed]])</f>
        <v>50</v>
      </c>
      <c r="AH44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445" spans="1:34" x14ac:dyDescent="0.35">
      <c r="A445" t="s">
        <v>994</v>
      </c>
      <c r="B445" s="6" t="str">
        <f>CLEAN(TRIM(Working_Sales[[#This Row],[Transaction ID]]))</f>
        <v>729</v>
      </c>
      <c r="C445" t="s">
        <v>995</v>
      </c>
      <c r="D445" s="2" t="str">
        <f>CLEAN(TRIM(Working_Sales[[#This Row],[Date]]))</f>
        <v>2023-05-23</v>
      </c>
      <c r="E44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45069</v>
      </c>
      <c r="F44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45069</v>
      </c>
      <c r="G44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45069</v>
      </c>
      <c r="H445" t="s">
        <v>2197</v>
      </c>
      <c r="I445" s="2" t="str">
        <f>CLEAN(TRIM(Working_Sales[[#This Row],[Customer ID]]))</f>
        <v>CUST325</v>
      </c>
      <c r="J44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CUST325</v>
      </c>
      <c r="K44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CUST325</v>
      </c>
      <c r="L445" t="s">
        <v>268</v>
      </c>
      <c r="M445" s="4" t="str">
        <f>CLEAN(TRIM(Working_Sales[[#This Row],[Gender]]))</f>
        <v>M</v>
      </c>
      <c r="N445" s="4" t="str" cm="1">
        <f t="array" ref="N445">_xlfn.SWITCH(
   Working_Sales[[#This Row],[Gender_Whitespace_Removed]],
   "m", "Male",
   "f", "Female",
   Working_Sales[[#This Row],[Gender_Whitespace_Removed]]
)</f>
        <v>Male</v>
      </c>
      <c r="O445" s="6" t="str">
        <f>PROPER(Working_Sales[[#This Row],[Gender_Abbreviation_Expanded]])</f>
        <v>Male</v>
      </c>
      <c r="P445">
        <v>29</v>
      </c>
      <c r="Q445" s="2" t="str">
        <f>CLEAN(TRIM(Working_Sales[[#This Row],[Age]]))</f>
        <v>29</v>
      </c>
      <c r="R445" s="6">
        <f>INT(SUBSTITUTE(Working_Sales[[#This Row],[Age_Whitespace_Removed]],".",","))</f>
        <v>29</v>
      </c>
      <c r="S445" t="s">
        <v>56</v>
      </c>
      <c r="T445" s="2" t="str">
        <f>CLEAN(TRIM(Working_Sales[[#This Row],[Product Category]]))</f>
        <v>Clothing</v>
      </c>
      <c r="U445" s="6" t="str">
        <f>PROPER(Working_Sales[[#This Row],[Product_Category_Whitespace_Removed]])</f>
        <v>Clothing</v>
      </c>
      <c r="V445" t="s">
        <v>14</v>
      </c>
      <c r="W445" s="2" t="str">
        <f>CLEAN(TRIM(Working_Sales[[#This Row],[Quantity]]))</f>
        <v>4</v>
      </c>
      <c r="X445" s="2">
        <f>INT(Working_Sales[[#This Row],[`]])</f>
        <v>4</v>
      </c>
      <c r="Y445" s="6">
        <f>IFERROR(
   Working_Sales[[#This Row],[Quantity_Converted_To_Integer]],
   Working_Sales[[#This Row],[Total_Amount_Whitespace_Removed]]/Working_Sales[[#This Row],[Price_Per_Unit_Decimal_Separator_Fixed]])</f>
        <v>4</v>
      </c>
      <c r="Z445" t="s">
        <v>186</v>
      </c>
      <c r="AA445" s="2" t="str">
        <f>CLEAN(TRIM(Working_Sales[[#This Row],[Price per Unit]]))</f>
        <v>$300</v>
      </c>
      <c r="AB445" s="2">
        <f>INT(
   SUBSTITUTE(Working_Sales[[#This Row],[Price_Per_Unit_Whitespace_Removed]],
   "$",
   ""
   )
)</f>
        <v>300</v>
      </c>
      <c r="AC445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445" s="8">
        <f>IFERROR(
   Working_Sales[[#This Row],[Price_Per_Unit_Decimal_Separator_Fixed]],
   Working_Sales[[#This Row],[Total_Amount_Converted_To_Integer]]/Working_Sales[[#This Row],[Quantity_Converted_To_Integer]]
)</f>
        <v>300</v>
      </c>
      <c r="AE445" t="s">
        <v>79</v>
      </c>
      <c r="AF445" s="2" t="str">
        <f>CLEAN(TRIM(Working_Sales[[#This Row],[Total Amount]]))</f>
        <v>1200</v>
      </c>
      <c r="AG445" s="2">
        <f>INT(Working_Sales[[#This Row],[Total_Amount_Whitespace_Removed]])</f>
        <v>1200</v>
      </c>
      <c r="AH44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446" spans="1:34" x14ac:dyDescent="0.35">
      <c r="A446" t="s">
        <v>996</v>
      </c>
      <c r="B446" s="6" t="str">
        <f>CLEAN(TRIM(Working_Sales[[#This Row],[Transaction ID]]))</f>
        <v>222</v>
      </c>
      <c r="C446" t="s">
        <v>997</v>
      </c>
      <c r="D446" s="2" t="str">
        <f>CLEAN(TRIM(Working_Sales[[#This Row],[Date]]))</f>
        <v>26/04/2023</v>
      </c>
      <c r="E44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45042</v>
      </c>
      <c r="F44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45042</v>
      </c>
      <c r="G44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45042</v>
      </c>
      <c r="H446" t="s">
        <v>1063</v>
      </c>
      <c r="I446" s="2" t="str">
        <f>CLEAN(TRIM(Working_Sales[[#This Row],[Customer ID]]))</f>
        <v>CUST308</v>
      </c>
      <c r="J44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CUST308</v>
      </c>
      <c r="K44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CUST308</v>
      </c>
      <c r="L446" t="s">
        <v>34</v>
      </c>
      <c r="M446" s="4" t="str">
        <f>CLEAN(TRIM(Working_Sales[[#This Row],[Gender]]))</f>
        <v>Male</v>
      </c>
      <c r="N446" s="4" t="str" cm="1">
        <f t="array" ref="N446">_xlfn.SWITCH(
   Working_Sales[[#This Row],[Gender_Whitespace_Removed]],
   "m", "Male",
   "f", "Female",
   Working_Sales[[#This Row],[Gender_Whitespace_Removed]]
)</f>
        <v>Male</v>
      </c>
      <c r="O446" s="6" t="str">
        <f>PROPER(Working_Sales[[#This Row],[Gender_Abbreviation_Expanded]])</f>
        <v>Male</v>
      </c>
      <c r="P446">
        <v>51</v>
      </c>
      <c r="Q446" s="2" t="str">
        <f>CLEAN(TRIM(Working_Sales[[#This Row],[Age]]))</f>
        <v>51</v>
      </c>
      <c r="R446" s="6">
        <f>INT(SUBSTITUTE(Working_Sales[[#This Row],[Age_Whitespace_Removed]],".",","))</f>
        <v>51</v>
      </c>
      <c r="S446" t="s">
        <v>56</v>
      </c>
      <c r="T446" s="2" t="str">
        <f>CLEAN(TRIM(Working_Sales[[#This Row],[Product Category]]))</f>
        <v>Clothing</v>
      </c>
      <c r="U446" s="6" t="str">
        <f>PROPER(Working_Sales[[#This Row],[Product_Category_Whitespace_Removed]])</f>
        <v>Clothing</v>
      </c>
      <c r="V446" t="s">
        <v>14</v>
      </c>
      <c r="W446" s="2" t="str">
        <f>CLEAN(TRIM(Working_Sales[[#This Row],[Quantity]]))</f>
        <v>4</v>
      </c>
      <c r="X446" s="2">
        <f>INT(Working_Sales[[#This Row],[`]])</f>
        <v>4</v>
      </c>
      <c r="Y446" s="6">
        <f>IFERROR(
   Working_Sales[[#This Row],[Quantity_Converted_To_Integer]],
   Working_Sales[[#This Row],[Total_Amount_Whitespace_Removed]]/Working_Sales[[#This Row],[Price_Per_Unit_Decimal_Separator_Fixed]])</f>
        <v>4</v>
      </c>
      <c r="Z446" t="s">
        <v>70</v>
      </c>
      <c r="AA446" s="2" t="str">
        <f>CLEAN(TRIM(Working_Sales[[#This Row],[Price per Unit]]))</f>
        <v>30</v>
      </c>
      <c r="AB446" s="2">
        <f>INT(
   SUBSTITUTE(Working_Sales[[#This Row],[Price_Per_Unit_Whitespace_Removed]],
   "$",
   ""
   )
)</f>
        <v>30</v>
      </c>
      <c r="AC446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446" s="8">
        <f>IFERROR(
   Working_Sales[[#This Row],[Price_Per_Unit_Decimal_Separator_Fixed]],
   Working_Sales[[#This Row],[Total_Amount_Converted_To_Integer]]/Working_Sales[[#This Row],[Quantity_Converted_To_Integer]]
)</f>
        <v>30</v>
      </c>
      <c r="AE446" t="s">
        <v>44</v>
      </c>
      <c r="AF446" s="2" t="str">
        <f>CLEAN(TRIM(Working_Sales[[#This Row],[Total Amount]]))</f>
        <v>120</v>
      </c>
      <c r="AG446" s="2">
        <f>INT(Working_Sales[[#This Row],[Total_Amount_Whitespace_Removed]])</f>
        <v>120</v>
      </c>
      <c r="AH44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447" spans="1:34" x14ac:dyDescent="0.35">
      <c r="A447" t="s">
        <v>998</v>
      </c>
      <c r="B447" s="6" t="str">
        <f>CLEAN(TRIM(Working_Sales[[#This Row],[Transaction ID]]))</f>
        <v>808</v>
      </c>
      <c r="C447" t="s">
        <v>999</v>
      </c>
      <c r="D447" s="2" t="str">
        <f>CLEAN(TRIM(Working_Sales[[#This Row],[Date]]))</f>
        <v>2023-04-01</v>
      </c>
      <c r="E44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45017</v>
      </c>
      <c r="F44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45017</v>
      </c>
      <c r="G44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45017</v>
      </c>
      <c r="H447" t="s">
        <v>2693</v>
      </c>
      <c r="I447" s="2" t="str">
        <f>CLEAN(TRIM(Working_Sales[[#This Row],[Customer ID]]))</f>
        <v>CUST326</v>
      </c>
      <c r="J44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CUST326</v>
      </c>
      <c r="K44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CUST326</v>
      </c>
      <c r="L447" t="s">
        <v>34</v>
      </c>
      <c r="M447" s="4" t="str">
        <f>CLEAN(TRIM(Working_Sales[[#This Row],[Gender]]))</f>
        <v>Male</v>
      </c>
      <c r="N447" s="4" t="str" cm="1">
        <f t="array" ref="N447">_xlfn.SWITCH(
   Working_Sales[[#This Row],[Gender_Whitespace_Removed]],
   "m", "Male",
   "f", "Female",
   Working_Sales[[#This Row],[Gender_Whitespace_Removed]]
)</f>
        <v>Male</v>
      </c>
      <c r="O447" s="6" t="str">
        <f>PROPER(Working_Sales[[#This Row],[Gender_Abbreviation_Expanded]])</f>
        <v>Male</v>
      </c>
      <c r="P447">
        <v>33</v>
      </c>
      <c r="Q447" s="2" t="str">
        <f>CLEAN(TRIM(Working_Sales[[#This Row],[Age]]))</f>
        <v>33</v>
      </c>
      <c r="R447" s="6">
        <f>INT(SUBSTITUTE(Working_Sales[[#This Row],[Age_Whitespace_Removed]],".",","))</f>
        <v>33</v>
      </c>
      <c r="S447" t="s">
        <v>36</v>
      </c>
      <c r="T447" s="2" t="str">
        <f>CLEAN(TRIM(Working_Sales[[#This Row],[Product Category]]))</f>
        <v>Beauty</v>
      </c>
      <c r="U447" s="6" t="str">
        <f>PROPER(Working_Sales[[#This Row],[Product_Category_Whitespace_Removed]])</f>
        <v>Beauty</v>
      </c>
      <c r="V447" t="s">
        <v>14</v>
      </c>
      <c r="W447" s="2" t="str">
        <f>CLEAN(TRIM(Working_Sales[[#This Row],[Quantity]]))</f>
        <v>4</v>
      </c>
      <c r="X447" s="2">
        <f>INT(Working_Sales[[#This Row],[`]])</f>
        <v>4</v>
      </c>
      <c r="Y447" s="6">
        <f>IFERROR(
   Working_Sales[[#This Row],[Quantity_Converted_To_Integer]],
   Working_Sales[[#This Row],[Total_Amount_Whitespace_Removed]]/Working_Sales[[#This Row],[Price_Per_Unit_Decimal_Separator_Fixed]])</f>
        <v>4</v>
      </c>
      <c r="Z447" t="s">
        <v>57</v>
      </c>
      <c r="AA447" s="2" t="str">
        <f>CLEAN(TRIM(Working_Sales[[#This Row],[Price per Unit]]))</f>
        <v>500</v>
      </c>
      <c r="AB447" s="2">
        <f>INT(
   SUBSTITUTE(Working_Sales[[#This Row],[Price_Per_Unit_Whitespace_Removed]],
   "$",
   ""
   )
)</f>
        <v>500</v>
      </c>
      <c r="AC447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447" s="8">
        <f>IFERROR(
   Working_Sales[[#This Row],[Price_Per_Unit_Decimal_Separator_Fixed]],
   Working_Sales[[#This Row],[Total_Amount_Converted_To_Integer]]/Working_Sales[[#This Row],[Quantity_Converted_To_Integer]]
)</f>
        <v>500</v>
      </c>
      <c r="AE447" t="s">
        <v>232</v>
      </c>
      <c r="AF447" s="2" t="str">
        <f>CLEAN(TRIM(Working_Sales[[#This Row],[Total Amount]]))</f>
        <v>2000</v>
      </c>
      <c r="AG447" s="2">
        <f>INT(Working_Sales[[#This Row],[Total_Amount_Whitespace_Removed]])</f>
        <v>2000</v>
      </c>
      <c r="AH44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448" spans="1:34" x14ac:dyDescent="0.35">
      <c r="A448" t="s">
        <v>1000</v>
      </c>
      <c r="B448" s="6" t="str">
        <f>CLEAN(TRIM(Working_Sales[[#This Row],[Transaction ID]]))</f>
        <v>5</v>
      </c>
      <c r="C448" t="s">
        <v>1095</v>
      </c>
      <c r="D448" s="2" t="str">
        <f>CLEAN(TRIM(Working_Sales[[#This Row],[Date]]))</f>
        <v>06-May-2023</v>
      </c>
      <c r="E44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45052</v>
      </c>
      <c r="F44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45052</v>
      </c>
      <c r="G44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45052</v>
      </c>
      <c r="H448" t="s">
        <v>2694</v>
      </c>
      <c r="I448" s="2" t="str">
        <f>CLEAN(TRIM(Working_Sales[[#This Row],[Customer ID]]))</f>
        <v>CUST327</v>
      </c>
      <c r="J44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CUST327</v>
      </c>
      <c r="K44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CUST327</v>
      </c>
      <c r="L448" t="s">
        <v>34</v>
      </c>
      <c r="M448" s="4" t="str">
        <f>CLEAN(TRIM(Working_Sales[[#This Row],[Gender]]))</f>
        <v>Male</v>
      </c>
      <c r="N448" s="4" t="str" cm="1">
        <f t="array" ref="N448">_xlfn.SWITCH(
   Working_Sales[[#This Row],[Gender_Whitespace_Removed]],
   "m", "Male",
   "f", "Female",
   Working_Sales[[#This Row],[Gender_Whitespace_Removed]]
)</f>
        <v>Male</v>
      </c>
      <c r="O448" s="6" t="str">
        <f>PROPER(Working_Sales[[#This Row],[Gender_Abbreviation_Expanded]])</f>
        <v>Male</v>
      </c>
      <c r="P448">
        <v>30</v>
      </c>
      <c r="Q448" s="2" t="str">
        <f>CLEAN(TRIM(Working_Sales[[#This Row],[Age]]))</f>
        <v>30</v>
      </c>
      <c r="R448" s="6">
        <f>INT(SUBSTITUTE(Working_Sales[[#This Row],[Age_Whitespace_Removed]],".",","))</f>
        <v>30</v>
      </c>
      <c r="S448" t="s">
        <v>36</v>
      </c>
      <c r="T448" s="2" t="str">
        <f>CLEAN(TRIM(Working_Sales[[#This Row],[Product Category]]))</f>
        <v>Beauty</v>
      </c>
      <c r="U448" s="6" t="str">
        <f>PROPER(Working_Sales[[#This Row],[Product_Category_Whitespace_Removed]])</f>
        <v>Beauty</v>
      </c>
      <c r="V448" t="s">
        <v>37</v>
      </c>
      <c r="W448" s="2" t="str">
        <f>CLEAN(TRIM(Working_Sales[[#This Row],[Quantity]]))</f>
        <v>2</v>
      </c>
      <c r="X448" s="2">
        <f>INT(Working_Sales[[#This Row],[`]])</f>
        <v>2</v>
      </c>
      <c r="Y448" s="6">
        <f>IFERROR(
   Working_Sales[[#This Row],[Quantity_Converted_To_Integer]],
   Working_Sales[[#This Row],[Total_Amount_Whitespace_Removed]]/Working_Sales[[#This Row],[Price_Per_Unit_Decimal_Separator_Fixed]])</f>
        <v>2</v>
      </c>
      <c r="Z448" t="s">
        <v>15</v>
      </c>
      <c r="AA448" s="2" t="str">
        <f>CLEAN(TRIM(Working_Sales[[#This Row],[Price per Unit]]))</f>
        <v>50</v>
      </c>
      <c r="AB448" s="2">
        <f>INT(
   SUBSTITUTE(Working_Sales[[#This Row],[Price_Per_Unit_Whitespace_Removed]],
   "$",
   ""
   )
)</f>
        <v>50</v>
      </c>
      <c r="AC448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448" s="8">
        <f>IFERROR(
   Working_Sales[[#This Row],[Price_Per_Unit_Decimal_Separator_Fixed]],
   Working_Sales[[#This Row],[Total_Amount_Converted_To_Integer]]/Working_Sales[[#This Row],[Quantity_Converted_To_Integer]]
)</f>
        <v>50</v>
      </c>
      <c r="AE448" t="s">
        <v>38</v>
      </c>
      <c r="AF448" s="2" t="str">
        <f>CLEAN(TRIM(Working_Sales[[#This Row],[Total Amount]]))</f>
        <v>100</v>
      </c>
      <c r="AG448" s="2">
        <f>INT(Working_Sales[[#This Row],[Total_Amount_Whitespace_Removed]])</f>
        <v>100</v>
      </c>
      <c r="AH44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449" spans="1:34" x14ac:dyDescent="0.35">
      <c r="A449" t="s">
        <v>55</v>
      </c>
      <c r="B449" s="6" t="str">
        <f>CLEAN(TRIM(Working_Sales[[#This Row],[Transaction ID]]))</f>
        <v>53</v>
      </c>
      <c r="C449" t="s">
        <v>1002</v>
      </c>
      <c r="D449" s="2" t="str">
        <f>CLEAN(TRIM(Working_Sales[[#This Row],[Date]]))</f>
        <v>2023-07-13</v>
      </c>
      <c r="E44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45120</v>
      </c>
      <c r="F44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45120</v>
      </c>
      <c r="G44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45120</v>
      </c>
      <c r="H449" t="s">
        <v>2695</v>
      </c>
      <c r="I449" s="2" t="str">
        <f>CLEAN(TRIM(Working_Sales[[#This Row],[Customer ID]]))</f>
        <v>CUST328</v>
      </c>
      <c r="J44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CUST328</v>
      </c>
      <c r="K44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CUST328</v>
      </c>
      <c r="L449" t="s">
        <v>20</v>
      </c>
      <c r="M449" s="4" t="str">
        <f>CLEAN(TRIM(Working_Sales[[#This Row],[Gender]]))</f>
        <v>male</v>
      </c>
      <c r="N449" s="4" t="str" cm="1">
        <f t="array" ref="N449">_xlfn.SWITCH(
   Working_Sales[[#This Row],[Gender_Whitespace_Removed]],
   "m", "Male",
   "f", "Female",
   Working_Sales[[#This Row],[Gender_Whitespace_Removed]]
)</f>
        <v>male</v>
      </c>
      <c r="O449" s="6" t="str">
        <f>PROPER(Working_Sales[[#This Row],[Gender_Abbreviation_Expanded]])</f>
        <v>Male</v>
      </c>
      <c r="P449">
        <v>34</v>
      </c>
      <c r="Q449" s="2" t="str">
        <f>CLEAN(TRIM(Working_Sales[[#This Row],[Age]]))</f>
        <v>34</v>
      </c>
      <c r="R449" s="6">
        <f>INT(SUBSTITUTE(Working_Sales[[#This Row],[Age_Whitespace_Removed]],".",","))</f>
        <v>34</v>
      </c>
      <c r="S449" t="s">
        <v>48</v>
      </c>
      <c r="T449" s="2" t="str">
        <f>CLEAN(TRIM(Working_Sales[[#This Row],[Product Category]]))</f>
        <v>electronics</v>
      </c>
      <c r="U449" s="6" t="str">
        <f>PROPER(Working_Sales[[#This Row],[Product_Category_Whitespace_Removed]])</f>
        <v>Electronics</v>
      </c>
      <c r="V449" t="s">
        <v>37</v>
      </c>
      <c r="W449" s="2" t="str">
        <f>CLEAN(TRIM(Working_Sales[[#This Row],[Quantity]]))</f>
        <v>2</v>
      </c>
      <c r="X449" s="2">
        <f>INT(Working_Sales[[#This Row],[`]])</f>
        <v>2</v>
      </c>
      <c r="Y449" s="6">
        <f>IFERROR(
   Working_Sales[[#This Row],[Quantity_Converted_To_Integer]],
   Working_Sales[[#This Row],[Total_Amount_Whitespace_Removed]]/Working_Sales[[#This Row],[Price_Per_Unit_Decimal_Separator_Fixed]])</f>
        <v>2</v>
      </c>
      <c r="Z449" t="s">
        <v>96</v>
      </c>
      <c r="AA449" s="2" t="str">
        <f>CLEAN(TRIM(Working_Sales[[#This Row],[Price per Unit]]))</f>
        <v>$50</v>
      </c>
      <c r="AB449" s="2">
        <f>INT(
   SUBSTITUTE(Working_Sales[[#This Row],[Price_Per_Unit_Whitespace_Removed]],
   "$",
   ""
   )
)</f>
        <v>50</v>
      </c>
      <c r="AC449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449" s="8">
        <f>IFERROR(
   Working_Sales[[#This Row],[Price_Per_Unit_Decimal_Separator_Fixed]],
   Working_Sales[[#This Row],[Total_Amount_Converted_To_Integer]]/Working_Sales[[#This Row],[Quantity_Converted_To_Integer]]
)</f>
        <v>50</v>
      </c>
      <c r="AE449" t="s">
        <v>38</v>
      </c>
      <c r="AF449" s="2" t="str">
        <f>CLEAN(TRIM(Working_Sales[[#This Row],[Total Amount]]))</f>
        <v>100</v>
      </c>
      <c r="AG449" s="2">
        <f>INT(Working_Sales[[#This Row],[Total_Amount_Whitespace_Removed]])</f>
        <v>100</v>
      </c>
      <c r="AH44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450" spans="1:34" x14ac:dyDescent="0.35">
      <c r="A450" t="s">
        <v>157</v>
      </c>
      <c r="B450" s="6" t="str">
        <f>CLEAN(TRIM(Working_Sales[[#This Row],[Transaction ID]]))</f>
        <v>18</v>
      </c>
      <c r="C450" t="s">
        <v>1004</v>
      </c>
      <c r="D450" s="2" t="str">
        <f>CLEAN(TRIM(Working_Sales[[#This Row],[Date]]))</f>
        <v>30/04/2023</v>
      </c>
      <c r="E45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45046</v>
      </c>
      <c r="F45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45046</v>
      </c>
      <c r="G45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45046</v>
      </c>
      <c r="H450" t="s">
        <v>2696</v>
      </c>
      <c r="I450" s="2" t="str">
        <f>CLEAN(TRIM(Working_Sales[[#This Row],[Customer ID]]))</f>
        <v>CUST329</v>
      </c>
      <c r="J45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CUST329</v>
      </c>
      <c r="K45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CUST329</v>
      </c>
      <c r="L450" t="s">
        <v>26</v>
      </c>
      <c r="M450" s="4" t="str">
        <f>CLEAN(TRIM(Working_Sales[[#This Row],[Gender]]))</f>
        <v>Female</v>
      </c>
      <c r="N450" s="4" t="str" cm="1">
        <f t="array" ref="N450">_xlfn.SWITCH(
   Working_Sales[[#This Row],[Gender_Whitespace_Removed]],
   "m", "Male",
   "f", "Female",
   Working_Sales[[#This Row],[Gender_Whitespace_Removed]]
)</f>
        <v>Female</v>
      </c>
      <c r="O450" s="6" t="str">
        <f>PROPER(Working_Sales[[#This Row],[Gender_Abbreviation_Expanded]])</f>
        <v>Female</v>
      </c>
      <c r="P450">
        <v>47</v>
      </c>
      <c r="Q450" s="2" t="str">
        <f>CLEAN(TRIM(Working_Sales[[#This Row],[Age]]))</f>
        <v>47</v>
      </c>
      <c r="R450" s="6">
        <f>INT(SUBSTITUTE(Working_Sales[[#This Row],[Age_Whitespace_Removed]],".",","))</f>
        <v>47</v>
      </c>
      <c r="S450" t="s">
        <v>13</v>
      </c>
      <c r="T450" s="2" t="str">
        <f>CLEAN(TRIM(Working_Sales[[#This Row],[Product Category]]))</f>
        <v>Electronics</v>
      </c>
      <c r="U450" s="6" t="str">
        <f>PROPER(Working_Sales[[#This Row],[Product_Category_Whitespace_Removed]])</f>
        <v>Electronics</v>
      </c>
      <c r="V450" t="s">
        <v>37</v>
      </c>
      <c r="W450" s="2" t="str">
        <f>CLEAN(TRIM(Working_Sales[[#This Row],[Quantity]]))</f>
        <v>2</v>
      </c>
      <c r="X450" s="2">
        <f>INT(Working_Sales[[#This Row],[`]])</f>
        <v>2</v>
      </c>
      <c r="Y450" s="6">
        <f>IFERROR(
   Working_Sales[[#This Row],[Quantity_Converted_To_Integer]],
   Working_Sales[[#This Row],[Total_Amount_Whitespace_Removed]]/Working_Sales[[#This Row],[Price_Per_Unit_Decimal_Separator_Fixed]])</f>
        <v>2</v>
      </c>
      <c r="Z450" t="s">
        <v>30</v>
      </c>
      <c r="AA450" s="2" t="str">
        <f>CLEAN(TRIM(Working_Sales[[#This Row],[Price per Unit]]))</f>
        <v>25</v>
      </c>
      <c r="AB450" s="2">
        <f>INT(
   SUBSTITUTE(Working_Sales[[#This Row],[Price_Per_Unit_Whitespace_Removed]],
   "$",
   ""
   )
)</f>
        <v>25</v>
      </c>
      <c r="AC450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450" s="8">
        <f>IFERROR(
   Working_Sales[[#This Row],[Price_Per_Unit_Decimal_Separator_Fixed]],
   Working_Sales[[#This Row],[Total_Amount_Converted_To_Integer]]/Working_Sales[[#This Row],[Quantity_Converted_To_Integer]]
)</f>
        <v>25</v>
      </c>
      <c r="AE450" t="s">
        <v>15</v>
      </c>
      <c r="AF450" s="2" t="str">
        <f>CLEAN(TRIM(Working_Sales[[#This Row],[Total Amount]]))</f>
        <v>50</v>
      </c>
      <c r="AG450" s="2">
        <f>INT(Working_Sales[[#This Row],[Total_Amount_Whitespace_Removed]])</f>
        <v>50</v>
      </c>
      <c r="AH45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451" spans="1:34" x14ac:dyDescent="0.35">
      <c r="A451" t="s">
        <v>1006</v>
      </c>
      <c r="B451" s="6" t="str">
        <f>CLEAN(TRIM(Working_Sales[[#This Row],[Transaction ID]]))</f>
        <v>753</v>
      </c>
      <c r="C451" t="s">
        <v>1007</v>
      </c>
      <c r="D451" s="2" t="str">
        <f>CLEAN(TRIM(Working_Sales[[#This Row],[Date]]))</f>
        <v>28/02/2023</v>
      </c>
      <c r="E45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44985</v>
      </c>
      <c r="F45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44985</v>
      </c>
      <c r="G45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44985</v>
      </c>
      <c r="H451" t="s">
        <v>2697</v>
      </c>
      <c r="I451" s="2" t="str">
        <f>CLEAN(TRIM(Working_Sales[[#This Row],[Customer ID]]))</f>
        <v>cust330</v>
      </c>
      <c r="J45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5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CUST330</v>
      </c>
      <c r="L451" t="s">
        <v>112</v>
      </c>
      <c r="M451" s="4" t="str">
        <f>CLEAN(TRIM(Working_Sales[[#This Row],[Gender]]))</f>
        <v>female</v>
      </c>
      <c r="N451" s="4" t="str" cm="1">
        <f t="array" ref="N451">_xlfn.SWITCH(
   Working_Sales[[#This Row],[Gender_Whitespace_Removed]],
   "m", "Male",
   "f", "Female",
   Working_Sales[[#This Row],[Gender_Whitespace_Removed]]
)</f>
        <v>female</v>
      </c>
      <c r="O451" s="6" t="str">
        <f>PROPER(Working_Sales[[#This Row],[Gender_Abbreviation_Expanded]])</f>
        <v>Female</v>
      </c>
      <c r="P451" t="s">
        <v>1008</v>
      </c>
      <c r="Q451" s="2" t="str">
        <f>CLEAN(TRIM(Working_Sales[[#This Row],[Age]]))</f>
        <v>32</v>
      </c>
      <c r="R451" s="6">
        <f>INT(SUBSTITUTE(Working_Sales[[#This Row],[Age_Whitespace_Removed]],".",","))</f>
        <v>32</v>
      </c>
      <c r="S451" t="s">
        <v>56</v>
      </c>
      <c r="T451" s="2" t="str">
        <f>CLEAN(TRIM(Working_Sales[[#This Row],[Product Category]]))</f>
        <v>Clothing</v>
      </c>
      <c r="U451" s="6" t="str">
        <f>PROPER(Working_Sales[[#This Row],[Product_Category_Whitespace_Removed]])</f>
        <v>Clothing</v>
      </c>
      <c r="W451" s="2" t="str">
        <f>CLEAN(TRIM(Working_Sales[[#This Row],[Quantity]]))</f>
        <v/>
      </c>
      <c r="X451" s="2" t="e">
        <f>INT(Working_Sales[[#This Row],[`]])</f>
        <v>#VALUE!</v>
      </c>
      <c r="Y451" s="6">
        <f>IFERROR(
   Working_Sales[[#This Row],[Quantity_Converted_To_Integer]],
   Working_Sales[[#This Row],[Total_Amount_Whitespace_Removed]]/Working_Sales[[#This Row],[Price_Per_Unit_Decimal_Separator_Fixed]])</f>
        <v>1</v>
      </c>
      <c r="Z451" t="s">
        <v>70</v>
      </c>
      <c r="AA451" s="2" t="str">
        <f>CLEAN(TRIM(Working_Sales[[#This Row],[Price per Unit]]))</f>
        <v>30</v>
      </c>
      <c r="AB451" s="2">
        <f>INT(
   SUBSTITUTE(Working_Sales[[#This Row],[Price_Per_Unit_Whitespace_Removed]],
   "$",
   ""
   )
)</f>
        <v>30</v>
      </c>
      <c r="AC451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451" s="8">
        <f>IFERROR(
   Working_Sales[[#This Row],[Price_Per_Unit_Decimal_Separator_Fixed]],
   Working_Sales[[#This Row],[Total_Amount_Converted_To_Integer]]/Working_Sales[[#This Row],[Quantity_Converted_To_Integer]]
)</f>
        <v>30</v>
      </c>
      <c r="AE451" t="s">
        <v>70</v>
      </c>
      <c r="AF451" s="2" t="str">
        <f>CLEAN(TRIM(Working_Sales[[#This Row],[Total Amount]]))</f>
        <v>30</v>
      </c>
      <c r="AG451" s="2">
        <f>INT(Working_Sales[[#This Row],[Total_Amount_Whitespace_Removed]])</f>
        <v>30</v>
      </c>
      <c r="AH45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452" spans="1:34" x14ac:dyDescent="0.35">
      <c r="A452" t="s">
        <v>1009</v>
      </c>
      <c r="B452" s="6" t="str">
        <f>CLEAN(TRIM(Working_Sales[[#This Row],[Transaction ID]]))</f>
        <v>922</v>
      </c>
      <c r="C452" t="s">
        <v>2099</v>
      </c>
      <c r="D452" s="2" t="str">
        <f>CLEAN(TRIM(Working_Sales[[#This Row],[Date]]))</f>
        <v>10/21/2023</v>
      </c>
      <c r="E452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45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45220</v>
      </c>
      <c r="G45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45220</v>
      </c>
      <c r="H452" t="s">
        <v>2698</v>
      </c>
      <c r="I452" s="2" t="str">
        <f>CLEAN(TRIM(Working_Sales[[#This Row],[Customer ID]]))</f>
        <v>CUST331</v>
      </c>
      <c r="J45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CUST331</v>
      </c>
      <c r="K45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CUST331</v>
      </c>
      <c r="L452" t="s">
        <v>34</v>
      </c>
      <c r="M452" s="4" t="str">
        <f>CLEAN(TRIM(Working_Sales[[#This Row],[Gender]]))</f>
        <v>Male</v>
      </c>
      <c r="N452" s="4" t="str" cm="1">
        <f t="array" ref="N452">_xlfn.SWITCH(
   Working_Sales[[#This Row],[Gender_Whitespace_Removed]],
   "m", "Male",
   "f", "Female",
   Working_Sales[[#This Row],[Gender_Whitespace_Removed]]
)</f>
        <v>Male</v>
      </c>
      <c r="O452" s="6" t="str">
        <f>PROPER(Working_Sales[[#This Row],[Gender_Abbreviation_Expanded]])</f>
        <v>Male</v>
      </c>
      <c r="P452" t="s">
        <v>624</v>
      </c>
      <c r="Q452" s="2" t="str">
        <f>CLEAN(TRIM(Working_Sales[[#This Row],[Age]]))</f>
        <v>41</v>
      </c>
      <c r="R452" s="6">
        <f>INT(SUBSTITUTE(Working_Sales[[#This Row],[Age_Whitespace_Removed]],".",","))</f>
        <v>41</v>
      </c>
      <c r="S452" t="s">
        <v>13</v>
      </c>
      <c r="T452" s="2" t="str">
        <f>CLEAN(TRIM(Working_Sales[[#This Row],[Product Category]]))</f>
        <v>Electronics</v>
      </c>
      <c r="U452" s="6" t="str">
        <f>PROPER(Working_Sales[[#This Row],[Product_Category_Whitespace_Removed]])</f>
        <v>Electronics</v>
      </c>
      <c r="V452" t="s">
        <v>22</v>
      </c>
      <c r="W452" s="2" t="str">
        <f>CLEAN(TRIM(Working_Sales[[#This Row],[Quantity]]))</f>
        <v>1</v>
      </c>
      <c r="X452" s="2">
        <f>INT(Working_Sales[[#This Row],[`]])</f>
        <v>1</v>
      </c>
      <c r="Y452" s="6">
        <f>IFERROR(
   Working_Sales[[#This Row],[Quantity_Converted_To_Integer]],
   Working_Sales[[#This Row],[Total_Amount_Whitespace_Removed]]/Working_Sales[[#This Row],[Price_Per_Unit_Decimal_Separator_Fixed]])</f>
        <v>1</v>
      </c>
      <c r="Z452" t="s">
        <v>15</v>
      </c>
      <c r="AA452" s="2" t="str">
        <f>CLEAN(TRIM(Working_Sales[[#This Row],[Price per Unit]]))</f>
        <v>50</v>
      </c>
      <c r="AB452" s="2">
        <f>INT(
   SUBSTITUTE(Working_Sales[[#This Row],[Price_Per_Unit_Whitespace_Removed]],
   "$",
   ""
   )
)</f>
        <v>50</v>
      </c>
      <c r="AC452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452" s="8">
        <f>IFERROR(
   Working_Sales[[#This Row],[Price_Per_Unit_Decimal_Separator_Fixed]],
   Working_Sales[[#This Row],[Total_Amount_Converted_To_Integer]]/Working_Sales[[#This Row],[Quantity_Converted_To_Integer]]
)</f>
        <v>50</v>
      </c>
      <c r="AE452" t="s">
        <v>15</v>
      </c>
      <c r="AF452" s="2" t="str">
        <f>CLEAN(TRIM(Working_Sales[[#This Row],[Total Amount]]))</f>
        <v>50</v>
      </c>
      <c r="AG452" s="2">
        <f>INT(Working_Sales[[#This Row],[Total_Amount_Whitespace_Removed]])</f>
        <v>50</v>
      </c>
      <c r="AH45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453" spans="1:34" x14ac:dyDescent="0.35">
      <c r="A453" t="s">
        <v>1010</v>
      </c>
      <c r="B453" s="6" t="str">
        <f>CLEAN(TRIM(Working_Sales[[#This Row],[Transaction ID]]))</f>
        <v>307</v>
      </c>
      <c r="C453" t="s">
        <v>419</v>
      </c>
      <c r="D453" s="2" t="str">
        <f>CLEAN(TRIM(Working_Sales[[#This Row],[Date]]))</f>
        <v>2023-05-27</v>
      </c>
      <c r="E45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45073</v>
      </c>
      <c r="F45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45073</v>
      </c>
      <c r="G45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45073</v>
      </c>
      <c r="H453" t="s">
        <v>2699</v>
      </c>
      <c r="I453" s="2" t="str">
        <f>CLEAN(TRIM(Working_Sales[[#This Row],[Customer ID]]))</f>
        <v>cust301</v>
      </c>
      <c r="J45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5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CUST301</v>
      </c>
      <c r="L453" t="s">
        <v>26</v>
      </c>
      <c r="M453" s="4" t="str">
        <f>CLEAN(TRIM(Working_Sales[[#This Row],[Gender]]))</f>
        <v>Female</v>
      </c>
      <c r="N453" s="4" t="str" cm="1">
        <f t="array" ref="N453">_xlfn.SWITCH(
   Working_Sales[[#This Row],[Gender_Whitespace_Removed]],
   "m", "Male",
   "f", "Female",
   Working_Sales[[#This Row],[Gender_Whitespace_Removed]]
)</f>
        <v>Female</v>
      </c>
      <c r="O453" s="6" t="str">
        <f>PROPER(Working_Sales[[#This Row],[Gender_Abbreviation_Expanded]])</f>
        <v>Female</v>
      </c>
      <c r="P453">
        <v>26</v>
      </c>
      <c r="Q453" s="2" t="str">
        <f>CLEAN(TRIM(Working_Sales[[#This Row],[Age]]))</f>
        <v>26</v>
      </c>
      <c r="R453" s="6">
        <f>INT(SUBSTITUTE(Working_Sales[[#This Row],[Age_Whitespace_Removed]],".",","))</f>
        <v>26</v>
      </c>
      <c r="S453" t="s">
        <v>99</v>
      </c>
      <c r="T453" s="2" t="str">
        <f>CLEAN(TRIM(Working_Sales[[#This Row],[Product Category]]))</f>
        <v>ELECTRONICS</v>
      </c>
      <c r="U453" s="6" t="str">
        <f>PROPER(Working_Sales[[#This Row],[Product_Category_Whitespace_Removed]])</f>
        <v>Electronics</v>
      </c>
      <c r="V453" t="s">
        <v>37</v>
      </c>
      <c r="W453" s="2" t="str">
        <f>CLEAN(TRIM(Working_Sales[[#This Row],[Quantity]]))</f>
        <v>2</v>
      </c>
      <c r="X453" s="2">
        <f>INT(Working_Sales[[#This Row],[`]])</f>
        <v>2</v>
      </c>
      <c r="Y453" s="6">
        <f>IFERROR(
   Working_Sales[[#This Row],[Quantity_Converted_To_Integer]],
   Working_Sales[[#This Row],[Total_Amount_Whitespace_Removed]]/Working_Sales[[#This Row],[Price_Per_Unit_Decimal_Separator_Fixed]])</f>
        <v>2</v>
      </c>
      <c r="Z453" t="s">
        <v>30</v>
      </c>
      <c r="AA453" s="2" t="str">
        <f>CLEAN(TRIM(Working_Sales[[#This Row],[Price per Unit]]))</f>
        <v>25</v>
      </c>
      <c r="AB453" s="2">
        <f>INT(
   SUBSTITUTE(Working_Sales[[#This Row],[Price_Per_Unit_Whitespace_Removed]],
   "$",
   ""
   )
)</f>
        <v>25</v>
      </c>
      <c r="AC453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453" s="8">
        <f>IFERROR(
   Working_Sales[[#This Row],[Price_Per_Unit_Decimal_Separator_Fixed]],
   Working_Sales[[#This Row],[Total_Amount_Converted_To_Integer]]/Working_Sales[[#This Row],[Quantity_Converted_To_Integer]]
)</f>
        <v>25</v>
      </c>
      <c r="AE453" t="s">
        <v>15</v>
      </c>
      <c r="AF453" s="2" t="str">
        <f>CLEAN(TRIM(Working_Sales[[#This Row],[Total Amount]]))</f>
        <v>50</v>
      </c>
      <c r="AG453" s="2">
        <f>INT(Working_Sales[[#This Row],[Total_Amount_Whitespace_Removed]])</f>
        <v>50</v>
      </c>
      <c r="AH45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454" spans="1:34" x14ac:dyDescent="0.35">
      <c r="A454" t="s">
        <v>1012</v>
      </c>
      <c r="B454" s="6" t="str">
        <f>CLEAN(TRIM(Working_Sales[[#This Row],[Transaction ID]]))</f>
        <v>672</v>
      </c>
      <c r="C454" t="s">
        <v>2047</v>
      </c>
      <c r="D454" s="2" t="str">
        <f>CLEAN(TRIM(Working_Sales[[#This Row],[Date]]))</f>
        <v>August 01, 2023</v>
      </c>
      <c r="E454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454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45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45139</v>
      </c>
      <c r="H454" t="s">
        <v>2700</v>
      </c>
      <c r="I454" s="2" t="str">
        <f>CLEAN(TRIM(Working_Sales[[#This Row],[Customer ID]]))</f>
        <v>cust201</v>
      </c>
      <c r="J45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5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CUST201</v>
      </c>
      <c r="L454" t="s">
        <v>26</v>
      </c>
      <c r="M454" s="4" t="str">
        <f>CLEAN(TRIM(Working_Sales[[#This Row],[Gender]]))</f>
        <v>Female</v>
      </c>
      <c r="N454" s="4" t="str" cm="1">
        <f t="array" ref="N454">_xlfn.SWITCH(
   Working_Sales[[#This Row],[Gender_Whitespace_Removed]],
   "m", "Male",
   "f", "Female",
   Working_Sales[[#This Row],[Gender_Whitespace_Removed]]
)</f>
        <v>Female</v>
      </c>
      <c r="O454" s="6" t="str">
        <f>PROPER(Working_Sales[[#This Row],[Gender_Abbreviation_Expanded]])</f>
        <v>Female</v>
      </c>
      <c r="P454">
        <v>34</v>
      </c>
      <c r="Q454" s="2" t="str">
        <f>CLEAN(TRIM(Working_Sales[[#This Row],[Age]]))</f>
        <v>34</v>
      </c>
      <c r="R454" s="6">
        <f>INT(SUBSTITUTE(Working_Sales[[#This Row],[Age_Whitespace_Removed]],".",","))</f>
        <v>34</v>
      </c>
      <c r="S454" t="s">
        <v>36</v>
      </c>
      <c r="T454" s="2" t="str">
        <f>CLEAN(TRIM(Working_Sales[[#This Row],[Product Category]]))</f>
        <v>Beauty</v>
      </c>
      <c r="U454" s="6" t="str">
        <f>PROPER(Working_Sales[[#This Row],[Product_Category_Whitespace_Removed]])</f>
        <v>Beauty</v>
      </c>
      <c r="V454" t="s">
        <v>37</v>
      </c>
      <c r="W454" s="2" t="str">
        <f>CLEAN(TRIM(Working_Sales[[#This Row],[Quantity]]))</f>
        <v>2</v>
      </c>
      <c r="X454" s="2">
        <f>INT(Working_Sales[[#This Row],[`]])</f>
        <v>2</v>
      </c>
      <c r="Y454" s="6">
        <f>IFERROR(
   Working_Sales[[#This Row],[Quantity_Converted_To_Integer]],
   Working_Sales[[#This Row],[Total_Amount_Whitespace_Removed]]/Working_Sales[[#This Row],[Price_Per_Unit_Decimal_Separator_Fixed]])</f>
        <v>2</v>
      </c>
      <c r="Z454" t="s">
        <v>96</v>
      </c>
      <c r="AA454" s="2" t="str">
        <f>CLEAN(TRIM(Working_Sales[[#This Row],[Price per Unit]]))</f>
        <v>$50</v>
      </c>
      <c r="AB454" s="2">
        <f>INT(
   SUBSTITUTE(Working_Sales[[#This Row],[Price_Per_Unit_Whitespace_Removed]],
   "$",
   ""
   )
)</f>
        <v>50</v>
      </c>
      <c r="AC454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454" s="8">
        <f>IFERROR(
   Working_Sales[[#This Row],[Price_Per_Unit_Decimal_Separator_Fixed]],
   Working_Sales[[#This Row],[Total_Amount_Converted_To_Integer]]/Working_Sales[[#This Row],[Quantity_Converted_To_Integer]]
)</f>
        <v>50</v>
      </c>
      <c r="AE454" t="s">
        <v>38</v>
      </c>
      <c r="AF454" s="2" t="str">
        <f>CLEAN(TRIM(Working_Sales[[#This Row],[Total Amount]]))</f>
        <v>100</v>
      </c>
      <c r="AG454" s="2">
        <f>INT(Working_Sales[[#This Row],[Total_Amount_Whitespace_Removed]])</f>
        <v>100</v>
      </c>
      <c r="AH45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455" spans="1:34" x14ac:dyDescent="0.35">
      <c r="A455" t="s">
        <v>1013</v>
      </c>
      <c r="B455" s="6" t="str">
        <f>CLEAN(TRIM(Working_Sales[[#This Row],[Transaction ID]]))</f>
        <v>156</v>
      </c>
      <c r="C455" t="s">
        <v>1014</v>
      </c>
      <c r="D455" s="2" t="str">
        <f>CLEAN(TRIM(Working_Sales[[#This Row],[Date]]))</f>
        <v>2023-11-25</v>
      </c>
      <c r="E45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45255</v>
      </c>
      <c r="F45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45255</v>
      </c>
      <c r="G45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45255</v>
      </c>
      <c r="H455" t="s">
        <v>2701</v>
      </c>
      <c r="I455" s="2" t="str">
        <f>CLEAN(TRIM(Working_Sales[[#This Row],[Customer ID]]))</f>
        <v>Cust332</v>
      </c>
      <c r="J45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5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CUST332</v>
      </c>
      <c r="L455" t="s">
        <v>26</v>
      </c>
      <c r="M455" s="4" t="str">
        <f>CLEAN(TRIM(Working_Sales[[#This Row],[Gender]]))</f>
        <v>Female</v>
      </c>
      <c r="N455" s="4" t="str" cm="1">
        <f t="array" ref="N455">_xlfn.SWITCH(
   Working_Sales[[#This Row],[Gender_Whitespace_Removed]],
   "m", "Male",
   "f", "Female",
   Working_Sales[[#This Row],[Gender_Whitespace_Removed]]
)</f>
        <v>Female</v>
      </c>
      <c r="O455" s="6" t="str">
        <f>PROPER(Working_Sales[[#This Row],[Gender_Abbreviation_Expanded]])</f>
        <v>Female</v>
      </c>
      <c r="P455">
        <v>43</v>
      </c>
      <c r="Q455" s="2" t="str">
        <f>CLEAN(TRIM(Working_Sales[[#This Row],[Age]]))</f>
        <v>43</v>
      </c>
      <c r="R455" s="6">
        <f>INT(SUBSTITUTE(Working_Sales[[#This Row],[Age_Whitespace_Removed]],".",","))</f>
        <v>43</v>
      </c>
      <c r="S455" t="s">
        <v>56</v>
      </c>
      <c r="T455" s="2" t="str">
        <f>CLEAN(TRIM(Working_Sales[[#This Row],[Product Category]]))</f>
        <v>Clothing</v>
      </c>
      <c r="U455" s="6" t="str">
        <f>PROPER(Working_Sales[[#This Row],[Product_Category_Whitespace_Removed]])</f>
        <v>Clothing</v>
      </c>
      <c r="V455" t="s">
        <v>14</v>
      </c>
      <c r="W455" s="2" t="str">
        <f>CLEAN(TRIM(Working_Sales[[#This Row],[Quantity]]))</f>
        <v>4</v>
      </c>
      <c r="X455" s="2">
        <f>INT(Working_Sales[[#This Row],[`]])</f>
        <v>4</v>
      </c>
      <c r="Y455" s="6">
        <f>IFERROR(
   Working_Sales[[#This Row],[Quantity_Converted_To_Integer]],
   Working_Sales[[#This Row],[Total_Amount_Whitespace_Removed]]/Working_Sales[[#This Row],[Price_Per_Unit_Decimal_Separator_Fixed]])</f>
        <v>4</v>
      </c>
      <c r="Z455" t="s">
        <v>30</v>
      </c>
      <c r="AA455" s="2" t="str">
        <f>CLEAN(TRIM(Working_Sales[[#This Row],[Price per Unit]]))</f>
        <v>25</v>
      </c>
      <c r="AB455" s="2">
        <f>INT(
   SUBSTITUTE(Working_Sales[[#This Row],[Price_Per_Unit_Whitespace_Removed]],
   "$",
   ""
   )
)</f>
        <v>25</v>
      </c>
      <c r="AC455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455" s="8">
        <f>IFERROR(
   Working_Sales[[#This Row],[Price_Per_Unit_Decimal_Separator_Fixed]],
   Working_Sales[[#This Row],[Total_Amount_Converted_To_Integer]]/Working_Sales[[#This Row],[Quantity_Converted_To_Integer]]
)</f>
        <v>25</v>
      </c>
      <c r="AE455" t="s">
        <v>38</v>
      </c>
      <c r="AF455" s="2" t="str">
        <f>CLEAN(TRIM(Working_Sales[[#This Row],[Total Amount]]))</f>
        <v>100</v>
      </c>
      <c r="AG455" s="2">
        <f>INT(Working_Sales[[#This Row],[Total_Amount_Whitespace_Removed]])</f>
        <v>100</v>
      </c>
      <c r="AH45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456" spans="1:34" x14ac:dyDescent="0.35">
      <c r="A456" t="s">
        <v>1016</v>
      </c>
      <c r="B456" s="6" t="str">
        <f>CLEAN(TRIM(Working_Sales[[#This Row],[Transaction ID]]))</f>
        <v>490</v>
      </c>
      <c r="C456" t="s">
        <v>497</v>
      </c>
      <c r="D456" s="2" t="str">
        <f>CLEAN(TRIM(Working_Sales[[#This Row],[Date]]))</f>
        <v>05-Feb-2023</v>
      </c>
      <c r="E45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44962</v>
      </c>
      <c r="F45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44962</v>
      </c>
      <c r="G45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44962</v>
      </c>
      <c r="H456" t="s">
        <v>2702</v>
      </c>
      <c r="I456" s="2" t="str">
        <f>CLEAN(TRIM(Working_Sales[[#This Row],[Customer ID]]))</f>
        <v>cust298</v>
      </c>
      <c r="J45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5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CUST298</v>
      </c>
      <c r="L456" t="s">
        <v>34</v>
      </c>
      <c r="M456" s="4" t="str">
        <f>CLEAN(TRIM(Working_Sales[[#This Row],[Gender]]))</f>
        <v>Male</v>
      </c>
      <c r="N456" s="4" t="str" cm="1">
        <f t="array" ref="N456">_xlfn.SWITCH(
   Working_Sales[[#This Row],[Gender_Whitespace_Removed]],
   "m", "Male",
   "f", "Female",
   Working_Sales[[#This Row],[Gender_Whitespace_Removed]]
)</f>
        <v>Male</v>
      </c>
      <c r="O456" s="6" t="str">
        <f>PROPER(Working_Sales[[#This Row],[Gender_Abbreviation_Expanded]])</f>
        <v>Male</v>
      </c>
      <c r="P456">
        <v>34</v>
      </c>
      <c r="Q456" s="2" t="str">
        <f>CLEAN(TRIM(Working_Sales[[#This Row],[Age]]))</f>
        <v>34</v>
      </c>
      <c r="R456" s="6">
        <f>INT(SUBSTITUTE(Working_Sales[[#This Row],[Age_Whitespace_Removed]],".",","))</f>
        <v>34</v>
      </c>
      <c r="S456" t="s">
        <v>56</v>
      </c>
      <c r="T456" s="2" t="str">
        <f>CLEAN(TRIM(Working_Sales[[#This Row],[Product Category]]))</f>
        <v>Clothing</v>
      </c>
      <c r="U456" s="6" t="str">
        <f>PROPER(Working_Sales[[#This Row],[Product_Category_Whitespace_Removed]])</f>
        <v>Clothing</v>
      </c>
      <c r="V456" t="s">
        <v>29</v>
      </c>
      <c r="W456" s="2" t="str">
        <f>CLEAN(TRIM(Working_Sales[[#This Row],[Quantity]]))</f>
        <v>3</v>
      </c>
      <c r="X456" s="2">
        <f>INT(Working_Sales[[#This Row],[`]])</f>
        <v>3</v>
      </c>
      <c r="Y456" s="6">
        <f>IFERROR(
   Working_Sales[[#This Row],[Quantity_Converted_To_Integer]],
   Working_Sales[[#This Row],[Total_Amount_Whitespace_Removed]]/Working_Sales[[#This Row],[Price_Per_Unit_Decimal_Separator_Fixed]])</f>
        <v>3</v>
      </c>
      <c r="Z456" t="s">
        <v>15</v>
      </c>
      <c r="AA456" s="2" t="str">
        <f>CLEAN(TRIM(Working_Sales[[#This Row],[Price per Unit]]))</f>
        <v>50</v>
      </c>
      <c r="AB456" s="2">
        <f>INT(
   SUBSTITUTE(Working_Sales[[#This Row],[Price_Per_Unit_Whitespace_Removed]],
   "$",
   ""
   )
)</f>
        <v>50</v>
      </c>
      <c r="AC456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456" s="8">
        <f>IFERROR(
   Working_Sales[[#This Row],[Price_Per_Unit_Decimal_Separator_Fixed]],
   Working_Sales[[#This Row],[Total_Amount_Converted_To_Integer]]/Working_Sales[[#This Row],[Quantity_Converted_To_Integer]]
)</f>
        <v>50</v>
      </c>
      <c r="AE456" t="s">
        <v>130</v>
      </c>
      <c r="AF456" s="2" t="str">
        <f>CLEAN(TRIM(Working_Sales[[#This Row],[Total Amount]]))</f>
        <v>150</v>
      </c>
      <c r="AG456" s="2">
        <f>INT(Working_Sales[[#This Row],[Total_Amount_Whitespace_Removed]])</f>
        <v>150</v>
      </c>
      <c r="AH45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457" spans="1:34" x14ac:dyDescent="0.35">
      <c r="A457" t="s">
        <v>1018</v>
      </c>
      <c r="B457" s="6" t="str">
        <f>CLEAN(TRIM(Working_Sales[[#This Row],[Transaction ID]]))</f>
        <v>686</v>
      </c>
      <c r="C457" t="s">
        <v>1019</v>
      </c>
      <c r="D457" s="2" t="str">
        <f>CLEAN(TRIM(Working_Sales[[#This Row],[Date]]))</f>
        <v>19/07/2023</v>
      </c>
      <c r="E45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45126</v>
      </c>
      <c r="F45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45126</v>
      </c>
      <c r="G45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45126</v>
      </c>
      <c r="H457" t="s">
        <v>2703</v>
      </c>
      <c r="I457" s="2" t="str">
        <f>CLEAN(TRIM(Working_Sales[[#This Row],[Customer ID]]))</f>
        <v>CUST148</v>
      </c>
      <c r="J45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CUST148</v>
      </c>
      <c r="K45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CUST148</v>
      </c>
      <c r="L457" t="s">
        <v>26</v>
      </c>
      <c r="M457" s="4" t="str">
        <f>CLEAN(TRIM(Working_Sales[[#This Row],[Gender]]))</f>
        <v>Female</v>
      </c>
      <c r="N457" s="4" t="str" cm="1">
        <f t="array" ref="N457">_xlfn.SWITCH(
   Working_Sales[[#This Row],[Gender_Whitespace_Removed]],
   "m", "Male",
   "f", "Female",
   Working_Sales[[#This Row],[Gender_Whitespace_Removed]]
)</f>
        <v>Female</v>
      </c>
      <c r="O457" s="6" t="str">
        <f>PROPER(Working_Sales[[#This Row],[Gender_Abbreviation_Expanded]])</f>
        <v>Female</v>
      </c>
      <c r="P457">
        <v>28</v>
      </c>
      <c r="Q457" s="2" t="str">
        <f>CLEAN(TRIM(Working_Sales[[#This Row],[Age]]))</f>
        <v>28</v>
      </c>
      <c r="R457" s="6">
        <f>INT(SUBSTITUTE(Working_Sales[[#This Row],[Age_Whitespace_Removed]],".",","))</f>
        <v>28</v>
      </c>
      <c r="S457" t="s">
        <v>13</v>
      </c>
      <c r="T457" s="2" t="str">
        <f>CLEAN(TRIM(Working_Sales[[#This Row],[Product Category]]))</f>
        <v>Electronics</v>
      </c>
      <c r="U457" s="6" t="str">
        <f>PROPER(Working_Sales[[#This Row],[Product_Category_Whitespace_Removed]])</f>
        <v>Electronics</v>
      </c>
      <c r="V457" t="s">
        <v>14</v>
      </c>
      <c r="W457" s="2" t="str">
        <f>CLEAN(TRIM(Working_Sales[[#This Row],[Quantity]]))</f>
        <v>4</v>
      </c>
      <c r="X457" s="2">
        <f>INT(Working_Sales[[#This Row],[`]])</f>
        <v>4</v>
      </c>
      <c r="Y457" s="6">
        <f>IFERROR(
   Working_Sales[[#This Row],[Quantity_Converted_To_Integer]],
   Working_Sales[[#This Row],[Total_Amount_Whitespace_Removed]]/Working_Sales[[#This Row],[Price_Per_Unit_Decimal_Separator_Fixed]])</f>
        <v>4</v>
      </c>
      <c r="Z457" t="s">
        <v>15</v>
      </c>
      <c r="AA457" s="2" t="str">
        <f>CLEAN(TRIM(Working_Sales[[#This Row],[Price per Unit]]))</f>
        <v>50</v>
      </c>
      <c r="AB457" s="2">
        <f>INT(
   SUBSTITUTE(Working_Sales[[#This Row],[Price_Per_Unit_Whitespace_Removed]],
   "$",
   ""
   )
)</f>
        <v>50</v>
      </c>
      <c r="AC457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457" s="8">
        <f>IFERROR(
   Working_Sales[[#This Row],[Price_Per_Unit_Decimal_Separator_Fixed]],
   Working_Sales[[#This Row],[Total_Amount_Converted_To_Integer]]/Working_Sales[[#This Row],[Quantity_Converted_To_Integer]]
)</f>
        <v>50</v>
      </c>
      <c r="AE457" t="s">
        <v>16</v>
      </c>
      <c r="AF457" s="2" t="str">
        <f>CLEAN(TRIM(Working_Sales[[#This Row],[Total Amount]]))</f>
        <v>200</v>
      </c>
      <c r="AG457" s="2">
        <f>INT(Working_Sales[[#This Row],[Total_Amount_Whitespace_Removed]])</f>
        <v>200</v>
      </c>
      <c r="AH45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458" spans="1:34" x14ac:dyDescent="0.35">
      <c r="A458" t="s">
        <v>1020</v>
      </c>
      <c r="B458" s="6" t="str">
        <f>CLEAN(TRIM(Working_Sales[[#This Row],[Transaction ID]]))</f>
        <v>885</v>
      </c>
      <c r="C458" t="s">
        <v>1021</v>
      </c>
      <c r="D458" s="2" t="str">
        <f>CLEAN(TRIM(Working_Sales[[#This Row],[Date]]))</f>
        <v>March 03, 2023</v>
      </c>
      <c r="E458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458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45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44988</v>
      </c>
      <c r="H458" t="s">
        <v>2704</v>
      </c>
      <c r="I458" s="2" t="str">
        <f>CLEAN(TRIM(Working_Sales[[#This Row],[Customer ID]]))</f>
        <v>Cust197</v>
      </c>
      <c r="J45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5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CUST197</v>
      </c>
      <c r="L458" t="s">
        <v>26</v>
      </c>
      <c r="M458" s="4" t="str">
        <f>CLEAN(TRIM(Working_Sales[[#This Row],[Gender]]))</f>
        <v>Female</v>
      </c>
      <c r="N458" s="4" t="str" cm="1">
        <f t="array" ref="N458">_xlfn.SWITCH(
   Working_Sales[[#This Row],[Gender_Whitespace_Removed]],
   "m", "Male",
   "f", "Female",
   Working_Sales[[#This Row],[Gender_Whitespace_Removed]]
)</f>
        <v>Female</v>
      </c>
      <c r="O458" s="6" t="str">
        <f>PROPER(Working_Sales[[#This Row],[Gender_Abbreviation_Expanded]])</f>
        <v>Female</v>
      </c>
      <c r="P458">
        <v>52</v>
      </c>
      <c r="Q458" s="2" t="str">
        <f>CLEAN(TRIM(Working_Sales[[#This Row],[Age]]))</f>
        <v>52</v>
      </c>
      <c r="R458" s="6">
        <f>INT(SUBSTITUTE(Working_Sales[[#This Row],[Age_Whitespace_Removed]],".",","))</f>
        <v>52</v>
      </c>
      <c r="S458" t="s">
        <v>56</v>
      </c>
      <c r="T458" s="2" t="str">
        <f>CLEAN(TRIM(Working_Sales[[#This Row],[Product Category]]))</f>
        <v>Clothing</v>
      </c>
      <c r="U458" s="6" t="str">
        <f>PROPER(Working_Sales[[#This Row],[Product_Category_Whitespace_Removed]])</f>
        <v>Clothing</v>
      </c>
      <c r="V458" t="s">
        <v>14</v>
      </c>
      <c r="W458" s="2" t="str">
        <f>CLEAN(TRIM(Working_Sales[[#This Row],[Quantity]]))</f>
        <v>4</v>
      </c>
      <c r="X458" s="2">
        <f>INT(Working_Sales[[#This Row],[`]])</f>
        <v>4</v>
      </c>
      <c r="Y458" s="6">
        <f>IFERROR(
   Working_Sales[[#This Row],[Quantity_Converted_To_Integer]],
   Working_Sales[[#This Row],[Total_Amount_Whitespace_Removed]]/Working_Sales[[#This Row],[Price_Per_Unit_Decimal_Separator_Fixed]])</f>
        <v>4</v>
      </c>
      <c r="Z458" t="s">
        <v>70</v>
      </c>
      <c r="AA458" s="2" t="str">
        <f>CLEAN(TRIM(Working_Sales[[#This Row],[Price per Unit]]))</f>
        <v>30</v>
      </c>
      <c r="AB458" s="2">
        <f>INT(
   SUBSTITUTE(Working_Sales[[#This Row],[Price_Per_Unit_Whitespace_Removed]],
   "$",
   ""
   )
)</f>
        <v>30</v>
      </c>
      <c r="AC458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458" s="8">
        <f>IFERROR(
   Working_Sales[[#This Row],[Price_Per_Unit_Decimal_Separator_Fixed]],
   Working_Sales[[#This Row],[Total_Amount_Converted_To_Integer]]/Working_Sales[[#This Row],[Quantity_Converted_To_Integer]]
)</f>
        <v>30</v>
      </c>
      <c r="AE458" t="s">
        <v>44</v>
      </c>
      <c r="AF458" s="2" t="str">
        <f>CLEAN(TRIM(Working_Sales[[#This Row],[Total Amount]]))</f>
        <v>120</v>
      </c>
      <c r="AG458" s="2">
        <f>INT(Working_Sales[[#This Row],[Total_Amount_Whitespace_Removed]])</f>
        <v>120</v>
      </c>
      <c r="AH45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459" spans="1:34" x14ac:dyDescent="0.35">
      <c r="A459" t="s">
        <v>1022</v>
      </c>
      <c r="B459" s="6" t="str">
        <f>CLEAN(TRIM(Working_Sales[[#This Row],[Transaction ID]]))</f>
        <v>249</v>
      </c>
      <c r="C459" t="s">
        <v>1023</v>
      </c>
      <c r="D459" s="2" t="str">
        <f>CLEAN(TRIM(Working_Sales[[#This Row],[Date]]))</f>
        <v>10/20/2023</v>
      </c>
      <c r="E459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45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45219</v>
      </c>
      <c r="G45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45219</v>
      </c>
      <c r="H459" t="s">
        <v>2705</v>
      </c>
      <c r="I459" s="2" t="str">
        <f>CLEAN(TRIM(Working_Sales[[#This Row],[Customer ID]]))</f>
        <v>CUST121</v>
      </c>
      <c r="J45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CUST121</v>
      </c>
      <c r="K45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CUST121</v>
      </c>
      <c r="L459" t="s">
        <v>34</v>
      </c>
      <c r="M459" s="4" t="str">
        <f>CLEAN(TRIM(Working_Sales[[#This Row],[Gender]]))</f>
        <v>Male</v>
      </c>
      <c r="N459" s="4" t="str" cm="1">
        <f t="array" ref="N459">_xlfn.SWITCH(
   Working_Sales[[#This Row],[Gender_Whitespace_Removed]],
   "m", "Male",
   "f", "Female",
   Working_Sales[[#This Row],[Gender_Whitespace_Removed]]
)</f>
        <v>Male</v>
      </c>
      <c r="O459" s="6" t="str">
        <f>PROPER(Working_Sales[[#This Row],[Gender_Abbreviation_Expanded]])</f>
        <v>Male</v>
      </c>
      <c r="P459">
        <v>20</v>
      </c>
      <c r="Q459" s="2" t="str">
        <f>CLEAN(TRIM(Working_Sales[[#This Row],[Age]]))</f>
        <v>20</v>
      </c>
      <c r="R459" s="6">
        <f>INT(SUBSTITUTE(Working_Sales[[#This Row],[Age_Whitespace_Removed]],".",","))</f>
        <v>20</v>
      </c>
      <c r="S459" t="s">
        <v>124</v>
      </c>
      <c r="T459" s="2" t="str">
        <f>CLEAN(TRIM(Working_Sales[[#This Row],[Product Category]]))</f>
        <v>Clothing</v>
      </c>
      <c r="U459" s="6" t="str">
        <f>PROPER(Working_Sales[[#This Row],[Product_Category_Whitespace_Removed]])</f>
        <v>Clothing</v>
      </c>
      <c r="V459" t="s">
        <v>22</v>
      </c>
      <c r="W459" s="2" t="str">
        <f>CLEAN(TRIM(Working_Sales[[#This Row],[Quantity]]))</f>
        <v>1</v>
      </c>
      <c r="X459" s="2">
        <f>INT(Working_Sales[[#This Row],[`]])</f>
        <v>1</v>
      </c>
      <c r="Y459" s="6">
        <f>IFERROR(
   Working_Sales[[#This Row],[Quantity_Converted_To_Integer]],
   Working_Sales[[#This Row],[Total_Amount_Whitespace_Removed]]/Working_Sales[[#This Row],[Price_Per_Unit_Decimal_Separator_Fixed]])</f>
        <v>1</v>
      </c>
      <c r="Z459" t="s">
        <v>96</v>
      </c>
      <c r="AA459" s="2" t="str">
        <f>CLEAN(TRIM(Working_Sales[[#This Row],[Price per Unit]]))</f>
        <v>$50</v>
      </c>
      <c r="AB459" s="2">
        <f>INT(
   SUBSTITUTE(Working_Sales[[#This Row],[Price_Per_Unit_Whitespace_Removed]],
   "$",
   ""
   )
)</f>
        <v>50</v>
      </c>
      <c r="AC459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459" s="8">
        <f>IFERROR(
   Working_Sales[[#This Row],[Price_Per_Unit_Decimal_Separator_Fixed]],
   Working_Sales[[#This Row],[Total_Amount_Converted_To_Integer]]/Working_Sales[[#This Row],[Quantity_Converted_To_Integer]]
)</f>
        <v>50</v>
      </c>
      <c r="AE459" t="s">
        <v>15</v>
      </c>
      <c r="AF459" s="2" t="str">
        <f>CLEAN(TRIM(Working_Sales[[#This Row],[Total Amount]]))</f>
        <v>50</v>
      </c>
      <c r="AG459" s="2">
        <f>INT(Working_Sales[[#This Row],[Total_Amount_Whitespace_Removed]])</f>
        <v>50</v>
      </c>
      <c r="AH45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460" spans="1:34" x14ac:dyDescent="0.35">
      <c r="A460" t="s">
        <v>1024</v>
      </c>
      <c r="B460" s="6" t="str">
        <f>CLEAN(TRIM(Working_Sales[[#This Row],[Transaction ID]]))</f>
        <v>250</v>
      </c>
      <c r="C460" t="s">
        <v>1025</v>
      </c>
      <c r="D460" s="2" t="str">
        <f>CLEAN(TRIM(Working_Sales[[#This Row],[Date]]))</f>
        <v>2023-10-23</v>
      </c>
      <c r="E46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45222</v>
      </c>
      <c r="F46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45222</v>
      </c>
      <c r="G46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45222</v>
      </c>
      <c r="H460" t="s">
        <v>2706</v>
      </c>
      <c r="I460" s="2" t="str">
        <f>CLEAN(TRIM(Working_Sales[[#This Row],[Customer ID]]))</f>
        <v>CUST333</v>
      </c>
      <c r="J46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CUST333</v>
      </c>
      <c r="K46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CUST333</v>
      </c>
      <c r="L460" t="s">
        <v>34</v>
      </c>
      <c r="M460" s="4" t="str">
        <f>CLEAN(TRIM(Working_Sales[[#This Row],[Gender]]))</f>
        <v>Male</v>
      </c>
      <c r="N460" s="4" t="str" cm="1">
        <f t="array" ref="N460">_xlfn.SWITCH(
   Working_Sales[[#This Row],[Gender_Whitespace_Removed]],
   "m", "Male",
   "f", "Female",
   Working_Sales[[#This Row],[Gender_Whitespace_Removed]]
)</f>
        <v>Male</v>
      </c>
      <c r="O460" s="6" t="str">
        <f>PROPER(Working_Sales[[#This Row],[Gender_Abbreviation_Expanded]])</f>
        <v>Male</v>
      </c>
      <c r="P460">
        <v>48</v>
      </c>
      <c r="Q460" s="2" t="str">
        <f>CLEAN(TRIM(Working_Sales[[#This Row],[Age]]))</f>
        <v>48</v>
      </c>
      <c r="R460" s="6">
        <f>INT(SUBSTITUTE(Working_Sales[[#This Row],[Age_Whitespace_Removed]],".",","))</f>
        <v>48</v>
      </c>
      <c r="S460" t="s">
        <v>109</v>
      </c>
      <c r="T460" s="2" t="str">
        <f>CLEAN(TRIM(Working_Sales[[#This Row],[Product Category]]))</f>
        <v>Electronics</v>
      </c>
      <c r="U460" s="6" t="str">
        <f>PROPER(Working_Sales[[#This Row],[Product_Category_Whitespace_Removed]])</f>
        <v>Electronics</v>
      </c>
      <c r="V460" t="s">
        <v>22</v>
      </c>
      <c r="W460" s="2" t="str">
        <f>CLEAN(TRIM(Working_Sales[[#This Row],[Quantity]]))</f>
        <v>1</v>
      </c>
      <c r="X460" s="2">
        <f>INT(Working_Sales[[#This Row],[`]])</f>
        <v>1</v>
      </c>
      <c r="Y460" s="6">
        <f>IFERROR(
   Working_Sales[[#This Row],[Quantity_Converted_To_Integer]],
   Working_Sales[[#This Row],[Total_Amount_Whitespace_Removed]]/Working_Sales[[#This Row],[Price_Per_Unit_Decimal_Separator_Fixed]])</f>
        <v>1</v>
      </c>
      <c r="Z460" t="s">
        <v>96</v>
      </c>
      <c r="AA460" s="2" t="str">
        <f>CLEAN(TRIM(Working_Sales[[#This Row],[Price per Unit]]))</f>
        <v>$50</v>
      </c>
      <c r="AB460" s="2">
        <f>INT(
   SUBSTITUTE(Working_Sales[[#This Row],[Price_Per_Unit_Whitespace_Removed]],
   "$",
   ""
   )
)</f>
        <v>50</v>
      </c>
      <c r="AC460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460" s="8">
        <f>IFERROR(
   Working_Sales[[#This Row],[Price_Per_Unit_Decimal_Separator_Fixed]],
   Working_Sales[[#This Row],[Total_Amount_Converted_To_Integer]]/Working_Sales[[#This Row],[Quantity_Converted_To_Integer]]
)</f>
        <v>50</v>
      </c>
      <c r="AE460" t="s">
        <v>15</v>
      </c>
      <c r="AF460" s="2" t="str">
        <f>CLEAN(TRIM(Working_Sales[[#This Row],[Total Amount]]))</f>
        <v>50</v>
      </c>
      <c r="AG460" s="2">
        <f>INT(Working_Sales[[#This Row],[Total_Amount_Whitespace_Removed]])</f>
        <v>50</v>
      </c>
      <c r="AH46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461" spans="1:34" x14ac:dyDescent="0.35">
      <c r="A461" t="s">
        <v>1027</v>
      </c>
      <c r="B461" s="6" t="str">
        <f>CLEAN(TRIM(Working_Sales[[#This Row],[Transaction ID]]))</f>
        <v>359</v>
      </c>
      <c r="C461" t="s">
        <v>214</v>
      </c>
      <c r="D461" s="2" t="str">
        <f>CLEAN(TRIM(Working_Sales[[#This Row],[Date]]))</f>
        <v>2023-07-22</v>
      </c>
      <c r="E46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45129</v>
      </c>
      <c r="F46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45129</v>
      </c>
      <c r="G46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45129</v>
      </c>
      <c r="H461" t="s">
        <v>2707</v>
      </c>
      <c r="I461" s="2" t="str">
        <f>CLEAN(TRIM(Working_Sales[[#This Row],[Customer ID]]))</f>
        <v>CUST334</v>
      </c>
      <c r="J46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CUST334</v>
      </c>
      <c r="K46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CUST334</v>
      </c>
      <c r="L461" t="s">
        <v>34</v>
      </c>
      <c r="M461" s="4" t="str">
        <f>CLEAN(TRIM(Working_Sales[[#This Row],[Gender]]))</f>
        <v>Male</v>
      </c>
      <c r="N461" s="4" t="str" cm="1">
        <f t="array" ref="N461">_xlfn.SWITCH(
   Working_Sales[[#This Row],[Gender_Whitespace_Removed]],
   "m", "Male",
   "f", "Female",
   Working_Sales[[#This Row],[Gender_Whitespace_Removed]]
)</f>
        <v>Male</v>
      </c>
      <c r="O461" s="6" t="str">
        <f>PROPER(Working_Sales[[#This Row],[Gender_Abbreviation_Expanded]])</f>
        <v>Male</v>
      </c>
      <c r="P461">
        <v>50</v>
      </c>
      <c r="Q461" s="2" t="str">
        <f>CLEAN(TRIM(Working_Sales[[#This Row],[Age]]))</f>
        <v>50</v>
      </c>
      <c r="R461" s="6">
        <f>INT(SUBSTITUTE(Working_Sales[[#This Row],[Age_Whitespace_Removed]],".",","))</f>
        <v>50</v>
      </c>
      <c r="S461" t="s">
        <v>56</v>
      </c>
      <c r="T461" s="2" t="str">
        <f>CLEAN(TRIM(Working_Sales[[#This Row],[Product Category]]))</f>
        <v>Clothing</v>
      </c>
      <c r="U461" s="6" t="str">
        <f>PROPER(Working_Sales[[#This Row],[Product_Category_Whitespace_Removed]])</f>
        <v>Clothing</v>
      </c>
      <c r="V461" t="s">
        <v>22</v>
      </c>
      <c r="W461" s="2" t="str">
        <f>CLEAN(TRIM(Working_Sales[[#This Row],[Quantity]]))</f>
        <v>1</v>
      </c>
      <c r="X461" s="2">
        <f>INT(Working_Sales[[#This Row],[`]])</f>
        <v>1</v>
      </c>
      <c r="Y461" s="6">
        <f>IFERROR(
   Working_Sales[[#This Row],[Quantity_Converted_To_Integer]],
   Working_Sales[[#This Row],[Total_Amount_Whitespace_Removed]]/Working_Sales[[#This Row],[Price_Per_Unit_Decimal_Separator_Fixed]])</f>
        <v>1</v>
      </c>
      <c r="Z461" t="s">
        <v>15</v>
      </c>
      <c r="AA461" s="2" t="str">
        <f>CLEAN(TRIM(Working_Sales[[#This Row],[Price per Unit]]))</f>
        <v>50</v>
      </c>
      <c r="AB461" s="2">
        <f>INT(
   SUBSTITUTE(Working_Sales[[#This Row],[Price_Per_Unit_Whitespace_Removed]],
   "$",
   ""
   )
)</f>
        <v>50</v>
      </c>
      <c r="AC461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461" s="8">
        <f>IFERROR(
   Working_Sales[[#This Row],[Price_Per_Unit_Decimal_Separator_Fixed]],
   Working_Sales[[#This Row],[Total_Amount_Converted_To_Integer]]/Working_Sales[[#This Row],[Quantity_Converted_To_Integer]]
)</f>
        <v>50</v>
      </c>
      <c r="AE461" t="s">
        <v>15</v>
      </c>
      <c r="AF461" s="2" t="str">
        <f>CLEAN(TRIM(Working_Sales[[#This Row],[Total Amount]]))</f>
        <v>50</v>
      </c>
      <c r="AG461" s="2">
        <f>INT(Working_Sales[[#This Row],[Total_Amount_Whitespace_Removed]])</f>
        <v>50</v>
      </c>
      <c r="AH46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462" spans="1:34" x14ac:dyDescent="0.35">
      <c r="A462" t="s">
        <v>1028</v>
      </c>
      <c r="B462" s="6" t="str">
        <f>CLEAN(TRIM(Working_Sales[[#This Row],[Transaction ID]]))</f>
        <v>485</v>
      </c>
      <c r="C462" t="s">
        <v>1416</v>
      </c>
      <c r="D462" s="2" t="str">
        <f>CLEAN(TRIM(Working_Sales[[#This Row],[Date]]))</f>
        <v>December 04, 2023</v>
      </c>
      <c r="E462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462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46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45264</v>
      </c>
      <c r="H462" t="s">
        <v>2708</v>
      </c>
      <c r="I462" s="2" t="str">
        <f>CLEAN(TRIM(Working_Sales[[#This Row],[Customer ID]]))</f>
        <v>CUST292</v>
      </c>
      <c r="J46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CUST292</v>
      </c>
      <c r="K46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CUST292</v>
      </c>
      <c r="L462" t="s">
        <v>34</v>
      </c>
      <c r="M462" s="4" t="str">
        <f>CLEAN(TRIM(Working_Sales[[#This Row],[Gender]]))</f>
        <v>Male</v>
      </c>
      <c r="N462" s="4" t="str" cm="1">
        <f t="array" ref="N462">_xlfn.SWITCH(
   Working_Sales[[#This Row],[Gender_Whitespace_Removed]],
   "m", "Male",
   "f", "Female",
   Working_Sales[[#This Row],[Gender_Whitespace_Removed]]
)</f>
        <v>Male</v>
      </c>
      <c r="O462" s="6" t="str">
        <f>PROPER(Working_Sales[[#This Row],[Gender_Abbreviation_Expanded]])</f>
        <v>Male</v>
      </c>
      <c r="P462">
        <v>24</v>
      </c>
      <c r="Q462" s="2" t="str">
        <f>CLEAN(TRIM(Working_Sales[[#This Row],[Age]]))</f>
        <v>24</v>
      </c>
      <c r="R462" s="6">
        <f>INT(SUBSTITUTE(Working_Sales[[#This Row],[Age_Whitespace_Removed]],".",","))</f>
        <v>24</v>
      </c>
      <c r="S462" t="s">
        <v>117</v>
      </c>
      <c r="T462" s="2" t="str">
        <f>CLEAN(TRIM(Working_Sales[[#This Row],[Product Category]]))</f>
        <v>Electronics</v>
      </c>
      <c r="U462" s="6" t="str">
        <f>PROPER(Working_Sales[[#This Row],[Product_Category_Whitespace_Removed]])</f>
        <v>Electronics</v>
      </c>
      <c r="V462" t="s">
        <v>22</v>
      </c>
      <c r="W462" s="2" t="str">
        <f>CLEAN(TRIM(Working_Sales[[#This Row],[Quantity]]))</f>
        <v>1</v>
      </c>
      <c r="X462" s="2">
        <f>INT(Working_Sales[[#This Row],[`]])</f>
        <v>1</v>
      </c>
      <c r="Y462" s="6">
        <f>IFERROR(
   Working_Sales[[#This Row],[Quantity_Converted_To_Integer]],
   Working_Sales[[#This Row],[Total_Amount_Whitespace_Removed]]/Working_Sales[[#This Row],[Price_Per_Unit_Decimal_Separator_Fixed]])</f>
        <v>1</v>
      </c>
      <c r="Z462" t="s">
        <v>70</v>
      </c>
      <c r="AA462" s="2" t="str">
        <f>CLEAN(TRIM(Working_Sales[[#This Row],[Price per Unit]]))</f>
        <v>30</v>
      </c>
      <c r="AB462" s="2">
        <f>INT(
   SUBSTITUTE(Working_Sales[[#This Row],[Price_Per_Unit_Whitespace_Removed]],
   "$",
   ""
   )
)</f>
        <v>30</v>
      </c>
      <c r="AC462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462" s="8">
        <f>IFERROR(
   Working_Sales[[#This Row],[Price_Per_Unit_Decimal_Separator_Fixed]],
   Working_Sales[[#This Row],[Total_Amount_Converted_To_Integer]]/Working_Sales[[#This Row],[Quantity_Converted_To_Integer]]
)</f>
        <v>30</v>
      </c>
      <c r="AE462" t="s">
        <v>70</v>
      </c>
      <c r="AF462" s="2" t="str">
        <f>CLEAN(TRIM(Working_Sales[[#This Row],[Total Amount]]))</f>
        <v>30</v>
      </c>
      <c r="AG462" s="2">
        <f>INT(Working_Sales[[#This Row],[Total_Amount_Whitespace_Removed]])</f>
        <v>30</v>
      </c>
      <c r="AH46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463" spans="1:34" x14ac:dyDescent="0.35">
      <c r="A463" t="s">
        <v>1030</v>
      </c>
      <c r="B463" s="6" t="str">
        <f>CLEAN(TRIM(Working_Sales[[#This Row],[Transaction ID]]))</f>
        <v>442</v>
      </c>
      <c r="C463" t="s">
        <v>1031</v>
      </c>
      <c r="D463" s="2" t="str">
        <f>CLEAN(TRIM(Working_Sales[[#This Row],[Date]]))</f>
        <v>March 17, 2023</v>
      </c>
      <c r="E463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463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46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45002</v>
      </c>
      <c r="H463" t="s">
        <v>2709</v>
      </c>
      <c r="I463" s="2" t="str">
        <f>CLEAN(TRIM(Working_Sales[[#This Row],[Customer ID]]))</f>
        <v>CUST293</v>
      </c>
      <c r="J46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CUST293</v>
      </c>
      <c r="K46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CUST293</v>
      </c>
      <c r="L463" t="s">
        <v>26</v>
      </c>
      <c r="M463" s="4" t="str">
        <f>CLEAN(TRIM(Working_Sales[[#This Row],[Gender]]))</f>
        <v>Female</v>
      </c>
      <c r="N463" s="4" t="str" cm="1">
        <f t="array" ref="N463">_xlfn.SWITCH(
   Working_Sales[[#This Row],[Gender_Whitespace_Removed]],
   "m", "Male",
   "f", "Female",
   Working_Sales[[#This Row],[Gender_Whitespace_Removed]]
)</f>
        <v>Female</v>
      </c>
      <c r="O463" s="6" t="str">
        <f>PROPER(Working_Sales[[#This Row],[Gender_Abbreviation_Expanded]])</f>
        <v>Female</v>
      </c>
      <c r="P463">
        <v>60</v>
      </c>
      <c r="Q463" s="2" t="str">
        <f>CLEAN(TRIM(Working_Sales[[#This Row],[Age]]))</f>
        <v>60</v>
      </c>
      <c r="R463" s="6">
        <f>INT(SUBSTITUTE(Working_Sales[[#This Row],[Age_Whitespace_Removed]],".",","))</f>
        <v>60</v>
      </c>
      <c r="S463" t="s">
        <v>28</v>
      </c>
      <c r="T463" s="2" t="str">
        <f>CLEAN(TRIM(Working_Sales[[#This Row],[Product Category]]))</f>
        <v>clothing</v>
      </c>
      <c r="U463" s="6" t="str">
        <f>PROPER(Working_Sales[[#This Row],[Product_Category_Whitespace_Removed]])</f>
        <v>Clothing</v>
      </c>
      <c r="V463" t="s">
        <v>14</v>
      </c>
      <c r="W463" s="2" t="str">
        <f>CLEAN(TRIM(Working_Sales[[#This Row],[Quantity]]))</f>
        <v>4</v>
      </c>
      <c r="X463" s="2">
        <f>INT(Working_Sales[[#This Row],[`]])</f>
        <v>4</v>
      </c>
      <c r="Y463" s="6">
        <f>IFERROR(
   Working_Sales[[#This Row],[Quantity_Converted_To_Integer]],
   Working_Sales[[#This Row],[Total_Amount_Whitespace_Removed]]/Working_Sales[[#This Row],[Price_Per_Unit_Decimal_Separator_Fixed]])</f>
        <v>4</v>
      </c>
      <c r="Z463" t="s">
        <v>30</v>
      </c>
      <c r="AA463" s="2" t="str">
        <f>CLEAN(TRIM(Working_Sales[[#This Row],[Price per Unit]]))</f>
        <v>25</v>
      </c>
      <c r="AB463" s="2">
        <f>INT(
   SUBSTITUTE(Working_Sales[[#This Row],[Price_Per_Unit_Whitespace_Removed]],
   "$",
   ""
   )
)</f>
        <v>25</v>
      </c>
      <c r="AC463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463" s="8">
        <f>IFERROR(
   Working_Sales[[#This Row],[Price_Per_Unit_Decimal_Separator_Fixed]],
   Working_Sales[[#This Row],[Total_Amount_Converted_To_Integer]]/Working_Sales[[#This Row],[Quantity_Converted_To_Integer]]
)</f>
        <v>25</v>
      </c>
      <c r="AE463" t="s">
        <v>38</v>
      </c>
      <c r="AF463" s="2" t="str">
        <f>CLEAN(TRIM(Working_Sales[[#This Row],[Total Amount]]))</f>
        <v>100</v>
      </c>
      <c r="AG463" s="2">
        <f>INT(Working_Sales[[#This Row],[Total_Amount_Whitespace_Removed]])</f>
        <v>100</v>
      </c>
      <c r="AH46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464" spans="1:34" x14ac:dyDescent="0.35">
      <c r="A464" t="s">
        <v>1033</v>
      </c>
      <c r="B464" s="6" t="str">
        <f>CLEAN(TRIM(Working_Sales[[#This Row],[Transaction ID]]))</f>
        <v>826</v>
      </c>
      <c r="C464" t="s">
        <v>884</v>
      </c>
      <c r="D464" s="2" t="str">
        <f>CLEAN(TRIM(Working_Sales[[#This Row],[Date]]))</f>
        <v>19/10/2023</v>
      </c>
      <c r="E46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45218</v>
      </c>
      <c r="F46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45218</v>
      </c>
      <c r="G46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45218</v>
      </c>
      <c r="H464" t="s">
        <v>2710</v>
      </c>
      <c r="I464" s="2" t="str">
        <f>CLEAN(TRIM(Working_Sales[[#This Row],[Customer ID]]))</f>
        <v>CUST224</v>
      </c>
      <c r="J46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6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CUST224</v>
      </c>
      <c r="L464" t="s">
        <v>46</v>
      </c>
      <c r="M464" s="4" t="str">
        <f>CLEAN(TRIM(Working_Sales[[#This Row],[Gender]]))</f>
        <v>F</v>
      </c>
      <c r="N464" s="4" t="str" cm="1">
        <f t="array" ref="N464">_xlfn.SWITCH(
   Working_Sales[[#This Row],[Gender_Whitespace_Removed]],
   "m", "Male",
   "f", "Female",
   Working_Sales[[#This Row],[Gender_Whitespace_Removed]]
)</f>
        <v>Female</v>
      </c>
      <c r="O464" s="6" t="str">
        <f>PROPER(Working_Sales[[#This Row],[Gender_Abbreviation_Expanded]])</f>
        <v>Female</v>
      </c>
      <c r="P464">
        <v>46</v>
      </c>
      <c r="Q464" s="2" t="str">
        <f>CLEAN(TRIM(Working_Sales[[#This Row],[Age]]))</f>
        <v>46</v>
      </c>
      <c r="R464" s="6">
        <f>INT(SUBSTITUTE(Working_Sales[[#This Row],[Age_Whitespace_Removed]],".",","))</f>
        <v>46</v>
      </c>
      <c r="S464" t="s">
        <v>56</v>
      </c>
      <c r="T464" s="2" t="str">
        <f>CLEAN(TRIM(Working_Sales[[#This Row],[Product Category]]))</f>
        <v>Clothing</v>
      </c>
      <c r="U464" s="6" t="str">
        <f>PROPER(Working_Sales[[#This Row],[Product_Category_Whitespace_Removed]])</f>
        <v>Clothing</v>
      </c>
      <c r="V464" t="s">
        <v>22</v>
      </c>
      <c r="W464" s="2" t="str">
        <f>CLEAN(TRIM(Working_Sales[[#This Row],[Quantity]]))</f>
        <v>1</v>
      </c>
      <c r="X464" s="2">
        <f>INT(Working_Sales[[#This Row],[`]])</f>
        <v>1</v>
      </c>
      <c r="Y464" s="6">
        <f>IFERROR(
   Working_Sales[[#This Row],[Quantity_Converted_To_Integer]],
   Working_Sales[[#This Row],[Total_Amount_Whitespace_Removed]]/Working_Sales[[#This Row],[Price_Per_Unit_Decimal_Separator_Fixed]])</f>
        <v>1</v>
      </c>
      <c r="Z464" t="s">
        <v>23</v>
      </c>
      <c r="AA464" s="2" t="str">
        <f>CLEAN(TRIM(Working_Sales[[#This Row],[Price per Unit]]))</f>
        <v>300</v>
      </c>
      <c r="AB464" s="2">
        <f>INT(
   SUBSTITUTE(Working_Sales[[#This Row],[Price_Per_Unit_Whitespace_Removed]],
   "$",
   ""
   )
)</f>
        <v>300</v>
      </c>
      <c r="AC464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464" s="8">
        <f>IFERROR(
   Working_Sales[[#This Row],[Price_Per_Unit_Decimal_Separator_Fixed]],
   Working_Sales[[#This Row],[Total_Amount_Converted_To_Integer]]/Working_Sales[[#This Row],[Quantity_Converted_To_Integer]]
)</f>
        <v>300</v>
      </c>
      <c r="AE464" t="s">
        <v>23</v>
      </c>
      <c r="AF464" s="2" t="str">
        <f>CLEAN(TRIM(Working_Sales[[#This Row],[Total Amount]]))</f>
        <v>300</v>
      </c>
      <c r="AG464" s="2">
        <f>INT(Working_Sales[[#This Row],[Total_Amount_Whitespace_Removed]])</f>
        <v>300</v>
      </c>
      <c r="AH46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465" spans="1:34" x14ac:dyDescent="0.35">
      <c r="A465" t="s">
        <v>1034</v>
      </c>
      <c r="B465" s="6" t="str">
        <f>CLEAN(TRIM(Working_Sales[[#This Row],[Transaction ID]]))</f>
        <v>860</v>
      </c>
      <c r="C465" t="s">
        <v>2100</v>
      </c>
      <c r="D465" s="2" t="str">
        <f>CLEAN(TRIM(Working_Sales[[#This Row],[Date]]))</f>
        <v>09-Jan-2023</v>
      </c>
      <c r="E46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44935</v>
      </c>
      <c r="F46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44935</v>
      </c>
      <c r="G46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44935</v>
      </c>
      <c r="H465" t="s">
        <v>2711</v>
      </c>
      <c r="I465" s="2" t="str">
        <f>CLEAN(TRIM(Working_Sales[[#This Row],[Customer ID]]))</f>
        <v>Cust319</v>
      </c>
      <c r="J46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6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CUST319</v>
      </c>
      <c r="L465" t="s">
        <v>34</v>
      </c>
      <c r="M465" s="4" t="str">
        <f>CLEAN(TRIM(Working_Sales[[#This Row],[Gender]]))</f>
        <v>Male</v>
      </c>
      <c r="N465" s="4" t="str" cm="1">
        <f t="array" ref="N465">_xlfn.SWITCH(
   Working_Sales[[#This Row],[Gender_Whitespace_Removed]],
   "m", "Male",
   "f", "Female",
   Working_Sales[[#This Row],[Gender_Whitespace_Removed]]
)</f>
        <v>Male</v>
      </c>
      <c r="O465" s="6" t="str">
        <f>PROPER(Working_Sales[[#This Row],[Gender_Abbreviation_Expanded]])</f>
        <v>Male</v>
      </c>
      <c r="P465" t="s">
        <v>845</v>
      </c>
      <c r="Q465" s="2" t="str">
        <f>CLEAN(TRIM(Working_Sales[[#This Row],[Age]]))</f>
        <v>63.0</v>
      </c>
      <c r="R465" s="6">
        <f>INT(SUBSTITUTE(Working_Sales[[#This Row],[Age_Whitespace_Removed]],".",","))</f>
        <v>63</v>
      </c>
      <c r="S465" t="s">
        <v>56</v>
      </c>
      <c r="T465" s="2" t="str">
        <f>CLEAN(TRIM(Working_Sales[[#This Row],[Product Category]]))</f>
        <v>Clothing</v>
      </c>
      <c r="U465" s="6" t="str">
        <f>PROPER(Working_Sales[[#This Row],[Product_Category_Whitespace_Removed]])</f>
        <v>Clothing</v>
      </c>
      <c r="V465" t="s">
        <v>14</v>
      </c>
      <c r="W465" s="2" t="str">
        <f>CLEAN(TRIM(Working_Sales[[#This Row],[Quantity]]))</f>
        <v>4</v>
      </c>
      <c r="X465" s="2">
        <f>INT(Working_Sales[[#This Row],[`]])</f>
        <v>4</v>
      </c>
      <c r="Y465" s="6">
        <f>IFERROR(
   Working_Sales[[#This Row],[Quantity_Converted_To_Integer]],
   Working_Sales[[#This Row],[Total_Amount_Whitespace_Removed]]/Working_Sales[[#This Row],[Price_Per_Unit_Decimal_Separator_Fixed]])</f>
        <v>4</v>
      </c>
      <c r="AA465" s="2" t="str">
        <f>CLEAN(TRIM(Working_Sales[[#This Row],[Price per Unit]]))</f>
        <v/>
      </c>
      <c r="AB465" s="2" t="e">
        <f>INT(
   SUBSTITUTE(Working_Sales[[#This Row],[Price_Per_Unit_Whitespace_Removed]],
   "$",
   ""
   )
)</f>
        <v>#VALUE!</v>
      </c>
      <c r="AC465" s="2" t="e">
        <f>INT(
   IFERROR(
      Working_Sales[[#This Row],[Price_Per_Unit_Dollar_Sign_Removed]],
      SUBSTITUTE(
         Working_Sales[[#This Row],[Price_Per_Unit_Whitespace_Removed]],
        ".",
         ","
      )
   )
)</f>
        <v>#VALUE!</v>
      </c>
      <c r="AD465" s="8">
        <f>IFERROR(
   Working_Sales[[#This Row],[Price_Per_Unit_Decimal_Separator_Fixed]],
   Working_Sales[[#This Row],[Total_Amount_Converted_To_Integer]]/Working_Sales[[#This Row],[Quantity_Converted_To_Integer]]
)</f>
        <v>50</v>
      </c>
      <c r="AE465" t="s">
        <v>16</v>
      </c>
      <c r="AF465" s="2" t="str">
        <f>CLEAN(TRIM(Working_Sales[[#This Row],[Total Amount]]))</f>
        <v>200</v>
      </c>
      <c r="AG465" s="2">
        <f>INT(Working_Sales[[#This Row],[Total_Amount_Whitespace_Removed]])</f>
        <v>200</v>
      </c>
      <c r="AH46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466" spans="1:34" x14ac:dyDescent="0.35">
      <c r="A466" t="s">
        <v>170</v>
      </c>
      <c r="B466" s="6" t="str">
        <f>CLEAN(TRIM(Working_Sales[[#This Row],[Transaction ID]]))</f>
        <v>31</v>
      </c>
      <c r="C466" t="s">
        <v>1084</v>
      </c>
      <c r="D466" s="2" t="str">
        <f>CLEAN(TRIM(Working_Sales[[#This Row],[Date]]))</f>
        <v>05/23/2023</v>
      </c>
      <c r="E466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46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45069</v>
      </c>
      <c r="G46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45069</v>
      </c>
      <c r="H466" t="s">
        <v>2712</v>
      </c>
      <c r="I466" s="2" t="str">
        <f>CLEAN(TRIM(Working_Sales[[#This Row],[Customer ID]]))</f>
        <v>CUST-163</v>
      </c>
      <c r="J46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6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CUST163</v>
      </c>
      <c r="L466" t="s">
        <v>34</v>
      </c>
      <c r="M466" s="4" t="str">
        <f>CLEAN(TRIM(Working_Sales[[#This Row],[Gender]]))</f>
        <v>Male</v>
      </c>
      <c r="N466" s="4" t="str" cm="1">
        <f t="array" ref="N466">_xlfn.SWITCH(
   Working_Sales[[#This Row],[Gender_Whitespace_Removed]],
   "m", "Male",
   "f", "Female",
   Working_Sales[[#This Row],[Gender_Whitespace_Removed]]
)</f>
        <v>Male</v>
      </c>
      <c r="O466" s="6" t="str">
        <f>PROPER(Working_Sales[[#This Row],[Gender_Abbreviation_Expanded]])</f>
        <v>Male</v>
      </c>
      <c r="P466">
        <v>44</v>
      </c>
      <c r="Q466" s="2" t="str">
        <f>CLEAN(TRIM(Working_Sales[[#This Row],[Age]]))</f>
        <v>44</v>
      </c>
      <c r="R466" s="6">
        <f>INT(SUBSTITUTE(Working_Sales[[#This Row],[Age_Whitespace_Removed]],".",","))</f>
        <v>44</v>
      </c>
      <c r="S466" t="s">
        <v>109</v>
      </c>
      <c r="T466" s="2" t="str">
        <f>CLEAN(TRIM(Working_Sales[[#This Row],[Product Category]]))</f>
        <v>Electronics</v>
      </c>
      <c r="U466" s="6" t="str">
        <f>PROPER(Working_Sales[[#This Row],[Product_Category_Whitespace_Removed]])</f>
        <v>Electronics</v>
      </c>
      <c r="V466" t="s">
        <v>14</v>
      </c>
      <c r="W466" s="2" t="str">
        <f>CLEAN(TRIM(Working_Sales[[#This Row],[Quantity]]))</f>
        <v>4</v>
      </c>
      <c r="X466" s="2">
        <f>INT(Working_Sales[[#This Row],[`]])</f>
        <v>4</v>
      </c>
      <c r="Y466" s="6">
        <f>IFERROR(
   Working_Sales[[#This Row],[Quantity_Converted_To_Integer]],
   Working_Sales[[#This Row],[Total_Amount_Whitespace_Removed]]/Working_Sales[[#This Row],[Price_Per_Unit_Decimal_Separator_Fixed]])</f>
        <v>4</v>
      </c>
      <c r="Z466" t="s">
        <v>288</v>
      </c>
      <c r="AA466" s="2" t="str">
        <f>CLEAN(TRIM(Working_Sales[[#This Row],[Price per Unit]]))</f>
        <v>300.00</v>
      </c>
      <c r="AB466" s="2" t="e">
        <f>INT(
   SUBSTITUTE(Working_Sales[[#This Row],[Price_Per_Unit_Whitespace_Removed]],
   "$",
   ""
   )
)</f>
        <v>#VALUE!</v>
      </c>
      <c r="AC466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466" s="8">
        <f>IFERROR(
   Working_Sales[[#This Row],[Price_Per_Unit_Decimal_Separator_Fixed]],
   Working_Sales[[#This Row],[Total_Amount_Converted_To_Integer]]/Working_Sales[[#This Row],[Quantity_Converted_To_Integer]]
)</f>
        <v>300</v>
      </c>
      <c r="AE466" t="s">
        <v>79</v>
      </c>
      <c r="AF466" s="2" t="str">
        <f>CLEAN(TRIM(Working_Sales[[#This Row],[Total Amount]]))</f>
        <v>1200</v>
      </c>
      <c r="AG466" s="2">
        <f>INT(Working_Sales[[#This Row],[Total_Amount_Whitespace_Removed]])</f>
        <v>1200</v>
      </c>
      <c r="AH46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467" spans="1:34" x14ac:dyDescent="0.35">
      <c r="A467" t="s">
        <v>1037</v>
      </c>
      <c r="B467" s="6" t="str">
        <f>CLEAN(TRIM(Working_Sales[[#This Row],[Transaction ID]]))</f>
        <v>282</v>
      </c>
      <c r="C467" t="s">
        <v>1038</v>
      </c>
      <c r="D467" s="2" t="str">
        <f>CLEAN(TRIM(Working_Sales[[#This Row],[Date]]))</f>
        <v>2023-08-25</v>
      </c>
      <c r="E46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45163</v>
      </c>
      <c r="F46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45163</v>
      </c>
      <c r="G46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45163</v>
      </c>
      <c r="H467" t="s">
        <v>655</v>
      </c>
      <c r="I467" s="2" t="str">
        <f>CLEAN(TRIM(Working_Sales[[#This Row],[Customer ID]]))</f>
        <v>CUST335</v>
      </c>
      <c r="J46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CUST335</v>
      </c>
      <c r="K46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CUST335</v>
      </c>
      <c r="L467" t="s">
        <v>46</v>
      </c>
      <c r="M467" s="4" t="str">
        <f>CLEAN(TRIM(Working_Sales[[#This Row],[Gender]]))</f>
        <v>F</v>
      </c>
      <c r="N467" s="4" t="str" cm="1">
        <f t="array" ref="N467">_xlfn.SWITCH(
   Working_Sales[[#This Row],[Gender_Whitespace_Removed]],
   "m", "Male",
   "f", "Female",
   Working_Sales[[#This Row],[Gender_Whitespace_Removed]]
)</f>
        <v>Female</v>
      </c>
      <c r="O467" s="6" t="str">
        <f>PROPER(Working_Sales[[#This Row],[Gender_Abbreviation_Expanded]])</f>
        <v>Female</v>
      </c>
      <c r="P467">
        <v>64</v>
      </c>
      <c r="Q467" s="2" t="str">
        <f>CLEAN(TRIM(Working_Sales[[#This Row],[Age]]))</f>
        <v>64</v>
      </c>
      <c r="R467" s="6">
        <f>INT(SUBSTITUTE(Working_Sales[[#This Row],[Age_Whitespace_Removed]],".",","))</f>
        <v>64</v>
      </c>
      <c r="S467" t="s">
        <v>13</v>
      </c>
      <c r="T467" s="2" t="str">
        <f>CLEAN(TRIM(Working_Sales[[#This Row],[Product Category]]))</f>
        <v>Electronics</v>
      </c>
      <c r="U467" s="6" t="str">
        <f>PROPER(Working_Sales[[#This Row],[Product_Category_Whitespace_Removed]])</f>
        <v>Electronics</v>
      </c>
      <c r="V467" t="s">
        <v>14</v>
      </c>
      <c r="W467" s="2" t="str">
        <f>CLEAN(TRIM(Working_Sales[[#This Row],[Quantity]]))</f>
        <v>4</v>
      </c>
      <c r="X467" s="2">
        <f>INT(Working_Sales[[#This Row],[`]])</f>
        <v>4</v>
      </c>
      <c r="Y467" s="6">
        <f>IFERROR(
   Working_Sales[[#This Row],[Quantity_Converted_To_Integer]],
   Working_Sales[[#This Row],[Total_Amount_Whitespace_Removed]]/Working_Sales[[#This Row],[Price_Per_Unit_Decimal_Separator_Fixed]])</f>
        <v>4</v>
      </c>
      <c r="Z467" t="s">
        <v>15</v>
      </c>
      <c r="AA467" s="2" t="str">
        <f>CLEAN(TRIM(Working_Sales[[#This Row],[Price per Unit]]))</f>
        <v>50</v>
      </c>
      <c r="AB467" s="2">
        <f>INT(
   SUBSTITUTE(Working_Sales[[#This Row],[Price_Per_Unit_Whitespace_Removed]],
   "$",
   ""
   )
)</f>
        <v>50</v>
      </c>
      <c r="AC467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467" s="8">
        <f>IFERROR(
   Working_Sales[[#This Row],[Price_Per_Unit_Decimal_Separator_Fixed]],
   Working_Sales[[#This Row],[Total_Amount_Converted_To_Integer]]/Working_Sales[[#This Row],[Quantity_Converted_To_Integer]]
)</f>
        <v>50</v>
      </c>
      <c r="AE467" t="s">
        <v>16</v>
      </c>
      <c r="AF467" s="2" t="str">
        <f>CLEAN(TRIM(Working_Sales[[#This Row],[Total Amount]]))</f>
        <v>200</v>
      </c>
      <c r="AG467" s="2">
        <f>INT(Working_Sales[[#This Row],[Total_Amount_Whitespace_Removed]])</f>
        <v>200</v>
      </c>
      <c r="AH46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468" spans="1:34" x14ac:dyDescent="0.35">
      <c r="A468" t="s">
        <v>1040</v>
      </c>
      <c r="B468" s="6" t="str">
        <f>CLEAN(TRIM(Working_Sales[[#This Row],[Transaction ID]]))</f>
        <v>684</v>
      </c>
      <c r="C468" t="s">
        <v>1041</v>
      </c>
      <c r="D468" s="2" t="str">
        <f>CLEAN(TRIM(Working_Sales[[#This Row],[Date]]))</f>
        <v>2023-06-30</v>
      </c>
      <c r="E46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45107</v>
      </c>
      <c r="F46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45107</v>
      </c>
      <c r="G46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45107</v>
      </c>
      <c r="H468" t="s">
        <v>2713</v>
      </c>
      <c r="I468" s="2" t="str">
        <f>CLEAN(TRIM(Working_Sales[[#This Row],[Customer ID]]))</f>
        <v>CUST336</v>
      </c>
      <c r="J46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6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CUST336</v>
      </c>
      <c r="L468" t="s">
        <v>26</v>
      </c>
      <c r="M468" s="4" t="str">
        <f>CLEAN(TRIM(Working_Sales[[#This Row],[Gender]]))</f>
        <v>Female</v>
      </c>
      <c r="N468" s="4" t="str" cm="1">
        <f t="array" ref="N468">_xlfn.SWITCH(
   Working_Sales[[#This Row],[Gender_Whitespace_Removed]],
   "m", "Male",
   "f", "Female",
   Working_Sales[[#This Row],[Gender_Whitespace_Removed]]
)</f>
        <v>Female</v>
      </c>
      <c r="O468" s="6" t="str">
        <f>PROPER(Working_Sales[[#This Row],[Gender_Abbreviation_Expanded]])</f>
        <v>Female</v>
      </c>
      <c r="P468">
        <v>28</v>
      </c>
      <c r="Q468" s="2" t="str">
        <f>CLEAN(TRIM(Working_Sales[[#This Row],[Age]]))</f>
        <v>28</v>
      </c>
      <c r="R468" s="6">
        <f>INT(SUBSTITUTE(Working_Sales[[#This Row],[Age_Whitespace_Removed]],".",","))</f>
        <v>28</v>
      </c>
      <c r="S468" t="s">
        <v>89</v>
      </c>
      <c r="T468" s="2" t="str">
        <f>CLEAN(TRIM(Working_Sales[[#This Row],[Product Category]]))</f>
        <v>CLOTHING</v>
      </c>
      <c r="U468" s="6" t="str">
        <f>PROPER(Working_Sales[[#This Row],[Product_Category_Whitespace_Removed]])</f>
        <v>Clothing</v>
      </c>
      <c r="V468" t="s">
        <v>37</v>
      </c>
      <c r="W468" s="2" t="str">
        <f>CLEAN(TRIM(Working_Sales[[#This Row],[Quantity]]))</f>
        <v>2</v>
      </c>
      <c r="X468" s="2">
        <f>INT(Working_Sales[[#This Row],[`]])</f>
        <v>2</v>
      </c>
      <c r="Y468" s="6">
        <f>IFERROR(
   Working_Sales[[#This Row],[Quantity_Converted_To_Integer]],
   Working_Sales[[#This Row],[Total_Amount_Whitespace_Removed]]/Working_Sales[[#This Row],[Price_Per_Unit_Decimal_Separator_Fixed]])</f>
        <v>2</v>
      </c>
      <c r="Z468" t="s">
        <v>57</v>
      </c>
      <c r="AA468" s="2" t="str">
        <f>CLEAN(TRIM(Working_Sales[[#This Row],[Price per Unit]]))</f>
        <v>500</v>
      </c>
      <c r="AB468" s="2">
        <f>INT(
   SUBSTITUTE(Working_Sales[[#This Row],[Price_Per_Unit_Whitespace_Removed]],
   "$",
   ""
   )
)</f>
        <v>500</v>
      </c>
      <c r="AC468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468" s="8">
        <f>IFERROR(
   Working_Sales[[#This Row],[Price_Per_Unit_Decimal_Separator_Fixed]],
   Working_Sales[[#This Row],[Total_Amount_Converted_To_Integer]]/Working_Sales[[#This Row],[Quantity_Converted_To_Integer]]
)</f>
        <v>500</v>
      </c>
      <c r="AE468" t="s">
        <v>163</v>
      </c>
      <c r="AF468" s="2" t="str">
        <f>CLEAN(TRIM(Working_Sales[[#This Row],[Total Amount]]))</f>
        <v>1000</v>
      </c>
      <c r="AG468" s="2">
        <f>INT(Working_Sales[[#This Row],[Total_Amount_Whitespace_Removed]])</f>
        <v>1000</v>
      </c>
      <c r="AH46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469" spans="1:34" x14ac:dyDescent="0.35">
      <c r="A469" t="s">
        <v>1042</v>
      </c>
      <c r="B469" s="6" t="str">
        <f>CLEAN(TRIM(Working_Sales[[#This Row],[Transaction ID]]))</f>
        <v>981</v>
      </c>
      <c r="C469" t="s">
        <v>1043</v>
      </c>
      <c r="D469" s="2" t="str">
        <f>CLEAN(TRIM(Working_Sales[[#This Row],[Date]]))</f>
        <v>2023-08-19</v>
      </c>
      <c r="E46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45157</v>
      </c>
      <c r="F46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45157</v>
      </c>
      <c r="G46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45157</v>
      </c>
      <c r="H469" t="s">
        <v>444</v>
      </c>
      <c r="I469" s="2" t="str">
        <f>CLEAN(TRIM(Working_Sales[[#This Row],[Customer ID]]))</f>
        <v>CUST337</v>
      </c>
      <c r="J46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CUST337</v>
      </c>
      <c r="K46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CUST337</v>
      </c>
      <c r="L469" t="s">
        <v>112</v>
      </c>
      <c r="M469" s="4" t="str">
        <f>CLEAN(TRIM(Working_Sales[[#This Row],[Gender]]))</f>
        <v>female</v>
      </c>
      <c r="N469" s="4" t="str" cm="1">
        <f t="array" ref="N469">_xlfn.SWITCH(
   Working_Sales[[#This Row],[Gender_Whitespace_Removed]],
   "m", "Male",
   "f", "Female",
   Working_Sales[[#This Row],[Gender_Whitespace_Removed]]
)</f>
        <v>female</v>
      </c>
      <c r="O469" s="6" t="str">
        <f>PROPER(Working_Sales[[#This Row],[Gender_Abbreviation_Expanded]])</f>
        <v>Female</v>
      </c>
      <c r="P469">
        <v>30</v>
      </c>
      <c r="Q469" s="2" t="str">
        <f>CLEAN(TRIM(Working_Sales[[#This Row],[Age]]))</f>
        <v>30</v>
      </c>
      <c r="R469" s="6">
        <f>INT(SUBSTITUTE(Working_Sales[[#This Row],[Age_Whitespace_Removed]],".",","))</f>
        <v>30</v>
      </c>
      <c r="S469" t="s">
        <v>99</v>
      </c>
      <c r="T469" s="2" t="str">
        <f>CLEAN(TRIM(Working_Sales[[#This Row],[Product Category]]))</f>
        <v>ELECTRONICS</v>
      </c>
      <c r="U469" s="6" t="str">
        <f>PROPER(Working_Sales[[#This Row],[Product_Category_Whitespace_Removed]])</f>
        <v>Electronics</v>
      </c>
      <c r="V469" t="s">
        <v>37</v>
      </c>
      <c r="W469" s="2" t="str">
        <f>CLEAN(TRIM(Working_Sales[[#This Row],[Quantity]]))</f>
        <v>2</v>
      </c>
      <c r="X469" s="2">
        <f>INT(Working_Sales[[#This Row],[`]])</f>
        <v>2</v>
      </c>
      <c r="Y469" s="6">
        <f>IFERROR(
   Working_Sales[[#This Row],[Quantity_Converted_To_Integer]],
   Working_Sales[[#This Row],[Total_Amount_Whitespace_Removed]]/Working_Sales[[#This Row],[Price_Per_Unit_Decimal_Separator_Fixed]])</f>
        <v>2</v>
      </c>
      <c r="Z469" t="s">
        <v>70</v>
      </c>
      <c r="AA469" s="2" t="str">
        <f>CLEAN(TRIM(Working_Sales[[#This Row],[Price per Unit]]))</f>
        <v>30</v>
      </c>
      <c r="AB469" s="2">
        <f>INT(
   SUBSTITUTE(Working_Sales[[#This Row],[Price_Per_Unit_Whitespace_Removed]],
   "$",
   ""
   )
)</f>
        <v>30</v>
      </c>
      <c r="AC469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469" s="8">
        <f>IFERROR(
   Working_Sales[[#This Row],[Price_Per_Unit_Decimal_Separator_Fixed]],
   Working_Sales[[#This Row],[Total_Amount_Converted_To_Integer]]/Working_Sales[[#This Row],[Quantity_Converted_To_Integer]]
)</f>
        <v>30</v>
      </c>
      <c r="AE469" t="s">
        <v>71</v>
      </c>
      <c r="AF469" s="2" t="str">
        <f>CLEAN(TRIM(Working_Sales[[#This Row],[Total Amount]]))</f>
        <v>60</v>
      </c>
      <c r="AG469" s="2">
        <f>INT(Working_Sales[[#This Row],[Total_Amount_Whitespace_Removed]])</f>
        <v>60</v>
      </c>
      <c r="AH46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470" spans="1:34" x14ac:dyDescent="0.35">
      <c r="A470" t="s">
        <v>1044</v>
      </c>
      <c r="B470" s="6" t="str">
        <f>CLEAN(TRIM(Working_Sales[[#This Row],[Transaction ID]]))</f>
        <v>118</v>
      </c>
      <c r="C470" t="s">
        <v>139</v>
      </c>
      <c r="D470" s="2" t="str">
        <f>CLEAN(TRIM(Working_Sales[[#This Row],[Date]]))</f>
        <v>16/05/2023</v>
      </c>
      <c r="E47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45062</v>
      </c>
      <c r="F47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45062</v>
      </c>
      <c r="G47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45062</v>
      </c>
      <c r="H470" t="s">
        <v>2714</v>
      </c>
      <c r="I470" s="2" t="str">
        <f>CLEAN(TRIM(Working_Sales[[#This Row],[Customer ID]]))</f>
        <v>cust338</v>
      </c>
      <c r="J47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7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CUST338</v>
      </c>
      <c r="L470" t="s">
        <v>26</v>
      </c>
      <c r="M470" s="4" t="str">
        <f>CLEAN(TRIM(Working_Sales[[#This Row],[Gender]]))</f>
        <v>Female</v>
      </c>
      <c r="N470" s="4" t="str" cm="1">
        <f t="array" ref="N470">_xlfn.SWITCH(
   Working_Sales[[#This Row],[Gender_Whitespace_Removed]],
   "m", "Male",
   "f", "Female",
   Working_Sales[[#This Row],[Gender_Whitespace_Removed]]
)</f>
        <v>Female</v>
      </c>
      <c r="O470" s="6" t="str">
        <f>PROPER(Working_Sales[[#This Row],[Gender_Abbreviation_Expanded]])</f>
        <v>Female</v>
      </c>
      <c r="P470">
        <v>30</v>
      </c>
      <c r="Q470" s="2" t="str">
        <f>CLEAN(TRIM(Working_Sales[[#This Row],[Age]]))</f>
        <v>30</v>
      </c>
      <c r="R470" s="6">
        <f>INT(SUBSTITUTE(Working_Sales[[#This Row],[Age_Whitespace_Removed]],".",","))</f>
        <v>30</v>
      </c>
      <c r="S470" t="s">
        <v>13</v>
      </c>
      <c r="T470" s="2" t="str">
        <f>CLEAN(TRIM(Working_Sales[[#This Row],[Product Category]]))</f>
        <v>Electronics</v>
      </c>
      <c r="U470" s="6" t="str">
        <f>PROPER(Working_Sales[[#This Row],[Product_Category_Whitespace_Removed]])</f>
        <v>Electronics</v>
      </c>
      <c r="V470" t="s">
        <v>14</v>
      </c>
      <c r="W470" s="2" t="str">
        <f>CLEAN(TRIM(Working_Sales[[#This Row],[Quantity]]))</f>
        <v>4</v>
      </c>
      <c r="X470" s="2">
        <f>INT(Working_Sales[[#This Row],[`]])</f>
        <v>4</v>
      </c>
      <c r="Y470" s="6">
        <f>IFERROR(
   Working_Sales[[#This Row],[Quantity_Converted_To_Integer]],
   Working_Sales[[#This Row],[Total_Amount_Whitespace_Removed]]/Working_Sales[[#This Row],[Price_Per_Unit_Decimal_Separator_Fixed]])</f>
        <v>4</v>
      </c>
      <c r="Z470" t="s">
        <v>57</v>
      </c>
      <c r="AA470" s="2" t="str">
        <f>CLEAN(TRIM(Working_Sales[[#This Row],[Price per Unit]]))</f>
        <v>500</v>
      </c>
      <c r="AB470" s="2">
        <f>INT(
   SUBSTITUTE(Working_Sales[[#This Row],[Price_Per_Unit_Whitespace_Removed]],
   "$",
   ""
   )
)</f>
        <v>500</v>
      </c>
      <c r="AC470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470" s="8">
        <f>IFERROR(
   Working_Sales[[#This Row],[Price_Per_Unit_Decimal_Separator_Fixed]],
   Working_Sales[[#This Row],[Total_Amount_Converted_To_Integer]]/Working_Sales[[#This Row],[Quantity_Converted_To_Integer]]
)</f>
        <v>500</v>
      </c>
      <c r="AE470" t="s">
        <v>232</v>
      </c>
      <c r="AF470" s="2" t="str">
        <f>CLEAN(TRIM(Working_Sales[[#This Row],[Total Amount]]))</f>
        <v>2000</v>
      </c>
      <c r="AG470" s="2">
        <f>INT(Working_Sales[[#This Row],[Total_Amount_Whitespace_Removed]])</f>
        <v>2000</v>
      </c>
      <c r="AH47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471" spans="1:34" x14ac:dyDescent="0.35">
      <c r="A471" t="s">
        <v>1046</v>
      </c>
      <c r="B471" s="6" t="str">
        <f>CLEAN(TRIM(Working_Sales[[#This Row],[Transaction ID]]))</f>
        <v>701</v>
      </c>
      <c r="C471" t="s">
        <v>2101</v>
      </c>
      <c r="D471" s="2" t="str">
        <f>CLEAN(TRIM(Working_Sales[[#This Row],[Date]]))</f>
        <v>14/12/2023</v>
      </c>
      <c r="E47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45274</v>
      </c>
      <c r="F47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45274</v>
      </c>
      <c r="G47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45274</v>
      </c>
      <c r="H471" t="s">
        <v>2715</v>
      </c>
      <c r="I471" s="2" t="str">
        <f>CLEAN(TRIM(Working_Sales[[#This Row],[Customer ID]]))</f>
        <v>CUST339</v>
      </c>
      <c r="J47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CUST339</v>
      </c>
      <c r="K47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CUST339</v>
      </c>
      <c r="L471" t="s">
        <v>26</v>
      </c>
      <c r="M471" s="4" t="str">
        <f>CLEAN(TRIM(Working_Sales[[#This Row],[Gender]]))</f>
        <v>Female</v>
      </c>
      <c r="N471" s="4" t="str" cm="1">
        <f t="array" ref="N471">_xlfn.SWITCH(
   Working_Sales[[#This Row],[Gender_Whitespace_Removed]],
   "m", "Male",
   "f", "Female",
   Working_Sales[[#This Row],[Gender_Whitespace_Removed]]
)</f>
        <v>Female</v>
      </c>
      <c r="O471" s="6" t="str">
        <f>PROPER(Working_Sales[[#This Row],[Gender_Abbreviation_Expanded]])</f>
        <v>Female</v>
      </c>
      <c r="P471">
        <v>52</v>
      </c>
      <c r="Q471" s="2" t="str">
        <f>CLEAN(TRIM(Working_Sales[[#This Row],[Age]]))</f>
        <v>52</v>
      </c>
      <c r="R471" s="6">
        <f>INT(SUBSTITUTE(Working_Sales[[#This Row],[Age_Whitespace_Removed]],".",","))</f>
        <v>52</v>
      </c>
      <c r="S471" t="s">
        <v>36</v>
      </c>
      <c r="T471" s="2" t="str">
        <f>CLEAN(TRIM(Working_Sales[[#This Row],[Product Category]]))</f>
        <v>Beauty</v>
      </c>
      <c r="U471" s="6" t="str">
        <f>PROPER(Working_Sales[[#This Row],[Product_Category_Whitespace_Removed]])</f>
        <v>Beauty</v>
      </c>
      <c r="V471" t="s">
        <v>37</v>
      </c>
      <c r="W471" s="2" t="str">
        <f>CLEAN(TRIM(Working_Sales[[#This Row],[Quantity]]))</f>
        <v>2</v>
      </c>
      <c r="X471" s="2">
        <f>INT(Working_Sales[[#This Row],[`]])</f>
        <v>2</v>
      </c>
      <c r="Y471" s="6">
        <f>IFERROR(
   Working_Sales[[#This Row],[Quantity_Converted_To_Integer]],
   Working_Sales[[#This Row],[Total_Amount_Whitespace_Removed]]/Working_Sales[[#This Row],[Price_Per_Unit_Decimal_Separator_Fixed]])</f>
        <v>2</v>
      </c>
      <c r="Z471" t="s">
        <v>70</v>
      </c>
      <c r="AA471" s="2" t="str">
        <f>CLEAN(TRIM(Working_Sales[[#This Row],[Price per Unit]]))</f>
        <v>30</v>
      </c>
      <c r="AB471" s="2">
        <f>INT(
   SUBSTITUTE(Working_Sales[[#This Row],[Price_Per_Unit_Whitespace_Removed]],
   "$",
   ""
   )
)</f>
        <v>30</v>
      </c>
      <c r="AC471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471" s="8">
        <f>IFERROR(
   Working_Sales[[#This Row],[Price_Per_Unit_Decimal_Separator_Fixed]],
   Working_Sales[[#This Row],[Total_Amount_Converted_To_Integer]]/Working_Sales[[#This Row],[Quantity_Converted_To_Integer]]
)</f>
        <v>30</v>
      </c>
      <c r="AE471" t="s">
        <v>71</v>
      </c>
      <c r="AF471" s="2" t="str">
        <f>CLEAN(TRIM(Working_Sales[[#This Row],[Total Amount]]))</f>
        <v>60</v>
      </c>
      <c r="AG471" s="2">
        <f>INT(Working_Sales[[#This Row],[Total_Amount_Whitespace_Removed]])</f>
        <v>60</v>
      </c>
      <c r="AH47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472" spans="1:34" x14ac:dyDescent="0.35">
      <c r="A472" t="s">
        <v>1048</v>
      </c>
      <c r="B472" s="6" t="str">
        <f>CLEAN(TRIM(Working_Sales[[#This Row],[Transaction ID]]))</f>
        <v>117</v>
      </c>
      <c r="C472" t="s">
        <v>1049</v>
      </c>
      <c r="D472" s="2" t="str">
        <f>CLEAN(TRIM(Working_Sales[[#This Row],[Date]]))</f>
        <v>2023-03-15</v>
      </c>
      <c r="E47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45000</v>
      </c>
      <c r="F47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45000</v>
      </c>
      <c r="G47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45000</v>
      </c>
      <c r="H472" t="s">
        <v>2716</v>
      </c>
      <c r="I472" s="2" t="str">
        <f>CLEAN(TRIM(Working_Sales[[#This Row],[Customer ID]]))</f>
        <v>Cust172</v>
      </c>
      <c r="J47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7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CUST172</v>
      </c>
      <c r="L472" t="s">
        <v>34</v>
      </c>
      <c r="M472" s="4" t="str">
        <f>CLEAN(TRIM(Working_Sales[[#This Row],[Gender]]))</f>
        <v>Male</v>
      </c>
      <c r="N472" s="4" t="str" cm="1">
        <f t="array" ref="N472">_xlfn.SWITCH(
   Working_Sales[[#This Row],[Gender_Whitespace_Removed]],
   "m", "Male",
   "f", "Female",
   Working_Sales[[#This Row],[Gender_Whitespace_Removed]]
)</f>
        <v>Male</v>
      </c>
      <c r="O472" s="6" t="str">
        <f>PROPER(Working_Sales[[#This Row],[Gender_Abbreviation_Expanded]])</f>
        <v>Male</v>
      </c>
      <c r="P472">
        <v>19</v>
      </c>
      <c r="Q472" s="2" t="str">
        <f>CLEAN(TRIM(Working_Sales[[#This Row],[Age]]))</f>
        <v>19</v>
      </c>
      <c r="R472" s="6">
        <f>INT(SUBSTITUTE(Working_Sales[[#This Row],[Age_Whitespace_Removed]],".",","))</f>
        <v>19</v>
      </c>
      <c r="S472" t="s">
        <v>117</v>
      </c>
      <c r="T472" s="2" t="str">
        <f>CLEAN(TRIM(Working_Sales[[#This Row],[Product Category]]))</f>
        <v>Electronics</v>
      </c>
      <c r="U472" s="6" t="str">
        <f>PROPER(Working_Sales[[#This Row],[Product_Category_Whitespace_Removed]])</f>
        <v>Electronics</v>
      </c>
      <c r="V472" t="s">
        <v>37</v>
      </c>
      <c r="W472" s="2" t="str">
        <f>CLEAN(TRIM(Working_Sales[[#This Row],[Quantity]]))</f>
        <v>2</v>
      </c>
      <c r="X472" s="2">
        <f>INT(Working_Sales[[#This Row],[`]])</f>
        <v>2</v>
      </c>
      <c r="Y472" s="6">
        <f>IFERROR(
   Working_Sales[[#This Row],[Quantity_Converted_To_Integer]],
   Working_Sales[[#This Row],[Total_Amount_Whitespace_Removed]]/Working_Sales[[#This Row],[Price_Per_Unit_Decimal_Separator_Fixed]])</f>
        <v>2</v>
      </c>
      <c r="AA472" s="2" t="str">
        <f>CLEAN(TRIM(Working_Sales[[#This Row],[Price per Unit]]))</f>
        <v/>
      </c>
      <c r="AB472" s="2" t="e">
        <f>INT(
   SUBSTITUTE(Working_Sales[[#This Row],[Price_Per_Unit_Whitespace_Removed]],
   "$",
   ""
   )
)</f>
        <v>#VALUE!</v>
      </c>
      <c r="AC472" s="2" t="e">
        <f>INT(
   IFERROR(
      Working_Sales[[#This Row],[Price_Per_Unit_Dollar_Sign_Removed]],
      SUBSTITUTE(
         Working_Sales[[#This Row],[Price_Per_Unit_Whitespace_Removed]],
        ".",
         ","
      )
   )
)</f>
        <v>#VALUE!</v>
      </c>
      <c r="AD472" s="8">
        <f>IFERROR(
   Working_Sales[[#This Row],[Price_Per_Unit_Decimal_Separator_Fixed]],
   Working_Sales[[#This Row],[Total_Amount_Converted_To_Integer]]/Working_Sales[[#This Row],[Quantity_Converted_To_Integer]]
)</f>
        <v>500</v>
      </c>
      <c r="AE472" t="s">
        <v>163</v>
      </c>
      <c r="AF472" s="2" t="str">
        <f>CLEAN(TRIM(Working_Sales[[#This Row],[Total Amount]]))</f>
        <v>1000</v>
      </c>
      <c r="AG472" s="2">
        <f>INT(Working_Sales[[#This Row],[Total_Amount_Whitespace_Removed]])</f>
        <v>1000</v>
      </c>
      <c r="AH47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473" spans="1:34" x14ac:dyDescent="0.35">
      <c r="A473" t="s">
        <v>1051</v>
      </c>
      <c r="B473" s="6" t="str">
        <f>CLEAN(TRIM(Working_Sales[[#This Row],[Transaction ID]]))</f>
        <v>526</v>
      </c>
      <c r="C473" t="s">
        <v>2102</v>
      </c>
      <c r="D473" s="2" t="str">
        <f>CLEAN(TRIM(Working_Sales[[#This Row],[Date]]))</f>
        <v>December 10, 2023</v>
      </c>
      <c r="E473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473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47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45270</v>
      </c>
      <c r="H473" t="s">
        <v>2717</v>
      </c>
      <c r="I473" s="2" t="str">
        <f>CLEAN(TRIM(Working_Sales[[#This Row],[Customer ID]]))</f>
        <v>CUST006</v>
      </c>
      <c r="J47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7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CUST006</v>
      </c>
      <c r="L473" t="s">
        <v>34</v>
      </c>
      <c r="M473" s="4" t="str">
        <f>CLEAN(TRIM(Working_Sales[[#This Row],[Gender]]))</f>
        <v>Male</v>
      </c>
      <c r="N473" s="4" t="str" cm="1">
        <f t="array" ref="N473">_xlfn.SWITCH(
   Working_Sales[[#This Row],[Gender_Whitespace_Removed]],
   "m", "Male",
   "f", "Female",
   Working_Sales[[#This Row],[Gender_Whitespace_Removed]]
)</f>
        <v>Male</v>
      </c>
      <c r="O473" s="6" t="str">
        <f>PROPER(Working_Sales[[#This Row],[Gender_Abbreviation_Expanded]])</f>
        <v>Male</v>
      </c>
      <c r="P473" t="s">
        <v>1053</v>
      </c>
      <c r="Q473" s="2" t="str">
        <f>CLEAN(TRIM(Working_Sales[[#This Row],[Age]]))</f>
        <v>33</v>
      </c>
      <c r="R473" s="6">
        <f>INT(SUBSTITUTE(Working_Sales[[#This Row],[Age_Whitespace_Removed]],".",","))</f>
        <v>33</v>
      </c>
      <c r="S473" t="s">
        <v>56</v>
      </c>
      <c r="T473" s="2" t="str">
        <f>CLEAN(TRIM(Working_Sales[[#This Row],[Product Category]]))</f>
        <v>Clothing</v>
      </c>
      <c r="U473" s="6" t="str">
        <f>PROPER(Working_Sales[[#This Row],[Product_Category_Whitespace_Removed]])</f>
        <v>Clothing</v>
      </c>
      <c r="V473" t="s">
        <v>37</v>
      </c>
      <c r="W473" s="2" t="str">
        <f>CLEAN(TRIM(Working_Sales[[#This Row],[Quantity]]))</f>
        <v>2</v>
      </c>
      <c r="X473" s="2">
        <f>INT(Working_Sales[[#This Row],[`]])</f>
        <v>2</v>
      </c>
      <c r="Y473" s="6">
        <f>IFERROR(
   Working_Sales[[#This Row],[Quantity_Converted_To_Integer]],
   Working_Sales[[#This Row],[Total_Amount_Whitespace_Removed]]/Working_Sales[[#This Row],[Price_Per_Unit_Decimal_Separator_Fixed]])</f>
        <v>2</v>
      </c>
      <c r="Z473" t="s">
        <v>15</v>
      </c>
      <c r="AA473" s="2" t="str">
        <f>CLEAN(TRIM(Working_Sales[[#This Row],[Price per Unit]]))</f>
        <v>50</v>
      </c>
      <c r="AB473" s="2">
        <f>INT(
   SUBSTITUTE(Working_Sales[[#This Row],[Price_Per_Unit_Whitespace_Removed]],
   "$",
   ""
   )
)</f>
        <v>50</v>
      </c>
      <c r="AC473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473" s="8">
        <f>IFERROR(
   Working_Sales[[#This Row],[Price_Per_Unit_Decimal_Separator_Fixed]],
   Working_Sales[[#This Row],[Total_Amount_Converted_To_Integer]]/Working_Sales[[#This Row],[Quantity_Converted_To_Integer]]
)</f>
        <v>50</v>
      </c>
      <c r="AE473" t="s">
        <v>38</v>
      </c>
      <c r="AF473" s="2" t="str">
        <f>CLEAN(TRIM(Working_Sales[[#This Row],[Total Amount]]))</f>
        <v>100</v>
      </c>
      <c r="AG473" s="2">
        <f>INT(Working_Sales[[#This Row],[Total_Amount_Whitespace_Removed]])</f>
        <v>100</v>
      </c>
      <c r="AH47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474" spans="1:34" x14ac:dyDescent="0.35">
      <c r="A474" t="s">
        <v>1054</v>
      </c>
      <c r="B474" s="6" t="str">
        <f>CLEAN(TRIM(Working_Sales[[#This Row],[Transaction ID]]))</f>
        <v>674</v>
      </c>
      <c r="C474" t="s">
        <v>1055</v>
      </c>
      <c r="D474" s="2" t="str">
        <f>CLEAN(TRIM(Working_Sales[[#This Row],[Date]]))</f>
        <v>2023-04-16</v>
      </c>
      <c r="E47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45032</v>
      </c>
      <c r="F47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45032</v>
      </c>
      <c r="G47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45032</v>
      </c>
      <c r="H474" t="s">
        <v>1718</v>
      </c>
      <c r="I474" s="2" t="str">
        <f>CLEAN(TRIM(Working_Sales[[#This Row],[Customer ID]]))</f>
        <v>CUST006</v>
      </c>
      <c r="J47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CUST006</v>
      </c>
      <c r="K47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CUST006</v>
      </c>
      <c r="L474" t="s">
        <v>112</v>
      </c>
      <c r="M474" s="4" t="str">
        <f>CLEAN(TRIM(Working_Sales[[#This Row],[Gender]]))</f>
        <v>female</v>
      </c>
      <c r="N474" s="4" t="str" cm="1">
        <f t="array" ref="N474">_xlfn.SWITCH(
   Working_Sales[[#This Row],[Gender_Whitespace_Removed]],
   "m", "Male",
   "f", "Female",
   Working_Sales[[#This Row],[Gender_Whitespace_Removed]]
)</f>
        <v>female</v>
      </c>
      <c r="O474" s="6" t="str">
        <f>PROPER(Working_Sales[[#This Row],[Gender_Abbreviation_Expanded]])</f>
        <v>Female</v>
      </c>
      <c r="P474">
        <v>38</v>
      </c>
      <c r="Q474" s="2" t="str">
        <f>CLEAN(TRIM(Working_Sales[[#This Row],[Age]]))</f>
        <v>38</v>
      </c>
      <c r="R474" s="6">
        <f>INT(SUBSTITUTE(Working_Sales[[#This Row],[Age_Whitespace_Removed]],".",","))</f>
        <v>38</v>
      </c>
      <c r="S474" t="s">
        <v>56</v>
      </c>
      <c r="T474" s="2" t="str">
        <f>CLEAN(TRIM(Working_Sales[[#This Row],[Product Category]]))</f>
        <v>Clothing</v>
      </c>
      <c r="U474" s="6" t="str">
        <f>PROPER(Working_Sales[[#This Row],[Product_Category_Whitespace_Removed]])</f>
        <v>Clothing</v>
      </c>
      <c r="V474" t="s">
        <v>22</v>
      </c>
      <c r="W474" s="2" t="str">
        <f>CLEAN(TRIM(Working_Sales[[#This Row],[Quantity]]))</f>
        <v>1</v>
      </c>
      <c r="X474" s="2">
        <f>INT(Working_Sales[[#This Row],[`]])</f>
        <v>1</v>
      </c>
      <c r="Y474" s="6">
        <f>IFERROR(
   Working_Sales[[#This Row],[Quantity_Converted_To_Integer]],
   Working_Sales[[#This Row],[Total_Amount_Whitespace_Removed]]/Working_Sales[[#This Row],[Price_Per_Unit_Decimal_Separator_Fixed]])</f>
        <v>1</v>
      </c>
      <c r="Z474" t="s">
        <v>23</v>
      </c>
      <c r="AA474" s="2" t="str">
        <f>CLEAN(TRIM(Working_Sales[[#This Row],[Price per Unit]]))</f>
        <v>300</v>
      </c>
      <c r="AB474" s="2">
        <f>INT(
   SUBSTITUTE(Working_Sales[[#This Row],[Price_Per_Unit_Whitespace_Removed]],
   "$",
   ""
   )
)</f>
        <v>300</v>
      </c>
      <c r="AC474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474" s="8">
        <f>IFERROR(
   Working_Sales[[#This Row],[Price_Per_Unit_Decimal_Separator_Fixed]],
   Working_Sales[[#This Row],[Total_Amount_Converted_To_Integer]]/Working_Sales[[#This Row],[Quantity_Converted_To_Integer]]
)</f>
        <v>300</v>
      </c>
      <c r="AF474" s="2" t="str">
        <f>CLEAN(TRIM(Working_Sales[[#This Row],[Total Amount]]))</f>
        <v/>
      </c>
      <c r="AG474" s="2" t="e">
        <f>INT(Working_Sales[[#This Row],[Total_Amount_Whitespace_Removed]])</f>
        <v>#VALUE!</v>
      </c>
      <c r="AH47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475" spans="1:34" x14ac:dyDescent="0.35">
      <c r="A475" t="s">
        <v>1056</v>
      </c>
      <c r="B475" s="6" t="str">
        <f>CLEAN(TRIM(Working_Sales[[#This Row],[Transaction ID]]))</f>
        <v>292</v>
      </c>
      <c r="C475" t="s">
        <v>2103</v>
      </c>
      <c r="D475" s="2" t="str">
        <f>CLEAN(TRIM(Working_Sales[[#This Row],[Date]]))</f>
        <v>02/17/2023</v>
      </c>
      <c r="E475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47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44974</v>
      </c>
      <c r="G47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44974</v>
      </c>
      <c r="H475" t="s">
        <v>2718</v>
      </c>
      <c r="I475" s="2" t="str">
        <f>CLEAN(TRIM(Working_Sales[[#This Row],[Customer ID]]))</f>
        <v>cust138</v>
      </c>
      <c r="J47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7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CUST138</v>
      </c>
      <c r="L475" t="s">
        <v>11</v>
      </c>
      <c r="M475" s="4" t="str">
        <f>CLEAN(TRIM(Working_Sales[[#This Row],[Gender]]))</f>
        <v>MALE</v>
      </c>
      <c r="N475" s="4" t="str" cm="1">
        <f t="array" ref="N475">_xlfn.SWITCH(
   Working_Sales[[#This Row],[Gender_Whitespace_Removed]],
   "m", "Male",
   "f", "Female",
   Working_Sales[[#This Row],[Gender_Whitespace_Removed]]
)</f>
        <v>MALE</v>
      </c>
      <c r="O475" s="6" t="str">
        <f>PROPER(Working_Sales[[#This Row],[Gender_Abbreviation_Expanded]])</f>
        <v>Male</v>
      </c>
      <c r="P475">
        <v>20</v>
      </c>
      <c r="Q475" s="2" t="str">
        <f>CLEAN(TRIM(Working_Sales[[#This Row],[Age]]))</f>
        <v>20</v>
      </c>
      <c r="R475" s="6">
        <f>INT(SUBSTITUTE(Working_Sales[[#This Row],[Age_Whitespace_Removed]],".",","))</f>
        <v>20</v>
      </c>
      <c r="S475" t="s">
        <v>36</v>
      </c>
      <c r="T475" s="2" t="str">
        <f>CLEAN(TRIM(Working_Sales[[#This Row],[Product Category]]))</f>
        <v>Beauty</v>
      </c>
      <c r="U475" s="6" t="str">
        <f>PROPER(Working_Sales[[#This Row],[Product_Category_Whitespace_Removed]])</f>
        <v>Beauty</v>
      </c>
      <c r="V475" t="s">
        <v>14</v>
      </c>
      <c r="W475" s="2" t="str">
        <f>CLEAN(TRIM(Working_Sales[[#This Row],[Quantity]]))</f>
        <v>4</v>
      </c>
      <c r="X475" s="2">
        <f>INT(Working_Sales[[#This Row],[`]])</f>
        <v>4</v>
      </c>
      <c r="Y475" s="6">
        <f>IFERROR(
   Working_Sales[[#This Row],[Quantity_Converted_To_Integer]],
   Working_Sales[[#This Row],[Total_Amount_Whitespace_Removed]]/Working_Sales[[#This Row],[Price_Per_Unit_Decimal_Separator_Fixed]])</f>
        <v>4</v>
      </c>
      <c r="Z475" t="s">
        <v>23</v>
      </c>
      <c r="AA475" s="2" t="str">
        <f>CLEAN(TRIM(Working_Sales[[#This Row],[Price per Unit]]))</f>
        <v>300</v>
      </c>
      <c r="AB475" s="2">
        <f>INT(
   SUBSTITUTE(Working_Sales[[#This Row],[Price_Per_Unit_Whitespace_Removed]],
   "$",
   ""
   )
)</f>
        <v>300</v>
      </c>
      <c r="AC475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475" s="8">
        <f>IFERROR(
   Working_Sales[[#This Row],[Price_Per_Unit_Decimal_Separator_Fixed]],
   Working_Sales[[#This Row],[Total_Amount_Converted_To_Integer]]/Working_Sales[[#This Row],[Quantity_Converted_To_Integer]]
)</f>
        <v>300</v>
      </c>
      <c r="AE475" t="s">
        <v>79</v>
      </c>
      <c r="AF475" s="2" t="str">
        <f>CLEAN(TRIM(Working_Sales[[#This Row],[Total Amount]]))</f>
        <v>1200</v>
      </c>
      <c r="AG475" s="2">
        <f>INT(Working_Sales[[#This Row],[Total_Amount_Whitespace_Removed]])</f>
        <v>1200</v>
      </c>
      <c r="AH47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476" spans="1:34" x14ac:dyDescent="0.35">
      <c r="A476" t="s">
        <v>78</v>
      </c>
      <c r="B476" s="6" t="str">
        <f>CLEAN(TRIM(Working_Sales[[#This Row],[Transaction ID]]))</f>
        <v>28</v>
      </c>
      <c r="C476" t="s">
        <v>1058</v>
      </c>
      <c r="D476" s="2" t="str">
        <f>CLEAN(TRIM(Working_Sales[[#This Row],[Date]]))</f>
        <v>2023-04-23</v>
      </c>
      <c r="E47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45039</v>
      </c>
      <c r="F47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45039</v>
      </c>
      <c r="G47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45039</v>
      </c>
      <c r="H476" t="s">
        <v>2719</v>
      </c>
      <c r="I476" s="2" t="str">
        <f>CLEAN(TRIM(Working_Sales[[#This Row],[Customer ID]]))</f>
        <v>Cust340</v>
      </c>
      <c r="J47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7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CUST340</v>
      </c>
      <c r="L476" t="s">
        <v>26</v>
      </c>
      <c r="M476" s="4" t="str">
        <f>CLEAN(TRIM(Working_Sales[[#This Row],[Gender]]))</f>
        <v>Female</v>
      </c>
      <c r="N476" s="4" t="str" cm="1">
        <f t="array" ref="N476">_xlfn.SWITCH(
   Working_Sales[[#This Row],[Gender_Whitespace_Removed]],
   "m", "Male",
   "f", "Female",
   Working_Sales[[#This Row],[Gender_Whitespace_Removed]]
)</f>
        <v>Female</v>
      </c>
      <c r="O476" s="6" t="str">
        <f>PROPER(Working_Sales[[#This Row],[Gender_Abbreviation_Expanded]])</f>
        <v>Female</v>
      </c>
      <c r="P476">
        <v>43</v>
      </c>
      <c r="Q476" s="2" t="str">
        <f>CLEAN(TRIM(Working_Sales[[#This Row],[Age]]))</f>
        <v>43</v>
      </c>
      <c r="R476" s="6">
        <f>INT(SUBSTITUTE(Working_Sales[[#This Row],[Age_Whitespace_Removed]],".",","))</f>
        <v>43</v>
      </c>
      <c r="S476" t="s">
        <v>36</v>
      </c>
      <c r="T476" s="2" t="str">
        <f>CLEAN(TRIM(Working_Sales[[#This Row],[Product Category]]))</f>
        <v>Beauty</v>
      </c>
      <c r="U476" s="6" t="str">
        <f>PROPER(Working_Sales[[#This Row],[Product_Category_Whitespace_Removed]])</f>
        <v>Beauty</v>
      </c>
      <c r="V476" t="s">
        <v>22</v>
      </c>
      <c r="W476" s="2" t="str">
        <f>CLEAN(TRIM(Working_Sales[[#This Row],[Quantity]]))</f>
        <v>1</v>
      </c>
      <c r="X476" s="2">
        <f>INT(Working_Sales[[#This Row],[`]])</f>
        <v>1</v>
      </c>
      <c r="Y476" s="6">
        <f>IFERROR(
   Working_Sales[[#This Row],[Quantity_Converted_To_Integer]],
   Working_Sales[[#This Row],[Total_Amount_Whitespace_Removed]]/Working_Sales[[#This Row],[Price_Per_Unit_Decimal_Separator_Fixed]])</f>
        <v>1</v>
      </c>
      <c r="Z476" t="s">
        <v>57</v>
      </c>
      <c r="AA476" s="2" t="str">
        <f>CLEAN(TRIM(Working_Sales[[#This Row],[Price per Unit]]))</f>
        <v>500</v>
      </c>
      <c r="AB476" s="2">
        <f>INT(
   SUBSTITUTE(Working_Sales[[#This Row],[Price_Per_Unit_Whitespace_Removed]],
   "$",
   ""
   )
)</f>
        <v>500</v>
      </c>
      <c r="AC476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476" s="8">
        <f>IFERROR(
   Working_Sales[[#This Row],[Price_Per_Unit_Decimal_Separator_Fixed]],
   Working_Sales[[#This Row],[Total_Amount_Converted_To_Integer]]/Working_Sales[[#This Row],[Quantity_Converted_To_Integer]]
)</f>
        <v>500</v>
      </c>
      <c r="AE476" t="s">
        <v>57</v>
      </c>
      <c r="AF476" s="2" t="str">
        <f>CLEAN(TRIM(Working_Sales[[#This Row],[Total Amount]]))</f>
        <v>500</v>
      </c>
      <c r="AG476" s="2">
        <f>INT(Working_Sales[[#This Row],[Total_Amount_Whitespace_Removed]])</f>
        <v>500</v>
      </c>
      <c r="AH47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477" spans="1:34" x14ac:dyDescent="0.35">
      <c r="A477" t="s">
        <v>1059</v>
      </c>
      <c r="B477" s="6" t="str">
        <f>CLEAN(TRIM(Working_Sales[[#This Row],[Transaction ID]]))</f>
        <v>382</v>
      </c>
      <c r="C477" t="s">
        <v>1060</v>
      </c>
      <c r="D477" s="2" t="str">
        <f>CLEAN(TRIM(Working_Sales[[#This Row],[Date]]))</f>
        <v>2023-05-26</v>
      </c>
      <c r="E47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45072</v>
      </c>
      <c r="F47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45072</v>
      </c>
      <c r="G47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45072</v>
      </c>
      <c r="H477" t="s">
        <v>2720</v>
      </c>
      <c r="I477" s="2" t="str">
        <f>CLEAN(TRIM(Working_Sales[[#This Row],[Customer ID]]))</f>
        <v>CUST341</v>
      </c>
      <c r="J47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CUST341</v>
      </c>
      <c r="K47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CUST341</v>
      </c>
      <c r="L477" t="s">
        <v>26</v>
      </c>
      <c r="M477" s="4" t="str">
        <f>CLEAN(TRIM(Working_Sales[[#This Row],[Gender]]))</f>
        <v>Female</v>
      </c>
      <c r="N477" s="4" t="str" cm="1">
        <f t="array" ref="N477">_xlfn.SWITCH(
   Working_Sales[[#This Row],[Gender_Whitespace_Removed]],
   "m", "Male",
   "f", "Female",
   Working_Sales[[#This Row],[Gender_Whitespace_Removed]]
)</f>
        <v>Female</v>
      </c>
      <c r="O477" s="6" t="str">
        <f>PROPER(Working_Sales[[#This Row],[Gender_Abbreviation_Expanded]])</f>
        <v>Female</v>
      </c>
      <c r="P477">
        <v>53</v>
      </c>
      <c r="Q477" s="2" t="str">
        <f>CLEAN(TRIM(Working_Sales[[#This Row],[Age]]))</f>
        <v>53</v>
      </c>
      <c r="R477" s="6">
        <f>INT(SUBSTITUTE(Working_Sales[[#This Row],[Age_Whitespace_Removed]],".",","))</f>
        <v>53</v>
      </c>
      <c r="S477" t="s">
        <v>56</v>
      </c>
      <c r="T477" s="2" t="str">
        <f>CLEAN(TRIM(Working_Sales[[#This Row],[Product Category]]))</f>
        <v>Clothing</v>
      </c>
      <c r="U477" s="6" t="str">
        <f>PROPER(Working_Sales[[#This Row],[Product_Category_Whitespace_Removed]])</f>
        <v>Clothing</v>
      </c>
      <c r="V477" t="s">
        <v>37</v>
      </c>
      <c r="W477" s="2" t="str">
        <f>CLEAN(TRIM(Working_Sales[[#This Row],[Quantity]]))</f>
        <v>2</v>
      </c>
      <c r="X477" s="2">
        <f>INT(Working_Sales[[#This Row],[`]])</f>
        <v>2</v>
      </c>
      <c r="Y477" s="6">
        <f>IFERROR(
   Working_Sales[[#This Row],[Quantity_Converted_To_Integer]],
   Working_Sales[[#This Row],[Total_Amount_Whitespace_Removed]]/Working_Sales[[#This Row],[Price_Per_Unit_Decimal_Separator_Fixed]])</f>
        <v>2</v>
      </c>
      <c r="Z477" t="s">
        <v>57</v>
      </c>
      <c r="AA477" s="2" t="str">
        <f>CLEAN(TRIM(Working_Sales[[#This Row],[Price per Unit]]))</f>
        <v>500</v>
      </c>
      <c r="AB477" s="2">
        <f>INT(
   SUBSTITUTE(Working_Sales[[#This Row],[Price_Per_Unit_Whitespace_Removed]],
   "$",
   ""
   )
)</f>
        <v>500</v>
      </c>
      <c r="AC477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477" s="8">
        <f>IFERROR(
   Working_Sales[[#This Row],[Price_Per_Unit_Decimal_Separator_Fixed]],
   Working_Sales[[#This Row],[Total_Amount_Converted_To_Integer]]/Working_Sales[[#This Row],[Quantity_Converted_To_Integer]]
)</f>
        <v>500</v>
      </c>
      <c r="AE477" t="s">
        <v>163</v>
      </c>
      <c r="AF477" s="2" t="str">
        <f>CLEAN(TRIM(Working_Sales[[#This Row],[Total Amount]]))</f>
        <v>1000</v>
      </c>
      <c r="AG477" s="2">
        <f>INT(Working_Sales[[#This Row],[Total_Amount_Whitespace_Removed]])</f>
        <v>1000</v>
      </c>
      <c r="AH47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478" spans="1:34" x14ac:dyDescent="0.35">
      <c r="A478" t="s">
        <v>1061</v>
      </c>
      <c r="B478" s="6" t="str">
        <f>CLEAN(TRIM(Working_Sales[[#This Row],[Transaction ID]]))</f>
        <v>308</v>
      </c>
      <c r="C478" t="s">
        <v>2104</v>
      </c>
      <c r="D478" s="2" t="str">
        <f>CLEAN(TRIM(Working_Sales[[#This Row],[Date]]))</f>
        <v>August 05, 2023</v>
      </c>
      <c r="E478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478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47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45143</v>
      </c>
      <c r="H478" t="s">
        <v>2721</v>
      </c>
      <c r="I478" s="2" t="str">
        <f>CLEAN(TRIM(Working_Sales[[#This Row],[Customer ID]]))</f>
        <v>CUST096</v>
      </c>
      <c r="J47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CUST096</v>
      </c>
      <c r="K47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CUST096</v>
      </c>
      <c r="L478" t="s">
        <v>26</v>
      </c>
      <c r="M478" s="4" t="str">
        <f>CLEAN(TRIM(Working_Sales[[#This Row],[Gender]]))</f>
        <v>Female</v>
      </c>
      <c r="N478" s="4" t="str" cm="1">
        <f t="array" ref="N478">_xlfn.SWITCH(
   Working_Sales[[#This Row],[Gender_Whitespace_Removed]],
   "m", "Male",
   "f", "Female",
   Working_Sales[[#This Row],[Gender_Whitespace_Removed]]
)</f>
        <v>Female</v>
      </c>
      <c r="O478" s="6" t="str">
        <f>PROPER(Working_Sales[[#This Row],[Gender_Abbreviation_Expanded]])</f>
        <v>Female</v>
      </c>
      <c r="P478">
        <v>34</v>
      </c>
      <c r="Q478" s="2" t="str">
        <f>CLEAN(TRIM(Working_Sales[[#This Row],[Age]]))</f>
        <v>34</v>
      </c>
      <c r="R478" s="6">
        <f>INT(SUBSTITUTE(Working_Sales[[#This Row],[Age_Whitespace_Removed]],".",","))</f>
        <v>34</v>
      </c>
      <c r="S478" t="s">
        <v>36</v>
      </c>
      <c r="T478" s="2" t="str">
        <f>CLEAN(TRIM(Working_Sales[[#This Row],[Product Category]]))</f>
        <v>Beauty</v>
      </c>
      <c r="U478" s="6" t="str">
        <f>PROPER(Working_Sales[[#This Row],[Product_Category_Whitespace_Removed]])</f>
        <v>Beauty</v>
      </c>
      <c r="V478" t="s">
        <v>14</v>
      </c>
      <c r="W478" s="2" t="str">
        <f>CLEAN(TRIM(Working_Sales[[#This Row],[Quantity]]))</f>
        <v>4</v>
      </c>
      <c r="X478" s="2">
        <f>INT(Working_Sales[[#This Row],[`]])</f>
        <v>4</v>
      </c>
      <c r="Y478" s="6">
        <f>IFERROR(
   Working_Sales[[#This Row],[Quantity_Converted_To_Integer]],
   Working_Sales[[#This Row],[Total_Amount_Whitespace_Removed]]/Working_Sales[[#This Row],[Price_Per_Unit_Decimal_Separator_Fixed]])</f>
        <v>4</v>
      </c>
      <c r="Z478" t="s">
        <v>23</v>
      </c>
      <c r="AA478" s="2" t="str">
        <f>CLEAN(TRIM(Working_Sales[[#This Row],[Price per Unit]]))</f>
        <v>300</v>
      </c>
      <c r="AB478" s="2">
        <f>INT(
   SUBSTITUTE(Working_Sales[[#This Row],[Price_Per_Unit_Whitespace_Removed]],
   "$",
   ""
   )
)</f>
        <v>300</v>
      </c>
      <c r="AC478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478" s="8">
        <f>IFERROR(
   Working_Sales[[#This Row],[Price_Per_Unit_Decimal_Separator_Fixed]],
   Working_Sales[[#This Row],[Total_Amount_Converted_To_Integer]]/Working_Sales[[#This Row],[Quantity_Converted_To_Integer]]
)</f>
        <v>300</v>
      </c>
      <c r="AE478" t="s">
        <v>79</v>
      </c>
      <c r="AF478" s="2" t="str">
        <f>CLEAN(TRIM(Working_Sales[[#This Row],[Total Amount]]))</f>
        <v>1200</v>
      </c>
      <c r="AG478" s="2">
        <f>INT(Working_Sales[[#This Row],[Total_Amount_Whitespace_Removed]])</f>
        <v>1200</v>
      </c>
      <c r="AH47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479" spans="1:34" x14ac:dyDescent="0.35">
      <c r="A479" t="s">
        <v>1064</v>
      </c>
      <c r="B479" s="6" t="str">
        <f>CLEAN(TRIM(Working_Sales[[#This Row],[Transaction ID]]))</f>
        <v>603</v>
      </c>
      <c r="C479" t="s">
        <v>1065</v>
      </c>
      <c r="D479" s="2" t="str">
        <f>CLEAN(TRIM(Working_Sales[[#This Row],[Date]]))</f>
        <v>16/07/2023</v>
      </c>
      <c r="E47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45123</v>
      </c>
      <c r="F47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45123</v>
      </c>
      <c r="G47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45123</v>
      </c>
      <c r="H479" t="s">
        <v>2722</v>
      </c>
      <c r="I479" s="2" t="str">
        <f>CLEAN(TRIM(Working_Sales[[#This Row],[Customer ID]]))</f>
        <v>CUST342</v>
      </c>
      <c r="J47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CUST342</v>
      </c>
      <c r="K47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CUST342</v>
      </c>
      <c r="L479" t="s">
        <v>26</v>
      </c>
      <c r="M479" s="4" t="str">
        <f>CLEAN(TRIM(Working_Sales[[#This Row],[Gender]]))</f>
        <v>Female</v>
      </c>
      <c r="N479" s="4" t="str" cm="1">
        <f t="array" ref="N479">_xlfn.SWITCH(
   Working_Sales[[#This Row],[Gender_Whitespace_Removed]],
   "m", "Male",
   "f", "Female",
   Working_Sales[[#This Row],[Gender_Whitespace_Removed]]
)</f>
        <v>Female</v>
      </c>
      <c r="O479" s="6" t="str">
        <f>PROPER(Working_Sales[[#This Row],[Gender_Abbreviation_Expanded]])</f>
        <v>Female</v>
      </c>
      <c r="P479" t="s">
        <v>1066</v>
      </c>
      <c r="Q479" s="2" t="str">
        <f>CLEAN(TRIM(Working_Sales[[#This Row],[Age]]))</f>
        <v>40</v>
      </c>
      <c r="R479" s="6">
        <f>INT(SUBSTITUTE(Working_Sales[[#This Row],[Age_Whitespace_Removed]],".",","))</f>
        <v>40</v>
      </c>
      <c r="S479" t="s">
        <v>56</v>
      </c>
      <c r="T479" s="2" t="str">
        <f>CLEAN(TRIM(Working_Sales[[#This Row],[Product Category]]))</f>
        <v>Clothing</v>
      </c>
      <c r="U479" s="6" t="str">
        <f>PROPER(Working_Sales[[#This Row],[Product_Category_Whitespace_Removed]])</f>
        <v>Clothing</v>
      </c>
      <c r="V479" t="s">
        <v>29</v>
      </c>
      <c r="W479" s="2" t="str">
        <f>CLEAN(TRIM(Working_Sales[[#This Row],[Quantity]]))</f>
        <v>3</v>
      </c>
      <c r="X479" s="2">
        <f>INT(Working_Sales[[#This Row],[`]])</f>
        <v>3</v>
      </c>
      <c r="Y479" s="6">
        <f>IFERROR(
   Working_Sales[[#This Row],[Quantity_Converted_To_Integer]],
   Working_Sales[[#This Row],[Total_Amount_Whitespace_Removed]]/Working_Sales[[#This Row],[Price_Per_Unit_Decimal_Separator_Fixed]])</f>
        <v>3</v>
      </c>
      <c r="Z479" t="s">
        <v>43</v>
      </c>
      <c r="AA479" s="2" t="str">
        <f>CLEAN(TRIM(Working_Sales[[#This Row],[Price per Unit]]))</f>
        <v>30.00</v>
      </c>
      <c r="AB479" s="2" t="e">
        <f>INT(
   SUBSTITUTE(Working_Sales[[#This Row],[Price_Per_Unit_Whitespace_Removed]],
   "$",
   ""
   )
)</f>
        <v>#VALUE!</v>
      </c>
      <c r="AC479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479" s="8">
        <f>IFERROR(
   Working_Sales[[#This Row],[Price_Per_Unit_Decimal_Separator_Fixed]],
   Working_Sales[[#This Row],[Total_Amount_Converted_To_Integer]]/Working_Sales[[#This Row],[Quantity_Converted_To_Integer]]
)</f>
        <v>30</v>
      </c>
      <c r="AE479" t="s">
        <v>191</v>
      </c>
      <c r="AF479" s="2" t="str">
        <f>CLEAN(TRIM(Working_Sales[[#This Row],[Total Amount]]))</f>
        <v>90</v>
      </c>
      <c r="AG479" s="2">
        <f>INT(Working_Sales[[#This Row],[Total_Amount_Whitespace_Removed]])</f>
        <v>90</v>
      </c>
      <c r="AH47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480" spans="1:34" x14ac:dyDescent="0.35">
      <c r="A480" t="s">
        <v>1067</v>
      </c>
      <c r="B480" s="6" t="str">
        <f>CLEAN(TRIM(Working_Sales[[#This Row],[Transaction ID]]))</f>
        <v>201</v>
      </c>
      <c r="C480" t="s">
        <v>535</v>
      </c>
      <c r="D480" s="2" t="str">
        <f>CLEAN(TRIM(Working_Sales[[#This Row],[Date]]))</f>
        <v>October 09, 2023</v>
      </c>
      <c r="E480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480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48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45208</v>
      </c>
      <c r="H480" t="s">
        <v>888</v>
      </c>
      <c r="I480" s="2" t="str">
        <f>CLEAN(TRIM(Working_Sales[[#This Row],[Customer ID]]))</f>
        <v>CUST274</v>
      </c>
      <c r="J48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CUST274</v>
      </c>
      <c r="K48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CUST274</v>
      </c>
      <c r="L480" t="s">
        <v>20</v>
      </c>
      <c r="M480" s="4" t="str">
        <f>CLEAN(TRIM(Working_Sales[[#This Row],[Gender]]))</f>
        <v>male</v>
      </c>
      <c r="N480" s="4" t="str" cm="1">
        <f t="array" ref="N480">_xlfn.SWITCH(
   Working_Sales[[#This Row],[Gender_Whitespace_Removed]],
   "m", "Male",
   "f", "Female",
   Working_Sales[[#This Row],[Gender_Whitespace_Removed]]
)</f>
        <v>male</v>
      </c>
      <c r="O480" s="6" t="str">
        <f>PROPER(Working_Sales[[#This Row],[Gender_Abbreviation_Expanded]])</f>
        <v>Male</v>
      </c>
      <c r="P480" t="s">
        <v>754</v>
      </c>
      <c r="Q480" s="2" t="str">
        <f>CLEAN(TRIM(Working_Sales[[#This Row],[Age]]))</f>
        <v>56</v>
      </c>
      <c r="R480" s="6">
        <f>INT(SUBSTITUTE(Working_Sales[[#This Row],[Age_Whitespace_Removed]],".",","))</f>
        <v>56</v>
      </c>
      <c r="S480" t="s">
        <v>48</v>
      </c>
      <c r="T480" s="2" t="str">
        <f>CLEAN(TRIM(Working_Sales[[#This Row],[Product Category]]))</f>
        <v>electronics</v>
      </c>
      <c r="U480" s="6" t="str">
        <f>PROPER(Working_Sales[[#This Row],[Product_Category_Whitespace_Removed]])</f>
        <v>Electronics</v>
      </c>
      <c r="V480" t="s">
        <v>22</v>
      </c>
      <c r="W480" s="2" t="str">
        <f>CLEAN(TRIM(Working_Sales[[#This Row],[Quantity]]))</f>
        <v>1</v>
      </c>
      <c r="X480" s="2">
        <f>INT(Working_Sales[[#This Row],[`]])</f>
        <v>1</v>
      </c>
      <c r="Y480" s="6">
        <f>IFERROR(
   Working_Sales[[#This Row],[Quantity_Converted_To_Integer]],
   Working_Sales[[#This Row],[Total_Amount_Whitespace_Removed]]/Working_Sales[[#This Row],[Price_Per_Unit_Decimal_Separator_Fixed]])</f>
        <v>1</v>
      </c>
      <c r="Z480" t="s">
        <v>30</v>
      </c>
      <c r="AA480" s="2" t="str">
        <f>CLEAN(TRIM(Working_Sales[[#This Row],[Price per Unit]]))</f>
        <v>25</v>
      </c>
      <c r="AB480" s="2">
        <f>INT(
   SUBSTITUTE(Working_Sales[[#This Row],[Price_Per_Unit_Whitespace_Removed]],
   "$",
   ""
   )
)</f>
        <v>25</v>
      </c>
      <c r="AC480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480" s="8">
        <f>IFERROR(
   Working_Sales[[#This Row],[Price_Per_Unit_Decimal_Separator_Fixed]],
   Working_Sales[[#This Row],[Total_Amount_Converted_To_Integer]]/Working_Sales[[#This Row],[Quantity_Converted_To_Integer]]
)</f>
        <v>25</v>
      </c>
      <c r="AE480" t="s">
        <v>30</v>
      </c>
      <c r="AF480" s="2" t="str">
        <f>CLEAN(TRIM(Working_Sales[[#This Row],[Total Amount]]))</f>
        <v>25</v>
      </c>
      <c r="AG480" s="2">
        <f>INT(Working_Sales[[#This Row],[Total_Amount_Whitespace_Removed]])</f>
        <v>25</v>
      </c>
      <c r="AH48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481" spans="1:34" x14ac:dyDescent="0.35">
      <c r="A481" t="s">
        <v>1069</v>
      </c>
      <c r="B481" s="6" t="str">
        <f>CLEAN(TRIM(Working_Sales[[#This Row],[Transaction ID]]))</f>
        <v>578</v>
      </c>
      <c r="C481" t="s">
        <v>1070</v>
      </c>
      <c r="D481" s="2" t="str">
        <f>CLEAN(TRIM(Working_Sales[[#This Row],[Date]]))</f>
        <v>26/05/2023</v>
      </c>
      <c r="E48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45072</v>
      </c>
      <c r="F48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45072</v>
      </c>
      <c r="G48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45072</v>
      </c>
      <c r="H481" t="s">
        <v>2723</v>
      </c>
      <c r="I481" s="2" t="str">
        <f>CLEAN(TRIM(Working_Sales[[#This Row],[Customer ID]]))</f>
        <v>cust343</v>
      </c>
      <c r="J48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8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CUST343</v>
      </c>
      <c r="L481" t="s">
        <v>26</v>
      </c>
      <c r="M481" s="4" t="str">
        <f>CLEAN(TRIM(Working_Sales[[#This Row],[Gender]]))</f>
        <v>Female</v>
      </c>
      <c r="N481" s="4" t="str" cm="1">
        <f t="array" ref="N481">_xlfn.SWITCH(
   Working_Sales[[#This Row],[Gender_Whitespace_Removed]],
   "m", "Male",
   "f", "Female",
   Working_Sales[[#This Row],[Gender_Whitespace_Removed]]
)</f>
        <v>Female</v>
      </c>
      <c r="O481" s="6" t="str">
        <f>PROPER(Working_Sales[[#This Row],[Gender_Abbreviation_Expanded]])</f>
        <v>Female</v>
      </c>
      <c r="P481" t="s">
        <v>308</v>
      </c>
      <c r="Q481" s="2" t="str">
        <f>CLEAN(TRIM(Working_Sales[[#This Row],[Age]]))</f>
        <v>54.0</v>
      </c>
      <c r="R481" s="6">
        <f>INT(SUBSTITUTE(Working_Sales[[#This Row],[Age_Whitespace_Removed]],".",","))</f>
        <v>54</v>
      </c>
      <c r="S481" t="s">
        <v>124</v>
      </c>
      <c r="T481" s="2" t="str">
        <f>CLEAN(TRIM(Working_Sales[[#This Row],[Product Category]]))</f>
        <v>Clothing</v>
      </c>
      <c r="U481" s="6" t="str">
        <f>PROPER(Working_Sales[[#This Row],[Product_Category_Whitespace_Removed]])</f>
        <v>Clothing</v>
      </c>
      <c r="V481" t="s">
        <v>14</v>
      </c>
      <c r="W481" s="2" t="str">
        <f>CLEAN(TRIM(Working_Sales[[#This Row],[Quantity]]))</f>
        <v>4</v>
      </c>
      <c r="X481" s="2">
        <f>INT(Working_Sales[[#This Row],[`]])</f>
        <v>4</v>
      </c>
      <c r="Y481" s="6">
        <f>IFERROR(
   Working_Sales[[#This Row],[Quantity_Converted_To_Integer]],
   Working_Sales[[#This Row],[Total_Amount_Whitespace_Removed]]/Working_Sales[[#This Row],[Price_Per_Unit_Decimal_Separator_Fixed]])</f>
        <v>4</v>
      </c>
      <c r="Z481" t="s">
        <v>70</v>
      </c>
      <c r="AA481" s="2" t="str">
        <f>CLEAN(TRIM(Working_Sales[[#This Row],[Price per Unit]]))</f>
        <v>30</v>
      </c>
      <c r="AB481" s="2">
        <f>INT(
   SUBSTITUTE(Working_Sales[[#This Row],[Price_Per_Unit_Whitespace_Removed]],
   "$",
   ""
   )
)</f>
        <v>30</v>
      </c>
      <c r="AC481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481" s="8">
        <f>IFERROR(
   Working_Sales[[#This Row],[Price_Per_Unit_Decimal_Separator_Fixed]],
   Working_Sales[[#This Row],[Total_Amount_Converted_To_Integer]]/Working_Sales[[#This Row],[Quantity_Converted_To_Integer]]
)</f>
        <v>30</v>
      </c>
      <c r="AE481" t="s">
        <v>44</v>
      </c>
      <c r="AF481" s="2" t="str">
        <f>CLEAN(TRIM(Working_Sales[[#This Row],[Total Amount]]))</f>
        <v>120</v>
      </c>
      <c r="AG481" s="2">
        <f>INT(Working_Sales[[#This Row],[Total_Amount_Whitespace_Removed]])</f>
        <v>120</v>
      </c>
      <c r="AH48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482" spans="1:34" x14ac:dyDescent="0.35">
      <c r="A482" t="s">
        <v>1071</v>
      </c>
      <c r="B482" s="6" t="str">
        <f>CLEAN(TRIM(Working_Sales[[#This Row],[Transaction ID]]))</f>
        <v>386</v>
      </c>
      <c r="C482" t="s">
        <v>1072</v>
      </c>
      <c r="D482" s="2" t="str">
        <f>CLEAN(TRIM(Working_Sales[[#This Row],[Date]]))</f>
        <v>2023-12-27</v>
      </c>
      <c r="E48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45287</v>
      </c>
      <c r="F48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45287</v>
      </c>
      <c r="G48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45287</v>
      </c>
      <c r="H482" t="s">
        <v>2724</v>
      </c>
      <c r="I482" s="2" t="str">
        <f>CLEAN(TRIM(Working_Sales[[#This Row],[Customer ID]]))</f>
        <v>CUST179</v>
      </c>
      <c r="J48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8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CUST179</v>
      </c>
      <c r="L482" t="s">
        <v>26</v>
      </c>
      <c r="M482" s="4" t="str">
        <f>CLEAN(TRIM(Working_Sales[[#This Row],[Gender]]))</f>
        <v>Female</v>
      </c>
      <c r="N482" s="4" t="str" cm="1">
        <f t="array" ref="N482">_xlfn.SWITCH(
   Working_Sales[[#This Row],[Gender_Whitespace_Removed]],
   "m", "Male",
   "f", "Female",
   Working_Sales[[#This Row],[Gender_Whitespace_Removed]]
)</f>
        <v>Female</v>
      </c>
      <c r="O482" s="6" t="str">
        <f>PROPER(Working_Sales[[#This Row],[Gender_Abbreviation_Expanded]])</f>
        <v>Female</v>
      </c>
      <c r="P482">
        <v>54</v>
      </c>
      <c r="Q482" s="2" t="str">
        <f>CLEAN(TRIM(Working_Sales[[#This Row],[Age]]))</f>
        <v>54</v>
      </c>
      <c r="R482" s="6">
        <f>INT(SUBSTITUTE(Working_Sales[[#This Row],[Age_Whitespace_Removed]],".",","))</f>
        <v>54</v>
      </c>
      <c r="S482" t="s">
        <v>109</v>
      </c>
      <c r="T482" s="2" t="str">
        <f>CLEAN(TRIM(Working_Sales[[#This Row],[Product Category]]))</f>
        <v>Electronics</v>
      </c>
      <c r="U482" s="6" t="str">
        <f>PROPER(Working_Sales[[#This Row],[Product_Category_Whitespace_Removed]])</f>
        <v>Electronics</v>
      </c>
      <c r="V482" t="s">
        <v>37</v>
      </c>
      <c r="W482" s="2" t="str">
        <f>CLEAN(TRIM(Working_Sales[[#This Row],[Quantity]]))</f>
        <v>2</v>
      </c>
      <c r="X482" s="2">
        <f>INT(Working_Sales[[#This Row],[`]])</f>
        <v>2</v>
      </c>
      <c r="Y482" s="6">
        <f>IFERROR(
   Working_Sales[[#This Row],[Quantity_Converted_To_Integer]],
   Working_Sales[[#This Row],[Total_Amount_Whitespace_Removed]]/Working_Sales[[#This Row],[Price_Per_Unit_Decimal_Separator_Fixed]])</f>
        <v>2</v>
      </c>
      <c r="Z482" t="s">
        <v>23</v>
      </c>
      <c r="AA482" s="2" t="str">
        <f>CLEAN(TRIM(Working_Sales[[#This Row],[Price per Unit]]))</f>
        <v>300</v>
      </c>
      <c r="AB482" s="2">
        <f>INT(
   SUBSTITUTE(Working_Sales[[#This Row],[Price_Per_Unit_Whitespace_Removed]],
   "$",
   ""
   )
)</f>
        <v>300</v>
      </c>
      <c r="AC482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482" s="8">
        <f>IFERROR(
   Working_Sales[[#This Row],[Price_Per_Unit_Decimal_Separator_Fixed]],
   Working_Sales[[#This Row],[Total_Amount_Converted_To_Integer]]/Working_Sales[[#This Row],[Quantity_Converted_To_Integer]]
)</f>
        <v>300</v>
      </c>
      <c r="AE482" t="s">
        <v>107</v>
      </c>
      <c r="AF482" s="2" t="str">
        <f>CLEAN(TRIM(Working_Sales[[#This Row],[Total Amount]]))</f>
        <v>600</v>
      </c>
      <c r="AG482" s="2">
        <f>INT(Working_Sales[[#This Row],[Total_Amount_Whitespace_Removed]])</f>
        <v>600</v>
      </c>
      <c r="AH48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600</v>
      </c>
    </row>
    <row r="483" spans="1:34" x14ac:dyDescent="0.35">
      <c r="A483" t="s">
        <v>1074</v>
      </c>
      <c r="B483" s="6" t="str">
        <f>CLEAN(TRIM(Working_Sales[[#This Row],[Transaction ID]]))</f>
        <v>877</v>
      </c>
      <c r="C483" t="s">
        <v>1075</v>
      </c>
      <c r="D483" s="2" t="str">
        <f>CLEAN(TRIM(Working_Sales[[#This Row],[Date]]))</f>
        <v>2023-06-19</v>
      </c>
      <c r="E48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45096</v>
      </c>
      <c r="F48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45096</v>
      </c>
      <c r="G48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45096</v>
      </c>
      <c r="H483" t="s">
        <v>971</v>
      </c>
      <c r="I483" s="2" t="str">
        <f>CLEAN(TRIM(Working_Sales[[#This Row],[Customer ID]]))</f>
        <v>CUST121</v>
      </c>
      <c r="J48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8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CUST121</v>
      </c>
      <c r="L483" t="s">
        <v>26</v>
      </c>
      <c r="M483" s="4" t="str">
        <f>CLEAN(TRIM(Working_Sales[[#This Row],[Gender]]))</f>
        <v>Female</v>
      </c>
      <c r="N483" s="4" t="str" cm="1">
        <f t="array" ref="N483">_xlfn.SWITCH(
   Working_Sales[[#This Row],[Gender_Whitespace_Removed]],
   "m", "Male",
   "f", "Female",
   Working_Sales[[#This Row],[Gender_Whitespace_Removed]]
)</f>
        <v>Female</v>
      </c>
      <c r="O483" s="6" t="str">
        <f>PROPER(Working_Sales[[#This Row],[Gender_Abbreviation_Expanded]])</f>
        <v>Female</v>
      </c>
      <c r="P483">
        <v>58</v>
      </c>
      <c r="Q483" s="2" t="str">
        <f>CLEAN(TRIM(Working_Sales[[#This Row],[Age]]))</f>
        <v>58</v>
      </c>
      <c r="R483" s="6">
        <f>INT(SUBSTITUTE(Working_Sales[[#This Row],[Age_Whitespace_Removed]],".",","))</f>
        <v>58</v>
      </c>
      <c r="S483" t="s">
        <v>56</v>
      </c>
      <c r="T483" s="2" t="str">
        <f>CLEAN(TRIM(Working_Sales[[#This Row],[Product Category]]))</f>
        <v>Clothing</v>
      </c>
      <c r="U483" s="6" t="str">
        <f>PROPER(Working_Sales[[#This Row],[Product_Category_Whitespace_Removed]])</f>
        <v>Clothing</v>
      </c>
      <c r="V483" t="s">
        <v>22</v>
      </c>
      <c r="W483" s="2" t="str">
        <f>CLEAN(TRIM(Working_Sales[[#This Row],[Quantity]]))</f>
        <v>1</v>
      </c>
      <c r="X483" s="2">
        <f>INT(Working_Sales[[#This Row],[`]])</f>
        <v>1</v>
      </c>
      <c r="Y483" s="6">
        <f>IFERROR(
   Working_Sales[[#This Row],[Quantity_Converted_To_Integer]],
   Working_Sales[[#This Row],[Total_Amount_Whitespace_Removed]]/Working_Sales[[#This Row],[Price_Per_Unit_Decimal_Separator_Fixed]])</f>
        <v>1</v>
      </c>
      <c r="Z483" t="s">
        <v>30</v>
      </c>
      <c r="AA483" s="2" t="str">
        <f>CLEAN(TRIM(Working_Sales[[#This Row],[Price per Unit]]))</f>
        <v>25</v>
      </c>
      <c r="AB483" s="2">
        <f>INT(
   SUBSTITUTE(Working_Sales[[#This Row],[Price_Per_Unit_Whitespace_Removed]],
   "$",
   ""
   )
)</f>
        <v>25</v>
      </c>
      <c r="AC483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483" s="8">
        <f>IFERROR(
   Working_Sales[[#This Row],[Price_Per_Unit_Decimal_Separator_Fixed]],
   Working_Sales[[#This Row],[Total_Amount_Converted_To_Integer]]/Working_Sales[[#This Row],[Quantity_Converted_To_Integer]]
)</f>
        <v>25</v>
      </c>
      <c r="AE483" t="s">
        <v>30</v>
      </c>
      <c r="AF483" s="2" t="str">
        <f>CLEAN(TRIM(Working_Sales[[#This Row],[Total Amount]]))</f>
        <v>25</v>
      </c>
      <c r="AG483" s="2">
        <f>INT(Working_Sales[[#This Row],[Total_Amount_Whitespace_Removed]])</f>
        <v>25</v>
      </c>
      <c r="AH48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484" spans="1:34" x14ac:dyDescent="0.35">
      <c r="A484" t="s">
        <v>1076</v>
      </c>
      <c r="B484" s="6" t="str">
        <f>CLEAN(TRIM(Working_Sales[[#This Row],[Transaction ID]]))</f>
        <v>670</v>
      </c>
      <c r="C484" t="s">
        <v>2105</v>
      </c>
      <c r="D484" s="2" t="str">
        <f>CLEAN(TRIM(Working_Sales[[#This Row],[Date]]))</f>
        <v>05-Oct-2023</v>
      </c>
      <c r="E48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45204</v>
      </c>
      <c r="F48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45204</v>
      </c>
      <c r="G48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45204</v>
      </c>
      <c r="H484" t="s">
        <v>2725</v>
      </c>
      <c r="I484" s="2" t="str">
        <f>CLEAN(TRIM(Working_Sales[[#This Row],[Customer ID]]))</f>
        <v>CUST111</v>
      </c>
      <c r="J48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CUST111</v>
      </c>
      <c r="K48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CUST111</v>
      </c>
      <c r="L484" t="s">
        <v>34</v>
      </c>
      <c r="M484" s="4" t="str">
        <f>CLEAN(TRIM(Working_Sales[[#This Row],[Gender]]))</f>
        <v>Male</v>
      </c>
      <c r="N484" s="4" t="str" cm="1">
        <f t="array" ref="N484">_xlfn.SWITCH(
   Working_Sales[[#This Row],[Gender_Whitespace_Removed]],
   "m", "Male",
   "f", "Female",
   Working_Sales[[#This Row],[Gender_Whitespace_Removed]]
)</f>
        <v>Male</v>
      </c>
      <c r="O484" s="6" t="str">
        <f>PROPER(Working_Sales[[#This Row],[Gender_Abbreviation_Expanded]])</f>
        <v>Male</v>
      </c>
      <c r="P484">
        <v>27</v>
      </c>
      <c r="Q484" s="2" t="str">
        <f>CLEAN(TRIM(Working_Sales[[#This Row],[Age]]))</f>
        <v>27</v>
      </c>
      <c r="R484" s="6">
        <f>INT(SUBSTITUTE(Working_Sales[[#This Row],[Age_Whitespace_Removed]],".",","))</f>
        <v>27</v>
      </c>
      <c r="S484" t="s">
        <v>434</v>
      </c>
      <c r="T484" s="2" t="str">
        <f>CLEAN(TRIM(Working_Sales[[#This Row],[Product Category]]))</f>
        <v>Beauty</v>
      </c>
      <c r="U484" s="6" t="str">
        <f>PROPER(Working_Sales[[#This Row],[Product_Category_Whitespace_Removed]])</f>
        <v>Beauty</v>
      </c>
      <c r="V484" t="s">
        <v>22</v>
      </c>
      <c r="W484" s="2" t="str">
        <f>CLEAN(TRIM(Working_Sales[[#This Row],[Quantity]]))</f>
        <v>1</v>
      </c>
      <c r="X484" s="2">
        <f>INT(Working_Sales[[#This Row],[`]])</f>
        <v>1</v>
      </c>
      <c r="Y484" s="6">
        <f>IFERROR(
   Working_Sales[[#This Row],[Quantity_Converted_To_Integer]],
   Working_Sales[[#This Row],[Total_Amount_Whitespace_Removed]]/Working_Sales[[#This Row],[Price_Per_Unit_Decimal_Separator_Fixed]])</f>
        <v>1</v>
      </c>
      <c r="Z484" t="s">
        <v>100</v>
      </c>
      <c r="AA484" s="2" t="str">
        <f>CLEAN(TRIM(Working_Sales[[#This Row],[Price per Unit]]))</f>
        <v>30</v>
      </c>
      <c r="AB484" s="2">
        <f>INT(
   SUBSTITUTE(Working_Sales[[#This Row],[Price_Per_Unit_Whitespace_Removed]],
   "$",
   ""
   )
)</f>
        <v>30</v>
      </c>
      <c r="AC484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484" s="8">
        <f>IFERROR(
   Working_Sales[[#This Row],[Price_Per_Unit_Decimal_Separator_Fixed]],
   Working_Sales[[#This Row],[Total_Amount_Converted_To_Integer]]/Working_Sales[[#This Row],[Quantity_Converted_To_Integer]]
)</f>
        <v>30</v>
      </c>
      <c r="AE484" t="s">
        <v>70</v>
      </c>
      <c r="AF484" s="2" t="str">
        <f>CLEAN(TRIM(Working_Sales[[#This Row],[Total Amount]]))</f>
        <v>30</v>
      </c>
      <c r="AG484" s="2">
        <f>INT(Working_Sales[[#This Row],[Total_Amount_Whitespace_Removed]])</f>
        <v>30</v>
      </c>
      <c r="AH48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485" spans="1:34" x14ac:dyDescent="0.35">
      <c r="A485" t="s">
        <v>1077</v>
      </c>
      <c r="B485" s="6" t="str">
        <f>CLEAN(TRIM(Working_Sales[[#This Row],[Transaction ID]]))</f>
        <v>917</v>
      </c>
      <c r="C485" t="s">
        <v>2012</v>
      </c>
      <c r="D485" s="2" t="str">
        <f>CLEAN(TRIM(Working_Sales[[#This Row],[Date]]))</f>
        <v>06-Mar-2023</v>
      </c>
      <c r="E48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44991</v>
      </c>
      <c r="F48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44991</v>
      </c>
      <c r="G48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44991</v>
      </c>
      <c r="H485" t="s">
        <v>2726</v>
      </c>
      <c r="I485" s="2" t="str">
        <f>CLEAN(TRIM(Working_Sales[[#This Row],[Customer ID]]))</f>
        <v>cust186</v>
      </c>
      <c r="J48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8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CUST186</v>
      </c>
      <c r="L485" t="s">
        <v>26</v>
      </c>
      <c r="M485" s="4" t="str">
        <f>CLEAN(TRIM(Working_Sales[[#This Row],[Gender]]))</f>
        <v>Female</v>
      </c>
      <c r="N485" s="4" t="str" cm="1">
        <f t="array" ref="N485">_xlfn.SWITCH(
   Working_Sales[[#This Row],[Gender_Whitespace_Removed]],
   "m", "Male",
   "f", "Female",
   Working_Sales[[#This Row],[Gender_Whitespace_Removed]]
)</f>
        <v>Female</v>
      </c>
      <c r="O485" s="6" t="str">
        <f>PROPER(Working_Sales[[#This Row],[Gender_Abbreviation_Expanded]])</f>
        <v>Female</v>
      </c>
      <c r="P485">
        <v>57</v>
      </c>
      <c r="Q485" s="2" t="str">
        <f>CLEAN(TRIM(Working_Sales[[#This Row],[Age]]))</f>
        <v>57</v>
      </c>
      <c r="R485" s="6">
        <f>INT(SUBSTITUTE(Working_Sales[[#This Row],[Age_Whitespace_Removed]],".",","))</f>
        <v>57</v>
      </c>
      <c r="S485" t="s">
        <v>13</v>
      </c>
      <c r="T485" s="2" t="str">
        <f>CLEAN(TRIM(Working_Sales[[#This Row],[Product Category]]))</f>
        <v>Electronics</v>
      </c>
      <c r="U485" s="6" t="str">
        <f>PROPER(Working_Sales[[#This Row],[Product_Category_Whitespace_Removed]])</f>
        <v>Electronics</v>
      </c>
      <c r="V485" t="s">
        <v>14</v>
      </c>
      <c r="W485" s="2" t="str">
        <f>CLEAN(TRIM(Working_Sales[[#This Row],[Quantity]]))</f>
        <v>4</v>
      </c>
      <c r="X485" s="2">
        <f>INT(Working_Sales[[#This Row],[`]])</f>
        <v>4</v>
      </c>
      <c r="Y485" s="6">
        <f>IFERROR(
   Working_Sales[[#This Row],[Quantity_Converted_To_Integer]],
   Working_Sales[[#This Row],[Total_Amount_Whitespace_Removed]]/Working_Sales[[#This Row],[Price_Per_Unit_Decimal_Separator_Fixed]])</f>
        <v>4</v>
      </c>
      <c r="Z485" t="s">
        <v>15</v>
      </c>
      <c r="AA485" s="2" t="str">
        <f>CLEAN(TRIM(Working_Sales[[#This Row],[Price per Unit]]))</f>
        <v>50</v>
      </c>
      <c r="AB485" s="2">
        <f>INT(
   SUBSTITUTE(Working_Sales[[#This Row],[Price_Per_Unit_Whitespace_Removed]],
   "$",
   ""
   )
)</f>
        <v>50</v>
      </c>
      <c r="AC485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485" s="8">
        <f>IFERROR(
   Working_Sales[[#This Row],[Price_Per_Unit_Decimal_Separator_Fixed]],
   Working_Sales[[#This Row],[Total_Amount_Converted_To_Integer]]/Working_Sales[[#This Row],[Quantity_Converted_To_Integer]]
)</f>
        <v>50</v>
      </c>
      <c r="AE485" t="s">
        <v>16</v>
      </c>
      <c r="AF485" s="2" t="str">
        <f>CLEAN(TRIM(Working_Sales[[#This Row],[Total Amount]]))</f>
        <v>200</v>
      </c>
      <c r="AG485" s="2">
        <f>INT(Working_Sales[[#This Row],[Total_Amount_Whitespace_Removed]])</f>
        <v>200</v>
      </c>
      <c r="AH48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486" spans="1:34" x14ac:dyDescent="0.35">
      <c r="A486" t="s">
        <v>1078</v>
      </c>
      <c r="B486" s="6" t="str">
        <f>CLEAN(TRIM(Working_Sales[[#This Row],[Transaction ID]]))</f>
        <v>805</v>
      </c>
      <c r="C486" t="s">
        <v>324</v>
      </c>
      <c r="D486" s="2" t="str">
        <f>CLEAN(TRIM(Working_Sales[[#This Row],[Date]]))</f>
        <v>29/12/2023</v>
      </c>
      <c r="E48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45289</v>
      </c>
      <c r="F48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45289</v>
      </c>
      <c r="G48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45289</v>
      </c>
      <c r="H486" t="s">
        <v>1294</v>
      </c>
      <c r="I486" s="2" t="str">
        <f>CLEAN(TRIM(Working_Sales[[#This Row],[Customer ID]]))</f>
        <v>CUST344</v>
      </c>
      <c r="J48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CUST344</v>
      </c>
      <c r="K48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CUST344</v>
      </c>
      <c r="L486" t="s">
        <v>26</v>
      </c>
      <c r="M486" s="4" t="str">
        <f>CLEAN(TRIM(Working_Sales[[#This Row],[Gender]]))</f>
        <v>Female</v>
      </c>
      <c r="N486" s="4" t="str" cm="1">
        <f t="array" ref="N486">_xlfn.SWITCH(
   Working_Sales[[#This Row],[Gender_Whitespace_Removed]],
   "m", "Male",
   "f", "Female",
   Working_Sales[[#This Row],[Gender_Whitespace_Removed]]
)</f>
        <v>Female</v>
      </c>
      <c r="O486" s="6" t="str">
        <f>PROPER(Working_Sales[[#This Row],[Gender_Abbreviation_Expanded]])</f>
        <v>Female</v>
      </c>
      <c r="P486">
        <v>30</v>
      </c>
      <c r="Q486" s="2" t="str">
        <f>CLEAN(TRIM(Working_Sales[[#This Row],[Age]]))</f>
        <v>30</v>
      </c>
      <c r="R486" s="6">
        <f>INT(SUBSTITUTE(Working_Sales[[#This Row],[Age_Whitespace_Removed]],".",","))</f>
        <v>30</v>
      </c>
      <c r="S486" t="s">
        <v>36</v>
      </c>
      <c r="T486" s="2" t="str">
        <f>CLEAN(TRIM(Working_Sales[[#This Row],[Product Category]]))</f>
        <v>Beauty</v>
      </c>
      <c r="U486" s="6" t="str">
        <f>PROPER(Working_Sales[[#This Row],[Product_Category_Whitespace_Removed]])</f>
        <v>Beauty</v>
      </c>
      <c r="V486" t="s">
        <v>29</v>
      </c>
      <c r="W486" s="2" t="str">
        <f>CLEAN(TRIM(Working_Sales[[#This Row],[Quantity]]))</f>
        <v>3</v>
      </c>
      <c r="X486" s="2">
        <f>INT(Working_Sales[[#This Row],[`]])</f>
        <v>3</v>
      </c>
      <c r="Y486" s="6">
        <f>IFERROR(
   Working_Sales[[#This Row],[Quantity_Converted_To_Integer]],
   Working_Sales[[#This Row],[Total_Amount_Whitespace_Removed]]/Working_Sales[[#This Row],[Price_Per_Unit_Decimal_Separator_Fixed]])</f>
        <v>3</v>
      </c>
      <c r="Z486" t="s">
        <v>57</v>
      </c>
      <c r="AA486" s="2" t="str">
        <f>CLEAN(TRIM(Working_Sales[[#This Row],[Price per Unit]]))</f>
        <v>500</v>
      </c>
      <c r="AB486" s="2">
        <f>INT(
   SUBSTITUTE(Working_Sales[[#This Row],[Price_Per_Unit_Whitespace_Removed]],
   "$",
   ""
   )
)</f>
        <v>500</v>
      </c>
      <c r="AC486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486" s="8">
        <f>IFERROR(
   Working_Sales[[#This Row],[Price_Per_Unit_Decimal_Separator_Fixed]],
   Working_Sales[[#This Row],[Total_Amount_Converted_To_Integer]]/Working_Sales[[#This Row],[Quantity_Converted_To_Integer]]
)</f>
        <v>500</v>
      </c>
      <c r="AE486" t="s">
        <v>85</v>
      </c>
      <c r="AF486" s="2" t="str">
        <f>CLEAN(TRIM(Working_Sales[[#This Row],[Total Amount]]))</f>
        <v>1500</v>
      </c>
      <c r="AG486" s="2">
        <f>INT(Working_Sales[[#This Row],[Total_Amount_Whitespace_Removed]])</f>
        <v>1500</v>
      </c>
      <c r="AH48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487" spans="1:34" x14ac:dyDescent="0.35">
      <c r="A487" t="s">
        <v>1079</v>
      </c>
      <c r="B487" s="6" t="str">
        <f>CLEAN(TRIM(Working_Sales[[#This Row],[Transaction ID]]))</f>
        <v>650</v>
      </c>
      <c r="C487" t="s">
        <v>1579</v>
      </c>
      <c r="D487" s="2" t="str">
        <f>CLEAN(TRIM(Working_Sales[[#This Row],[Date]]))</f>
        <v>2024-01-01</v>
      </c>
      <c r="E48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45292</v>
      </c>
      <c r="F48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45292</v>
      </c>
      <c r="G48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45292</v>
      </c>
      <c r="H487" t="s">
        <v>2727</v>
      </c>
      <c r="I487" s="2" t="str">
        <f>CLEAN(TRIM(Working_Sales[[#This Row],[Customer ID]]))</f>
        <v>CUST345</v>
      </c>
      <c r="J48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CUST345</v>
      </c>
      <c r="K48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CUST345</v>
      </c>
      <c r="L487" t="s">
        <v>34</v>
      </c>
      <c r="M487" s="4" t="str">
        <f>CLEAN(TRIM(Working_Sales[[#This Row],[Gender]]))</f>
        <v>Male</v>
      </c>
      <c r="N487" s="4" t="str" cm="1">
        <f t="array" ref="N487">_xlfn.SWITCH(
   Working_Sales[[#This Row],[Gender_Whitespace_Removed]],
   "m", "Male",
   "f", "Female",
   Working_Sales[[#This Row],[Gender_Whitespace_Removed]]
)</f>
        <v>Male</v>
      </c>
      <c r="O487" s="6" t="str">
        <f>PROPER(Working_Sales[[#This Row],[Gender_Abbreviation_Expanded]])</f>
        <v>Male</v>
      </c>
      <c r="P487">
        <v>55</v>
      </c>
      <c r="Q487" s="2" t="str">
        <f>CLEAN(TRIM(Working_Sales[[#This Row],[Age]]))</f>
        <v>55</v>
      </c>
      <c r="R487" s="6">
        <f>INT(SUBSTITUTE(Working_Sales[[#This Row],[Age_Whitespace_Removed]],".",","))</f>
        <v>55</v>
      </c>
      <c r="S487" t="s">
        <v>13</v>
      </c>
      <c r="T487" s="2" t="str">
        <f>CLEAN(TRIM(Working_Sales[[#This Row],[Product Category]]))</f>
        <v>Electronics</v>
      </c>
      <c r="U487" s="6" t="str">
        <f>PROPER(Working_Sales[[#This Row],[Product_Category_Whitespace_Removed]])</f>
        <v>Electronics</v>
      </c>
      <c r="V487" t="s">
        <v>22</v>
      </c>
      <c r="W487" s="2" t="str">
        <f>CLEAN(TRIM(Working_Sales[[#This Row],[Quantity]]))</f>
        <v>1</v>
      </c>
      <c r="X487" s="2">
        <f>INT(Working_Sales[[#This Row],[`]])</f>
        <v>1</v>
      </c>
      <c r="Y487" s="6">
        <f>IFERROR(
   Working_Sales[[#This Row],[Quantity_Converted_To_Integer]],
   Working_Sales[[#This Row],[Total_Amount_Whitespace_Removed]]/Working_Sales[[#This Row],[Price_Per_Unit_Decimal_Separator_Fixed]])</f>
        <v>1</v>
      </c>
      <c r="Z487" t="s">
        <v>43</v>
      </c>
      <c r="AA487" s="2" t="str">
        <f>CLEAN(TRIM(Working_Sales[[#This Row],[Price per Unit]]))</f>
        <v>30.00</v>
      </c>
      <c r="AB487" s="2" t="e">
        <f>INT(
   SUBSTITUTE(Working_Sales[[#This Row],[Price_Per_Unit_Whitespace_Removed]],
   "$",
   ""
   )
)</f>
        <v>#VALUE!</v>
      </c>
      <c r="AC487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487" s="8">
        <f>IFERROR(
   Working_Sales[[#This Row],[Price_Per_Unit_Decimal_Separator_Fixed]],
   Working_Sales[[#This Row],[Total_Amount_Converted_To_Integer]]/Working_Sales[[#This Row],[Quantity_Converted_To_Integer]]
)</f>
        <v>30</v>
      </c>
      <c r="AE487" t="s">
        <v>70</v>
      </c>
      <c r="AF487" s="2" t="str">
        <f>CLEAN(TRIM(Working_Sales[[#This Row],[Total Amount]]))</f>
        <v>30</v>
      </c>
      <c r="AG487" s="2">
        <f>INT(Working_Sales[[#This Row],[Total_Amount_Whitespace_Removed]])</f>
        <v>30</v>
      </c>
      <c r="AH48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488" spans="1:34" x14ac:dyDescent="0.35">
      <c r="A488" t="s">
        <v>1080</v>
      </c>
      <c r="B488" s="6" t="str">
        <f>CLEAN(TRIM(Working_Sales[[#This Row],[Transaction ID]]))</f>
        <v>315</v>
      </c>
      <c r="C488" t="s">
        <v>2106</v>
      </c>
      <c r="D488" s="2" t="str">
        <f>CLEAN(TRIM(Working_Sales[[#This Row],[Date]]))</f>
        <v>June 01, 2023</v>
      </c>
      <c r="E488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488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48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45078</v>
      </c>
      <c r="H488" t="s">
        <v>2728</v>
      </c>
      <c r="I488" s="2" t="str">
        <f>CLEAN(TRIM(Working_Sales[[#This Row],[Customer ID]]))</f>
        <v>CUST-076</v>
      </c>
      <c r="J48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8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CUST076</v>
      </c>
      <c r="L488" t="s">
        <v>34</v>
      </c>
      <c r="M488" s="4" t="str">
        <f>CLEAN(TRIM(Working_Sales[[#This Row],[Gender]]))</f>
        <v>Male</v>
      </c>
      <c r="N488" s="4" t="str" cm="1">
        <f t="array" ref="N488">_xlfn.SWITCH(
   Working_Sales[[#This Row],[Gender_Whitespace_Removed]],
   "m", "Male",
   "f", "Female",
   Working_Sales[[#This Row],[Gender_Whitespace_Removed]]
)</f>
        <v>Male</v>
      </c>
      <c r="O488" s="6" t="str">
        <f>PROPER(Working_Sales[[#This Row],[Gender_Abbreviation_Expanded]])</f>
        <v>Male</v>
      </c>
      <c r="P488">
        <v>47</v>
      </c>
      <c r="Q488" s="2" t="str">
        <f>CLEAN(TRIM(Working_Sales[[#This Row],[Age]]))</f>
        <v>47</v>
      </c>
      <c r="R488" s="6">
        <f>INT(SUBSTITUTE(Working_Sales[[#This Row],[Age_Whitespace_Removed]],".",","))</f>
        <v>47</v>
      </c>
      <c r="S488" t="s">
        <v>56</v>
      </c>
      <c r="T488" s="2" t="str">
        <f>CLEAN(TRIM(Working_Sales[[#This Row],[Product Category]]))</f>
        <v>Clothing</v>
      </c>
      <c r="U488" s="6" t="str">
        <f>PROPER(Working_Sales[[#This Row],[Product_Category_Whitespace_Removed]])</f>
        <v>Clothing</v>
      </c>
      <c r="V488" t="s">
        <v>37</v>
      </c>
      <c r="W488" s="2" t="str">
        <f>CLEAN(TRIM(Working_Sales[[#This Row],[Quantity]]))</f>
        <v>2</v>
      </c>
      <c r="X488" s="2">
        <f>INT(Working_Sales[[#This Row],[`]])</f>
        <v>2</v>
      </c>
      <c r="Y488" s="6">
        <f>IFERROR(
   Working_Sales[[#This Row],[Quantity_Converted_To_Integer]],
   Working_Sales[[#This Row],[Total_Amount_Whitespace_Removed]]/Working_Sales[[#This Row],[Price_Per_Unit_Decimal_Separator_Fixed]])</f>
        <v>2</v>
      </c>
      <c r="Z488" t="s">
        <v>70</v>
      </c>
      <c r="AA488" s="2" t="str">
        <f>CLEAN(TRIM(Working_Sales[[#This Row],[Price per Unit]]))</f>
        <v>30</v>
      </c>
      <c r="AB488" s="2">
        <f>INT(
   SUBSTITUTE(Working_Sales[[#This Row],[Price_Per_Unit_Whitespace_Removed]],
   "$",
   ""
   )
)</f>
        <v>30</v>
      </c>
      <c r="AC488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488" s="8">
        <f>IFERROR(
   Working_Sales[[#This Row],[Price_Per_Unit_Decimal_Separator_Fixed]],
   Working_Sales[[#This Row],[Total_Amount_Converted_To_Integer]]/Working_Sales[[#This Row],[Quantity_Converted_To_Integer]]
)</f>
        <v>30</v>
      </c>
      <c r="AE488" t="s">
        <v>71</v>
      </c>
      <c r="AF488" s="2" t="str">
        <f>CLEAN(TRIM(Working_Sales[[#This Row],[Total Amount]]))</f>
        <v>60</v>
      </c>
      <c r="AG488" s="2">
        <f>INT(Working_Sales[[#This Row],[Total_Amount_Whitespace_Removed]])</f>
        <v>60</v>
      </c>
      <c r="AH48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489" spans="1:34" x14ac:dyDescent="0.35">
      <c r="A489" t="s">
        <v>1082</v>
      </c>
      <c r="B489" s="6" t="str">
        <f>CLEAN(TRIM(Working_Sales[[#This Row],[Transaction ID]]))</f>
        <v>509</v>
      </c>
      <c r="C489" t="s">
        <v>965</v>
      </c>
      <c r="D489" s="2" t="str">
        <f>CLEAN(TRIM(Working_Sales[[#This Row],[Date]]))</f>
        <v>2023-06-26</v>
      </c>
      <c r="E48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45103</v>
      </c>
      <c r="F48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45103</v>
      </c>
      <c r="G48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45103</v>
      </c>
      <c r="H489" t="s">
        <v>2729</v>
      </c>
      <c r="I489" s="2" t="str">
        <f>CLEAN(TRIM(Working_Sales[[#This Row],[Customer ID]]))</f>
        <v>CUST-346</v>
      </c>
      <c r="J48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8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CUST346</v>
      </c>
      <c r="L489" t="s">
        <v>26</v>
      </c>
      <c r="M489" s="4" t="str">
        <f>CLEAN(TRIM(Working_Sales[[#This Row],[Gender]]))</f>
        <v>Female</v>
      </c>
      <c r="N489" s="4" t="str" cm="1">
        <f t="array" ref="N489">_xlfn.SWITCH(
   Working_Sales[[#This Row],[Gender_Whitespace_Removed]],
   "m", "Male",
   "f", "Female",
   Working_Sales[[#This Row],[Gender_Whitespace_Removed]]
)</f>
        <v>Female</v>
      </c>
      <c r="O489" s="6" t="str">
        <f>PROPER(Working_Sales[[#This Row],[Gender_Abbreviation_Expanded]])</f>
        <v>Female</v>
      </c>
      <c r="P489">
        <v>37</v>
      </c>
      <c r="Q489" s="2" t="str">
        <f>CLEAN(TRIM(Working_Sales[[#This Row],[Age]]))</f>
        <v>37</v>
      </c>
      <c r="R489" s="6">
        <f>INT(SUBSTITUTE(Working_Sales[[#This Row],[Age_Whitespace_Removed]],".",","))</f>
        <v>37</v>
      </c>
      <c r="S489" t="s">
        <v>13</v>
      </c>
      <c r="T489" s="2" t="str">
        <f>CLEAN(TRIM(Working_Sales[[#This Row],[Product Category]]))</f>
        <v>Electronics</v>
      </c>
      <c r="U489" s="6" t="str">
        <f>PROPER(Working_Sales[[#This Row],[Product_Category_Whitespace_Removed]])</f>
        <v>Electronics</v>
      </c>
      <c r="V489" t="s">
        <v>29</v>
      </c>
      <c r="W489" s="2" t="str">
        <f>CLEAN(TRIM(Working_Sales[[#This Row],[Quantity]]))</f>
        <v>3</v>
      </c>
      <c r="X489" s="2">
        <f>INT(Working_Sales[[#This Row],[`]])</f>
        <v>3</v>
      </c>
      <c r="Y489" s="6">
        <f>IFERROR(
   Working_Sales[[#This Row],[Quantity_Converted_To_Integer]],
   Working_Sales[[#This Row],[Total_Amount_Whitespace_Removed]]/Working_Sales[[#This Row],[Price_Per_Unit_Decimal_Separator_Fixed]])</f>
        <v>3</v>
      </c>
      <c r="AA489" s="2" t="str">
        <f>CLEAN(TRIM(Working_Sales[[#This Row],[Price per Unit]]))</f>
        <v/>
      </c>
      <c r="AB489" s="2" t="e">
        <f>INT(
   SUBSTITUTE(Working_Sales[[#This Row],[Price_Per_Unit_Whitespace_Removed]],
   "$",
   ""
   )
)</f>
        <v>#VALUE!</v>
      </c>
      <c r="AC489" s="2" t="e">
        <f>INT(
   IFERROR(
      Working_Sales[[#This Row],[Price_Per_Unit_Dollar_Sign_Removed]],
      SUBSTITUTE(
         Working_Sales[[#This Row],[Price_Per_Unit_Whitespace_Removed]],
        ".",
         ","
      )
   )
)</f>
        <v>#VALUE!</v>
      </c>
      <c r="AD489" s="8">
        <f>IFERROR(
   Working_Sales[[#This Row],[Price_Per_Unit_Decimal_Separator_Fixed]],
   Working_Sales[[#This Row],[Total_Amount_Converted_To_Integer]]/Working_Sales[[#This Row],[Quantity_Converted_To_Integer]]
)</f>
        <v>300</v>
      </c>
      <c r="AE489" t="s">
        <v>128</v>
      </c>
      <c r="AF489" s="2" t="str">
        <f>CLEAN(TRIM(Working_Sales[[#This Row],[Total Amount]]))</f>
        <v>900</v>
      </c>
      <c r="AG489" s="2">
        <f>INT(Working_Sales[[#This Row],[Total_Amount_Whitespace_Removed]])</f>
        <v>900</v>
      </c>
      <c r="AH48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490" spans="1:34" x14ac:dyDescent="0.35">
      <c r="A490" t="s">
        <v>1083</v>
      </c>
      <c r="B490" s="6" t="str">
        <f>CLEAN(TRIM(Working_Sales[[#This Row],[Transaction ID]]))</f>
        <v>281</v>
      </c>
      <c r="C490" t="s">
        <v>1084</v>
      </c>
      <c r="D490" s="2" t="str">
        <f>CLEAN(TRIM(Working_Sales[[#This Row],[Date]]))</f>
        <v>05/23/2023</v>
      </c>
      <c r="E490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49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45069</v>
      </c>
      <c r="G49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45069</v>
      </c>
      <c r="H490" t="s">
        <v>2730</v>
      </c>
      <c r="I490" s="2" t="str">
        <f>CLEAN(TRIM(Working_Sales[[#This Row],[Customer ID]]))</f>
        <v>CUST257</v>
      </c>
      <c r="J49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CUST257</v>
      </c>
      <c r="K49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CUST257</v>
      </c>
      <c r="L490" t="s">
        <v>26</v>
      </c>
      <c r="M490" s="4" t="str">
        <f>CLEAN(TRIM(Working_Sales[[#This Row],[Gender]]))</f>
        <v>Female</v>
      </c>
      <c r="N490" s="4" t="str" cm="1">
        <f t="array" ref="N490">_xlfn.SWITCH(
   Working_Sales[[#This Row],[Gender_Whitespace_Removed]],
   "m", "Male",
   "f", "Female",
   Working_Sales[[#This Row],[Gender_Whitespace_Removed]]
)</f>
        <v>Female</v>
      </c>
      <c r="O490" s="6" t="str">
        <f>PROPER(Working_Sales[[#This Row],[Gender_Abbreviation_Expanded]])</f>
        <v>Female</v>
      </c>
      <c r="P490">
        <v>29</v>
      </c>
      <c r="Q490" s="2" t="str">
        <f>CLEAN(TRIM(Working_Sales[[#This Row],[Age]]))</f>
        <v>29</v>
      </c>
      <c r="R490" s="6">
        <f>INT(SUBSTITUTE(Working_Sales[[#This Row],[Age_Whitespace_Removed]],".",","))</f>
        <v>29</v>
      </c>
      <c r="S490" t="s">
        <v>69</v>
      </c>
      <c r="T490" s="2" t="str">
        <f>CLEAN(TRIM(Working_Sales[[#This Row],[Product Category]]))</f>
        <v>BEAUTY</v>
      </c>
      <c r="U490" s="6" t="str">
        <f>PROPER(Working_Sales[[#This Row],[Product_Category_Whitespace_Removed]])</f>
        <v>Beauty</v>
      </c>
      <c r="V490" t="s">
        <v>14</v>
      </c>
      <c r="W490" s="2" t="str">
        <f>CLEAN(TRIM(Working_Sales[[#This Row],[Quantity]]))</f>
        <v>4</v>
      </c>
      <c r="X490" s="2">
        <f>INT(Working_Sales[[#This Row],[`]])</f>
        <v>4</v>
      </c>
      <c r="Y490" s="6">
        <f>IFERROR(
   Working_Sales[[#This Row],[Quantity_Converted_To_Integer]],
   Working_Sales[[#This Row],[Total_Amount_Whitespace_Removed]]/Working_Sales[[#This Row],[Price_Per_Unit_Decimal_Separator_Fixed]])</f>
        <v>4</v>
      </c>
      <c r="Z490" t="s">
        <v>57</v>
      </c>
      <c r="AA490" s="2" t="str">
        <f>CLEAN(TRIM(Working_Sales[[#This Row],[Price per Unit]]))</f>
        <v>500</v>
      </c>
      <c r="AB490" s="2">
        <f>INT(
   SUBSTITUTE(Working_Sales[[#This Row],[Price_Per_Unit_Whitespace_Removed]],
   "$",
   ""
   )
)</f>
        <v>500</v>
      </c>
      <c r="AC490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490" s="8">
        <f>IFERROR(
   Working_Sales[[#This Row],[Price_Per_Unit_Decimal_Separator_Fixed]],
   Working_Sales[[#This Row],[Total_Amount_Converted_To_Integer]]/Working_Sales[[#This Row],[Quantity_Converted_To_Integer]]
)</f>
        <v>500</v>
      </c>
      <c r="AE490" t="s">
        <v>232</v>
      </c>
      <c r="AF490" s="2" t="str">
        <f>CLEAN(TRIM(Working_Sales[[#This Row],[Total Amount]]))</f>
        <v>2000</v>
      </c>
      <c r="AG490" s="2">
        <f>INT(Working_Sales[[#This Row],[Total_Amount_Whitespace_Removed]])</f>
        <v>2000</v>
      </c>
      <c r="AH49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491" spans="1:34" x14ac:dyDescent="0.35">
      <c r="A491" t="s">
        <v>1086</v>
      </c>
      <c r="B491" s="6" t="str">
        <f>CLEAN(TRIM(Working_Sales[[#This Row],[Transaction ID]]))</f>
        <v>965</v>
      </c>
      <c r="C491" t="s">
        <v>765</v>
      </c>
      <c r="D491" s="2" t="str">
        <f>CLEAN(TRIM(Working_Sales[[#This Row],[Date]]))</f>
        <v>2023-11-09</v>
      </c>
      <c r="E49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45239</v>
      </c>
      <c r="F49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45239</v>
      </c>
      <c r="G49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45239</v>
      </c>
      <c r="H491" t="s">
        <v>2731</v>
      </c>
      <c r="I491" s="2" t="str">
        <f>CLEAN(TRIM(Working_Sales[[#This Row],[Customer ID]]))</f>
        <v>CUST-347</v>
      </c>
      <c r="J49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9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CUST347</v>
      </c>
      <c r="L491" t="s">
        <v>34</v>
      </c>
      <c r="M491" s="4" t="str">
        <f>CLEAN(TRIM(Working_Sales[[#This Row],[Gender]]))</f>
        <v>Male</v>
      </c>
      <c r="N491" s="4" t="str" cm="1">
        <f t="array" ref="N491">_xlfn.SWITCH(
   Working_Sales[[#This Row],[Gender_Whitespace_Removed]],
   "m", "Male",
   "f", "Female",
   Working_Sales[[#This Row],[Gender_Whitespace_Removed]]
)</f>
        <v>Male</v>
      </c>
      <c r="O491" s="6" t="str">
        <f>PROPER(Working_Sales[[#This Row],[Gender_Abbreviation_Expanded]])</f>
        <v>Male</v>
      </c>
      <c r="P491">
        <v>22</v>
      </c>
      <c r="Q491" s="2" t="str">
        <f>CLEAN(TRIM(Working_Sales[[#This Row],[Age]]))</f>
        <v>22</v>
      </c>
      <c r="R491" s="6">
        <f>INT(SUBSTITUTE(Working_Sales[[#This Row],[Age_Whitespace_Removed]],".",","))</f>
        <v>22</v>
      </c>
      <c r="S491" t="s">
        <v>89</v>
      </c>
      <c r="T491" s="2" t="str">
        <f>CLEAN(TRIM(Working_Sales[[#This Row],[Product Category]]))</f>
        <v>CLOTHING</v>
      </c>
      <c r="U491" s="6" t="str">
        <f>PROPER(Working_Sales[[#This Row],[Product_Category_Whitespace_Removed]])</f>
        <v>Clothing</v>
      </c>
      <c r="V491" t="s">
        <v>14</v>
      </c>
      <c r="W491" s="2" t="str">
        <f>CLEAN(TRIM(Working_Sales[[#This Row],[Quantity]]))</f>
        <v>4</v>
      </c>
      <c r="X491" s="2">
        <f>INT(Working_Sales[[#This Row],[`]])</f>
        <v>4</v>
      </c>
      <c r="Y491" s="6">
        <f>IFERROR(
   Working_Sales[[#This Row],[Quantity_Converted_To_Integer]],
   Working_Sales[[#This Row],[Total_Amount_Whitespace_Removed]]/Working_Sales[[#This Row],[Price_Per_Unit_Decimal_Separator_Fixed]])</f>
        <v>4</v>
      </c>
      <c r="Z491" t="s">
        <v>15</v>
      </c>
      <c r="AA491" s="2" t="str">
        <f>CLEAN(TRIM(Working_Sales[[#This Row],[Price per Unit]]))</f>
        <v>50</v>
      </c>
      <c r="AB491" s="2">
        <f>INT(
   SUBSTITUTE(Working_Sales[[#This Row],[Price_Per_Unit_Whitespace_Removed]],
   "$",
   ""
   )
)</f>
        <v>50</v>
      </c>
      <c r="AC491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491" s="8">
        <f>IFERROR(
   Working_Sales[[#This Row],[Price_Per_Unit_Decimal_Separator_Fixed]],
   Working_Sales[[#This Row],[Total_Amount_Converted_To_Integer]]/Working_Sales[[#This Row],[Quantity_Converted_To_Integer]]
)</f>
        <v>50</v>
      </c>
      <c r="AE491" t="s">
        <v>16</v>
      </c>
      <c r="AF491" s="2" t="str">
        <f>CLEAN(TRIM(Working_Sales[[#This Row],[Total Amount]]))</f>
        <v>200</v>
      </c>
      <c r="AG491" s="2">
        <f>INT(Working_Sales[[#This Row],[Total_Amount_Whitespace_Removed]])</f>
        <v>200</v>
      </c>
      <c r="AH49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492" spans="1:34" x14ac:dyDescent="0.35">
      <c r="A492" t="s">
        <v>1087</v>
      </c>
      <c r="B492" s="6" t="str">
        <f>CLEAN(TRIM(Working_Sales[[#This Row],[Transaction ID]]))</f>
        <v>766</v>
      </c>
      <c r="C492" t="s">
        <v>2107</v>
      </c>
      <c r="D492" s="2" t="str">
        <f>CLEAN(TRIM(Working_Sales[[#This Row],[Date]]))</f>
        <v>25-Feb-2023</v>
      </c>
      <c r="E49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44982</v>
      </c>
      <c r="F49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44982</v>
      </c>
      <c r="G49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44982</v>
      </c>
      <c r="H492" t="s">
        <v>2732</v>
      </c>
      <c r="I492" s="2" t="str">
        <f>CLEAN(TRIM(Working_Sales[[#This Row],[Customer ID]]))</f>
        <v>CUST117</v>
      </c>
      <c r="J49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CUST117</v>
      </c>
      <c r="K49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CUST117</v>
      </c>
      <c r="L492" t="s">
        <v>34</v>
      </c>
      <c r="M492" s="4" t="str">
        <f>CLEAN(TRIM(Working_Sales[[#This Row],[Gender]]))</f>
        <v>Male</v>
      </c>
      <c r="N492" s="4" t="str" cm="1">
        <f t="array" ref="N492">_xlfn.SWITCH(
   Working_Sales[[#This Row],[Gender_Whitespace_Removed]],
   "m", "Male",
   "f", "Female",
   Working_Sales[[#This Row],[Gender_Whitespace_Removed]]
)</f>
        <v>Male</v>
      </c>
      <c r="O492" s="6" t="str">
        <f>PROPER(Working_Sales[[#This Row],[Gender_Abbreviation_Expanded]])</f>
        <v>Male</v>
      </c>
      <c r="P492">
        <v>38</v>
      </c>
      <c r="Q492" s="2" t="str">
        <f>CLEAN(TRIM(Working_Sales[[#This Row],[Age]]))</f>
        <v>38</v>
      </c>
      <c r="R492" s="6">
        <f>INT(SUBSTITUTE(Working_Sales[[#This Row],[Age_Whitespace_Removed]],".",","))</f>
        <v>38</v>
      </c>
      <c r="S492" t="s">
        <v>13</v>
      </c>
      <c r="T492" s="2" t="str">
        <f>CLEAN(TRIM(Working_Sales[[#This Row],[Product Category]]))</f>
        <v>Electronics</v>
      </c>
      <c r="U492" s="6" t="str">
        <f>PROPER(Working_Sales[[#This Row],[Product_Category_Whitespace_Removed]])</f>
        <v>Electronics</v>
      </c>
      <c r="V492" t="s">
        <v>29</v>
      </c>
      <c r="W492" s="2" t="str">
        <f>CLEAN(TRIM(Working_Sales[[#This Row],[Quantity]]))</f>
        <v>3</v>
      </c>
      <c r="X492" s="2">
        <f>INT(Working_Sales[[#This Row],[`]])</f>
        <v>3</v>
      </c>
      <c r="Y492" s="6">
        <f>IFERROR(
   Working_Sales[[#This Row],[Quantity_Converted_To_Integer]],
   Working_Sales[[#This Row],[Total_Amount_Whitespace_Removed]]/Working_Sales[[#This Row],[Price_Per_Unit_Decimal_Separator_Fixed]])</f>
        <v>3</v>
      </c>
      <c r="Z492" t="s">
        <v>23</v>
      </c>
      <c r="AA492" s="2" t="str">
        <f>CLEAN(TRIM(Working_Sales[[#This Row],[Price per Unit]]))</f>
        <v>300</v>
      </c>
      <c r="AB492" s="2">
        <f>INT(
   SUBSTITUTE(Working_Sales[[#This Row],[Price_Per_Unit_Whitespace_Removed]],
   "$",
   ""
   )
)</f>
        <v>300</v>
      </c>
      <c r="AC492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492" s="8">
        <f>IFERROR(
   Working_Sales[[#This Row],[Price_Per_Unit_Decimal_Separator_Fixed]],
   Working_Sales[[#This Row],[Total_Amount_Converted_To_Integer]]/Working_Sales[[#This Row],[Quantity_Converted_To_Integer]]
)</f>
        <v>300</v>
      </c>
      <c r="AE492" t="s">
        <v>128</v>
      </c>
      <c r="AF492" s="2" t="str">
        <f>CLEAN(TRIM(Working_Sales[[#This Row],[Total Amount]]))</f>
        <v>900</v>
      </c>
      <c r="AG492" s="2">
        <f>INT(Working_Sales[[#This Row],[Total_Amount_Whitespace_Removed]])</f>
        <v>900</v>
      </c>
      <c r="AH49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493" spans="1:34" x14ac:dyDescent="0.35">
      <c r="A493" t="s">
        <v>1088</v>
      </c>
      <c r="B493" s="6" t="str">
        <f>CLEAN(TRIM(Working_Sales[[#This Row],[Transaction ID]]))</f>
        <v>354</v>
      </c>
      <c r="C493" t="s">
        <v>1089</v>
      </c>
      <c r="D493" s="2" t="str">
        <f>CLEAN(TRIM(Working_Sales[[#This Row],[Date]]))</f>
        <v>2023-04-15</v>
      </c>
      <c r="E49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45031</v>
      </c>
      <c r="F49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45031</v>
      </c>
      <c r="G49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45031</v>
      </c>
      <c r="H493" t="s">
        <v>2187</v>
      </c>
      <c r="I493" s="2" t="str">
        <f>CLEAN(TRIM(Working_Sales[[#This Row],[Customer ID]]))</f>
        <v>CUST348</v>
      </c>
      <c r="J49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CUST348</v>
      </c>
      <c r="K49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CUST348</v>
      </c>
      <c r="L493" t="s">
        <v>112</v>
      </c>
      <c r="M493" s="4" t="str">
        <f>CLEAN(TRIM(Working_Sales[[#This Row],[Gender]]))</f>
        <v>female</v>
      </c>
      <c r="N493" s="4" t="str" cm="1">
        <f t="array" ref="N493">_xlfn.SWITCH(
   Working_Sales[[#This Row],[Gender_Whitespace_Removed]],
   "m", "Male",
   "f", "Female",
   Working_Sales[[#This Row],[Gender_Whitespace_Removed]]
)</f>
        <v>female</v>
      </c>
      <c r="O493" s="6" t="str">
        <f>PROPER(Working_Sales[[#This Row],[Gender_Abbreviation_Expanded]])</f>
        <v>Female</v>
      </c>
      <c r="P493" t="s">
        <v>1090</v>
      </c>
      <c r="Q493" s="2" t="str">
        <f>CLEAN(TRIM(Working_Sales[[#This Row],[Age]]))</f>
        <v>49.0</v>
      </c>
      <c r="R493" s="6">
        <f>INT(SUBSTITUTE(Working_Sales[[#This Row],[Age_Whitespace_Removed]],".",","))</f>
        <v>49</v>
      </c>
      <c r="S493" t="s">
        <v>69</v>
      </c>
      <c r="T493" s="2" t="str">
        <f>CLEAN(TRIM(Working_Sales[[#This Row],[Product Category]]))</f>
        <v>BEAUTY</v>
      </c>
      <c r="U493" s="6" t="str">
        <f>PROPER(Working_Sales[[#This Row],[Product_Category_Whitespace_Removed]])</f>
        <v>Beauty</v>
      </c>
      <c r="V493" t="s">
        <v>14</v>
      </c>
      <c r="W493" s="2" t="str">
        <f>CLEAN(TRIM(Working_Sales[[#This Row],[Quantity]]))</f>
        <v>4</v>
      </c>
      <c r="X493" s="2">
        <f>INT(Working_Sales[[#This Row],[`]])</f>
        <v>4</v>
      </c>
      <c r="Y493" s="6">
        <f>IFERROR(
   Working_Sales[[#This Row],[Quantity_Converted_To_Integer]],
   Working_Sales[[#This Row],[Total_Amount_Whitespace_Removed]]/Working_Sales[[#This Row],[Price_Per_Unit_Decimal_Separator_Fixed]])</f>
        <v>4</v>
      </c>
      <c r="Z493" t="s">
        <v>15</v>
      </c>
      <c r="AA493" s="2" t="str">
        <f>CLEAN(TRIM(Working_Sales[[#This Row],[Price per Unit]]))</f>
        <v>50</v>
      </c>
      <c r="AB493" s="2">
        <f>INT(
   SUBSTITUTE(Working_Sales[[#This Row],[Price_Per_Unit_Whitespace_Removed]],
   "$",
   ""
   )
)</f>
        <v>50</v>
      </c>
      <c r="AC493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493" s="8">
        <f>IFERROR(
   Working_Sales[[#This Row],[Price_Per_Unit_Decimal_Separator_Fixed]],
   Working_Sales[[#This Row],[Total_Amount_Converted_To_Integer]]/Working_Sales[[#This Row],[Quantity_Converted_To_Integer]]
)</f>
        <v>50</v>
      </c>
      <c r="AE493" t="s">
        <v>16</v>
      </c>
      <c r="AF493" s="2" t="str">
        <f>CLEAN(TRIM(Working_Sales[[#This Row],[Total Amount]]))</f>
        <v>200</v>
      </c>
      <c r="AG493" s="2">
        <f>INT(Working_Sales[[#This Row],[Total_Amount_Whitespace_Removed]])</f>
        <v>200</v>
      </c>
      <c r="AH49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494" spans="1:34" x14ac:dyDescent="0.35">
      <c r="A494" t="s">
        <v>1091</v>
      </c>
      <c r="B494" s="6" t="str">
        <f>CLEAN(TRIM(Working_Sales[[#This Row],[Transaction ID]]))</f>
        <v>653</v>
      </c>
      <c r="C494" t="s">
        <v>2077</v>
      </c>
      <c r="D494" s="2" t="str">
        <f>CLEAN(TRIM(Working_Sales[[#This Row],[Date]]))</f>
        <v>20-May-2023</v>
      </c>
      <c r="E49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45066</v>
      </c>
      <c r="F49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45066</v>
      </c>
      <c r="G49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45066</v>
      </c>
      <c r="H494" t="s">
        <v>2733</v>
      </c>
      <c r="I494" s="2" t="str">
        <f>CLEAN(TRIM(Working_Sales[[#This Row],[Customer ID]]))</f>
        <v>CUST349</v>
      </c>
      <c r="J49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CUST349</v>
      </c>
      <c r="K49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CUST349</v>
      </c>
      <c r="L494" t="s">
        <v>34</v>
      </c>
      <c r="M494" s="4" t="str">
        <f>CLEAN(TRIM(Working_Sales[[#This Row],[Gender]]))</f>
        <v>Male</v>
      </c>
      <c r="N494" s="4" t="str" cm="1">
        <f t="array" ref="N494">_xlfn.SWITCH(
   Working_Sales[[#This Row],[Gender_Whitespace_Removed]],
   "m", "Male",
   "f", "Female",
   Working_Sales[[#This Row],[Gender_Whitespace_Removed]]
)</f>
        <v>Male</v>
      </c>
      <c r="O494" s="6" t="str">
        <f>PROPER(Working_Sales[[#This Row],[Gender_Abbreviation_Expanded]])</f>
        <v>Male</v>
      </c>
      <c r="P494">
        <v>54</v>
      </c>
      <c r="Q494" s="2" t="str">
        <f>CLEAN(TRIM(Working_Sales[[#This Row],[Age]]))</f>
        <v>54</v>
      </c>
      <c r="R494" s="6">
        <f>INT(SUBSTITUTE(Working_Sales[[#This Row],[Age_Whitespace_Removed]],".",","))</f>
        <v>54</v>
      </c>
      <c r="S494" t="s">
        <v>56</v>
      </c>
      <c r="T494" s="2" t="str">
        <f>CLEAN(TRIM(Working_Sales[[#This Row],[Product Category]]))</f>
        <v>Clothing</v>
      </c>
      <c r="U494" s="6" t="str">
        <f>PROPER(Working_Sales[[#This Row],[Product_Category_Whitespace_Removed]])</f>
        <v>Clothing</v>
      </c>
      <c r="V494" t="s">
        <v>29</v>
      </c>
      <c r="W494" s="2" t="str">
        <f>CLEAN(TRIM(Working_Sales[[#This Row],[Quantity]]))</f>
        <v>3</v>
      </c>
      <c r="X494" s="2">
        <f>INT(Working_Sales[[#This Row],[`]])</f>
        <v>3</v>
      </c>
      <c r="Y494" s="6">
        <f>IFERROR(
   Working_Sales[[#This Row],[Quantity_Converted_To_Integer]],
   Working_Sales[[#This Row],[Total_Amount_Whitespace_Removed]]/Working_Sales[[#This Row],[Price_Per_Unit_Decimal_Separator_Fixed]])</f>
        <v>3</v>
      </c>
      <c r="Z494" t="s">
        <v>30</v>
      </c>
      <c r="AA494" s="2" t="str">
        <f>CLEAN(TRIM(Working_Sales[[#This Row],[Price per Unit]]))</f>
        <v>25</v>
      </c>
      <c r="AB494" s="2">
        <f>INT(
   SUBSTITUTE(Working_Sales[[#This Row],[Price_Per_Unit_Whitespace_Removed]],
   "$",
   ""
   )
)</f>
        <v>25</v>
      </c>
      <c r="AC494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494" s="8">
        <f>IFERROR(
   Working_Sales[[#This Row],[Price_Per_Unit_Decimal_Separator_Fixed]],
   Working_Sales[[#This Row],[Total_Amount_Converted_To_Integer]]/Working_Sales[[#This Row],[Quantity_Converted_To_Integer]]
)</f>
        <v>25</v>
      </c>
      <c r="AE494" t="s">
        <v>31</v>
      </c>
      <c r="AF494" s="2" t="str">
        <f>CLEAN(TRIM(Working_Sales[[#This Row],[Total Amount]]))</f>
        <v>75</v>
      </c>
      <c r="AG494" s="2">
        <f>INT(Working_Sales[[#This Row],[Total_Amount_Whitespace_Removed]])</f>
        <v>75</v>
      </c>
      <c r="AH49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495" spans="1:34" x14ac:dyDescent="0.35">
      <c r="A495" t="s">
        <v>1092</v>
      </c>
      <c r="B495" s="6" t="str">
        <f>CLEAN(TRIM(Working_Sales[[#This Row],[Transaction ID]]))</f>
        <v>208</v>
      </c>
      <c r="C495" t="s">
        <v>691</v>
      </c>
      <c r="D495" s="2" t="str">
        <f>CLEAN(TRIM(Working_Sales[[#This Row],[Date]]))</f>
        <v>2023-10-04</v>
      </c>
      <c r="E49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45203</v>
      </c>
      <c r="F49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45203</v>
      </c>
      <c r="G49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45203</v>
      </c>
      <c r="H495" t="s">
        <v>2734</v>
      </c>
      <c r="I495" s="2" t="str">
        <f>CLEAN(TRIM(Working_Sales[[#This Row],[Customer ID]]))</f>
        <v>CUST086</v>
      </c>
      <c r="J49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CUST086</v>
      </c>
      <c r="K49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CUST086</v>
      </c>
      <c r="L495" t="s">
        <v>26</v>
      </c>
      <c r="M495" s="4" t="str">
        <f>CLEAN(TRIM(Working_Sales[[#This Row],[Gender]]))</f>
        <v>Female</v>
      </c>
      <c r="N495" s="4" t="str" cm="1">
        <f t="array" ref="N495">_xlfn.SWITCH(
   Working_Sales[[#This Row],[Gender_Whitespace_Removed]],
   "m", "Male",
   "f", "Female",
   Working_Sales[[#This Row],[Gender_Whitespace_Removed]]
)</f>
        <v>Female</v>
      </c>
      <c r="O495" s="6" t="str">
        <f>PROPER(Working_Sales[[#This Row],[Gender_Abbreviation_Expanded]])</f>
        <v>Female</v>
      </c>
      <c r="P495">
        <v>34</v>
      </c>
      <c r="Q495" s="2" t="str">
        <f>CLEAN(TRIM(Working_Sales[[#This Row],[Age]]))</f>
        <v>34</v>
      </c>
      <c r="R495" s="6">
        <f>INT(SUBSTITUTE(Working_Sales[[#This Row],[Age_Whitespace_Removed]],".",","))</f>
        <v>34</v>
      </c>
      <c r="S495" t="s">
        <v>99</v>
      </c>
      <c r="T495" s="2" t="str">
        <f>CLEAN(TRIM(Working_Sales[[#This Row],[Product Category]]))</f>
        <v>ELECTRONICS</v>
      </c>
      <c r="U495" s="6" t="str">
        <f>PROPER(Working_Sales[[#This Row],[Product_Category_Whitespace_Removed]])</f>
        <v>Electronics</v>
      </c>
      <c r="V495" t="s">
        <v>14</v>
      </c>
      <c r="W495" s="2" t="str">
        <f>CLEAN(TRIM(Working_Sales[[#This Row],[Quantity]]))</f>
        <v>4</v>
      </c>
      <c r="X495" s="2">
        <f>INT(Working_Sales[[#This Row],[`]])</f>
        <v>4</v>
      </c>
      <c r="Y495" s="6">
        <f>IFERROR(
   Working_Sales[[#This Row],[Quantity_Converted_To_Integer]],
   Working_Sales[[#This Row],[Total_Amount_Whitespace_Removed]]/Working_Sales[[#This Row],[Price_Per_Unit_Decimal_Separator_Fixed]])</f>
        <v>4</v>
      </c>
      <c r="Z495" t="s">
        <v>96</v>
      </c>
      <c r="AA495" s="2" t="str">
        <f>CLEAN(TRIM(Working_Sales[[#This Row],[Price per Unit]]))</f>
        <v>$50</v>
      </c>
      <c r="AB495" s="2">
        <f>INT(
   SUBSTITUTE(Working_Sales[[#This Row],[Price_Per_Unit_Whitespace_Removed]],
   "$",
   ""
   )
)</f>
        <v>50</v>
      </c>
      <c r="AC495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495" s="8">
        <f>IFERROR(
   Working_Sales[[#This Row],[Price_Per_Unit_Decimal_Separator_Fixed]],
   Working_Sales[[#This Row],[Total_Amount_Converted_To_Integer]]/Working_Sales[[#This Row],[Quantity_Converted_To_Integer]]
)</f>
        <v>50</v>
      </c>
      <c r="AE495" t="s">
        <v>16</v>
      </c>
      <c r="AF495" s="2" t="str">
        <f>CLEAN(TRIM(Working_Sales[[#This Row],[Total Amount]]))</f>
        <v>200</v>
      </c>
      <c r="AG495" s="2">
        <f>INT(Working_Sales[[#This Row],[Total_Amount_Whitespace_Removed]])</f>
        <v>200</v>
      </c>
      <c r="AH49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496" spans="1:34" x14ac:dyDescent="0.35">
      <c r="A496" t="s">
        <v>1094</v>
      </c>
      <c r="B496" s="6" t="str">
        <f>CLEAN(TRIM(Working_Sales[[#This Row],[Transaction ID]]))</f>
        <v>380</v>
      </c>
      <c r="C496" t="s">
        <v>2108</v>
      </c>
      <c r="D496" s="2" t="str">
        <f>CLEAN(TRIM(Working_Sales[[#This Row],[Date]]))</f>
        <v>May 06, 2023</v>
      </c>
      <c r="E496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496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49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45052</v>
      </c>
      <c r="H496" t="s">
        <v>2735</v>
      </c>
      <c r="I496" s="2" t="str">
        <f>CLEAN(TRIM(Working_Sales[[#This Row],[Customer ID]]))</f>
        <v>CUST-350</v>
      </c>
      <c r="J49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9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CUST350</v>
      </c>
      <c r="L496" t="s">
        <v>34</v>
      </c>
      <c r="M496" s="4" t="str">
        <f>CLEAN(TRIM(Working_Sales[[#This Row],[Gender]]))</f>
        <v>Male</v>
      </c>
      <c r="N496" s="4" t="str" cm="1">
        <f t="array" ref="N496">_xlfn.SWITCH(
   Working_Sales[[#This Row],[Gender_Whitespace_Removed]],
   "m", "Male",
   "f", "Female",
   Working_Sales[[#This Row],[Gender_Whitespace_Removed]]
)</f>
        <v>Male</v>
      </c>
      <c r="O496" s="6" t="str">
        <f>PROPER(Working_Sales[[#This Row],[Gender_Abbreviation_Expanded]])</f>
        <v>Male</v>
      </c>
      <c r="P496">
        <v>56</v>
      </c>
      <c r="Q496" s="2" t="str">
        <f>CLEAN(TRIM(Working_Sales[[#This Row],[Age]]))</f>
        <v>56</v>
      </c>
      <c r="R496" s="6">
        <f>INT(SUBSTITUTE(Working_Sales[[#This Row],[Age_Whitespace_Removed]],".",","))</f>
        <v>56</v>
      </c>
      <c r="S496" t="s">
        <v>109</v>
      </c>
      <c r="T496" s="2" t="str">
        <f>CLEAN(TRIM(Working_Sales[[#This Row],[Product Category]]))</f>
        <v>Electronics</v>
      </c>
      <c r="U496" s="6" t="str">
        <f>PROPER(Working_Sales[[#This Row],[Product_Category_Whitespace_Removed]])</f>
        <v>Electronics</v>
      </c>
      <c r="V496" t="s">
        <v>37</v>
      </c>
      <c r="W496" s="2" t="str">
        <f>CLEAN(TRIM(Working_Sales[[#This Row],[Quantity]]))</f>
        <v>2</v>
      </c>
      <c r="X496" s="2">
        <f>INT(Working_Sales[[#This Row],[`]])</f>
        <v>2</v>
      </c>
      <c r="Y496" s="6">
        <f>IFERROR(
   Working_Sales[[#This Row],[Quantity_Converted_To_Integer]],
   Working_Sales[[#This Row],[Total_Amount_Whitespace_Removed]]/Working_Sales[[#This Row],[Price_Per_Unit_Decimal_Separator_Fixed]])</f>
        <v>2</v>
      </c>
      <c r="Z496" t="s">
        <v>23</v>
      </c>
      <c r="AA496" s="2" t="str">
        <f>CLEAN(TRIM(Working_Sales[[#This Row],[Price per Unit]]))</f>
        <v>300</v>
      </c>
      <c r="AB496" s="2">
        <f>INT(
   SUBSTITUTE(Working_Sales[[#This Row],[Price_Per_Unit_Whitespace_Removed]],
   "$",
   ""
   )
)</f>
        <v>300</v>
      </c>
      <c r="AC496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496" s="8">
        <f>IFERROR(
   Working_Sales[[#This Row],[Price_Per_Unit_Decimal_Separator_Fixed]],
   Working_Sales[[#This Row],[Total_Amount_Converted_To_Integer]]/Working_Sales[[#This Row],[Quantity_Converted_To_Integer]]
)</f>
        <v>300</v>
      </c>
      <c r="AE496" t="s">
        <v>107</v>
      </c>
      <c r="AF496" s="2" t="str">
        <f>CLEAN(TRIM(Working_Sales[[#This Row],[Total Amount]]))</f>
        <v>600</v>
      </c>
      <c r="AG496" s="2">
        <f>INT(Working_Sales[[#This Row],[Total_Amount_Whitespace_Removed]])</f>
        <v>600</v>
      </c>
      <c r="AH49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600</v>
      </c>
    </row>
    <row r="497" spans="1:34" x14ac:dyDescent="0.35">
      <c r="A497" t="s">
        <v>1097</v>
      </c>
      <c r="B497" s="6" t="str">
        <f>CLEAN(TRIM(Working_Sales[[#This Row],[Transaction ID]]))</f>
        <v>774</v>
      </c>
      <c r="C497" t="s">
        <v>1221</v>
      </c>
      <c r="D497" s="2" t="str">
        <f>CLEAN(TRIM(Working_Sales[[#This Row],[Date]]))</f>
        <v>12-Apr-2023</v>
      </c>
      <c r="E49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45028</v>
      </c>
      <c r="F49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45028</v>
      </c>
      <c r="G49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45028</v>
      </c>
      <c r="H497" t="s">
        <v>2736</v>
      </c>
      <c r="I497" s="2" t="str">
        <f>CLEAN(TRIM(Working_Sales[[#This Row],[Customer ID]]))</f>
        <v>CUST351</v>
      </c>
      <c r="J49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9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CUST351</v>
      </c>
      <c r="L497" t="s">
        <v>26</v>
      </c>
      <c r="M497" s="4" t="str">
        <f>CLEAN(TRIM(Working_Sales[[#This Row],[Gender]]))</f>
        <v>Female</v>
      </c>
      <c r="N497" s="4" t="str" cm="1">
        <f t="array" ref="N497">_xlfn.SWITCH(
   Working_Sales[[#This Row],[Gender_Whitespace_Removed]],
   "m", "Male",
   "f", "Female",
   Working_Sales[[#This Row],[Gender_Whitespace_Removed]]
)</f>
        <v>Female</v>
      </c>
      <c r="O497" s="6" t="str">
        <f>PROPER(Working_Sales[[#This Row],[Gender_Abbreviation_Expanded]])</f>
        <v>Female</v>
      </c>
      <c r="P497">
        <v>40</v>
      </c>
      <c r="Q497" s="2" t="str">
        <f>CLEAN(TRIM(Working_Sales[[#This Row],[Age]]))</f>
        <v>40</v>
      </c>
      <c r="R497" s="6">
        <f>INT(SUBSTITUTE(Working_Sales[[#This Row],[Age_Whitespace_Removed]],".",","))</f>
        <v>40</v>
      </c>
      <c r="S497" t="s">
        <v>89</v>
      </c>
      <c r="T497" s="2" t="str">
        <f>CLEAN(TRIM(Working_Sales[[#This Row],[Product Category]]))</f>
        <v>CLOTHING</v>
      </c>
      <c r="U497" s="6" t="str">
        <f>PROPER(Working_Sales[[#This Row],[Product_Category_Whitespace_Removed]])</f>
        <v>Clothing</v>
      </c>
      <c r="V497" t="s">
        <v>37</v>
      </c>
      <c r="W497" s="2" t="str">
        <f>CLEAN(TRIM(Working_Sales[[#This Row],[Quantity]]))</f>
        <v>2</v>
      </c>
      <c r="X497" s="2">
        <f>INT(Working_Sales[[#This Row],[`]])</f>
        <v>2</v>
      </c>
      <c r="Y497" s="6">
        <f>IFERROR(
   Working_Sales[[#This Row],[Quantity_Converted_To_Integer]],
   Working_Sales[[#This Row],[Total_Amount_Whitespace_Removed]]/Working_Sales[[#This Row],[Price_Per_Unit_Decimal_Separator_Fixed]])</f>
        <v>2</v>
      </c>
      <c r="Z497" t="s">
        <v>30</v>
      </c>
      <c r="AA497" s="2" t="str">
        <f>CLEAN(TRIM(Working_Sales[[#This Row],[Price per Unit]]))</f>
        <v>25</v>
      </c>
      <c r="AB497" s="2">
        <f>INT(
   SUBSTITUTE(Working_Sales[[#This Row],[Price_Per_Unit_Whitespace_Removed]],
   "$",
   ""
   )
)</f>
        <v>25</v>
      </c>
      <c r="AC497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497" s="8">
        <f>IFERROR(
   Working_Sales[[#This Row],[Price_Per_Unit_Decimal_Separator_Fixed]],
   Working_Sales[[#This Row],[Total_Amount_Converted_To_Integer]]/Working_Sales[[#This Row],[Quantity_Converted_To_Integer]]
)</f>
        <v>25</v>
      </c>
      <c r="AE497" t="s">
        <v>15</v>
      </c>
      <c r="AF497" s="2" t="str">
        <f>CLEAN(TRIM(Working_Sales[[#This Row],[Total Amount]]))</f>
        <v>50</v>
      </c>
      <c r="AG497" s="2">
        <f>INT(Working_Sales[[#This Row],[Total_Amount_Whitespace_Removed]])</f>
        <v>50</v>
      </c>
      <c r="AH49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498" spans="1:34" x14ac:dyDescent="0.35">
      <c r="A498" t="s">
        <v>1098</v>
      </c>
      <c r="B498" s="6" t="str">
        <f>CLEAN(TRIM(Working_Sales[[#This Row],[Transaction ID]]))</f>
        <v>413</v>
      </c>
      <c r="C498" t="s">
        <v>1547</v>
      </c>
      <c r="D498" s="2" t="str">
        <f>CLEAN(TRIM(Working_Sales[[#This Row],[Date]]))</f>
        <v>08-Sep-2023</v>
      </c>
      <c r="E49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45177</v>
      </c>
      <c r="F49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45177</v>
      </c>
      <c r="G49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45177</v>
      </c>
      <c r="H498" t="s">
        <v>1921</v>
      </c>
      <c r="I498" s="2" t="str">
        <f>CLEAN(TRIM(Working_Sales[[#This Row],[Customer ID]]))</f>
        <v>CUST202</v>
      </c>
      <c r="J49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CUST202</v>
      </c>
      <c r="K49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CUST202</v>
      </c>
      <c r="L498" t="s">
        <v>112</v>
      </c>
      <c r="M498" s="4" t="str">
        <f>CLEAN(TRIM(Working_Sales[[#This Row],[Gender]]))</f>
        <v>female</v>
      </c>
      <c r="N498" s="4" t="str" cm="1">
        <f t="array" ref="N498">_xlfn.SWITCH(
   Working_Sales[[#This Row],[Gender_Whitespace_Removed]],
   "m", "Male",
   "f", "Female",
   Working_Sales[[#This Row],[Gender_Whitespace_Removed]]
)</f>
        <v>female</v>
      </c>
      <c r="O498" s="6" t="str">
        <f>PROPER(Working_Sales[[#This Row],[Gender_Abbreviation_Expanded]])</f>
        <v>Female</v>
      </c>
      <c r="P498">
        <v>44</v>
      </c>
      <c r="Q498" s="2" t="str">
        <f>CLEAN(TRIM(Working_Sales[[#This Row],[Age]]))</f>
        <v>44</v>
      </c>
      <c r="R498" s="6">
        <f>INT(SUBSTITUTE(Working_Sales[[#This Row],[Age_Whitespace_Removed]],".",","))</f>
        <v>44</v>
      </c>
      <c r="S498" t="s">
        <v>42</v>
      </c>
      <c r="T498" s="2" t="str">
        <f>CLEAN(TRIM(Working_Sales[[#This Row],[Product Category]]))</f>
        <v>Beauty</v>
      </c>
      <c r="U498" s="6" t="str">
        <f>PROPER(Working_Sales[[#This Row],[Product_Category_Whitespace_Removed]])</f>
        <v>Beauty</v>
      </c>
      <c r="V498" t="s">
        <v>29</v>
      </c>
      <c r="W498" s="2" t="str">
        <f>CLEAN(TRIM(Working_Sales[[#This Row],[Quantity]]))</f>
        <v>3</v>
      </c>
      <c r="X498" s="2">
        <f>INT(Working_Sales[[#This Row],[`]])</f>
        <v>3</v>
      </c>
      <c r="Y498" s="6">
        <f>IFERROR(
   Working_Sales[[#This Row],[Quantity_Converted_To_Integer]],
   Working_Sales[[#This Row],[Total_Amount_Whitespace_Removed]]/Working_Sales[[#This Row],[Price_Per_Unit_Decimal_Separator_Fixed]])</f>
        <v>3</v>
      </c>
      <c r="Z498" t="s">
        <v>30</v>
      </c>
      <c r="AA498" s="2" t="str">
        <f>CLEAN(TRIM(Working_Sales[[#This Row],[Price per Unit]]))</f>
        <v>25</v>
      </c>
      <c r="AB498" s="2">
        <f>INT(
   SUBSTITUTE(Working_Sales[[#This Row],[Price_Per_Unit_Whitespace_Removed]],
   "$",
   ""
   )
)</f>
        <v>25</v>
      </c>
      <c r="AC498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498" s="8">
        <f>IFERROR(
   Working_Sales[[#This Row],[Price_Per_Unit_Decimal_Separator_Fixed]],
   Working_Sales[[#This Row],[Total_Amount_Converted_To_Integer]]/Working_Sales[[#This Row],[Quantity_Converted_To_Integer]]
)</f>
        <v>25</v>
      </c>
      <c r="AE498" t="s">
        <v>31</v>
      </c>
      <c r="AF498" s="2" t="str">
        <f>CLEAN(TRIM(Working_Sales[[#This Row],[Total Amount]]))</f>
        <v>75</v>
      </c>
      <c r="AG498" s="2">
        <f>INT(Working_Sales[[#This Row],[Total_Amount_Whitespace_Removed]])</f>
        <v>75</v>
      </c>
      <c r="AH49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499" spans="1:34" x14ac:dyDescent="0.35">
      <c r="A499" t="s">
        <v>1100</v>
      </c>
      <c r="B499" s="6" t="str">
        <f>CLEAN(TRIM(Working_Sales[[#This Row],[Transaction ID]]))</f>
        <v>802</v>
      </c>
      <c r="C499" t="s">
        <v>985</v>
      </c>
      <c r="D499" s="2" t="str">
        <f>CLEAN(TRIM(Working_Sales[[#This Row],[Date]]))</f>
        <v>2023-07-05</v>
      </c>
      <c r="E49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45112</v>
      </c>
      <c r="F49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45112</v>
      </c>
      <c r="G49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45112</v>
      </c>
      <c r="H499" t="s">
        <v>2737</v>
      </c>
      <c r="I499" s="2" t="str">
        <f>CLEAN(TRIM(Working_Sales[[#This Row],[Customer ID]]))</f>
        <v>CUST-352</v>
      </c>
      <c r="J49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49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CUST352</v>
      </c>
      <c r="L499" t="s">
        <v>26</v>
      </c>
      <c r="M499" s="4" t="str">
        <f>CLEAN(TRIM(Working_Sales[[#This Row],[Gender]]))</f>
        <v>Female</v>
      </c>
      <c r="N499" s="4" t="str" cm="1">
        <f t="array" ref="N499">_xlfn.SWITCH(
   Working_Sales[[#This Row],[Gender_Whitespace_Removed]],
   "m", "Male",
   "f", "Female",
   Working_Sales[[#This Row],[Gender_Whitespace_Removed]]
)</f>
        <v>Female</v>
      </c>
      <c r="O499" s="6" t="str">
        <f>PROPER(Working_Sales[[#This Row],[Gender_Abbreviation_Expanded]])</f>
        <v>Female</v>
      </c>
      <c r="P499">
        <v>46</v>
      </c>
      <c r="Q499" s="2" t="str">
        <f>CLEAN(TRIM(Working_Sales[[#This Row],[Age]]))</f>
        <v>46</v>
      </c>
      <c r="R499" s="6">
        <f>INT(SUBSTITUTE(Working_Sales[[#This Row],[Age_Whitespace_Removed]],".",","))</f>
        <v>46</v>
      </c>
      <c r="S499" t="s">
        <v>62</v>
      </c>
      <c r="T499" s="2" t="str">
        <f>CLEAN(TRIM(Working_Sales[[#This Row],[Product Category]]))</f>
        <v>beauty</v>
      </c>
      <c r="U499" s="6" t="str">
        <f>PROPER(Working_Sales[[#This Row],[Product_Category_Whitespace_Removed]])</f>
        <v>Beauty</v>
      </c>
      <c r="V499" t="s">
        <v>22</v>
      </c>
      <c r="W499" s="2" t="str">
        <f>CLEAN(TRIM(Working_Sales[[#This Row],[Quantity]]))</f>
        <v>1</v>
      </c>
      <c r="X499" s="2">
        <f>INT(Working_Sales[[#This Row],[`]])</f>
        <v>1</v>
      </c>
      <c r="Y499" s="6">
        <f>IFERROR(
   Working_Sales[[#This Row],[Quantity_Converted_To_Integer]],
   Working_Sales[[#This Row],[Total_Amount_Whitespace_Removed]]/Working_Sales[[#This Row],[Price_Per_Unit_Decimal_Separator_Fixed]])</f>
        <v>1</v>
      </c>
      <c r="AA499" s="2" t="str">
        <f>CLEAN(TRIM(Working_Sales[[#This Row],[Price per Unit]]))</f>
        <v/>
      </c>
      <c r="AB499" s="2" t="e">
        <f>INT(
   SUBSTITUTE(Working_Sales[[#This Row],[Price_Per_Unit_Whitespace_Removed]],
   "$",
   ""
   )
)</f>
        <v>#VALUE!</v>
      </c>
      <c r="AC499" s="2" t="e">
        <f>INT(
   IFERROR(
      Working_Sales[[#This Row],[Price_Per_Unit_Dollar_Sign_Removed]],
      SUBSTITUTE(
         Working_Sales[[#This Row],[Price_Per_Unit_Whitespace_Removed]],
        ".",
         ","
      )
   )
)</f>
        <v>#VALUE!</v>
      </c>
      <c r="AD499" s="8">
        <f>IFERROR(
   Working_Sales[[#This Row],[Price_Per_Unit_Decimal_Separator_Fixed]],
   Working_Sales[[#This Row],[Total_Amount_Converted_To_Integer]]/Working_Sales[[#This Row],[Quantity_Converted_To_Integer]]
)</f>
        <v>30</v>
      </c>
      <c r="AE499" t="s">
        <v>70</v>
      </c>
      <c r="AF499" s="2" t="str">
        <f>CLEAN(TRIM(Working_Sales[[#This Row],[Total Amount]]))</f>
        <v>30</v>
      </c>
      <c r="AG499" s="2">
        <f>INT(Working_Sales[[#This Row],[Total_Amount_Whitespace_Removed]])</f>
        <v>30</v>
      </c>
      <c r="AH49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500" spans="1:34" x14ac:dyDescent="0.35">
      <c r="A500" t="s">
        <v>184</v>
      </c>
      <c r="B500" s="6" t="str">
        <f>CLEAN(TRIM(Working_Sales[[#This Row],[Transaction ID]]))</f>
        <v>24</v>
      </c>
      <c r="C500" t="s">
        <v>1101</v>
      </c>
      <c r="D500" s="2" t="str">
        <f>CLEAN(TRIM(Working_Sales[[#This Row],[Date]]))</f>
        <v>2023-11-29</v>
      </c>
      <c r="E50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45259</v>
      </c>
      <c r="F50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45259</v>
      </c>
      <c r="G50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45259</v>
      </c>
      <c r="H500" t="s">
        <v>2738</v>
      </c>
      <c r="I500" s="2" t="str">
        <f>CLEAN(TRIM(Working_Sales[[#This Row],[Customer ID]]))</f>
        <v>Cust353</v>
      </c>
      <c r="J50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0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CUST353</v>
      </c>
      <c r="L500" t="s">
        <v>26</v>
      </c>
      <c r="M500" s="4" t="str">
        <f>CLEAN(TRIM(Working_Sales[[#This Row],[Gender]]))</f>
        <v>Female</v>
      </c>
      <c r="N500" s="4" t="str" cm="1">
        <f t="array" ref="N500">_xlfn.SWITCH(
   Working_Sales[[#This Row],[Gender_Whitespace_Removed]],
   "m", "Male",
   "f", "Female",
   Working_Sales[[#This Row],[Gender_Whitespace_Removed]]
)</f>
        <v>Female</v>
      </c>
      <c r="O500" s="6" t="str">
        <f>PROPER(Working_Sales[[#This Row],[Gender_Abbreviation_Expanded]])</f>
        <v>Female</v>
      </c>
      <c r="P500">
        <v>49</v>
      </c>
      <c r="Q500" s="2" t="str">
        <f>CLEAN(TRIM(Working_Sales[[#This Row],[Age]]))</f>
        <v>49</v>
      </c>
      <c r="R500" s="6">
        <f>INT(SUBSTITUTE(Working_Sales[[#This Row],[Age_Whitespace_Removed]],".",","))</f>
        <v>49</v>
      </c>
      <c r="S500" t="s">
        <v>56</v>
      </c>
      <c r="T500" s="2" t="str">
        <f>CLEAN(TRIM(Working_Sales[[#This Row],[Product Category]]))</f>
        <v>Clothing</v>
      </c>
      <c r="U500" s="6" t="str">
        <f>PROPER(Working_Sales[[#This Row],[Product_Category_Whitespace_Removed]])</f>
        <v>Clothing</v>
      </c>
      <c r="V500" t="s">
        <v>22</v>
      </c>
      <c r="W500" s="2" t="str">
        <f>CLEAN(TRIM(Working_Sales[[#This Row],[Quantity]]))</f>
        <v>1</v>
      </c>
      <c r="X500" s="2">
        <f>INT(Working_Sales[[#This Row],[`]])</f>
        <v>1</v>
      </c>
      <c r="Y500" s="6">
        <f>IFERROR(
   Working_Sales[[#This Row],[Quantity_Converted_To_Integer]],
   Working_Sales[[#This Row],[Total_Amount_Whitespace_Removed]]/Working_Sales[[#This Row],[Price_Per_Unit_Decimal_Separator_Fixed]])</f>
        <v>1</v>
      </c>
      <c r="Z500" t="s">
        <v>23</v>
      </c>
      <c r="AA500" s="2" t="str">
        <f>CLEAN(TRIM(Working_Sales[[#This Row],[Price per Unit]]))</f>
        <v>300</v>
      </c>
      <c r="AB500" s="2">
        <f>INT(
   SUBSTITUTE(Working_Sales[[#This Row],[Price_Per_Unit_Whitespace_Removed]],
   "$",
   ""
   )
)</f>
        <v>300</v>
      </c>
      <c r="AC500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500" s="8">
        <f>IFERROR(
   Working_Sales[[#This Row],[Price_Per_Unit_Decimal_Separator_Fixed]],
   Working_Sales[[#This Row],[Total_Amount_Converted_To_Integer]]/Working_Sales[[#This Row],[Quantity_Converted_To_Integer]]
)</f>
        <v>300</v>
      </c>
      <c r="AE500" t="s">
        <v>23</v>
      </c>
      <c r="AF500" s="2" t="str">
        <f>CLEAN(TRIM(Working_Sales[[#This Row],[Total Amount]]))</f>
        <v>300</v>
      </c>
      <c r="AG500" s="2">
        <f>INT(Working_Sales[[#This Row],[Total_Amount_Whitespace_Removed]])</f>
        <v>300</v>
      </c>
      <c r="AH50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501" spans="1:34" x14ac:dyDescent="0.35">
      <c r="A501" t="s">
        <v>1103</v>
      </c>
      <c r="B501" s="6" t="str">
        <f>CLEAN(TRIM(Working_Sales[[#This Row],[Transaction ID]]))</f>
        <v>341</v>
      </c>
      <c r="C501" t="s">
        <v>452</v>
      </c>
      <c r="D501" s="2" t="str">
        <f>CLEAN(TRIM(Working_Sales[[#This Row],[Date]]))</f>
        <v>May 07, 2023</v>
      </c>
      <c r="E501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501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50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45053</v>
      </c>
      <c r="H501" t="s">
        <v>2739</v>
      </c>
      <c r="I501" s="2" t="str">
        <f>CLEAN(TRIM(Working_Sales[[#This Row],[Customer ID]]))</f>
        <v>cust354</v>
      </c>
      <c r="J50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0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CUST354</v>
      </c>
      <c r="L501" t="s">
        <v>20</v>
      </c>
      <c r="M501" s="4" t="str">
        <f>CLEAN(TRIM(Working_Sales[[#This Row],[Gender]]))</f>
        <v>male</v>
      </c>
      <c r="N501" s="4" t="str" cm="1">
        <f t="array" ref="N501">_xlfn.SWITCH(
   Working_Sales[[#This Row],[Gender_Whitespace_Removed]],
   "m", "Male",
   "f", "Female",
   Working_Sales[[#This Row],[Gender_Whitespace_Removed]]
)</f>
        <v>male</v>
      </c>
      <c r="O501" s="6" t="str">
        <f>PROPER(Working_Sales[[#This Row],[Gender_Abbreviation_Expanded]])</f>
        <v>Male</v>
      </c>
      <c r="P501">
        <v>31</v>
      </c>
      <c r="Q501" s="2" t="str">
        <f>CLEAN(TRIM(Working_Sales[[#This Row],[Age]]))</f>
        <v>31</v>
      </c>
      <c r="R501" s="6">
        <f>INT(SUBSTITUTE(Working_Sales[[#This Row],[Age_Whitespace_Removed]],".",","))</f>
        <v>31</v>
      </c>
      <c r="S501" t="s">
        <v>56</v>
      </c>
      <c r="T501" s="2" t="str">
        <f>CLEAN(TRIM(Working_Sales[[#This Row],[Product Category]]))</f>
        <v>Clothing</v>
      </c>
      <c r="U501" s="6" t="str">
        <f>PROPER(Working_Sales[[#This Row],[Product_Category_Whitespace_Removed]])</f>
        <v>Clothing</v>
      </c>
      <c r="V501" t="s">
        <v>14</v>
      </c>
      <c r="W501" s="2" t="str">
        <f>CLEAN(TRIM(Working_Sales[[#This Row],[Quantity]]))</f>
        <v>4</v>
      </c>
      <c r="X501" s="2">
        <f>INT(Working_Sales[[#This Row],[`]])</f>
        <v>4</v>
      </c>
      <c r="Y501" s="6">
        <f>IFERROR(
   Working_Sales[[#This Row],[Quantity_Converted_To_Integer]],
   Working_Sales[[#This Row],[Total_Amount_Whitespace_Removed]]/Working_Sales[[#This Row],[Price_Per_Unit_Decimal_Separator_Fixed]])</f>
        <v>4</v>
      </c>
      <c r="Z501" t="s">
        <v>15</v>
      </c>
      <c r="AA501" s="2" t="str">
        <f>CLEAN(TRIM(Working_Sales[[#This Row],[Price per Unit]]))</f>
        <v>50</v>
      </c>
      <c r="AB501" s="2">
        <f>INT(
   SUBSTITUTE(Working_Sales[[#This Row],[Price_Per_Unit_Whitespace_Removed]],
   "$",
   ""
   )
)</f>
        <v>50</v>
      </c>
      <c r="AC501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501" s="8">
        <f>IFERROR(
   Working_Sales[[#This Row],[Price_Per_Unit_Decimal_Separator_Fixed]],
   Working_Sales[[#This Row],[Total_Amount_Converted_To_Integer]]/Working_Sales[[#This Row],[Quantity_Converted_To_Integer]]
)</f>
        <v>50</v>
      </c>
      <c r="AE501" t="s">
        <v>16</v>
      </c>
      <c r="AF501" s="2" t="str">
        <f>CLEAN(TRIM(Working_Sales[[#This Row],[Total Amount]]))</f>
        <v>200</v>
      </c>
      <c r="AG501" s="2">
        <f>INT(Working_Sales[[#This Row],[Total_Amount_Whitespace_Removed]])</f>
        <v>200</v>
      </c>
      <c r="AH50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502" spans="1:34" x14ac:dyDescent="0.35">
      <c r="A502" t="s">
        <v>1106</v>
      </c>
      <c r="B502" s="6" t="str">
        <f>CLEAN(TRIM(Working_Sales[[#This Row],[Transaction ID]]))</f>
        <v>703</v>
      </c>
      <c r="C502" t="s">
        <v>2109</v>
      </c>
      <c r="D502" s="2" t="str">
        <f>CLEAN(TRIM(Working_Sales[[#This Row],[Date]]))</f>
        <v>03/26/2023</v>
      </c>
      <c r="E502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50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45011</v>
      </c>
      <c r="G50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45011</v>
      </c>
      <c r="H502" t="s">
        <v>2740</v>
      </c>
      <c r="I502" s="2" t="str">
        <f>CLEAN(TRIM(Working_Sales[[#This Row],[Customer ID]]))</f>
        <v>cust250</v>
      </c>
      <c r="J50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0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CUST250</v>
      </c>
      <c r="L502" t="s">
        <v>34</v>
      </c>
      <c r="M502" s="4" t="str">
        <f>CLEAN(TRIM(Working_Sales[[#This Row],[Gender]]))</f>
        <v>Male</v>
      </c>
      <c r="N502" s="4" t="str" cm="1">
        <f t="array" ref="N502">_xlfn.SWITCH(
   Working_Sales[[#This Row],[Gender_Whitespace_Removed]],
   "m", "Male",
   "f", "Female",
   Working_Sales[[#This Row],[Gender_Whitespace_Removed]]
)</f>
        <v>Male</v>
      </c>
      <c r="O502" s="6" t="str">
        <f>PROPER(Working_Sales[[#This Row],[Gender_Abbreviation_Expanded]])</f>
        <v>Male</v>
      </c>
      <c r="P502">
        <v>34</v>
      </c>
      <c r="Q502" s="2" t="str">
        <f>CLEAN(TRIM(Working_Sales[[#This Row],[Age]]))</f>
        <v>34</v>
      </c>
      <c r="R502" s="6">
        <f>INT(SUBSTITUTE(Working_Sales[[#This Row],[Age_Whitespace_Removed]],".",","))</f>
        <v>34</v>
      </c>
      <c r="S502" t="s">
        <v>13</v>
      </c>
      <c r="T502" s="2" t="str">
        <f>CLEAN(TRIM(Working_Sales[[#This Row],[Product Category]]))</f>
        <v>Electronics</v>
      </c>
      <c r="U502" s="6" t="str">
        <f>PROPER(Working_Sales[[#This Row],[Product_Category_Whitespace_Removed]])</f>
        <v>Electronics</v>
      </c>
      <c r="V502" t="s">
        <v>37</v>
      </c>
      <c r="W502" s="2" t="str">
        <f>CLEAN(TRIM(Working_Sales[[#This Row],[Quantity]]))</f>
        <v>2</v>
      </c>
      <c r="X502" s="2">
        <f>INT(Working_Sales[[#This Row],[`]])</f>
        <v>2</v>
      </c>
      <c r="Y502" s="6">
        <f>IFERROR(
   Working_Sales[[#This Row],[Quantity_Converted_To_Integer]],
   Working_Sales[[#This Row],[Total_Amount_Whitespace_Removed]]/Working_Sales[[#This Row],[Price_Per_Unit_Decimal_Separator_Fixed]])</f>
        <v>2</v>
      </c>
      <c r="Z502" t="s">
        <v>15</v>
      </c>
      <c r="AA502" s="2" t="str">
        <f>CLEAN(TRIM(Working_Sales[[#This Row],[Price per Unit]]))</f>
        <v>50</v>
      </c>
      <c r="AB502" s="2">
        <f>INT(
   SUBSTITUTE(Working_Sales[[#This Row],[Price_Per_Unit_Whitespace_Removed]],
   "$",
   ""
   )
)</f>
        <v>50</v>
      </c>
      <c r="AC502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502" s="8">
        <f>IFERROR(
   Working_Sales[[#This Row],[Price_Per_Unit_Decimal_Separator_Fixed]],
   Working_Sales[[#This Row],[Total_Amount_Converted_To_Integer]]/Working_Sales[[#This Row],[Quantity_Converted_To_Integer]]
)</f>
        <v>50</v>
      </c>
      <c r="AE502" t="s">
        <v>38</v>
      </c>
      <c r="AF502" s="2" t="str">
        <f>CLEAN(TRIM(Working_Sales[[#This Row],[Total Amount]]))</f>
        <v>100</v>
      </c>
      <c r="AG502" s="2">
        <f>INT(Working_Sales[[#This Row],[Total_Amount_Whitespace_Removed]])</f>
        <v>100</v>
      </c>
      <c r="AH50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503" spans="1:34" x14ac:dyDescent="0.35">
      <c r="A503" t="s">
        <v>1108</v>
      </c>
      <c r="B503" s="6" t="str">
        <f>CLEAN(TRIM(Working_Sales[[#This Row],[Transaction ID]]))</f>
        <v>863</v>
      </c>
      <c r="C503" t="s">
        <v>1109</v>
      </c>
      <c r="D503" s="2" t="str">
        <f>CLEAN(TRIM(Working_Sales[[#This Row],[Date]]))</f>
        <v>04/24/2023</v>
      </c>
      <c r="E503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50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45040</v>
      </c>
      <c r="G50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45040</v>
      </c>
      <c r="H503" t="s">
        <v>2741</v>
      </c>
      <c r="I503" s="2" t="str">
        <f>CLEAN(TRIM(Working_Sales[[#This Row],[Customer ID]]))</f>
        <v>CUST355</v>
      </c>
      <c r="J50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CUST355</v>
      </c>
      <c r="K50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CUST355</v>
      </c>
      <c r="L503" t="s">
        <v>26</v>
      </c>
      <c r="M503" s="4" t="str">
        <f>CLEAN(TRIM(Working_Sales[[#This Row],[Gender]]))</f>
        <v>Female</v>
      </c>
      <c r="N503" s="4" t="str" cm="1">
        <f t="array" ref="N503">_xlfn.SWITCH(
   Working_Sales[[#This Row],[Gender_Whitespace_Removed]],
   "m", "Male",
   "f", "Female",
   Working_Sales[[#This Row],[Gender_Whitespace_Removed]]
)</f>
        <v>Female</v>
      </c>
      <c r="O503" s="6" t="str">
        <f>PROPER(Working_Sales[[#This Row],[Gender_Abbreviation_Expanded]])</f>
        <v>Female</v>
      </c>
      <c r="P503">
        <v>30</v>
      </c>
      <c r="Q503" s="2" t="str">
        <f>CLEAN(TRIM(Working_Sales[[#This Row],[Age]]))</f>
        <v>30</v>
      </c>
      <c r="R503" s="6">
        <f>INT(SUBSTITUTE(Working_Sales[[#This Row],[Age_Whitespace_Removed]],".",","))</f>
        <v>30</v>
      </c>
      <c r="S503" t="s">
        <v>13</v>
      </c>
      <c r="T503" s="2" t="str">
        <f>CLEAN(TRIM(Working_Sales[[#This Row],[Product Category]]))</f>
        <v>Electronics</v>
      </c>
      <c r="U503" s="6" t="str">
        <f>PROPER(Working_Sales[[#This Row],[Product_Category_Whitespace_Removed]])</f>
        <v>Electronics</v>
      </c>
      <c r="W503" s="2" t="str">
        <f>CLEAN(TRIM(Working_Sales[[#This Row],[Quantity]]))</f>
        <v/>
      </c>
      <c r="X503" s="2" t="e">
        <f>INT(Working_Sales[[#This Row],[`]])</f>
        <v>#VALUE!</v>
      </c>
      <c r="Y503" s="6">
        <f>IFERROR(
   Working_Sales[[#This Row],[Quantity_Converted_To_Integer]],
   Working_Sales[[#This Row],[Total_Amount_Whitespace_Removed]]/Working_Sales[[#This Row],[Price_Per_Unit_Decimal_Separator_Fixed]])</f>
        <v>2</v>
      </c>
      <c r="Z503" t="s">
        <v>171</v>
      </c>
      <c r="AA503" s="2" t="str">
        <f>CLEAN(TRIM(Working_Sales[[#This Row],[Price per Unit]]))</f>
        <v>25</v>
      </c>
      <c r="AB503" s="2">
        <f>INT(
   SUBSTITUTE(Working_Sales[[#This Row],[Price_Per_Unit_Whitespace_Removed]],
   "$",
   ""
   )
)</f>
        <v>25</v>
      </c>
      <c r="AC503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503" s="8">
        <f>IFERROR(
   Working_Sales[[#This Row],[Price_Per_Unit_Decimal_Separator_Fixed]],
   Working_Sales[[#This Row],[Total_Amount_Converted_To_Integer]]/Working_Sales[[#This Row],[Quantity_Converted_To_Integer]]
)</f>
        <v>25</v>
      </c>
      <c r="AE503" t="s">
        <v>15</v>
      </c>
      <c r="AF503" s="2" t="str">
        <f>CLEAN(TRIM(Working_Sales[[#This Row],[Total Amount]]))</f>
        <v>50</v>
      </c>
      <c r="AG503" s="2">
        <f>INT(Working_Sales[[#This Row],[Total_Amount_Whitespace_Removed]])</f>
        <v>50</v>
      </c>
      <c r="AH50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504" spans="1:34" x14ac:dyDescent="0.35">
      <c r="A504" t="s">
        <v>1110</v>
      </c>
      <c r="B504" s="6" t="str">
        <f>CLEAN(TRIM(Working_Sales[[#This Row],[Transaction ID]]))</f>
        <v>155</v>
      </c>
      <c r="C504" t="s">
        <v>1111</v>
      </c>
      <c r="D504" s="2" t="str">
        <f>CLEAN(TRIM(Working_Sales[[#This Row],[Date]]))</f>
        <v>2023-05-17</v>
      </c>
      <c r="E50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45063</v>
      </c>
      <c r="F50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45063</v>
      </c>
      <c r="G50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45063</v>
      </c>
      <c r="H504" t="s">
        <v>2742</v>
      </c>
      <c r="I504" s="2" t="str">
        <f>CLEAN(TRIM(Working_Sales[[#This Row],[Customer ID]]))</f>
        <v>CUST248</v>
      </c>
      <c r="J50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CUST248</v>
      </c>
      <c r="K50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CUST248</v>
      </c>
      <c r="L504" t="s">
        <v>34</v>
      </c>
      <c r="M504" s="4" t="str">
        <f>CLEAN(TRIM(Working_Sales[[#This Row],[Gender]]))</f>
        <v>Male</v>
      </c>
      <c r="N504" s="4" t="str" cm="1">
        <f t="array" ref="N504">_xlfn.SWITCH(
   Working_Sales[[#This Row],[Gender_Whitespace_Removed]],
   "m", "Male",
   "f", "Female",
   Working_Sales[[#This Row],[Gender_Whitespace_Removed]]
)</f>
        <v>Male</v>
      </c>
      <c r="O504" s="6" t="str">
        <f>PROPER(Working_Sales[[#This Row],[Gender_Abbreviation_Expanded]])</f>
        <v>Male</v>
      </c>
      <c r="P504" t="s">
        <v>784</v>
      </c>
      <c r="Q504" s="2" t="str">
        <f>CLEAN(TRIM(Working_Sales[[#This Row],[Age]]))</f>
        <v>31</v>
      </c>
      <c r="R504" s="6">
        <f>INT(SUBSTITUTE(Working_Sales[[#This Row],[Age_Whitespace_Removed]],".",","))</f>
        <v>31</v>
      </c>
      <c r="S504" t="s">
        <v>117</v>
      </c>
      <c r="T504" s="2" t="str">
        <f>CLEAN(TRIM(Working_Sales[[#This Row],[Product Category]]))</f>
        <v>Electronics</v>
      </c>
      <c r="U504" s="6" t="str">
        <f>PROPER(Working_Sales[[#This Row],[Product_Category_Whitespace_Removed]])</f>
        <v>Electronics</v>
      </c>
      <c r="V504" t="s">
        <v>14</v>
      </c>
      <c r="W504" s="2" t="str">
        <f>CLEAN(TRIM(Working_Sales[[#This Row],[Quantity]]))</f>
        <v>4</v>
      </c>
      <c r="X504" s="2">
        <f>INT(Working_Sales[[#This Row],[`]])</f>
        <v>4</v>
      </c>
      <c r="Y504" s="6">
        <f>IFERROR(
   Working_Sales[[#This Row],[Quantity_Converted_To_Integer]],
   Working_Sales[[#This Row],[Total_Amount_Whitespace_Removed]]/Working_Sales[[#This Row],[Price_Per_Unit_Decimal_Separator_Fixed]])</f>
        <v>4</v>
      </c>
      <c r="Z504" t="s">
        <v>84</v>
      </c>
      <c r="AA504" s="2" t="str">
        <f>CLEAN(TRIM(Working_Sales[[#This Row],[Price per Unit]]))</f>
        <v>500.00</v>
      </c>
      <c r="AB504" s="2" t="e">
        <f>INT(
   SUBSTITUTE(Working_Sales[[#This Row],[Price_Per_Unit_Whitespace_Removed]],
   "$",
   ""
   )
)</f>
        <v>#VALUE!</v>
      </c>
      <c r="AC504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504" s="8">
        <f>IFERROR(
   Working_Sales[[#This Row],[Price_Per_Unit_Decimal_Separator_Fixed]],
   Working_Sales[[#This Row],[Total_Amount_Converted_To_Integer]]/Working_Sales[[#This Row],[Quantity_Converted_To_Integer]]
)</f>
        <v>500</v>
      </c>
      <c r="AE504" t="s">
        <v>232</v>
      </c>
      <c r="AF504" s="2" t="str">
        <f>CLEAN(TRIM(Working_Sales[[#This Row],[Total Amount]]))</f>
        <v>2000</v>
      </c>
      <c r="AG504" s="2">
        <f>INT(Working_Sales[[#This Row],[Total_Amount_Whitespace_Removed]])</f>
        <v>2000</v>
      </c>
      <c r="AH50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505" spans="1:34" x14ac:dyDescent="0.35">
      <c r="A505" t="s">
        <v>1113</v>
      </c>
      <c r="B505" s="6" t="str">
        <f>CLEAN(TRIM(Working_Sales[[#This Row],[Transaction ID]]))</f>
        <v>872</v>
      </c>
      <c r="C505" t="s">
        <v>2110</v>
      </c>
      <c r="D505" s="2" t="str">
        <f>CLEAN(TRIM(Working_Sales[[#This Row],[Date]]))</f>
        <v>October 11, 2023</v>
      </c>
      <c r="E505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505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50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45210</v>
      </c>
      <c r="H505" t="s">
        <v>2743</v>
      </c>
      <c r="I505" s="2" t="str">
        <f>CLEAN(TRIM(Working_Sales[[#This Row],[Customer ID]]))</f>
        <v>CUST206</v>
      </c>
      <c r="J50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CUST206</v>
      </c>
      <c r="K50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CUST206</v>
      </c>
      <c r="L505" t="s">
        <v>26</v>
      </c>
      <c r="M505" s="4" t="str">
        <f>CLEAN(TRIM(Working_Sales[[#This Row],[Gender]]))</f>
        <v>Female</v>
      </c>
      <c r="N505" s="4" t="str" cm="1">
        <f t="array" ref="N505">_xlfn.SWITCH(
   Working_Sales[[#This Row],[Gender_Whitespace_Removed]],
   "m", "Male",
   "f", "Female",
   Working_Sales[[#This Row],[Gender_Whitespace_Removed]]
)</f>
        <v>Female</v>
      </c>
      <c r="O505" s="6" t="str">
        <f>PROPER(Working_Sales[[#This Row],[Gender_Abbreviation_Expanded]])</f>
        <v>Female</v>
      </c>
      <c r="P505" t="s">
        <v>845</v>
      </c>
      <c r="Q505" s="2" t="str">
        <f>CLEAN(TRIM(Working_Sales[[#This Row],[Age]]))</f>
        <v>63.0</v>
      </c>
      <c r="R505" s="6">
        <f>INT(SUBSTITUTE(Working_Sales[[#This Row],[Age_Whitespace_Removed]],".",","))</f>
        <v>63</v>
      </c>
      <c r="S505" t="s">
        <v>69</v>
      </c>
      <c r="T505" s="2" t="str">
        <f>CLEAN(TRIM(Working_Sales[[#This Row],[Product Category]]))</f>
        <v>BEAUTY</v>
      </c>
      <c r="U505" s="6" t="str">
        <f>PROPER(Working_Sales[[#This Row],[Product_Category_Whitespace_Removed]])</f>
        <v>Beauty</v>
      </c>
      <c r="V505" t="s">
        <v>29</v>
      </c>
      <c r="W505" s="2" t="str">
        <f>CLEAN(TRIM(Working_Sales[[#This Row],[Quantity]]))</f>
        <v>3</v>
      </c>
      <c r="X505" s="2">
        <f>INT(Working_Sales[[#This Row],[`]])</f>
        <v>3</v>
      </c>
      <c r="Y505" s="6">
        <f>IFERROR(
   Working_Sales[[#This Row],[Quantity_Converted_To_Integer]],
   Working_Sales[[#This Row],[Total_Amount_Whitespace_Removed]]/Working_Sales[[#This Row],[Price_Per_Unit_Decimal_Separator_Fixed]])</f>
        <v>3</v>
      </c>
      <c r="Z505" t="s">
        <v>30</v>
      </c>
      <c r="AA505" s="2" t="str">
        <f>CLEAN(TRIM(Working_Sales[[#This Row],[Price per Unit]]))</f>
        <v>25</v>
      </c>
      <c r="AB505" s="2">
        <f>INT(
   SUBSTITUTE(Working_Sales[[#This Row],[Price_Per_Unit_Whitespace_Removed]],
   "$",
   ""
   )
)</f>
        <v>25</v>
      </c>
      <c r="AC505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505" s="8">
        <f>IFERROR(
   Working_Sales[[#This Row],[Price_Per_Unit_Decimal_Separator_Fixed]],
   Working_Sales[[#This Row],[Total_Amount_Converted_To_Integer]]/Working_Sales[[#This Row],[Quantity_Converted_To_Integer]]
)</f>
        <v>25</v>
      </c>
      <c r="AE505" t="s">
        <v>31</v>
      </c>
      <c r="AF505" s="2" t="str">
        <f>CLEAN(TRIM(Working_Sales[[#This Row],[Total Amount]]))</f>
        <v>75</v>
      </c>
      <c r="AG505" s="2">
        <f>INT(Working_Sales[[#This Row],[Total_Amount_Whitespace_Removed]])</f>
        <v>75</v>
      </c>
      <c r="AH50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506" spans="1:34" x14ac:dyDescent="0.35">
      <c r="A506" t="s">
        <v>1115</v>
      </c>
      <c r="B506" s="6" t="str">
        <f>CLEAN(TRIM(Working_Sales[[#This Row],[Transaction ID]]))</f>
        <v>563</v>
      </c>
      <c r="C506" t="s">
        <v>2054</v>
      </c>
      <c r="D506" s="2" t="str">
        <f>CLEAN(TRIM(Working_Sales[[#This Row],[Date]]))</f>
        <v>09-Aug-2023</v>
      </c>
      <c r="E50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45147</v>
      </c>
      <c r="F50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45147</v>
      </c>
      <c r="G50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45147</v>
      </c>
      <c r="H506" t="s">
        <v>2744</v>
      </c>
      <c r="I506" s="2" t="str">
        <f>CLEAN(TRIM(Working_Sales[[#This Row],[Customer ID]]))</f>
        <v>CUST089</v>
      </c>
      <c r="J50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CUST089</v>
      </c>
      <c r="K50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CUST089</v>
      </c>
      <c r="L506" t="s">
        <v>34</v>
      </c>
      <c r="M506" s="4" t="str">
        <f>CLEAN(TRIM(Working_Sales[[#This Row],[Gender]]))</f>
        <v>Male</v>
      </c>
      <c r="N506" s="4" t="str" cm="1">
        <f t="array" ref="N506">_xlfn.SWITCH(
   Working_Sales[[#This Row],[Gender_Whitespace_Removed]],
   "m", "Male",
   "f", "Female",
   Working_Sales[[#This Row],[Gender_Whitespace_Removed]]
)</f>
        <v>Male</v>
      </c>
      <c r="O506" s="6" t="str">
        <f>PROPER(Working_Sales[[#This Row],[Gender_Abbreviation_Expanded]])</f>
        <v>Male</v>
      </c>
      <c r="P506">
        <v>20</v>
      </c>
      <c r="Q506" s="2" t="str">
        <f>CLEAN(TRIM(Working_Sales[[#This Row],[Age]]))</f>
        <v>20</v>
      </c>
      <c r="R506" s="6">
        <f>INT(SUBSTITUTE(Working_Sales[[#This Row],[Age_Whitespace_Removed]],".",","))</f>
        <v>20</v>
      </c>
      <c r="S506" t="s">
        <v>124</v>
      </c>
      <c r="T506" s="2" t="str">
        <f>CLEAN(TRIM(Working_Sales[[#This Row],[Product Category]]))</f>
        <v>Clothing</v>
      </c>
      <c r="U506" s="6" t="str">
        <f>PROPER(Working_Sales[[#This Row],[Product_Category_Whitespace_Removed]])</f>
        <v>Clothing</v>
      </c>
      <c r="V506" t="s">
        <v>37</v>
      </c>
      <c r="W506" s="2" t="str">
        <f>CLEAN(TRIM(Working_Sales[[#This Row],[Quantity]]))</f>
        <v>2</v>
      </c>
      <c r="X506" s="2">
        <f>INT(Working_Sales[[#This Row],[`]])</f>
        <v>2</v>
      </c>
      <c r="Y506" s="6">
        <f>IFERROR(
   Working_Sales[[#This Row],[Quantity_Converted_To_Integer]],
   Working_Sales[[#This Row],[Total_Amount_Whitespace_Removed]]/Working_Sales[[#This Row],[Price_Per_Unit_Decimal_Separator_Fixed]])</f>
        <v>2</v>
      </c>
      <c r="Z506" t="s">
        <v>70</v>
      </c>
      <c r="AA506" s="2" t="str">
        <f>CLEAN(TRIM(Working_Sales[[#This Row],[Price per Unit]]))</f>
        <v>30</v>
      </c>
      <c r="AB506" s="2">
        <f>INT(
   SUBSTITUTE(Working_Sales[[#This Row],[Price_Per_Unit_Whitespace_Removed]],
   "$",
   ""
   )
)</f>
        <v>30</v>
      </c>
      <c r="AC506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506" s="8">
        <f>IFERROR(
   Working_Sales[[#This Row],[Price_Per_Unit_Decimal_Separator_Fixed]],
   Working_Sales[[#This Row],[Total_Amount_Converted_To_Integer]]/Working_Sales[[#This Row],[Quantity_Converted_To_Integer]]
)</f>
        <v>30</v>
      </c>
      <c r="AE506" t="s">
        <v>71</v>
      </c>
      <c r="AF506" s="2" t="str">
        <f>CLEAN(TRIM(Working_Sales[[#This Row],[Total Amount]]))</f>
        <v>60</v>
      </c>
      <c r="AG506" s="2">
        <f>INT(Working_Sales[[#This Row],[Total_Amount_Whitespace_Removed]])</f>
        <v>60</v>
      </c>
      <c r="AH50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507" spans="1:34" x14ac:dyDescent="0.35">
      <c r="A507" t="s">
        <v>1116</v>
      </c>
      <c r="B507" s="6" t="str">
        <f>CLEAN(TRIM(Working_Sales[[#This Row],[Transaction ID]]))</f>
        <v>796</v>
      </c>
      <c r="C507" t="s">
        <v>2111</v>
      </c>
      <c r="D507" s="2" t="str">
        <f>CLEAN(TRIM(Working_Sales[[#This Row],[Date]]))</f>
        <v>06/24/2023</v>
      </c>
      <c r="E507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50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45101</v>
      </c>
      <c r="G50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45101</v>
      </c>
      <c r="H507" t="s">
        <v>896</v>
      </c>
      <c r="I507" s="2" t="str">
        <f>CLEAN(TRIM(Working_Sales[[#This Row],[Customer ID]]))</f>
        <v>CUST178</v>
      </c>
      <c r="J50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CUST178</v>
      </c>
      <c r="K50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CUST178</v>
      </c>
      <c r="L507" t="s">
        <v>34</v>
      </c>
      <c r="M507" s="4" t="str">
        <f>CLEAN(TRIM(Working_Sales[[#This Row],[Gender]]))</f>
        <v>Male</v>
      </c>
      <c r="N507" s="4" t="str" cm="1">
        <f t="array" ref="N507">_xlfn.SWITCH(
   Working_Sales[[#This Row],[Gender_Whitespace_Removed]],
   "m", "Male",
   "f", "Female",
   Working_Sales[[#This Row],[Gender_Whitespace_Removed]]
)</f>
        <v>Male</v>
      </c>
      <c r="O507" s="6" t="str">
        <f>PROPER(Working_Sales[[#This Row],[Gender_Abbreviation_Expanded]])</f>
        <v>Male</v>
      </c>
      <c r="P507">
        <v>43</v>
      </c>
      <c r="Q507" s="2" t="str">
        <f>CLEAN(TRIM(Working_Sales[[#This Row],[Age]]))</f>
        <v>43</v>
      </c>
      <c r="R507" s="6">
        <f>INT(SUBSTITUTE(Working_Sales[[#This Row],[Age_Whitespace_Removed]],".",","))</f>
        <v>43</v>
      </c>
      <c r="S507" t="s">
        <v>62</v>
      </c>
      <c r="T507" s="2" t="str">
        <f>CLEAN(TRIM(Working_Sales[[#This Row],[Product Category]]))</f>
        <v>beauty</v>
      </c>
      <c r="U507" s="6" t="str">
        <f>PROPER(Working_Sales[[#This Row],[Product_Category_Whitespace_Removed]])</f>
        <v>Beauty</v>
      </c>
      <c r="V507" t="s">
        <v>14</v>
      </c>
      <c r="W507" s="2" t="str">
        <f>CLEAN(TRIM(Working_Sales[[#This Row],[Quantity]]))</f>
        <v>4</v>
      </c>
      <c r="X507" s="2">
        <f>INT(Working_Sales[[#This Row],[`]])</f>
        <v>4</v>
      </c>
      <c r="Y507" s="6">
        <f>IFERROR(
   Working_Sales[[#This Row],[Quantity_Converted_To_Integer]],
   Working_Sales[[#This Row],[Total_Amount_Whitespace_Removed]]/Working_Sales[[#This Row],[Price_Per_Unit_Decimal_Separator_Fixed]])</f>
        <v>4</v>
      </c>
      <c r="Z507" t="s">
        <v>70</v>
      </c>
      <c r="AA507" s="2" t="str">
        <f>CLEAN(TRIM(Working_Sales[[#This Row],[Price per Unit]]))</f>
        <v>30</v>
      </c>
      <c r="AB507" s="2">
        <f>INT(
   SUBSTITUTE(Working_Sales[[#This Row],[Price_Per_Unit_Whitespace_Removed]],
   "$",
   ""
   )
)</f>
        <v>30</v>
      </c>
      <c r="AC507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507" s="8">
        <f>IFERROR(
   Working_Sales[[#This Row],[Price_Per_Unit_Decimal_Separator_Fixed]],
   Working_Sales[[#This Row],[Total_Amount_Converted_To_Integer]]/Working_Sales[[#This Row],[Quantity_Converted_To_Integer]]
)</f>
        <v>30</v>
      </c>
      <c r="AE507" t="s">
        <v>44</v>
      </c>
      <c r="AF507" s="2" t="str">
        <f>CLEAN(TRIM(Working_Sales[[#This Row],[Total Amount]]))</f>
        <v>120</v>
      </c>
      <c r="AG507" s="2">
        <f>INT(Working_Sales[[#This Row],[Total_Amount_Whitespace_Removed]])</f>
        <v>120</v>
      </c>
      <c r="AH50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508" spans="1:34" x14ac:dyDescent="0.35">
      <c r="A508" t="s">
        <v>1117</v>
      </c>
      <c r="B508" s="6" t="str">
        <f>CLEAN(TRIM(Working_Sales[[#This Row],[Transaction ID]]))</f>
        <v>323</v>
      </c>
      <c r="C508" t="s">
        <v>2112</v>
      </c>
      <c r="D508" s="2" t="str">
        <f>CLEAN(TRIM(Working_Sales[[#This Row],[Date]]))</f>
        <v>01/26/2023</v>
      </c>
      <c r="E508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50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44952</v>
      </c>
      <c r="G50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44952</v>
      </c>
      <c r="H508" t="s">
        <v>2746</v>
      </c>
      <c r="I508" s="2" t="str">
        <f>CLEAN(TRIM(Working_Sales[[#This Row],[Customer ID]]))</f>
        <v>cust356</v>
      </c>
      <c r="J50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0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CUST356</v>
      </c>
      <c r="L508" t="s">
        <v>26</v>
      </c>
      <c r="M508" s="4" t="str">
        <f>CLEAN(TRIM(Working_Sales[[#This Row],[Gender]]))</f>
        <v>Female</v>
      </c>
      <c r="N508" s="4" t="str" cm="1">
        <f t="array" ref="N508">_xlfn.SWITCH(
   Working_Sales[[#This Row],[Gender_Whitespace_Removed]],
   "m", "Male",
   "f", "Female",
   Working_Sales[[#This Row],[Gender_Whitespace_Removed]]
)</f>
        <v>Female</v>
      </c>
      <c r="O508" s="6" t="str">
        <f>PROPER(Working_Sales[[#This Row],[Gender_Abbreviation_Expanded]])</f>
        <v>Female</v>
      </c>
      <c r="P508">
        <v>29</v>
      </c>
      <c r="Q508" s="2" t="str">
        <f>CLEAN(TRIM(Working_Sales[[#This Row],[Age]]))</f>
        <v>29</v>
      </c>
      <c r="R508" s="6">
        <f>INT(SUBSTITUTE(Working_Sales[[#This Row],[Age_Whitespace_Removed]],".",","))</f>
        <v>29</v>
      </c>
      <c r="S508" t="s">
        <v>62</v>
      </c>
      <c r="T508" s="2" t="str">
        <f>CLEAN(TRIM(Working_Sales[[#This Row],[Product Category]]))</f>
        <v>beauty</v>
      </c>
      <c r="U508" s="6" t="str">
        <f>PROPER(Working_Sales[[#This Row],[Product_Category_Whitespace_Removed]])</f>
        <v>Beauty</v>
      </c>
      <c r="V508" t="s">
        <v>29</v>
      </c>
      <c r="W508" s="2" t="str">
        <f>CLEAN(TRIM(Working_Sales[[#This Row],[Quantity]]))</f>
        <v>3</v>
      </c>
      <c r="X508" s="2">
        <f>INT(Working_Sales[[#This Row],[`]])</f>
        <v>3</v>
      </c>
      <c r="Y508" s="6">
        <f>IFERROR(
   Working_Sales[[#This Row],[Quantity_Converted_To_Integer]],
   Working_Sales[[#This Row],[Total_Amount_Whitespace_Removed]]/Working_Sales[[#This Row],[Price_Per_Unit_Decimal_Separator_Fixed]])</f>
        <v>3</v>
      </c>
      <c r="Z508" t="s">
        <v>23</v>
      </c>
      <c r="AA508" s="2" t="str">
        <f>CLEAN(TRIM(Working_Sales[[#This Row],[Price per Unit]]))</f>
        <v>300</v>
      </c>
      <c r="AB508" s="2">
        <f>INT(
   SUBSTITUTE(Working_Sales[[#This Row],[Price_Per_Unit_Whitespace_Removed]],
   "$",
   ""
   )
)</f>
        <v>300</v>
      </c>
      <c r="AC508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508" s="8">
        <f>IFERROR(
   Working_Sales[[#This Row],[Price_Per_Unit_Decimal_Separator_Fixed]],
   Working_Sales[[#This Row],[Total_Amount_Converted_To_Integer]]/Working_Sales[[#This Row],[Quantity_Converted_To_Integer]]
)</f>
        <v>300</v>
      </c>
      <c r="AE508" t="s">
        <v>128</v>
      </c>
      <c r="AF508" s="2" t="str">
        <f>CLEAN(TRIM(Working_Sales[[#This Row],[Total Amount]]))</f>
        <v>900</v>
      </c>
      <c r="AG508" s="2">
        <f>INT(Working_Sales[[#This Row],[Total_Amount_Whitespace_Removed]])</f>
        <v>900</v>
      </c>
      <c r="AH50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509" spans="1:34" x14ac:dyDescent="0.35">
      <c r="A509" t="s">
        <v>1119</v>
      </c>
      <c r="B509" s="6" t="str">
        <f>CLEAN(TRIM(Working_Sales[[#This Row],[Transaction ID]]))</f>
        <v>761</v>
      </c>
      <c r="C509" t="s">
        <v>2002</v>
      </c>
      <c r="D509" s="2" t="str">
        <f>CLEAN(TRIM(Working_Sales[[#This Row],[Date]]))</f>
        <v>November 07, 2023</v>
      </c>
      <c r="E509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509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50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45237</v>
      </c>
      <c r="H509" t="s">
        <v>2747</v>
      </c>
      <c r="I509" s="2" t="str">
        <f>CLEAN(TRIM(Working_Sales[[#This Row],[Customer ID]]))</f>
        <v>CUST331</v>
      </c>
      <c r="J50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CUST331</v>
      </c>
      <c r="K50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CUST331</v>
      </c>
      <c r="L509" t="s">
        <v>26</v>
      </c>
      <c r="M509" s="4" t="str">
        <f>CLEAN(TRIM(Working_Sales[[#This Row],[Gender]]))</f>
        <v>Female</v>
      </c>
      <c r="N509" s="4" t="str" cm="1">
        <f t="array" ref="N509">_xlfn.SWITCH(
   Working_Sales[[#This Row],[Gender_Whitespace_Removed]],
   "m", "Male",
   "f", "Female",
   Working_Sales[[#This Row],[Gender_Whitespace_Removed]]
)</f>
        <v>Female</v>
      </c>
      <c r="O509" s="6" t="str">
        <f>PROPER(Working_Sales[[#This Row],[Gender_Abbreviation_Expanded]])</f>
        <v>Female</v>
      </c>
      <c r="P509">
        <v>33</v>
      </c>
      <c r="Q509" s="2" t="str">
        <f>CLEAN(TRIM(Working_Sales[[#This Row],[Age]]))</f>
        <v>33</v>
      </c>
      <c r="R509" s="6">
        <f>INT(SUBSTITUTE(Working_Sales[[#This Row],[Age_Whitespace_Removed]],".",","))</f>
        <v>33</v>
      </c>
      <c r="S509" t="s">
        <v>56</v>
      </c>
      <c r="T509" s="2" t="str">
        <f>CLEAN(TRIM(Working_Sales[[#This Row],[Product Category]]))</f>
        <v>Clothing</v>
      </c>
      <c r="U509" s="6" t="str">
        <f>PROPER(Working_Sales[[#This Row],[Product_Category_Whitespace_Removed]])</f>
        <v>Clothing</v>
      </c>
      <c r="V509" t="s">
        <v>22</v>
      </c>
      <c r="W509" s="2" t="str">
        <f>CLEAN(TRIM(Working_Sales[[#This Row],[Quantity]]))</f>
        <v>1</v>
      </c>
      <c r="X509" s="2">
        <f>INT(Working_Sales[[#This Row],[`]])</f>
        <v>1</v>
      </c>
      <c r="Y509" s="6">
        <f>IFERROR(
   Working_Sales[[#This Row],[Quantity_Converted_To_Integer]],
   Working_Sales[[#This Row],[Total_Amount_Whitespace_Removed]]/Working_Sales[[#This Row],[Price_Per_Unit_Decimal_Separator_Fixed]])</f>
        <v>1</v>
      </c>
      <c r="Z509" t="s">
        <v>57</v>
      </c>
      <c r="AA509" s="2" t="str">
        <f>CLEAN(TRIM(Working_Sales[[#This Row],[Price per Unit]]))</f>
        <v>500</v>
      </c>
      <c r="AB509" s="2">
        <f>INT(
   SUBSTITUTE(Working_Sales[[#This Row],[Price_Per_Unit_Whitespace_Removed]],
   "$",
   ""
   )
)</f>
        <v>500</v>
      </c>
      <c r="AC509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509" s="8">
        <f>IFERROR(
   Working_Sales[[#This Row],[Price_Per_Unit_Decimal_Separator_Fixed]],
   Working_Sales[[#This Row],[Total_Amount_Converted_To_Integer]]/Working_Sales[[#This Row],[Quantity_Converted_To_Integer]]
)</f>
        <v>500</v>
      </c>
      <c r="AE509" t="s">
        <v>57</v>
      </c>
      <c r="AF509" s="2" t="str">
        <f>CLEAN(TRIM(Working_Sales[[#This Row],[Total Amount]]))</f>
        <v>500</v>
      </c>
      <c r="AG509" s="2">
        <f>INT(Working_Sales[[#This Row],[Total_Amount_Whitespace_Removed]])</f>
        <v>500</v>
      </c>
      <c r="AH50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510" spans="1:34" x14ac:dyDescent="0.35">
      <c r="A510" t="s">
        <v>1120</v>
      </c>
      <c r="B510" s="6" t="str">
        <f>CLEAN(TRIM(Working_Sales[[#This Row],[Transaction ID]]))</f>
        <v>592</v>
      </c>
      <c r="C510" t="s">
        <v>1121</v>
      </c>
      <c r="D510" s="2" t="str">
        <f>CLEAN(TRIM(Working_Sales[[#This Row],[Date]]))</f>
        <v>2023-01-24</v>
      </c>
      <c r="E51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44950</v>
      </c>
      <c r="F51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44950</v>
      </c>
      <c r="G51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44950</v>
      </c>
      <c r="H510" t="s">
        <v>2748</v>
      </c>
      <c r="I510" s="2" t="str">
        <f>CLEAN(TRIM(Working_Sales[[#This Row],[Customer ID]]))</f>
        <v>cust357</v>
      </c>
      <c r="J51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1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CUST357</v>
      </c>
      <c r="L510" t="s">
        <v>26</v>
      </c>
      <c r="M510" s="4" t="str">
        <f>CLEAN(TRIM(Working_Sales[[#This Row],[Gender]]))</f>
        <v>Female</v>
      </c>
      <c r="N510" s="4" t="str" cm="1">
        <f t="array" ref="N510">_xlfn.SWITCH(
   Working_Sales[[#This Row],[Gender_Whitespace_Removed]],
   "m", "Male",
   "f", "Female",
   Working_Sales[[#This Row],[Gender_Whitespace_Removed]]
)</f>
        <v>Female</v>
      </c>
      <c r="O510" s="6" t="str">
        <f>PROPER(Working_Sales[[#This Row],[Gender_Abbreviation_Expanded]])</f>
        <v>Female</v>
      </c>
      <c r="P510">
        <v>46</v>
      </c>
      <c r="Q510" s="2" t="str">
        <f>CLEAN(TRIM(Working_Sales[[#This Row],[Age]]))</f>
        <v>46</v>
      </c>
      <c r="R510" s="6">
        <f>INT(SUBSTITUTE(Working_Sales[[#This Row],[Age_Whitespace_Removed]],".",","))</f>
        <v>46</v>
      </c>
      <c r="S510" t="s">
        <v>36</v>
      </c>
      <c r="T510" s="2" t="str">
        <f>CLEAN(TRIM(Working_Sales[[#This Row],[Product Category]]))</f>
        <v>Beauty</v>
      </c>
      <c r="U510" s="6" t="str">
        <f>PROPER(Working_Sales[[#This Row],[Product_Category_Whitespace_Removed]])</f>
        <v>Beauty</v>
      </c>
      <c r="V510" t="s">
        <v>14</v>
      </c>
      <c r="W510" s="2" t="str">
        <f>CLEAN(TRIM(Working_Sales[[#This Row],[Quantity]]))</f>
        <v>4</v>
      </c>
      <c r="X510" s="2">
        <f>INT(Working_Sales[[#This Row],[`]])</f>
        <v>4</v>
      </c>
      <c r="Y510" s="6">
        <f>IFERROR(
   Working_Sales[[#This Row],[Quantity_Converted_To_Integer]],
   Working_Sales[[#This Row],[Total_Amount_Whitespace_Removed]]/Working_Sales[[#This Row],[Price_Per_Unit_Decimal_Separator_Fixed]])</f>
        <v>4</v>
      </c>
      <c r="Z510" t="s">
        <v>282</v>
      </c>
      <c r="AA510" s="2" t="str">
        <f>CLEAN(TRIM(Working_Sales[[#This Row],[Price per Unit]]))</f>
        <v>500</v>
      </c>
      <c r="AB510" s="2">
        <f>INT(
   SUBSTITUTE(Working_Sales[[#This Row],[Price_Per_Unit_Whitespace_Removed]],
   "$",
   ""
   )
)</f>
        <v>500</v>
      </c>
      <c r="AC510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510" s="8">
        <f>IFERROR(
   Working_Sales[[#This Row],[Price_Per_Unit_Decimal_Separator_Fixed]],
   Working_Sales[[#This Row],[Total_Amount_Converted_To_Integer]]/Working_Sales[[#This Row],[Quantity_Converted_To_Integer]]
)</f>
        <v>500</v>
      </c>
      <c r="AE510" t="s">
        <v>232</v>
      </c>
      <c r="AF510" s="2" t="str">
        <f>CLEAN(TRIM(Working_Sales[[#This Row],[Total Amount]]))</f>
        <v>2000</v>
      </c>
      <c r="AG510" s="2">
        <f>INT(Working_Sales[[#This Row],[Total_Amount_Whitespace_Removed]])</f>
        <v>2000</v>
      </c>
      <c r="AH51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511" spans="1:34" x14ac:dyDescent="0.35">
      <c r="A511" t="s">
        <v>1122</v>
      </c>
      <c r="B511" s="6" t="str">
        <f>CLEAN(TRIM(Working_Sales[[#This Row],[Transaction ID]]))</f>
        <v>83</v>
      </c>
      <c r="C511" t="s">
        <v>1123</v>
      </c>
      <c r="D511" s="2" t="str">
        <f>CLEAN(TRIM(Working_Sales[[#This Row],[Date]]))</f>
        <v>16/12/2023</v>
      </c>
      <c r="E51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45276</v>
      </c>
      <c r="F51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45276</v>
      </c>
      <c r="G51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45276</v>
      </c>
      <c r="H511" t="s">
        <v>2749</v>
      </c>
      <c r="I511" s="2" t="str">
        <f>CLEAN(TRIM(Working_Sales[[#This Row],[Customer ID]]))</f>
        <v>CUST035</v>
      </c>
      <c r="J51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1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CUST035</v>
      </c>
      <c r="L511" t="s">
        <v>34</v>
      </c>
      <c r="M511" s="4" t="str">
        <f>CLEAN(TRIM(Working_Sales[[#This Row],[Gender]]))</f>
        <v>Male</v>
      </c>
      <c r="N511" s="4" t="str" cm="1">
        <f t="array" ref="N511">_xlfn.SWITCH(
   Working_Sales[[#This Row],[Gender_Whitespace_Removed]],
   "m", "Male",
   "f", "Female",
   Working_Sales[[#This Row],[Gender_Whitespace_Removed]]
)</f>
        <v>Male</v>
      </c>
      <c r="O511" s="6" t="str">
        <f>PROPER(Working_Sales[[#This Row],[Gender_Abbreviation_Expanded]])</f>
        <v>Male</v>
      </c>
      <c r="P511">
        <v>54</v>
      </c>
      <c r="Q511" s="2" t="str">
        <f>CLEAN(TRIM(Working_Sales[[#This Row],[Age]]))</f>
        <v>54</v>
      </c>
      <c r="R511" s="6">
        <f>INT(SUBSTITUTE(Working_Sales[[#This Row],[Age_Whitespace_Removed]],".",","))</f>
        <v>54</v>
      </c>
      <c r="S511" t="s">
        <v>117</v>
      </c>
      <c r="T511" s="2" t="str">
        <f>CLEAN(TRIM(Working_Sales[[#This Row],[Product Category]]))</f>
        <v>Electronics</v>
      </c>
      <c r="U511" s="6" t="str">
        <f>PROPER(Working_Sales[[#This Row],[Product_Category_Whitespace_Removed]])</f>
        <v>Electronics</v>
      </c>
      <c r="V511" t="s">
        <v>37</v>
      </c>
      <c r="W511" s="2" t="str">
        <f>CLEAN(TRIM(Working_Sales[[#This Row],[Quantity]]))</f>
        <v>2</v>
      </c>
      <c r="X511" s="2">
        <f>INT(Working_Sales[[#This Row],[`]])</f>
        <v>2</v>
      </c>
      <c r="Y511" s="6">
        <f>IFERROR(
   Working_Sales[[#This Row],[Quantity_Converted_To_Integer]],
   Working_Sales[[#This Row],[Total_Amount_Whitespace_Removed]]/Working_Sales[[#This Row],[Price_Per_Unit_Decimal_Separator_Fixed]])</f>
        <v>2</v>
      </c>
      <c r="Z511" t="s">
        <v>15</v>
      </c>
      <c r="AA511" s="2" t="str">
        <f>CLEAN(TRIM(Working_Sales[[#This Row],[Price per Unit]]))</f>
        <v>50</v>
      </c>
      <c r="AB511" s="2">
        <f>INT(
   SUBSTITUTE(Working_Sales[[#This Row],[Price_Per_Unit_Whitespace_Removed]],
   "$",
   ""
   )
)</f>
        <v>50</v>
      </c>
      <c r="AC511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511" s="8">
        <f>IFERROR(
   Working_Sales[[#This Row],[Price_Per_Unit_Decimal_Separator_Fixed]],
   Working_Sales[[#This Row],[Total_Amount_Converted_To_Integer]]/Working_Sales[[#This Row],[Quantity_Converted_To_Integer]]
)</f>
        <v>50</v>
      </c>
      <c r="AE511" t="s">
        <v>38</v>
      </c>
      <c r="AF511" s="2" t="str">
        <f>CLEAN(TRIM(Working_Sales[[#This Row],[Total Amount]]))</f>
        <v>100</v>
      </c>
      <c r="AG511" s="2">
        <f>INT(Working_Sales[[#This Row],[Total_Amount_Whitespace_Removed]])</f>
        <v>100</v>
      </c>
      <c r="AH51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512" spans="1:34" x14ac:dyDescent="0.35">
      <c r="A512" t="s">
        <v>1125</v>
      </c>
      <c r="B512" s="6" t="str">
        <f>CLEAN(TRIM(Working_Sales[[#This Row],[Transaction ID]]))</f>
        <v>721</v>
      </c>
      <c r="C512" t="s">
        <v>1126</v>
      </c>
      <c r="D512" s="2" t="str">
        <f>CLEAN(TRIM(Working_Sales[[#This Row],[Date]]))</f>
        <v>2023-05-14</v>
      </c>
      <c r="E51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45060</v>
      </c>
      <c r="F51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45060</v>
      </c>
      <c r="G51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45060</v>
      </c>
      <c r="H512" t="s">
        <v>2750</v>
      </c>
      <c r="I512" s="2" t="str">
        <f>CLEAN(TRIM(Working_Sales[[#This Row],[Customer ID]]))</f>
        <v>Cust253</v>
      </c>
      <c r="J51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1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CUST253</v>
      </c>
      <c r="L512" t="s">
        <v>112</v>
      </c>
      <c r="M512" s="4" t="str">
        <f>CLEAN(TRIM(Working_Sales[[#This Row],[Gender]]))</f>
        <v>female</v>
      </c>
      <c r="N512" s="4" t="str" cm="1">
        <f t="array" ref="N512">_xlfn.SWITCH(
   Working_Sales[[#This Row],[Gender_Whitespace_Removed]],
   "m", "Male",
   "f", "Female",
   Working_Sales[[#This Row],[Gender_Whitespace_Removed]]
)</f>
        <v>female</v>
      </c>
      <c r="O512" s="6" t="str">
        <f>PROPER(Working_Sales[[#This Row],[Gender_Abbreviation_Expanded]])</f>
        <v>Female</v>
      </c>
      <c r="P512" t="s">
        <v>1127</v>
      </c>
      <c r="Q512" s="2" t="str">
        <f>CLEAN(TRIM(Working_Sales[[#This Row],[Age]]))</f>
        <v>52</v>
      </c>
      <c r="R512" s="6">
        <f>INT(SUBSTITUTE(Working_Sales[[#This Row],[Age_Whitespace_Removed]],".",","))</f>
        <v>52</v>
      </c>
      <c r="S512" t="s">
        <v>89</v>
      </c>
      <c r="T512" s="2" t="str">
        <f>CLEAN(TRIM(Working_Sales[[#This Row],[Product Category]]))</f>
        <v>CLOTHING</v>
      </c>
      <c r="U512" s="6" t="str">
        <f>PROPER(Working_Sales[[#This Row],[Product_Category_Whitespace_Removed]])</f>
        <v>Clothing</v>
      </c>
      <c r="V512" t="s">
        <v>22</v>
      </c>
      <c r="W512" s="2" t="str">
        <f>CLEAN(TRIM(Working_Sales[[#This Row],[Quantity]]))</f>
        <v>1</v>
      </c>
      <c r="X512" s="2">
        <f>INT(Working_Sales[[#This Row],[`]])</f>
        <v>1</v>
      </c>
      <c r="Y512" s="6">
        <f>IFERROR(
   Working_Sales[[#This Row],[Quantity_Converted_To_Integer]],
   Working_Sales[[#This Row],[Total_Amount_Whitespace_Removed]]/Working_Sales[[#This Row],[Price_Per_Unit_Decimal_Separator_Fixed]])</f>
        <v>1</v>
      </c>
      <c r="Z512" t="s">
        <v>57</v>
      </c>
      <c r="AA512" s="2" t="str">
        <f>CLEAN(TRIM(Working_Sales[[#This Row],[Price per Unit]]))</f>
        <v>500</v>
      </c>
      <c r="AB512" s="2">
        <f>INT(
   SUBSTITUTE(Working_Sales[[#This Row],[Price_Per_Unit_Whitespace_Removed]],
   "$",
   ""
   )
)</f>
        <v>500</v>
      </c>
      <c r="AC512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512" s="8">
        <f>IFERROR(
   Working_Sales[[#This Row],[Price_Per_Unit_Decimal_Separator_Fixed]],
   Working_Sales[[#This Row],[Total_Amount_Converted_To_Integer]]/Working_Sales[[#This Row],[Quantity_Converted_To_Integer]]
)</f>
        <v>500</v>
      </c>
      <c r="AE512" t="s">
        <v>57</v>
      </c>
      <c r="AF512" s="2" t="str">
        <f>CLEAN(TRIM(Working_Sales[[#This Row],[Total Amount]]))</f>
        <v>500</v>
      </c>
      <c r="AG512" s="2">
        <f>INT(Working_Sales[[#This Row],[Total_Amount_Whitespace_Removed]])</f>
        <v>500</v>
      </c>
      <c r="AH51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513" spans="1:34" x14ac:dyDescent="0.35">
      <c r="A513" t="s">
        <v>1128</v>
      </c>
      <c r="B513" s="6" t="str">
        <f>CLEAN(TRIM(Working_Sales[[#This Row],[Transaction ID]]))</f>
        <v>465</v>
      </c>
      <c r="C513" t="s">
        <v>2113</v>
      </c>
      <c r="D513" s="2" t="str">
        <f>CLEAN(TRIM(Working_Sales[[#This Row],[Date]]))</f>
        <v>02-Apr-2023</v>
      </c>
      <c r="E51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45018</v>
      </c>
      <c r="F51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45018</v>
      </c>
      <c r="G51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45018</v>
      </c>
      <c r="H513" t="s">
        <v>530</v>
      </c>
      <c r="I513" s="2" t="str">
        <f>CLEAN(TRIM(Working_Sales[[#This Row],[Customer ID]]))</f>
        <v>CUST358</v>
      </c>
      <c r="J51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CUST358</v>
      </c>
      <c r="K51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CUST358</v>
      </c>
      <c r="L513" t="s">
        <v>26</v>
      </c>
      <c r="M513" s="4" t="str">
        <f>CLEAN(TRIM(Working_Sales[[#This Row],[Gender]]))</f>
        <v>Female</v>
      </c>
      <c r="N513" s="4" t="str" cm="1">
        <f t="array" ref="N513">_xlfn.SWITCH(
   Working_Sales[[#This Row],[Gender_Whitespace_Removed]],
   "m", "Male",
   "f", "Female",
   Working_Sales[[#This Row],[Gender_Whitespace_Removed]]
)</f>
        <v>Female</v>
      </c>
      <c r="O513" s="6" t="str">
        <f>PROPER(Working_Sales[[#This Row],[Gender_Abbreviation_Expanded]])</f>
        <v>Female</v>
      </c>
      <c r="P513">
        <v>43</v>
      </c>
      <c r="Q513" s="2" t="str">
        <f>CLEAN(TRIM(Working_Sales[[#This Row],[Age]]))</f>
        <v>43</v>
      </c>
      <c r="R513" s="6">
        <f>INT(SUBSTITUTE(Working_Sales[[#This Row],[Age_Whitespace_Removed]],".",","))</f>
        <v>43</v>
      </c>
      <c r="S513" t="s">
        <v>13</v>
      </c>
      <c r="T513" s="2" t="str">
        <f>CLEAN(TRIM(Working_Sales[[#This Row],[Product Category]]))</f>
        <v>Electronics</v>
      </c>
      <c r="U513" s="6" t="str">
        <f>PROPER(Working_Sales[[#This Row],[Product_Category_Whitespace_Removed]])</f>
        <v>Electronics</v>
      </c>
      <c r="V513" t="s">
        <v>29</v>
      </c>
      <c r="W513" s="2" t="str">
        <f>CLEAN(TRIM(Working_Sales[[#This Row],[Quantity]]))</f>
        <v>3</v>
      </c>
      <c r="X513" s="2">
        <f>INT(Working_Sales[[#This Row],[`]])</f>
        <v>3</v>
      </c>
      <c r="Y513" s="6">
        <f>IFERROR(
   Working_Sales[[#This Row],[Quantity_Converted_To_Integer]],
   Working_Sales[[#This Row],[Total_Amount_Whitespace_Removed]]/Working_Sales[[#This Row],[Price_Per_Unit_Decimal_Separator_Fixed]])</f>
        <v>3</v>
      </c>
      <c r="Z513" t="s">
        <v>96</v>
      </c>
      <c r="AA513" s="2" t="str">
        <f>CLEAN(TRIM(Working_Sales[[#This Row],[Price per Unit]]))</f>
        <v>$50</v>
      </c>
      <c r="AB513" s="2">
        <f>INT(
   SUBSTITUTE(Working_Sales[[#This Row],[Price_Per_Unit_Whitespace_Removed]],
   "$",
   ""
   )
)</f>
        <v>50</v>
      </c>
      <c r="AC513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513" s="8">
        <f>IFERROR(
   Working_Sales[[#This Row],[Price_Per_Unit_Decimal_Separator_Fixed]],
   Working_Sales[[#This Row],[Total_Amount_Converted_To_Integer]]/Working_Sales[[#This Row],[Quantity_Converted_To_Integer]]
)</f>
        <v>50</v>
      </c>
      <c r="AE513" t="s">
        <v>130</v>
      </c>
      <c r="AF513" s="2" t="str">
        <f>CLEAN(TRIM(Working_Sales[[#This Row],[Total Amount]]))</f>
        <v>150</v>
      </c>
      <c r="AG513" s="2">
        <f>INT(Working_Sales[[#This Row],[Total_Amount_Whitespace_Removed]])</f>
        <v>150</v>
      </c>
      <c r="AH51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514" spans="1:34" x14ac:dyDescent="0.35">
      <c r="A514" t="s">
        <v>1130</v>
      </c>
      <c r="B514" s="6" t="str">
        <f>CLEAN(TRIM(Working_Sales[[#This Row],[Transaction ID]]))</f>
        <v>557</v>
      </c>
      <c r="C514" t="s">
        <v>1131</v>
      </c>
      <c r="D514" s="2" t="str">
        <f>CLEAN(TRIM(Working_Sales[[#This Row],[Date]]))</f>
        <v>2023-07-27</v>
      </c>
      <c r="E51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45134</v>
      </c>
      <c r="F51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45134</v>
      </c>
      <c r="G51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45134</v>
      </c>
      <c r="H514" t="s">
        <v>2751</v>
      </c>
      <c r="I514" s="2" t="str">
        <f>CLEAN(TRIM(Working_Sales[[#This Row],[Customer ID]]))</f>
        <v>Cust359</v>
      </c>
      <c r="J51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1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CUST359</v>
      </c>
      <c r="L514" t="s">
        <v>112</v>
      </c>
      <c r="M514" s="4" t="str">
        <f>CLEAN(TRIM(Working_Sales[[#This Row],[Gender]]))</f>
        <v>female</v>
      </c>
      <c r="N514" s="4" t="str" cm="1">
        <f t="array" ref="N514">_xlfn.SWITCH(
   Working_Sales[[#This Row],[Gender_Whitespace_Removed]],
   "m", "Male",
   "f", "Female",
   Working_Sales[[#This Row],[Gender_Whitespace_Removed]]
)</f>
        <v>female</v>
      </c>
      <c r="O514" s="6" t="str">
        <f>PROPER(Working_Sales[[#This Row],[Gender_Abbreviation_Expanded]])</f>
        <v>Female</v>
      </c>
      <c r="P514">
        <v>20</v>
      </c>
      <c r="Q514" s="2" t="str">
        <f>CLEAN(TRIM(Working_Sales[[#This Row],[Age]]))</f>
        <v>20</v>
      </c>
      <c r="R514" s="6">
        <f>INT(SUBSTITUTE(Working_Sales[[#This Row],[Age_Whitespace_Removed]],".",","))</f>
        <v>20</v>
      </c>
      <c r="S514" t="s">
        <v>36</v>
      </c>
      <c r="T514" s="2" t="str">
        <f>CLEAN(TRIM(Working_Sales[[#This Row],[Product Category]]))</f>
        <v>Beauty</v>
      </c>
      <c r="U514" s="6" t="str">
        <f>PROPER(Working_Sales[[#This Row],[Product_Category_Whitespace_Removed]])</f>
        <v>Beauty</v>
      </c>
      <c r="V514" t="s">
        <v>29</v>
      </c>
      <c r="W514" s="2" t="str">
        <f>CLEAN(TRIM(Working_Sales[[#This Row],[Quantity]]))</f>
        <v>3</v>
      </c>
      <c r="X514" s="2">
        <f>INT(Working_Sales[[#This Row],[`]])</f>
        <v>3</v>
      </c>
      <c r="Y514" s="6">
        <f>IFERROR(
   Working_Sales[[#This Row],[Quantity_Converted_To_Integer]],
   Working_Sales[[#This Row],[Total_Amount_Whitespace_Removed]]/Working_Sales[[#This Row],[Price_Per_Unit_Decimal_Separator_Fixed]])</f>
        <v>3</v>
      </c>
      <c r="Z514" t="s">
        <v>70</v>
      </c>
      <c r="AA514" s="2" t="str">
        <f>CLEAN(TRIM(Working_Sales[[#This Row],[Price per Unit]]))</f>
        <v>30</v>
      </c>
      <c r="AB514" s="2">
        <f>INT(
   SUBSTITUTE(Working_Sales[[#This Row],[Price_Per_Unit_Whitespace_Removed]],
   "$",
   ""
   )
)</f>
        <v>30</v>
      </c>
      <c r="AC514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514" s="8">
        <f>IFERROR(
   Working_Sales[[#This Row],[Price_Per_Unit_Decimal_Separator_Fixed]],
   Working_Sales[[#This Row],[Total_Amount_Converted_To_Integer]]/Working_Sales[[#This Row],[Quantity_Converted_To_Integer]]
)</f>
        <v>30</v>
      </c>
      <c r="AE514" t="s">
        <v>191</v>
      </c>
      <c r="AF514" s="2" t="str">
        <f>CLEAN(TRIM(Working_Sales[[#This Row],[Total Amount]]))</f>
        <v>90</v>
      </c>
      <c r="AG514" s="2">
        <f>INT(Working_Sales[[#This Row],[Total_Amount_Whitespace_Removed]])</f>
        <v>90</v>
      </c>
      <c r="AH51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515" spans="1:34" x14ac:dyDescent="0.35">
      <c r="A515" t="s">
        <v>1132</v>
      </c>
      <c r="B515" s="6" t="str">
        <f>CLEAN(TRIM(Working_Sales[[#This Row],[Transaction ID]]))</f>
        <v>334</v>
      </c>
      <c r="C515" t="s">
        <v>570</v>
      </c>
      <c r="D515" s="2" t="str">
        <f>CLEAN(TRIM(Working_Sales[[#This Row],[Date]]))</f>
        <v>2023-11-01</v>
      </c>
      <c r="E51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45231</v>
      </c>
      <c r="F51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45231</v>
      </c>
      <c r="G51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45231</v>
      </c>
      <c r="H515" t="s">
        <v>1198</v>
      </c>
      <c r="I515" s="2" t="str">
        <f>CLEAN(TRIM(Working_Sales[[#This Row],[Customer ID]]))</f>
        <v>CUST360</v>
      </c>
      <c r="J51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CUST360</v>
      </c>
      <c r="K51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CUST360</v>
      </c>
      <c r="L515" t="s">
        <v>34</v>
      </c>
      <c r="M515" s="4" t="str">
        <f>CLEAN(TRIM(Working_Sales[[#This Row],[Gender]]))</f>
        <v>Male</v>
      </c>
      <c r="N515" s="4" t="str" cm="1">
        <f t="array" ref="N515">_xlfn.SWITCH(
   Working_Sales[[#This Row],[Gender_Whitespace_Removed]],
   "m", "Male",
   "f", "Female",
   Working_Sales[[#This Row],[Gender_Whitespace_Removed]]
)</f>
        <v>Male</v>
      </c>
      <c r="O515" s="6" t="str">
        <f>PROPER(Working_Sales[[#This Row],[Gender_Abbreviation_Expanded]])</f>
        <v>Male</v>
      </c>
      <c r="P515">
        <v>31</v>
      </c>
      <c r="Q515" s="2" t="str">
        <f>CLEAN(TRIM(Working_Sales[[#This Row],[Age]]))</f>
        <v>31</v>
      </c>
      <c r="R515" s="6">
        <f>INT(SUBSTITUTE(Working_Sales[[#This Row],[Age_Whitespace_Removed]],".",","))</f>
        <v>31</v>
      </c>
      <c r="S515" t="s">
        <v>13</v>
      </c>
      <c r="T515" s="2" t="str">
        <f>CLEAN(TRIM(Working_Sales[[#This Row],[Product Category]]))</f>
        <v>Electronics</v>
      </c>
      <c r="U515" s="6" t="str">
        <f>PROPER(Working_Sales[[#This Row],[Product_Category_Whitespace_Removed]])</f>
        <v>Electronics</v>
      </c>
      <c r="V515" t="s">
        <v>29</v>
      </c>
      <c r="W515" s="2" t="str">
        <f>CLEAN(TRIM(Working_Sales[[#This Row],[Quantity]]))</f>
        <v>3</v>
      </c>
      <c r="X515" s="2">
        <f>INT(Working_Sales[[#This Row],[`]])</f>
        <v>3</v>
      </c>
      <c r="Y515" s="6">
        <f>IFERROR(
   Working_Sales[[#This Row],[Quantity_Converted_To_Integer]],
   Working_Sales[[#This Row],[Total_Amount_Whitespace_Removed]]/Working_Sales[[#This Row],[Price_Per_Unit_Decimal_Separator_Fixed]])</f>
        <v>3</v>
      </c>
      <c r="Z515" t="s">
        <v>23</v>
      </c>
      <c r="AA515" s="2" t="str">
        <f>CLEAN(TRIM(Working_Sales[[#This Row],[Price per Unit]]))</f>
        <v>300</v>
      </c>
      <c r="AB515" s="2">
        <f>INT(
   SUBSTITUTE(Working_Sales[[#This Row],[Price_Per_Unit_Whitespace_Removed]],
   "$",
   ""
   )
)</f>
        <v>300</v>
      </c>
      <c r="AC515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515" s="8">
        <f>IFERROR(
   Working_Sales[[#This Row],[Price_Per_Unit_Decimal_Separator_Fixed]],
   Working_Sales[[#This Row],[Total_Amount_Converted_To_Integer]]/Working_Sales[[#This Row],[Quantity_Converted_To_Integer]]
)</f>
        <v>300</v>
      </c>
      <c r="AE515" t="s">
        <v>128</v>
      </c>
      <c r="AF515" s="2" t="str">
        <f>CLEAN(TRIM(Working_Sales[[#This Row],[Total Amount]]))</f>
        <v>900</v>
      </c>
      <c r="AG515" s="2">
        <f>INT(Working_Sales[[#This Row],[Total_Amount_Whitespace_Removed]])</f>
        <v>900</v>
      </c>
      <c r="AH51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516" spans="1:34" x14ac:dyDescent="0.35">
      <c r="A516" t="s">
        <v>1134</v>
      </c>
      <c r="B516" s="6" t="str">
        <f>CLEAN(TRIM(Working_Sales[[#This Row],[Transaction ID]]))</f>
        <v>11</v>
      </c>
      <c r="C516" t="s">
        <v>1135</v>
      </c>
      <c r="D516" s="2" t="str">
        <f>CLEAN(TRIM(Working_Sales[[#This Row],[Date]]))</f>
        <v>2023-02-14</v>
      </c>
      <c r="E51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44971</v>
      </c>
      <c r="F51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44971</v>
      </c>
      <c r="G51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44971</v>
      </c>
      <c r="H516" t="s">
        <v>2752</v>
      </c>
      <c r="I516" s="2" t="str">
        <f>CLEAN(TRIM(Working_Sales[[#This Row],[Customer ID]]))</f>
        <v>CUST361</v>
      </c>
      <c r="J51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CUST361</v>
      </c>
      <c r="K51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CUST361</v>
      </c>
      <c r="L516" t="s">
        <v>268</v>
      </c>
      <c r="M516" s="4" t="str">
        <f>CLEAN(TRIM(Working_Sales[[#This Row],[Gender]]))</f>
        <v>M</v>
      </c>
      <c r="N516" s="4" t="str" cm="1">
        <f t="array" ref="N516">_xlfn.SWITCH(
   Working_Sales[[#This Row],[Gender_Whitespace_Removed]],
   "m", "Male",
   "f", "Female",
   Working_Sales[[#This Row],[Gender_Whitespace_Removed]]
)</f>
        <v>Male</v>
      </c>
      <c r="O516" s="6" t="str">
        <f>PROPER(Working_Sales[[#This Row],[Gender_Abbreviation_Expanded]])</f>
        <v>Male</v>
      </c>
      <c r="P516">
        <v>23</v>
      </c>
      <c r="Q516" s="2" t="str">
        <f>CLEAN(TRIM(Working_Sales[[#This Row],[Age]]))</f>
        <v>23</v>
      </c>
      <c r="R516" s="6">
        <f>INT(SUBSTITUTE(Working_Sales[[#This Row],[Age_Whitespace_Removed]],".",","))</f>
        <v>23</v>
      </c>
      <c r="S516" t="s">
        <v>56</v>
      </c>
      <c r="T516" s="2" t="str">
        <f>CLEAN(TRIM(Working_Sales[[#This Row],[Product Category]]))</f>
        <v>Clothing</v>
      </c>
      <c r="U516" s="6" t="str">
        <f>PROPER(Working_Sales[[#This Row],[Product_Category_Whitespace_Removed]])</f>
        <v>Clothing</v>
      </c>
      <c r="V516" t="s">
        <v>37</v>
      </c>
      <c r="W516" s="2" t="str">
        <f>CLEAN(TRIM(Working_Sales[[#This Row],[Quantity]]))</f>
        <v>2</v>
      </c>
      <c r="X516" s="2">
        <f>INT(Working_Sales[[#This Row],[`]])</f>
        <v>2</v>
      </c>
      <c r="Y516" s="6">
        <f>IFERROR(
   Working_Sales[[#This Row],[Quantity_Converted_To_Integer]],
   Working_Sales[[#This Row],[Total_Amount_Whitespace_Removed]]/Working_Sales[[#This Row],[Price_Per_Unit_Decimal_Separator_Fixed]])</f>
        <v>2</v>
      </c>
      <c r="Z516" t="s">
        <v>15</v>
      </c>
      <c r="AA516" s="2" t="str">
        <f>CLEAN(TRIM(Working_Sales[[#This Row],[Price per Unit]]))</f>
        <v>50</v>
      </c>
      <c r="AB516" s="2">
        <f>INT(
   SUBSTITUTE(Working_Sales[[#This Row],[Price_Per_Unit_Whitespace_Removed]],
   "$",
   ""
   )
)</f>
        <v>50</v>
      </c>
      <c r="AC516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516" s="8">
        <f>IFERROR(
   Working_Sales[[#This Row],[Price_Per_Unit_Decimal_Separator_Fixed]],
   Working_Sales[[#This Row],[Total_Amount_Converted_To_Integer]]/Working_Sales[[#This Row],[Quantity_Converted_To_Integer]]
)</f>
        <v>50</v>
      </c>
      <c r="AE516" t="s">
        <v>38</v>
      </c>
      <c r="AF516" s="2" t="str">
        <f>CLEAN(TRIM(Working_Sales[[#This Row],[Total Amount]]))</f>
        <v>100</v>
      </c>
      <c r="AG516" s="2">
        <f>INT(Working_Sales[[#This Row],[Total_Amount_Whitespace_Removed]])</f>
        <v>100</v>
      </c>
      <c r="AH51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517" spans="1:34" x14ac:dyDescent="0.35">
      <c r="A517" t="s">
        <v>1137</v>
      </c>
      <c r="B517" s="6" t="str">
        <f>CLEAN(TRIM(Working_Sales[[#This Row],[Transaction ID]]))</f>
        <v>471</v>
      </c>
      <c r="C517" t="s">
        <v>1138</v>
      </c>
      <c r="D517" s="2" t="str">
        <f>CLEAN(TRIM(Working_Sales[[#This Row],[Date]]))</f>
        <v>23/03/2023</v>
      </c>
      <c r="E51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45008</v>
      </c>
      <c r="F51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45008</v>
      </c>
      <c r="G51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45008</v>
      </c>
      <c r="H517" t="s">
        <v>2753</v>
      </c>
      <c r="I517" s="2" t="str">
        <f>CLEAN(TRIM(Working_Sales[[#This Row],[Customer ID]]))</f>
        <v>CUST022</v>
      </c>
      <c r="J51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CUST022</v>
      </c>
      <c r="K51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CUST022</v>
      </c>
      <c r="L517" t="s">
        <v>34</v>
      </c>
      <c r="M517" s="4" t="str">
        <f>CLEAN(TRIM(Working_Sales[[#This Row],[Gender]]))</f>
        <v>Male</v>
      </c>
      <c r="N517" s="4" t="str" cm="1">
        <f t="array" ref="N517">_xlfn.SWITCH(
   Working_Sales[[#This Row],[Gender_Whitespace_Removed]],
   "m", "Male",
   "f", "Female",
   Working_Sales[[#This Row],[Gender_Whitespace_Removed]]
)</f>
        <v>Male</v>
      </c>
      <c r="O517" s="6" t="str">
        <f>PROPER(Working_Sales[[#This Row],[Gender_Abbreviation_Expanded]])</f>
        <v>Male</v>
      </c>
      <c r="P517">
        <v>32</v>
      </c>
      <c r="Q517" s="2" t="str">
        <f>CLEAN(TRIM(Working_Sales[[#This Row],[Age]]))</f>
        <v>32</v>
      </c>
      <c r="R517" s="6">
        <f>INT(SUBSTITUTE(Working_Sales[[#This Row],[Age_Whitespace_Removed]],".",","))</f>
        <v>32</v>
      </c>
      <c r="S517" t="s">
        <v>89</v>
      </c>
      <c r="T517" s="2" t="str">
        <f>CLEAN(TRIM(Working_Sales[[#This Row],[Product Category]]))</f>
        <v>CLOTHING</v>
      </c>
      <c r="U517" s="6" t="str">
        <f>PROPER(Working_Sales[[#This Row],[Product_Category_Whitespace_Removed]])</f>
        <v>Clothing</v>
      </c>
      <c r="V517" t="s">
        <v>29</v>
      </c>
      <c r="W517" s="2" t="str">
        <f>CLEAN(TRIM(Working_Sales[[#This Row],[Quantity]]))</f>
        <v>3</v>
      </c>
      <c r="X517" s="2">
        <f>INT(Working_Sales[[#This Row],[`]])</f>
        <v>3</v>
      </c>
      <c r="Y517" s="6">
        <f>IFERROR(
   Working_Sales[[#This Row],[Quantity_Converted_To_Integer]],
   Working_Sales[[#This Row],[Total_Amount_Whitespace_Removed]]/Working_Sales[[#This Row],[Price_Per_Unit_Decimal_Separator_Fixed]])</f>
        <v>3</v>
      </c>
      <c r="Z517" t="s">
        <v>15</v>
      </c>
      <c r="AA517" s="2" t="str">
        <f>CLEAN(TRIM(Working_Sales[[#This Row],[Price per Unit]]))</f>
        <v>50</v>
      </c>
      <c r="AB517" s="2">
        <f>INT(
   SUBSTITUTE(Working_Sales[[#This Row],[Price_Per_Unit_Whitespace_Removed]],
   "$",
   ""
   )
)</f>
        <v>50</v>
      </c>
      <c r="AC517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517" s="8">
        <f>IFERROR(
   Working_Sales[[#This Row],[Price_Per_Unit_Decimal_Separator_Fixed]],
   Working_Sales[[#This Row],[Total_Amount_Converted_To_Integer]]/Working_Sales[[#This Row],[Quantity_Converted_To_Integer]]
)</f>
        <v>50</v>
      </c>
      <c r="AE517" t="s">
        <v>130</v>
      </c>
      <c r="AF517" s="2" t="str">
        <f>CLEAN(TRIM(Working_Sales[[#This Row],[Total Amount]]))</f>
        <v>150</v>
      </c>
      <c r="AG517" s="2">
        <f>INT(Working_Sales[[#This Row],[Total_Amount_Whitespace_Removed]])</f>
        <v>150</v>
      </c>
      <c r="AH51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518" spans="1:34" x14ac:dyDescent="0.35">
      <c r="A518" t="s">
        <v>294</v>
      </c>
      <c r="B518" s="6" t="str">
        <f>CLEAN(TRIM(Working_Sales[[#This Row],[Transaction ID]]))</f>
        <v>33</v>
      </c>
      <c r="C518" t="s">
        <v>1138</v>
      </c>
      <c r="D518" s="2" t="str">
        <f>CLEAN(TRIM(Working_Sales[[#This Row],[Date]]))</f>
        <v>23/03/2023</v>
      </c>
      <c r="E51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45008</v>
      </c>
      <c r="F51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45008</v>
      </c>
      <c r="G51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45008</v>
      </c>
      <c r="H518" t="s">
        <v>2754</v>
      </c>
      <c r="I518" s="2" t="str">
        <f>CLEAN(TRIM(Working_Sales[[#This Row],[Customer ID]]))</f>
        <v>CUST362</v>
      </c>
      <c r="J51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CUST362</v>
      </c>
      <c r="K51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CUST362</v>
      </c>
      <c r="L518" t="s">
        <v>140</v>
      </c>
      <c r="M518" s="4" t="str">
        <f>CLEAN(TRIM(Working_Sales[[#This Row],[Gender]]))</f>
        <v>FEMALE</v>
      </c>
      <c r="N518" s="4" t="str" cm="1">
        <f t="array" ref="N518">_xlfn.SWITCH(
   Working_Sales[[#This Row],[Gender_Whitespace_Removed]],
   "m", "Male",
   "f", "Female",
   Working_Sales[[#This Row],[Gender_Whitespace_Removed]]
)</f>
        <v>FEMALE</v>
      </c>
      <c r="O518" s="6" t="str">
        <f>PROPER(Working_Sales[[#This Row],[Gender_Abbreviation_Expanded]])</f>
        <v>Female</v>
      </c>
      <c r="P518">
        <v>50</v>
      </c>
      <c r="Q518" s="2" t="str">
        <f>CLEAN(TRIM(Working_Sales[[#This Row],[Age]]))</f>
        <v>50</v>
      </c>
      <c r="R518" s="6">
        <f>INT(SUBSTITUTE(Working_Sales[[#This Row],[Age_Whitespace_Removed]],".",","))</f>
        <v>50</v>
      </c>
      <c r="S518" t="s">
        <v>13</v>
      </c>
      <c r="T518" s="2" t="str">
        <f>CLEAN(TRIM(Working_Sales[[#This Row],[Product Category]]))</f>
        <v>Electronics</v>
      </c>
      <c r="U518" s="6" t="str">
        <f>PROPER(Working_Sales[[#This Row],[Product_Category_Whitespace_Removed]])</f>
        <v>Electronics</v>
      </c>
      <c r="V518" t="s">
        <v>37</v>
      </c>
      <c r="W518" s="2" t="str">
        <f>CLEAN(TRIM(Working_Sales[[#This Row],[Quantity]]))</f>
        <v>2</v>
      </c>
      <c r="X518" s="2">
        <f>INT(Working_Sales[[#This Row],[`]])</f>
        <v>2</v>
      </c>
      <c r="Y518" s="6">
        <f>IFERROR(
   Working_Sales[[#This Row],[Quantity_Converted_To_Integer]],
   Working_Sales[[#This Row],[Total_Amount_Whitespace_Removed]]/Working_Sales[[#This Row],[Price_Per_Unit_Decimal_Separator_Fixed]])</f>
        <v>2</v>
      </c>
      <c r="Z518" t="s">
        <v>15</v>
      </c>
      <c r="AA518" s="2" t="str">
        <f>CLEAN(TRIM(Working_Sales[[#This Row],[Price per Unit]]))</f>
        <v>50</v>
      </c>
      <c r="AB518" s="2">
        <f>INT(
   SUBSTITUTE(Working_Sales[[#This Row],[Price_Per_Unit_Whitespace_Removed]],
   "$",
   ""
   )
)</f>
        <v>50</v>
      </c>
      <c r="AC518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518" s="8">
        <f>IFERROR(
   Working_Sales[[#This Row],[Price_Per_Unit_Decimal_Separator_Fixed]],
   Working_Sales[[#This Row],[Total_Amount_Converted_To_Integer]]/Working_Sales[[#This Row],[Quantity_Converted_To_Integer]]
)</f>
        <v>50</v>
      </c>
      <c r="AE518" t="s">
        <v>38</v>
      </c>
      <c r="AF518" s="2" t="str">
        <f>CLEAN(TRIM(Working_Sales[[#This Row],[Total Amount]]))</f>
        <v>100</v>
      </c>
      <c r="AG518" s="2">
        <f>INT(Working_Sales[[#This Row],[Total_Amount_Whitespace_Removed]])</f>
        <v>100</v>
      </c>
      <c r="AH51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519" spans="1:34" x14ac:dyDescent="0.35">
      <c r="A519" t="s">
        <v>1140</v>
      </c>
      <c r="B519" s="6" t="str">
        <f>CLEAN(TRIM(Working_Sales[[#This Row],[Transaction ID]]))</f>
        <v>581</v>
      </c>
      <c r="C519" t="s">
        <v>303</v>
      </c>
      <c r="D519" s="2" t="str">
        <f>CLEAN(TRIM(Working_Sales[[#This Row],[Date]]))</f>
        <v>2023-11-21</v>
      </c>
      <c r="E51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45251</v>
      </c>
      <c r="F51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45251</v>
      </c>
      <c r="G51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45251</v>
      </c>
      <c r="H519" t="s">
        <v>2755</v>
      </c>
      <c r="I519" s="2" t="str">
        <f>CLEAN(TRIM(Working_Sales[[#This Row],[Customer ID]]))</f>
        <v>cust065</v>
      </c>
      <c r="J51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1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CUST065</v>
      </c>
      <c r="L519" t="s">
        <v>26</v>
      </c>
      <c r="M519" s="4" t="str">
        <f>CLEAN(TRIM(Working_Sales[[#This Row],[Gender]]))</f>
        <v>Female</v>
      </c>
      <c r="N519" s="4" t="str" cm="1">
        <f t="array" ref="N519">_xlfn.SWITCH(
   Working_Sales[[#This Row],[Gender_Whitespace_Removed]],
   "m", "Male",
   "f", "Female",
   Working_Sales[[#This Row],[Gender_Whitespace_Removed]]
)</f>
        <v>Female</v>
      </c>
      <c r="O519" s="6" t="str">
        <f>PROPER(Working_Sales[[#This Row],[Gender_Abbreviation_Expanded]])</f>
        <v>Female</v>
      </c>
      <c r="P519">
        <v>48</v>
      </c>
      <c r="Q519" s="2" t="str">
        <f>CLEAN(TRIM(Working_Sales[[#This Row],[Age]]))</f>
        <v>48</v>
      </c>
      <c r="R519" s="6">
        <f>INT(SUBSTITUTE(Working_Sales[[#This Row],[Age_Whitespace_Removed]],".",","))</f>
        <v>48</v>
      </c>
      <c r="S519" t="s">
        <v>36</v>
      </c>
      <c r="T519" s="2" t="str">
        <f>CLEAN(TRIM(Working_Sales[[#This Row],[Product Category]]))</f>
        <v>Beauty</v>
      </c>
      <c r="U519" s="6" t="str">
        <f>PROPER(Working_Sales[[#This Row],[Product_Category_Whitespace_Removed]])</f>
        <v>Beauty</v>
      </c>
      <c r="V519" t="s">
        <v>37</v>
      </c>
      <c r="W519" s="2" t="str">
        <f>CLEAN(TRIM(Working_Sales[[#This Row],[Quantity]]))</f>
        <v>2</v>
      </c>
      <c r="X519" s="2">
        <f>INT(Working_Sales[[#This Row],[`]])</f>
        <v>2</v>
      </c>
      <c r="Y519" s="6">
        <f>IFERROR(
   Working_Sales[[#This Row],[Quantity_Converted_To_Integer]],
   Working_Sales[[#This Row],[Total_Amount_Whitespace_Removed]]/Working_Sales[[#This Row],[Price_Per_Unit_Decimal_Separator_Fixed]])</f>
        <v>2</v>
      </c>
      <c r="Z519" t="s">
        <v>70</v>
      </c>
      <c r="AA519" s="2" t="str">
        <f>CLEAN(TRIM(Working_Sales[[#This Row],[Price per Unit]]))</f>
        <v>30</v>
      </c>
      <c r="AB519" s="2">
        <f>INT(
   SUBSTITUTE(Working_Sales[[#This Row],[Price_Per_Unit_Whitespace_Removed]],
   "$",
   ""
   )
)</f>
        <v>30</v>
      </c>
      <c r="AC519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519" s="8">
        <f>IFERROR(
   Working_Sales[[#This Row],[Price_Per_Unit_Decimal_Separator_Fixed]],
   Working_Sales[[#This Row],[Total_Amount_Converted_To_Integer]]/Working_Sales[[#This Row],[Quantity_Converted_To_Integer]]
)</f>
        <v>30</v>
      </c>
      <c r="AE519" t="s">
        <v>71</v>
      </c>
      <c r="AF519" s="2" t="str">
        <f>CLEAN(TRIM(Working_Sales[[#This Row],[Total Amount]]))</f>
        <v>60</v>
      </c>
      <c r="AG519" s="2">
        <f>INT(Working_Sales[[#This Row],[Total_Amount_Whitespace_Removed]])</f>
        <v>60</v>
      </c>
      <c r="AH51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520" spans="1:34" x14ac:dyDescent="0.35">
      <c r="A520" t="s">
        <v>1141</v>
      </c>
      <c r="B520" s="6" t="str">
        <f>CLEAN(TRIM(Working_Sales[[#This Row],[Transaction ID]]))</f>
        <v>889</v>
      </c>
      <c r="C520" t="s">
        <v>670</v>
      </c>
      <c r="D520" s="2" t="str">
        <f>CLEAN(TRIM(Working_Sales[[#This Row],[Date]]))</f>
        <v>2023-10-02</v>
      </c>
      <c r="E52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45201</v>
      </c>
      <c r="F52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45201</v>
      </c>
      <c r="G52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45201</v>
      </c>
      <c r="H520" t="s">
        <v>2756</v>
      </c>
      <c r="I520" s="2" t="str">
        <f>CLEAN(TRIM(Working_Sales[[#This Row],[Customer ID]]))</f>
        <v>CUST090</v>
      </c>
      <c r="J52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CUST090</v>
      </c>
      <c r="K52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CUST090</v>
      </c>
      <c r="L520" t="s">
        <v>26</v>
      </c>
      <c r="M520" s="4" t="str">
        <f>CLEAN(TRIM(Working_Sales[[#This Row],[Gender]]))</f>
        <v>Female</v>
      </c>
      <c r="N520" s="4" t="str" cm="1">
        <f t="array" ref="N520">_xlfn.SWITCH(
   Working_Sales[[#This Row],[Gender_Whitespace_Removed]],
   "m", "Male",
   "f", "Female",
   Working_Sales[[#This Row],[Gender_Whitespace_Removed]]
)</f>
        <v>Female</v>
      </c>
      <c r="O520" s="6" t="str">
        <f>PROPER(Working_Sales[[#This Row],[Gender_Abbreviation_Expanded]])</f>
        <v>Female</v>
      </c>
      <c r="P520">
        <v>35</v>
      </c>
      <c r="Q520" s="2" t="str">
        <f>CLEAN(TRIM(Working_Sales[[#This Row],[Age]]))</f>
        <v>35</v>
      </c>
      <c r="R520" s="6">
        <f>INT(SUBSTITUTE(Working_Sales[[#This Row],[Age_Whitespace_Removed]],".",","))</f>
        <v>35</v>
      </c>
      <c r="S520" t="s">
        <v>13</v>
      </c>
      <c r="T520" s="2" t="str">
        <f>CLEAN(TRIM(Working_Sales[[#This Row],[Product Category]]))</f>
        <v>Electronics</v>
      </c>
      <c r="U520" s="6" t="str">
        <f>PROPER(Working_Sales[[#This Row],[Product_Category_Whitespace_Removed]])</f>
        <v>Electronics</v>
      </c>
      <c r="V520" t="s">
        <v>22</v>
      </c>
      <c r="W520" s="2" t="str">
        <f>CLEAN(TRIM(Working_Sales[[#This Row],[Quantity]]))</f>
        <v>1</v>
      </c>
      <c r="X520" s="2">
        <f>INT(Working_Sales[[#This Row],[`]])</f>
        <v>1</v>
      </c>
      <c r="Y520" s="6">
        <f>IFERROR(
   Working_Sales[[#This Row],[Quantity_Converted_To_Integer]],
   Working_Sales[[#This Row],[Total_Amount_Whitespace_Removed]]/Working_Sales[[#This Row],[Price_Per_Unit_Decimal_Separator_Fixed]])</f>
        <v>1</v>
      </c>
      <c r="Z520" t="s">
        <v>15</v>
      </c>
      <c r="AA520" s="2" t="str">
        <f>CLEAN(TRIM(Working_Sales[[#This Row],[Price per Unit]]))</f>
        <v>50</v>
      </c>
      <c r="AB520" s="2">
        <f>INT(
   SUBSTITUTE(Working_Sales[[#This Row],[Price_Per_Unit_Whitespace_Removed]],
   "$",
   ""
   )
)</f>
        <v>50</v>
      </c>
      <c r="AC520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520" s="8">
        <f>IFERROR(
   Working_Sales[[#This Row],[Price_Per_Unit_Decimal_Separator_Fixed]],
   Working_Sales[[#This Row],[Total_Amount_Converted_To_Integer]]/Working_Sales[[#This Row],[Quantity_Converted_To_Integer]]
)</f>
        <v>50</v>
      </c>
      <c r="AE520" t="s">
        <v>15</v>
      </c>
      <c r="AF520" s="2" t="str">
        <f>CLEAN(TRIM(Working_Sales[[#This Row],[Total Amount]]))</f>
        <v>50</v>
      </c>
      <c r="AG520" s="2">
        <f>INT(Working_Sales[[#This Row],[Total_Amount_Whitespace_Removed]])</f>
        <v>50</v>
      </c>
      <c r="AH52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521" spans="1:34" x14ac:dyDescent="0.35">
      <c r="A521" t="s">
        <v>1142</v>
      </c>
      <c r="B521" s="6" t="str">
        <f>CLEAN(TRIM(Working_Sales[[#This Row],[Transaction ID]]))</f>
        <v>383</v>
      </c>
      <c r="C521" t="s">
        <v>1143</v>
      </c>
      <c r="D521" s="2" t="str">
        <f>CLEAN(TRIM(Working_Sales[[#This Row],[Date]]))</f>
        <v>2023-03-22</v>
      </c>
      <c r="E52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45007</v>
      </c>
      <c r="F52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45007</v>
      </c>
      <c r="G52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45007</v>
      </c>
      <c r="H521" t="s">
        <v>2567</v>
      </c>
      <c r="I521" s="2" t="str">
        <f>CLEAN(TRIM(Working_Sales[[#This Row],[Customer ID]]))</f>
        <v>CUST235</v>
      </c>
      <c r="J52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2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CUST235</v>
      </c>
      <c r="L521" t="s">
        <v>26</v>
      </c>
      <c r="M521" s="4" t="str">
        <f>CLEAN(TRIM(Working_Sales[[#This Row],[Gender]]))</f>
        <v>Female</v>
      </c>
      <c r="N521" s="4" t="str" cm="1">
        <f t="array" ref="N521">_xlfn.SWITCH(
   Working_Sales[[#This Row],[Gender_Whitespace_Removed]],
   "m", "Male",
   "f", "Female",
   Working_Sales[[#This Row],[Gender_Whitespace_Removed]]
)</f>
        <v>Female</v>
      </c>
      <c r="O521" s="6" t="str">
        <f>PROPER(Working_Sales[[#This Row],[Gender_Abbreviation_Expanded]])</f>
        <v>Female</v>
      </c>
      <c r="P521">
        <v>46</v>
      </c>
      <c r="Q521" s="2" t="str">
        <f>CLEAN(TRIM(Working_Sales[[#This Row],[Age]]))</f>
        <v>46</v>
      </c>
      <c r="R521" s="6">
        <f>INT(SUBSTITUTE(Working_Sales[[#This Row],[Age_Whitespace_Removed]],".",","))</f>
        <v>46</v>
      </c>
      <c r="S521" t="s">
        <v>42</v>
      </c>
      <c r="T521" s="2" t="str">
        <f>CLEAN(TRIM(Working_Sales[[#This Row],[Product Category]]))</f>
        <v>Beauty</v>
      </c>
      <c r="U521" s="6" t="str">
        <f>PROPER(Working_Sales[[#This Row],[Product_Category_Whitespace_Removed]])</f>
        <v>Beauty</v>
      </c>
      <c r="V521" t="s">
        <v>29</v>
      </c>
      <c r="W521" s="2" t="str">
        <f>CLEAN(TRIM(Working_Sales[[#This Row],[Quantity]]))</f>
        <v>3</v>
      </c>
      <c r="X521" s="2">
        <f>INT(Working_Sales[[#This Row],[`]])</f>
        <v>3</v>
      </c>
      <c r="Y521" s="6">
        <f>IFERROR(
   Working_Sales[[#This Row],[Quantity_Converted_To_Integer]],
   Working_Sales[[#This Row],[Total_Amount_Whitespace_Removed]]/Working_Sales[[#This Row],[Price_Per_Unit_Decimal_Separator_Fixed]])</f>
        <v>3</v>
      </c>
      <c r="Z521" t="s">
        <v>70</v>
      </c>
      <c r="AA521" s="2" t="str">
        <f>CLEAN(TRIM(Working_Sales[[#This Row],[Price per Unit]]))</f>
        <v>30</v>
      </c>
      <c r="AB521" s="2">
        <f>INT(
   SUBSTITUTE(Working_Sales[[#This Row],[Price_Per_Unit_Whitespace_Removed]],
   "$",
   ""
   )
)</f>
        <v>30</v>
      </c>
      <c r="AC521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521" s="8">
        <f>IFERROR(
   Working_Sales[[#This Row],[Price_Per_Unit_Decimal_Separator_Fixed]],
   Working_Sales[[#This Row],[Total_Amount_Converted_To_Integer]]/Working_Sales[[#This Row],[Quantity_Converted_To_Integer]]
)</f>
        <v>30</v>
      </c>
      <c r="AE521" t="s">
        <v>191</v>
      </c>
      <c r="AF521" s="2" t="str">
        <f>CLEAN(TRIM(Working_Sales[[#This Row],[Total Amount]]))</f>
        <v>90</v>
      </c>
      <c r="AG521" s="2">
        <f>INT(Working_Sales[[#This Row],[Total_Amount_Whitespace_Removed]])</f>
        <v>90</v>
      </c>
      <c r="AH52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522" spans="1:34" x14ac:dyDescent="0.35">
      <c r="A522" t="s">
        <v>1145</v>
      </c>
      <c r="B522" s="6" t="str">
        <f>CLEAN(TRIM(Working_Sales[[#This Row],[Transaction ID]]))</f>
        <v>612</v>
      </c>
      <c r="C522" t="s">
        <v>1146</v>
      </c>
      <c r="D522" s="2" t="str">
        <f>CLEAN(TRIM(Working_Sales[[#This Row],[Date]]))</f>
        <v>2023-08-06</v>
      </c>
      <c r="E52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45144</v>
      </c>
      <c r="F52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45144</v>
      </c>
      <c r="G52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45144</v>
      </c>
      <c r="H522" t="s">
        <v>2757</v>
      </c>
      <c r="I522" s="2" t="str">
        <f>CLEAN(TRIM(Working_Sales[[#This Row],[Customer ID]]))</f>
        <v>Cust363</v>
      </c>
      <c r="J52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2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CUST363</v>
      </c>
      <c r="L522" t="s">
        <v>26</v>
      </c>
      <c r="M522" s="4" t="str">
        <f>CLEAN(TRIM(Working_Sales[[#This Row],[Gender]]))</f>
        <v>Female</v>
      </c>
      <c r="N522" s="4" t="str" cm="1">
        <f t="array" ref="N522">_xlfn.SWITCH(
   Working_Sales[[#This Row],[Gender_Whitespace_Removed]],
   "m", "Male",
   "f", "Female",
   Working_Sales[[#This Row],[Gender_Whitespace_Removed]]
)</f>
        <v>Female</v>
      </c>
      <c r="O522" s="6" t="str">
        <f>PROPER(Working_Sales[[#This Row],[Gender_Abbreviation_Expanded]])</f>
        <v>Female</v>
      </c>
      <c r="P522">
        <v>61</v>
      </c>
      <c r="Q522" s="2" t="str">
        <f>CLEAN(TRIM(Working_Sales[[#This Row],[Age]]))</f>
        <v>61</v>
      </c>
      <c r="R522" s="6">
        <f>INT(SUBSTITUTE(Working_Sales[[#This Row],[Age_Whitespace_Removed]],".",","))</f>
        <v>61</v>
      </c>
      <c r="S522" t="s">
        <v>99</v>
      </c>
      <c r="T522" s="2" t="str">
        <f>CLEAN(TRIM(Working_Sales[[#This Row],[Product Category]]))</f>
        <v>ELECTRONICS</v>
      </c>
      <c r="U522" s="6" t="str">
        <f>PROPER(Working_Sales[[#This Row],[Product_Category_Whitespace_Removed]])</f>
        <v>Electronics</v>
      </c>
      <c r="V522" t="s">
        <v>22</v>
      </c>
      <c r="W522" s="2" t="str">
        <f>CLEAN(TRIM(Working_Sales[[#This Row],[Quantity]]))</f>
        <v>1</v>
      </c>
      <c r="X522" s="2">
        <f>INT(Working_Sales[[#This Row],[`]])</f>
        <v>1</v>
      </c>
      <c r="Y522" s="6">
        <f>IFERROR(
   Working_Sales[[#This Row],[Quantity_Converted_To_Integer]],
   Working_Sales[[#This Row],[Total_Amount_Whitespace_Removed]]/Working_Sales[[#This Row],[Price_Per_Unit_Decimal_Separator_Fixed]])</f>
        <v>1</v>
      </c>
      <c r="Z522" t="s">
        <v>282</v>
      </c>
      <c r="AA522" s="2" t="str">
        <f>CLEAN(TRIM(Working_Sales[[#This Row],[Price per Unit]]))</f>
        <v>500</v>
      </c>
      <c r="AB522" s="2">
        <f>INT(
   SUBSTITUTE(Working_Sales[[#This Row],[Price_Per_Unit_Whitespace_Removed]],
   "$",
   ""
   )
)</f>
        <v>500</v>
      </c>
      <c r="AC522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522" s="8">
        <f>IFERROR(
   Working_Sales[[#This Row],[Price_Per_Unit_Decimal_Separator_Fixed]],
   Working_Sales[[#This Row],[Total_Amount_Converted_To_Integer]]/Working_Sales[[#This Row],[Quantity_Converted_To_Integer]]
)</f>
        <v>500</v>
      </c>
      <c r="AE522" t="s">
        <v>57</v>
      </c>
      <c r="AF522" s="2" t="str">
        <f>CLEAN(TRIM(Working_Sales[[#This Row],[Total Amount]]))</f>
        <v>500</v>
      </c>
      <c r="AG522" s="2">
        <f>INT(Working_Sales[[#This Row],[Total_Amount_Whitespace_Removed]])</f>
        <v>500</v>
      </c>
      <c r="AH52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523" spans="1:34" x14ac:dyDescent="0.35">
      <c r="A523" t="s">
        <v>1147</v>
      </c>
      <c r="B523" s="6" t="str">
        <f>CLEAN(TRIM(Working_Sales[[#This Row],[Transaction ID]]))</f>
        <v>794</v>
      </c>
      <c r="C523" t="s">
        <v>1993</v>
      </c>
      <c r="D523" s="2" t="str">
        <f>CLEAN(TRIM(Working_Sales[[#This Row],[Date]]))</f>
        <v>09/17/2023</v>
      </c>
      <c r="E523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52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45186</v>
      </c>
      <c r="G52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45186</v>
      </c>
      <c r="H523" t="s">
        <v>2758</v>
      </c>
      <c r="I523" s="2" t="str">
        <f>CLEAN(TRIM(Working_Sales[[#This Row],[Customer ID]]))</f>
        <v>CUST-285</v>
      </c>
      <c r="J52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2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CUST285</v>
      </c>
      <c r="L523" t="s">
        <v>26</v>
      </c>
      <c r="M523" s="4" t="str">
        <f>CLEAN(TRIM(Working_Sales[[#This Row],[Gender]]))</f>
        <v>Female</v>
      </c>
      <c r="N523" s="4" t="str" cm="1">
        <f t="array" ref="N523">_xlfn.SWITCH(
   Working_Sales[[#This Row],[Gender_Whitespace_Removed]],
   "m", "Male",
   "f", "Female",
   Working_Sales[[#This Row],[Gender_Whitespace_Removed]]
)</f>
        <v>Female</v>
      </c>
      <c r="O523" s="6" t="str">
        <f>PROPER(Working_Sales[[#This Row],[Gender_Abbreviation_Expanded]])</f>
        <v>Female</v>
      </c>
      <c r="P523">
        <v>60</v>
      </c>
      <c r="Q523" s="2" t="str">
        <f>CLEAN(TRIM(Working_Sales[[#This Row],[Age]]))</f>
        <v>60</v>
      </c>
      <c r="R523" s="6">
        <f>INT(SUBSTITUTE(Working_Sales[[#This Row],[Age_Whitespace_Removed]],".",","))</f>
        <v>60</v>
      </c>
      <c r="S523" t="s">
        <v>42</v>
      </c>
      <c r="T523" s="2" t="str">
        <f>CLEAN(TRIM(Working_Sales[[#This Row],[Product Category]]))</f>
        <v>Beauty</v>
      </c>
      <c r="U523" s="6" t="str">
        <f>PROPER(Working_Sales[[#This Row],[Product_Category_Whitespace_Removed]])</f>
        <v>Beauty</v>
      </c>
      <c r="V523" t="s">
        <v>22</v>
      </c>
      <c r="W523" s="2" t="str">
        <f>CLEAN(TRIM(Working_Sales[[#This Row],[Quantity]]))</f>
        <v>1</v>
      </c>
      <c r="X523" s="2">
        <f>INT(Working_Sales[[#This Row],[`]])</f>
        <v>1</v>
      </c>
      <c r="Y523" s="6">
        <f>IFERROR(
   Working_Sales[[#This Row],[Quantity_Converted_To_Integer]],
   Working_Sales[[#This Row],[Total_Amount_Whitespace_Removed]]/Working_Sales[[#This Row],[Price_Per_Unit_Decimal_Separator_Fixed]])</f>
        <v>1</v>
      </c>
      <c r="AA523" s="2" t="str">
        <f>CLEAN(TRIM(Working_Sales[[#This Row],[Price per Unit]]))</f>
        <v/>
      </c>
      <c r="AB523" s="2" t="e">
        <f>INT(
   SUBSTITUTE(Working_Sales[[#This Row],[Price_Per_Unit_Whitespace_Removed]],
   "$",
   ""
   )
)</f>
        <v>#VALUE!</v>
      </c>
      <c r="AC523" s="2" t="e">
        <f>INT(
   IFERROR(
      Working_Sales[[#This Row],[Price_Per_Unit_Dollar_Sign_Removed]],
      SUBSTITUTE(
         Working_Sales[[#This Row],[Price_Per_Unit_Whitespace_Removed]],
        ".",
         ","
      )
   )
)</f>
        <v>#VALUE!</v>
      </c>
      <c r="AD523" s="8">
        <f>IFERROR(
   Working_Sales[[#This Row],[Price_Per_Unit_Decimal_Separator_Fixed]],
   Working_Sales[[#This Row],[Total_Amount_Converted_To_Integer]]/Working_Sales[[#This Row],[Quantity_Converted_To_Integer]]
)</f>
        <v>300</v>
      </c>
      <c r="AE523" t="s">
        <v>23</v>
      </c>
      <c r="AF523" s="2" t="str">
        <f>CLEAN(TRIM(Working_Sales[[#This Row],[Total Amount]]))</f>
        <v>300</v>
      </c>
      <c r="AG523" s="2">
        <f>INT(Working_Sales[[#This Row],[Total_Amount_Whitespace_Removed]])</f>
        <v>300</v>
      </c>
      <c r="AH52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524" spans="1:34" x14ac:dyDescent="0.35">
      <c r="A524" t="s">
        <v>1148</v>
      </c>
      <c r="B524" s="6" t="str">
        <f>CLEAN(TRIM(Working_Sales[[#This Row],[Transaction ID]]))</f>
        <v>913</v>
      </c>
      <c r="C524" t="s">
        <v>821</v>
      </c>
      <c r="D524" s="2" t="str">
        <f>CLEAN(TRIM(Working_Sales[[#This Row],[Date]]))</f>
        <v>2023-01-28</v>
      </c>
      <c r="E52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44954</v>
      </c>
      <c r="F52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44954</v>
      </c>
      <c r="G52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44954</v>
      </c>
      <c r="H524" t="s">
        <v>2759</v>
      </c>
      <c r="I524" s="2" t="str">
        <f>CLEAN(TRIM(Working_Sales[[#This Row],[Customer ID]]))</f>
        <v>cust227</v>
      </c>
      <c r="J52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2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CUST227</v>
      </c>
      <c r="L524" t="s">
        <v>34</v>
      </c>
      <c r="M524" s="4" t="str">
        <f>CLEAN(TRIM(Working_Sales[[#This Row],[Gender]]))</f>
        <v>Male</v>
      </c>
      <c r="N524" s="4" t="str" cm="1">
        <f t="array" ref="N524">_xlfn.SWITCH(
   Working_Sales[[#This Row],[Gender_Whitespace_Removed]],
   "m", "Male",
   "f", "Female",
   Working_Sales[[#This Row],[Gender_Whitespace_Removed]]
)</f>
        <v>Male</v>
      </c>
      <c r="O524" s="6" t="str">
        <f>PROPER(Working_Sales[[#This Row],[Gender_Abbreviation_Expanded]])</f>
        <v>Male</v>
      </c>
      <c r="P524">
        <v>29</v>
      </c>
      <c r="Q524" s="2" t="str">
        <f>CLEAN(TRIM(Working_Sales[[#This Row],[Age]]))</f>
        <v>29</v>
      </c>
      <c r="R524" s="6">
        <f>INT(SUBSTITUTE(Working_Sales[[#This Row],[Age_Whitespace_Removed]],".",","))</f>
        <v>29</v>
      </c>
      <c r="S524" t="s">
        <v>13</v>
      </c>
      <c r="T524" s="2" t="str">
        <f>CLEAN(TRIM(Working_Sales[[#This Row],[Product Category]]))</f>
        <v>Electronics</v>
      </c>
      <c r="U524" s="6" t="str">
        <f>PROPER(Working_Sales[[#This Row],[Product_Category_Whitespace_Removed]])</f>
        <v>Electronics</v>
      </c>
      <c r="V524" t="s">
        <v>29</v>
      </c>
      <c r="W524" s="2" t="str">
        <f>CLEAN(TRIM(Working_Sales[[#This Row],[Quantity]]))</f>
        <v>3</v>
      </c>
      <c r="X524" s="2">
        <f>INT(Working_Sales[[#This Row],[`]])</f>
        <v>3</v>
      </c>
      <c r="Y524" s="6">
        <f>IFERROR(
   Working_Sales[[#This Row],[Quantity_Converted_To_Integer]],
   Working_Sales[[#This Row],[Total_Amount_Whitespace_Removed]]/Working_Sales[[#This Row],[Price_Per_Unit_Decimal_Separator_Fixed]])</f>
        <v>3</v>
      </c>
      <c r="Z524" t="s">
        <v>70</v>
      </c>
      <c r="AA524" s="2" t="str">
        <f>CLEAN(TRIM(Working_Sales[[#This Row],[Price per Unit]]))</f>
        <v>30</v>
      </c>
      <c r="AB524" s="2">
        <f>INT(
   SUBSTITUTE(Working_Sales[[#This Row],[Price_Per_Unit_Whitespace_Removed]],
   "$",
   ""
   )
)</f>
        <v>30</v>
      </c>
      <c r="AC524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524" s="8">
        <f>IFERROR(
   Working_Sales[[#This Row],[Price_Per_Unit_Decimal_Separator_Fixed]],
   Working_Sales[[#This Row],[Total_Amount_Converted_To_Integer]]/Working_Sales[[#This Row],[Quantity_Converted_To_Integer]]
)</f>
        <v>30</v>
      </c>
      <c r="AE524" t="s">
        <v>191</v>
      </c>
      <c r="AF524" s="2" t="str">
        <f>CLEAN(TRIM(Working_Sales[[#This Row],[Total Amount]]))</f>
        <v>90</v>
      </c>
      <c r="AG524" s="2">
        <f>INT(Working_Sales[[#This Row],[Total_Amount_Whitespace_Removed]])</f>
        <v>90</v>
      </c>
      <c r="AH52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525" spans="1:34" x14ac:dyDescent="0.35">
      <c r="A525" t="s">
        <v>1149</v>
      </c>
      <c r="B525" s="6" t="str">
        <f>CLEAN(TRIM(Working_Sales[[#This Row],[Transaction ID]]))</f>
        <v>921</v>
      </c>
      <c r="C525" t="s">
        <v>2114</v>
      </c>
      <c r="D525" s="2" t="str">
        <f>CLEAN(TRIM(Working_Sales[[#This Row],[Date]]))</f>
        <v>07-Jan-2023</v>
      </c>
      <c r="E52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44933</v>
      </c>
      <c r="F52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44933</v>
      </c>
      <c r="G52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44933</v>
      </c>
      <c r="H525" t="s">
        <v>1758</v>
      </c>
      <c r="I525" s="2" t="str">
        <f>CLEAN(TRIM(Working_Sales[[#This Row],[Customer ID]]))</f>
        <v>CUST198</v>
      </c>
      <c r="J52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2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CUST198</v>
      </c>
      <c r="L525" t="s">
        <v>268</v>
      </c>
      <c r="M525" s="4" t="str">
        <f>CLEAN(TRIM(Working_Sales[[#This Row],[Gender]]))</f>
        <v>M</v>
      </c>
      <c r="N525" s="4" t="str" cm="1">
        <f t="array" ref="N525">_xlfn.SWITCH(
   Working_Sales[[#This Row],[Gender_Whitespace_Removed]],
   "m", "Male",
   "f", "Female",
   Working_Sales[[#This Row],[Gender_Whitespace_Removed]]
)</f>
        <v>Male</v>
      </c>
      <c r="O525" s="6" t="str">
        <f>PROPER(Working_Sales[[#This Row],[Gender_Abbreviation_Expanded]])</f>
        <v>Male</v>
      </c>
      <c r="P525" t="s">
        <v>1150</v>
      </c>
      <c r="Q525" s="2" t="str">
        <f>CLEAN(TRIM(Working_Sales[[#This Row],[Age]]))</f>
        <v>51</v>
      </c>
      <c r="R525" s="6">
        <f>INT(SUBSTITUTE(Working_Sales[[#This Row],[Age_Whitespace_Removed]],".",","))</f>
        <v>51</v>
      </c>
      <c r="S525" t="s">
        <v>13</v>
      </c>
      <c r="T525" s="2" t="str">
        <f>CLEAN(TRIM(Working_Sales[[#This Row],[Product Category]]))</f>
        <v>Electronics</v>
      </c>
      <c r="U525" s="6" t="str">
        <f>PROPER(Working_Sales[[#This Row],[Product_Category_Whitespace_Removed]])</f>
        <v>Electronics</v>
      </c>
      <c r="V525" t="s">
        <v>29</v>
      </c>
      <c r="W525" s="2" t="str">
        <f>CLEAN(TRIM(Working_Sales[[#This Row],[Quantity]]))</f>
        <v>3</v>
      </c>
      <c r="X525" s="2">
        <f>INT(Working_Sales[[#This Row],[`]])</f>
        <v>3</v>
      </c>
      <c r="Y525" s="6">
        <f>IFERROR(
   Working_Sales[[#This Row],[Quantity_Converted_To_Integer]],
   Working_Sales[[#This Row],[Total_Amount_Whitespace_Removed]]/Working_Sales[[#This Row],[Price_Per_Unit_Decimal_Separator_Fixed]])</f>
        <v>3</v>
      </c>
      <c r="Z525" t="s">
        <v>30</v>
      </c>
      <c r="AA525" s="2" t="str">
        <f>CLEAN(TRIM(Working_Sales[[#This Row],[Price per Unit]]))</f>
        <v>25</v>
      </c>
      <c r="AB525" s="2">
        <f>INT(
   SUBSTITUTE(Working_Sales[[#This Row],[Price_Per_Unit_Whitespace_Removed]],
   "$",
   ""
   )
)</f>
        <v>25</v>
      </c>
      <c r="AC525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525" s="8">
        <f>IFERROR(
   Working_Sales[[#This Row],[Price_Per_Unit_Decimal_Separator_Fixed]],
   Working_Sales[[#This Row],[Total_Amount_Converted_To_Integer]]/Working_Sales[[#This Row],[Quantity_Converted_To_Integer]]
)</f>
        <v>25</v>
      </c>
      <c r="AE525" t="s">
        <v>31</v>
      </c>
      <c r="AF525" s="2" t="str">
        <f>CLEAN(TRIM(Working_Sales[[#This Row],[Total Amount]]))</f>
        <v>75</v>
      </c>
      <c r="AG525" s="2">
        <f>INT(Working_Sales[[#This Row],[Total_Amount_Whitespace_Removed]])</f>
        <v>75</v>
      </c>
      <c r="AH52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526" spans="1:34" x14ac:dyDescent="0.35">
      <c r="A526" t="s">
        <v>1151</v>
      </c>
      <c r="B526" s="6" t="str">
        <f>CLEAN(TRIM(Working_Sales[[#This Row],[Transaction ID]]))</f>
        <v>379</v>
      </c>
      <c r="C526" t="s">
        <v>892</v>
      </c>
      <c r="D526" s="2" t="str">
        <f>CLEAN(TRIM(Working_Sales[[#This Row],[Date]]))</f>
        <v>2023-02-05</v>
      </c>
      <c r="E52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44962</v>
      </c>
      <c r="F52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44962</v>
      </c>
      <c r="G52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44962</v>
      </c>
      <c r="H526" t="s">
        <v>2760</v>
      </c>
      <c r="I526" s="2" t="str">
        <f>CLEAN(TRIM(Working_Sales[[#This Row],[Customer ID]]))</f>
        <v>CUST241</v>
      </c>
      <c r="J52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CUST241</v>
      </c>
      <c r="K52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CUST241</v>
      </c>
      <c r="L526" t="s">
        <v>26</v>
      </c>
      <c r="M526" s="4" t="str">
        <f>CLEAN(TRIM(Working_Sales[[#This Row],[Gender]]))</f>
        <v>Female</v>
      </c>
      <c r="N526" s="4" t="str" cm="1">
        <f t="array" ref="N526">_xlfn.SWITCH(
   Working_Sales[[#This Row],[Gender_Whitespace_Removed]],
   "m", "Male",
   "f", "Female",
   Working_Sales[[#This Row],[Gender_Whitespace_Removed]]
)</f>
        <v>Female</v>
      </c>
      <c r="O526" s="6" t="str">
        <f>PROPER(Working_Sales[[#This Row],[Gender_Abbreviation_Expanded]])</f>
        <v>Female</v>
      </c>
      <c r="P526">
        <v>47</v>
      </c>
      <c r="Q526" s="2" t="str">
        <f>CLEAN(TRIM(Working_Sales[[#This Row],[Age]]))</f>
        <v>47</v>
      </c>
      <c r="R526" s="6">
        <f>INT(SUBSTITUTE(Working_Sales[[#This Row],[Age_Whitespace_Removed]],".",","))</f>
        <v>47</v>
      </c>
      <c r="S526" t="s">
        <v>56</v>
      </c>
      <c r="T526" s="2" t="str">
        <f>CLEAN(TRIM(Working_Sales[[#This Row],[Product Category]]))</f>
        <v>Clothing</v>
      </c>
      <c r="U526" s="6" t="str">
        <f>PROPER(Working_Sales[[#This Row],[Product_Category_Whitespace_Removed]])</f>
        <v>Clothing</v>
      </c>
      <c r="V526" t="s">
        <v>22</v>
      </c>
      <c r="W526" s="2" t="str">
        <f>CLEAN(TRIM(Working_Sales[[#This Row],[Quantity]]))</f>
        <v>1</v>
      </c>
      <c r="X526" s="2">
        <f>INT(Working_Sales[[#This Row],[`]])</f>
        <v>1</v>
      </c>
      <c r="Y526" s="6">
        <f>IFERROR(
   Working_Sales[[#This Row],[Quantity_Converted_To_Integer]],
   Working_Sales[[#This Row],[Total_Amount_Whitespace_Removed]]/Working_Sales[[#This Row],[Price_Per_Unit_Decimal_Separator_Fixed]])</f>
        <v>1</v>
      </c>
      <c r="Z526" t="s">
        <v>30</v>
      </c>
      <c r="AA526" s="2" t="str">
        <f>CLEAN(TRIM(Working_Sales[[#This Row],[Price per Unit]]))</f>
        <v>25</v>
      </c>
      <c r="AB526" s="2">
        <f>INT(
   SUBSTITUTE(Working_Sales[[#This Row],[Price_Per_Unit_Whitespace_Removed]],
   "$",
   ""
   )
)</f>
        <v>25</v>
      </c>
      <c r="AC526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526" s="8">
        <f>IFERROR(
   Working_Sales[[#This Row],[Price_Per_Unit_Decimal_Separator_Fixed]],
   Working_Sales[[#This Row],[Total_Amount_Converted_To_Integer]]/Working_Sales[[#This Row],[Quantity_Converted_To_Integer]]
)</f>
        <v>25</v>
      </c>
      <c r="AE526" t="s">
        <v>30</v>
      </c>
      <c r="AF526" s="2" t="str">
        <f>CLEAN(TRIM(Working_Sales[[#This Row],[Total Amount]]))</f>
        <v>25</v>
      </c>
      <c r="AG526" s="2">
        <f>INT(Working_Sales[[#This Row],[Total_Amount_Whitespace_Removed]])</f>
        <v>25</v>
      </c>
      <c r="AH52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527" spans="1:34" x14ac:dyDescent="0.35">
      <c r="A527" t="s">
        <v>191</v>
      </c>
      <c r="B527" s="6" t="str">
        <f>CLEAN(TRIM(Working_Sales[[#This Row],[Transaction ID]]))</f>
        <v>90</v>
      </c>
      <c r="C527" t="s">
        <v>1153</v>
      </c>
      <c r="D527" s="2" t="str">
        <f>CLEAN(TRIM(Working_Sales[[#This Row],[Date]]))</f>
        <v>2023-05-06</v>
      </c>
      <c r="E52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45052</v>
      </c>
      <c r="F52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45052</v>
      </c>
      <c r="G52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45052</v>
      </c>
      <c r="H527" t="s">
        <v>2761</v>
      </c>
      <c r="I527" s="2" t="str">
        <f>CLEAN(TRIM(Working_Sales[[#This Row],[Customer ID]]))</f>
        <v>CUST364</v>
      </c>
      <c r="J52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2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CUST364</v>
      </c>
      <c r="L527" t="s">
        <v>26</v>
      </c>
      <c r="M527" s="4" t="str">
        <f>CLEAN(TRIM(Working_Sales[[#This Row],[Gender]]))</f>
        <v>Female</v>
      </c>
      <c r="N527" s="4" t="str" cm="1">
        <f t="array" ref="N527">_xlfn.SWITCH(
   Working_Sales[[#This Row],[Gender_Whitespace_Removed]],
   "m", "Male",
   "f", "Female",
   Working_Sales[[#This Row],[Gender_Whitespace_Removed]]
)</f>
        <v>Female</v>
      </c>
      <c r="O527" s="6" t="str">
        <f>PROPER(Working_Sales[[#This Row],[Gender_Abbreviation_Expanded]])</f>
        <v>Female</v>
      </c>
      <c r="P527">
        <v>51</v>
      </c>
      <c r="Q527" s="2" t="str">
        <f>CLEAN(TRIM(Working_Sales[[#This Row],[Age]]))</f>
        <v>51</v>
      </c>
      <c r="R527" s="6">
        <f>INT(SUBSTITUTE(Working_Sales[[#This Row],[Age_Whitespace_Removed]],".",","))</f>
        <v>51</v>
      </c>
      <c r="S527" t="s">
        <v>48</v>
      </c>
      <c r="T527" s="2" t="str">
        <f>CLEAN(TRIM(Working_Sales[[#This Row],[Product Category]]))</f>
        <v>electronics</v>
      </c>
      <c r="U527" s="6" t="str">
        <f>PROPER(Working_Sales[[#This Row],[Product_Category_Whitespace_Removed]])</f>
        <v>Electronics</v>
      </c>
      <c r="V527" t="s">
        <v>22</v>
      </c>
      <c r="W527" s="2" t="str">
        <f>CLEAN(TRIM(Working_Sales[[#This Row],[Quantity]]))</f>
        <v>1</v>
      </c>
      <c r="X527" s="2">
        <f>INT(Working_Sales[[#This Row],[`]])</f>
        <v>1</v>
      </c>
      <c r="Y527" s="6">
        <f>IFERROR(
   Working_Sales[[#This Row],[Quantity_Converted_To_Integer]],
   Working_Sales[[#This Row],[Total_Amount_Whitespace_Removed]]/Working_Sales[[#This Row],[Price_Per_Unit_Decimal_Separator_Fixed]])</f>
        <v>1</v>
      </c>
      <c r="Z527" t="s">
        <v>70</v>
      </c>
      <c r="AA527" s="2" t="str">
        <f>CLEAN(TRIM(Working_Sales[[#This Row],[Price per Unit]]))</f>
        <v>30</v>
      </c>
      <c r="AB527" s="2">
        <f>INT(
   SUBSTITUTE(Working_Sales[[#This Row],[Price_Per_Unit_Whitespace_Removed]],
   "$",
   ""
   )
)</f>
        <v>30</v>
      </c>
      <c r="AC527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527" s="8">
        <f>IFERROR(
   Working_Sales[[#This Row],[Price_Per_Unit_Decimal_Separator_Fixed]],
   Working_Sales[[#This Row],[Total_Amount_Converted_To_Integer]]/Working_Sales[[#This Row],[Quantity_Converted_To_Integer]]
)</f>
        <v>30</v>
      </c>
      <c r="AE527" t="s">
        <v>70</v>
      </c>
      <c r="AF527" s="2" t="str">
        <f>CLEAN(TRIM(Working_Sales[[#This Row],[Total Amount]]))</f>
        <v>30</v>
      </c>
      <c r="AG527" s="2">
        <f>INT(Working_Sales[[#This Row],[Total_Amount_Whitespace_Removed]])</f>
        <v>30</v>
      </c>
      <c r="AH52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528" spans="1:34" x14ac:dyDescent="0.35">
      <c r="A528" t="s">
        <v>1155</v>
      </c>
      <c r="B528" s="6" t="str">
        <f>CLEAN(TRIM(Working_Sales[[#This Row],[Transaction ID]]))</f>
        <v>214</v>
      </c>
      <c r="C528" t="s">
        <v>1335</v>
      </c>
      <c r="D528" s="2" t="str">
        <f>CLEAN(TRIM(Working_Sales[[#This Row],[Date]]))</f>
        <v>2023-12-10</v>
      </c>
      <c r="E52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45270</v>
      </c>
      <c r="F52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45270</v>
      </c>
      <c r="G52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45270</v>
      </c>
      <c r="H528" t="s">
        <v>346</v>
      </c>
      <c r="I528" s="2" t="str">
        <f>CLEAN(TRIM(Working_Sales[[#This Row],[Customer ID]]))</f>
        <v>CUST027</v>
      </c>
      <c r="J52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CUST027</v>
      </c>
      <c r="K52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CUST027</v>
      </c>
      <c r="L528" t="s">
        <v>11</v>
      </c>
      <c r="M528" s="4" t="str">
        <f>CLEAN(TRIM(Working_Sales[[#This Row],[Gender]]))</f>
        <v>MALE</v>
      </c>
      <c r="N528" s="4" t="str" cm="1">
        <f t="array" ref="N528">_xlfn.SWITCH(
   Working_Sales[[#This Row],[Gender_Whitespace_Removed]],
   "m", "Male",
   "f", "Female",
   Working_Sales[[#This Row],[Gender_Whitespace_Removed]]
)</f>
        <v>MALE</v>
      </c>
      <c r="O528" s="6" t="str">
        <f>PROPER(Working_Sales[[#This Row],[Gender_Abbreviation_Expanded]])</f>
        <v>Male</v>
      </c>
      <c r="P528">
        <v>20</v>
      </c>
      <c r="Q528" s="2" t="str">
        <f>CLEAN(TRIM(Working_Sales[[#This Row],[Age]]))</f>
        <v>20</v>
      </c>
      <c r="R528" s="6">
        <f>INT(SUBSTITUTE(Working_Sales[[#This Row],[Age_Whitespace_Removed]],".",","))</f>
        <v>20</v>
      </c>
      <c r="S528" t="s">
        <v>36</v>
      </c>
      <c r="T528" s="2" t="str">
        <f>CLEAN(TRIM(Working_Sales[[#This Row],[Product Category]]))</f>
        <v>Beauty</v>
      </c>
      <c r="U528" s="6" t="str">
        <f>PROPER(Working_Sales[[#This Row],[Product_Category_Whitespace_Removed]])</f>
        <v>Beauty</v>
      </c>
      <c r="V528" t="s">
        <v>37</v>
      </c>
      <c r="W528" s="2" t="str">
        <f>CLEAN(TRIM(Working_Sales[[#This Row],[Quantity]]))</f>
        <v>2</v>
      </c>
      <c r="X528" s="2">
        <f>INT(Working_Sales[[#This Row],[`]])</f>
        <v>2</v>
      </c>
      <c r="Y528" s="6">
        <f>IFERROR(
   Working_Sales[[#This Row],[Quantity_Converted_To_Integer]],
   Working_Sales[[#This Row],[Total_Amount_Whitespace_Removed]]/Working_Sales[[#This Row],[Price_Per_Unit_Decimal_Separator_Fixed]])</f>
        <v>2</v>
      </c>
      <c r="Z528" t="s">
        <v>70</v>
      </c>
      <c r="AA528" s="2" t="str">
        <f>CLEAN(TRIM(Working_Sales[[#This Row],[Price per Unit]]))</f>
        <v>30</v>
      </c>
      <c r="AB528" s="2">
        <f>INT(
   SUBSTITUTE(Working_Sales[[#This Row],[Price_Per_Unit_Whitespace_Removed]],
   "$",
   ""
   )
)</f>
        <v>30</v>
      </c>
      <c r="AC528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528" s="8">
        <f>IFERROR(
   Working_Sales[[#This Row],[Price_Per_Unit_Decimal_Separator_Fixed]],
   Working_Sales[[#This Row],[Total_Amount_Converted_To_Integer]]/Working_Sales[[#This Row],[Quantity_Converted_To_Integer]]
)</f>
        <v>30</v>
      </c>
      <c r="AE528" t="s">
        <v>71</v>
      </c>
      <c r="AF528" s="2" t="str">
        <f>CLEAN(TRIM(Working_Sales[[#This Row],[Total Amount]]))</f>
        <v>60</v>
      </c>
      <c r="AG528" s="2">
        <f>INT(Working_Sales[[#This Row],[Total_Amount_Whitespace_Removed]])</f>
        <v>60</v>
      </c>
      <c r="AH52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529" spans="1:34" x14ac:dyDescent="0.35">
      <c r="A529" t="s">
        <v>1157</v>
      </c>
      <c r="B529" s="6" t="str">
        <f>CLEAN(TRIM(Working_Sales[[#This Row],[Transaction ID]]))</f>
        <v>849</v>
      </c>
      <c r="C529" t="s">
        <v>2115</v>
      </c>
      <c r="D529" s="2" t="str">
        <f>CLEAN(TRIM(Working_Sales[[#This Row],[Date]]))</f>
        <v>04-May-2023</v>
      </c>
      <c r="E52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45050</v>
      </c>
      <c r="F52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45050</v>
      </c>
      <c r="G52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45050</v>
      </c>
      <c r="H529" t="s">
        <v>2762</v>
      </c>
      <c r="I529" s="2" t="str">
        <f>CLEAN(TRIM(Working_Sales[[#This Row],[Customer ID]]))</f>
        <v>CUST365</v>
      </c>
      <c r="J52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CUST365</v>
      </c>
      <c r="K52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CUST365</v>
      </c>
      <c r="L529" t="s">
        <v>34</v>
      </c>
      <c r="M529" s="4" t="str">
        <f>CLEAN(TRIM(Working_Sales[[#This Row],[Gender]]))</f>
        <v>Male</v>
      </c>
      <c r="N529" s="4" t="str" cm="1">
        <f t="array" ref="N529">_xlfn.SWITCH(
   Working_Sales[[#This Row],[Gender_Whitespace_Removed]],
   "m", "Male",
   "f", "Female",
   Working_Sales[[#This Row],[Gender_Whitespace_Removed]]
)</f>
        <v>Male</v>
      </c>
      <c r="O529" s="6" t="str">
        <f>PROPER(Working_Sales[[#This Row],[Gender_Abbreviation_Expanded]])</f>
        <v>Male</v>
      </c>
      <c r="P529">
        <v>32</v>
      </c>
      <c r="Q529" s="2" t="str">
        <f>CLEAN(TRIM(Working_Sales[[#This Row],[Age]]))</f>
        <v>32</v>
      </c>
      <c r="R529" s="6">
        <f>INT(SUBSTITUTE(Working_Sales[[#This Row],[Age_Whitespace_Removed]],".",","))</f>
        <v>32</v>
      </c>
      <c r="S529" t="s">
        <v>56</v>
      </c>
      <c r="T529" s="2" t="str">
        <f>CLEAN(TRIM(Working_Sales[[#This Row],[Product Category]]))</f>
        <v>Clothing</v>
      </c>
      <c r="U529" s="6" t="str">
        <f>PROPER(Working_Sales[[#This Row],[Product_Category_Whitespace_Removed]])</f>
        <v>Clothing</v>
      </c>
      <c r="V529" t="s">
        <v>37</v>
      </c>
      <c r="W529" s="2" t="str">
        <f>CLEAN(TRIM(Working_Sales[[#This Row],[Quantity]]))</f>
        <v>2</v>
      </c>
      <c r="X529" s="2">
        <f>INT(Working_Sales[[#This Row],[`]])</f>
        <v>2</v>
      </c>
      <c r="Y529" s="6">
        <f>IFERROR(
   Working_Sales[[#This Row],[Quantity_Converted_To_Integer]],
   Working_Sales[[#This Row],[Total_Amount_Whitespace_Removed]]/Working_Sales[[#This Row],[Price_Per_Unit_Decimal_Separator_Fixed]])</f>
        <v>2</v>
      </c>
      <c r="AA529" s="2" t="str">
        <f>CLEAN(TRIM(Working_Sales[[#This Row],[Price per Unit]]))</f>
        <v/>
      </c>
      <c r="AB529" s="2" t="e">
        <f>INT(
   SUBSTITUTE(Working_Sales[[#This Row],[Price_Per_Unit_Whitespace_Removed]],
   "$",
   ""
   )
)</f>
        <v>#VALUE!</v>
      </c>
      <c r="AC529" s="2" t="e">
        <f>INT(
   IFERROR(
      Working_Sales[[#This Row],[Price_Per_Unit_Dollar_Sign_Removed]],
      SUBSTITUTE(
         Working_Sales[[#This Row],[Price_Per_Unit_Whitespace_Removed]],
        ".",
         ","
      )
   )
)</f>
        <v>#VALUE!</v>
      </c>
      <c r="AD529" s="8">
        <f>IFERROR(
   Working_Sales[[#This Row],[Price_Per_Unit_Decimal_Separator_Fixed]],
   Working_Sales[[#This Row],[Total_Amount_Converted_To_Integer]]/Working_Sales[[#This Row],[Quantity_Converted_To_Integer]]
)</f>
        <v>25</v>
      </c>
      <c r="AE529" t="s">
        <v>15</v>
      </c>
      <c r="AF529" s="2" t="str">
        <f>CLEAN(TRIM(Working_Sales[[#This Row],[Total Amount]]))</f>
        <v>50</v>
      </c>
      <c r="AG529" s="2">
        <f>INT(Working_Sales[[#This Row],[Total_Amount_Whitespace_Removed]])</f>
        <v>50</v>
      </c>
      <c r="AH52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530" spans="1:34" x14ac:dyDescent="0.35">
      <c r="A530" t="s">
        <v>1158</v>
      </c>
      <c r="B530" s="6" t="str">
        <f>CLEAN(TRIM(Working_Sales[[#This Row],[Transaction ID]]))</f>
        <v>134</v>
      </c>
      <c r="C530" t="s">
        <v>2116</v>
      </c>
      <c r="D530" s="2" t="str">
        <f>CLEAN(TRIM(Working_Sales[[#This Row],[Date]]))</f>
        <v>25-Jan-2023</v>
      </c>
      <c r="E53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44951</v>
      </c>
      <c r="F53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44951</v>
      </c>
      <c r="G53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44951</v>
      </c>
      <c r="H530" t="s">
        <v>2763</v>
      </c>
      <c r="I530" s="2" t="str">
        <f>CLEAN(TRIM(Working_Sales[[#This Row],[Customer ID]]))</f>
        <v>Cust366</v>
      </c>
      <c r="J53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3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CUST366</v>
      </c>
      <c r="L530" t="s">
        <v>34</v>
      </c>
      <c r="M530" s="4" t="str">
        <f>CLEAN(TRIM(Working_Sales[[#This Row],[Gender]]))</f>
        <v>Male</v>
      </c>
      <c r="N530" s="4" t="str" cm="1">
        <f t="array" ref="N530">_xlfn.SWITCH(
   Working_Sales[[#This Row],[Gender_Whitespace_Removed]],
   "m", "Male",
   "f", "Female",
   Working_Sales[[#This Row],[Gender_Whitespace_Removed]]
)</f>
        <v>Male</v>
      </c>
      <c r="O530" s="6" t="str">
        <f>PROPER(Working_Sales[[#This Row],[Gender_Abbreviation_Expanded]])</f>
        <v>Male</v>
      </c>
      <c r="P530">
        <v>49</v>
      </c>
      <c r="Q530" s="2" t="str">
        <f>CLEAN(TRIM(Working_Sales[[#This Row],[Age]]))</f>
        <v>49</v>
      </c>
      <c r="R530" s="6">
        <f>INT(SUBSTITUTE(Working_Sales[[#This Row],[Age_Whitespace_Removed]],".",","))</f>
        <v>49</v>
      </c>
      <c r="S530" t="s">
        <v>13</v>
      </c>
      <c r="T530" s="2" t="str">
        <f>CLEAN(TRIM(Working_Sales[[#This Row],[Product Category]]))</f>
        <v>Electronics</v>
      </c>
      <c r="U530" s="6" t="str">
        <f>PROPER(Working_Sales[[#This Row],[Product_Category_Whitespace_Removed]])</f>
        <v>Electronics</v>
      </c>
      <c r="V530" t="s">
        <v>22</v>
      </c>
      <c r="W530" s="2" t="str">
        <f>CLEAN(TRIM(Working_Sales[[#This Row],[Quantity]]))</f>
        <v>1</v>
      </c>
      <c r="X530" s="2">
        <f>INT(Working_Sales[[#This Row],[`]])</f>
        <v>1</v>
      </c>
      <c r="Y530" s="6">
        <f>IFERROR(
   Working_Sales[[#This Row],[Quantity_Converted_To_Integer]],
   Working_Sales[[#This Row],[Total_Amount_Whitespace_Removed]]/Working_Sales[[#This Row],[Price_Per_Unit_Decimal_Separator_Fixed]])</f>
        <v>1</v>
      </c>
      <c r="Z530" t="s">
        <v>15</v>
      </c>
      <c r="AA530" s="2" t="str">
        <f>CLEAN(TRIM(Working_Sales[[#This Row],[Price per Unit]]))</f>
        <v>50</v>
      </c>
      <c r="AB530" s="2">
        <f>INT(
   SUBSTITUTE(Working_Sales[[#This Row],[Price_Per_Unit_Whitespace_Removed]],
   "$",
   ""
   )
)</f>
        <v>50</v>
      </c>
      <c r="AC530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530" s="8">
        <f>IFERROR(
   Working_Sales[[#This Row],[Price_Per_Unit_Decimal_Separator_Fixed]],
   Working_Sales[[#This Row],[Total_Amount_Converted_To_Integer]]/Working_Sales[[#This Row],[Quantity_Converted_To_Integer]]
)</f>
        <v>50</v>
      </c>
      <c r="AE530" t="s">
        <v>15</v>
      </c>
      <c r="AF530" s="2" t="str">
        <f>CLEAN(TRIM(Working_Sales[[#This Row],[Total Amount]]))</f>
        <v>50</v>
      </c>
      <c r="AG530" s="2">
        <f>INT(Working_Sales[[#This Row],[Total_Amount_Whitespace_Removed]])</f>
        <v>50</v>
      </c>
      <c r="AH53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531" spans="1:34" x14ac:dyDescent="0.35">
      <c r="A531" t="s">
        <v>1160</v>
      </c>
      <c r="B531" s="6" t="str">
        <f>CLEAN(TRIM(Working_Sales[[#This Row],[Transaction ID]]))</f>
        <v>347</v>
      </c>
      <c r="C531" t="s">
        <v>1161</v>
      </c>
      <c r="D531" s="2" t="str">
        <f>CLEAN(TRIM(Working_Sales[[#This Row],[Date]]))</f>
        <v>August 03, 2023</v>
      </c>
      <c r="E531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531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53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45141</v>
      </c>
      <c r="H531" t="s">
        <v>2764</v>
      </c>
      <c r="I531" s="2" t="str">
        <f>CLEAN(TRIM(Working_Sales[[#This Row],[Customer ID]]))</f>
        <v>CUST320</v>
      </c>
      <c r="J53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CUST320</v>
      </c>
      <c r="K53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CUST320</v>
      </c>
      <c r="L531" t="s">
        <v>34</v>
      </c>
      <c r="M531" s="4" t="str">
        <f>CLEAN(TRIM(Working_Sales[[#This Row],[Gender]]))</f>
        <v>Male</v>
      </c>
      <c r="N531" s="4" t="str" cm="1">
        <f t="array" ref="N531">_xlfn.SWITCH(
   Working_Sales[[#This Row],[Gender_Whitespace_Removed]],
   "m", "Male",
   "f", "Female",
   Working_Sales[[#This Row],[Gender_Whitespace_Removed]]
)</f>
        <v>Male</v>
      </c>
      <c r="O531" s="6" t="str">
        <f>PROPER(Working_Sales[[#This Row],[Gender_Abbreviation_Expanded]])</f>
        <v>Male</v>
      </c>
      <c r="P531">
        <v>42</v>
      </c>
      <c r="Q531" s="2" t="str">
        <f>CLEAN(TRIM(Working_Sales[[#This Row],[Age]]))</f>
        <v>42</v>
      </c>
      <c r="R531" s="6">
        <f>INT(SUBSTITUTE(Working_Sales[[#This Row],[Age_Whitespace_Removed]],".",","))</f>
        <v>42</v>
      </c>
      <c r="S531" t="s">
        <v>99</v>
      </c>
      <c r="T531" s="2" t="str">
        <f>CLEAN(TRIM(Working_Sales[[#This Row],[Product Category]]))</f>
        <v>ELECTRONICS</v>
      </c>
      <c r="U531" s="6" t="str">
        <f>PROPER(Working_Sales[[#This Row],[Product_Category_Whitespace_Removed]])</f>
        <v>Electronics</v>
      </c>
      <c r="V531" t="s">
        <v>22</v>
      </c>
      <c r="W531" s="2" t="str">
        <f>CLEAN(TRIM(Working_Sales[[#This Row],[Quantity]]))</f>
        <v>1</v>
      </c>
      <c r="X531" s="2">
        <f>INT(Working_Sales[[#This Row],[`]])</f>
        <v>1</v>
      </c>
      <c r="Y531" s="6">
        <f>IFERROR(
   Working_Sales[[#This Row],[Quantity_Converted_To_Integer]],
   Working_Sales[[#This Row],[Total_Amount_Whitespace_Removed]]/Working_Sales[[#This Row],[Price_Per_Unit_Decimal_Separator_Fixed]])</f>
        <v>1</v>
      </c>
      <c r="Z531" t="s">
        <v>30</v>
      </c>
      <c r="AA531" s="2" t="str">
        <f>CLEAN(TRIM(Working_Sales[[#This Row],[Price per Unit]]))</f>
        <v>25</v>
      </c>
      <c r="AB531" s="2">
        <f>INT(
   SUBSTITUTE(Working_Sales[[#This Row],[Price_Per_Unit_Whitespace_Removed]],
   "$",
   ""
   )
)</f>
        <v>25</v>
      </c>
      <c r="AC531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531" s="8">
        <f>IFERROR(
   Working_Sales[[#This Row],[Price_Per_Unit_Decimal_Separator_Fixed]],
   Working_Sales[[#This Row],[Total_Amount_Converted_To_Integer]]/Working_Sales[[#This Row],[Quantity_Converted_To_Integer]]
)</f>
        <v>25</v>
      </c>
      <c r="AE531" t="s">
        <v>30</v>
      </c>
      <c r="AF531" s="2" t="str">
        <f>CLEAN(TRIM(Working_Sales[[#This Row],[Total Amount]]))</f>
        <v>25</v>
      </c>
      <c r="AG531" s="2">
        <f>INT(Working_Sales[[#This Row],[Total_Amount_Whitespace_Removed]])</f>
        <v>25</v>
      </c>
      <c r="AH53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532" spans="1:34" x14ac:dyDescent="0.35">
      <c r="A532" t="s">
        <v>1162</v>
      </c>
      <c r="B532" s="6" t="str">
        <f>CLEAN(TRIM(Working_Sales[[#This Row],[Transaction ID]]))</f>
        <v>8</v>
      </c>
      <c r="C532" t="s">
        <v>237</v>
      </c>
      <c r="D532" s="2" t="str">
        <f>CLEAN(TRIM(Working_Sales[[#This Row],[Date]]))</f>
        <v>2023-02-22</v>
      </c>
      <c r="E53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44979</v>
      </c>
      <c r="F53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44979</v>
      </c>
      <c r="G53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44979</v>
      </c>
      <c r="H532" t="s">
        <v>2765</v>
      </c>
      <c r="I532" s="2" t="str">
        <f>CLEAN(TRIM(Working_Sales[[#This Row],[Customer ID]]))</f>
        <v>CUST131</v>
      </c>
      <c r="J53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3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CUST131</v>
      </c>
      <c r="L532" t="s">
        <v>34</v>
      </c>
      <c r="M532" s="4" t="str">
        <f>CLEAN(TRIM(Working_Sales[[#This Row],[Gender]]))</f>
        <v>Male</v>
      </c>
      <c r="N532" s="4" t="str" cm="1">
        <f t="array" ref="N532">_xlfn.SWITCH(
   Working_Sales[[#This Row],[Gender_Whitespace_Removed]],
   "m", "Male",
   "f", "Female",
   Working_Sales[[#This Row],[Gender_Whitespace_Removed]]
)</f>
        <v>Male</v>
      </c>
      <c r="O532" s="6" t="str">
        <f>PROPER(Working_Sales[[#This Row],[Gender_Abbreviation_Expanded]])</f>
        <v>Male</v>
      </c>
      <c r="P532">
        <v>30</v>
      </c>
      <c r="Q532" s="2" t="str">
        <f>CLEAN(TRIM(Working_Sales[[#This Row],[Age]]))</f>
        <v>30</v>
      </c>
      <c r="R532" s="6">
        <f>INT(SUBSTITUTE(Working_Sales[[#This Row],[Age_Whitespace_Removed]],".",","))</f>
        <v>30</v>
      </c>
      <c r="S532" t="s">
        <v>13</v>
      </c>
      <c r="T532" s="2" t="str">
        <f>CLEAN(TRIM(Working_Sales[[#This Row],[Product Category]]))</f>
        <v>Electronics</v>
      </c>
      <c r="U532" s="6" t="str">
        <f>PROPER(Working_Sales[[#This Row],[Product_Category_Whitespace_Removed]])</f>
        <v>Electronics</v>
      </c>
      <c r="V532" t="s">
        <v>14</v>
      </c>
      <c r="W532" s="2" t="str">
        <f>CLEAN(TRIM(Working_Sales[[#This Row],[Quantity]]))</f>
        <v>4</v>
      </c>
      <c r="X532" s="2">
        <f>INT(Working_Sales[[#This Row],[`]])</f>
        <v>4</v>
      </c>
      <c r="Y532" s="6">
        <f>IFERROR(
   Working_Sales[[#This Row],[Quantity_Converted_To_Integer]],
   Working_Sales[[#This Row],[Total_Amount_Whitespace_Removed]]/Working_Sales[[#This Row],[Price_Per_Unit_Decimal_Separator_Fixed]])</f>
        <v>4</v>
      </c>
      <c r="Z532" t="s">
        <v>30</v>
      </c>
      <c r="AA532" s="2" t="str">
        <f>CLEAN(TRIM(Working_Sales[[#This Row],[Price per Unit]]))</f>
        <v>25</v>
      </c>
      <c r="AB532" s="2">
        <f>INT(
   SUBSTITUTE(Working_Sales[[#This Row],[Price_Per_Unit_Whitespace_Removed]],
   "$",
   ""
   )
)</f>
        <v>25</v>
      </c>
      <c r="AC532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532" s="8">
        <f>IFERROR(
   Working_Sales[[#This Row],[Price_Per_Unit_Decimal_Separator_Fixed]],
   Working_Sales[[#This Row],[Total_Amount_Converted_To_Integer]]/Working_Sales[[#This Row],[Quantity_Converted_To_Integer]]
)</f>
        <v>25</v>
      </c>
      <c r="AE532" t="s">
        <v>38</v>
      </c>
      <c r="AF532" s="2" t="str">
        <f>CLEAN(TRIM(Working_Sales[[#This Row],[Total Amount]]))</f>
        <v>100</v>
      </c>
      <c r="AG532" s="2">
        <f>INT(Working_Sales[[#This Row],[Total_Amount_Whitespace_Removed]])</f>
        <v>100</v>
      </c>
      <c r="AH53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533" spans="1:34" x14ac:dyDescent="0.35">
      <c r="A533" t="s">
        <v>1164</v>
      </c>
      <c r="B533" s="6" t="str">
        <f>CLEAN(TRIM(Working_Sales[[#This Row],[Transaction ID]]))</f>
        <v>624</v>
      </c>
      <c r="C533" t="s">
        <v>1165</v>
      </c>
      <c r="D533" s="2" t="str">
        <f>CLEAN(TRIM(Working_Sales[[#This Row],[Date]]))</f>
        <v>2023-08-26</v>
      </c>
      <c r="E53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45164</v>
      </c>
      <c r="F53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45164</v>
      </c>
      <c r="G53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45164</v>
      </c>
      <c r="H533" t="s">
        <v>2766</v>
      </c>
      <c r="I533" s="2" t="str">
        <f>CLEAN(TRIM(Working_Sales[[#This Row],[Customer ID]]))</f>
        <v>CUST367</v>
      </c>
      <c r="J53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CUST367</v>
      </c>
      <c r="K53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CUST367</v>
      </c>
      <c r="L533" t="s">
        <v>26</v>
      </c>
      <c r="M533" s="4" t="str">
        <f>CLEAN(TRIM(Working_Sales[[#This Row],[Gender]]))</f>
        <v>Female</v>
      </c>
      <c r="N533" s="4" t="str" cm="1">
        <f t="array" ref="N533">_xlfn.SWITCH(
   Working_Sales[[#This Row],[Gender_Whitespace_Removed]],
   "m", "Male",
   "f", "Female",
   Working_Sales[[#This Row],[Gender_Whitespace_Removed]]
)</f>
        <v>Female</v>
      </c>
      <c r="O533" s="6" t="str">
        <f>PROPER(Working_Sales[[#This Row],[Gender_Abbreviation_Expanded]])</f>
        <v>Female</v>
      </c>
      <c r="P533">
        <v>34</v>
      </c>
      <c r="Q533" s="2" t="str">
        <f>CLEAN(TRIM(Working_Sales[[#This Row],[Age]]))</f>
        <v>34</v>
      </c>
      <c r="R533" s="6">
        <f>INT(SUBSTITUTE(Working_Sales[[#This Row],[Age_Whitespace_Removed]],".",","))</f>
        <v>34</v>
      </c>
      <c r="S533" t="s">
        <v>36</v>
      </c>
      <c r="T533" s="2" t="str">
        <f>CLEAN(TRIM(Working_Sales[[#This Row],[Product Category]]))</f>
        <v>Beauty</v>
      </c>
      <c r="U533" s="6" t="str">
        <f>PROPER(Working_Sales[[#This Row],[Product_Category_Whitespace_Removed]])</f>
        <v>Beauty</v>
      </c>
      <c r="V533" t="s">
        <v>29</v>
      </c>
      <c r="W533" s="2" t="str">
        <f>CLEAN(TRIM(Working_Sales[[#This Row],[Quantity]]))</f>
        <v>3</v>
      </c>
      <c r="X533" s="2">
        <f>INT(Working_Sales[[#This Row],[`]])</f>
        <v>3</v>
      </c>
      <c r="Y533" s="6">
        <f>IFERROR(
   Working_Sales[[#This Row],[Quantity_Converted_To_Integer]],
   Working_Sales[[#This Row],[Total_Amount_Whitespace_Removed]]/Working_Sales[[#This Row],[Price_Per_Unit_Decimal_Separator_Fixed]])</f>
        <v>3</v>
      </c>
      <c r="Z533" t="s">
        <v>23</v>
      </c>
      <c r="AA533" s="2" t="str">
        <f>CLEAN(TRIM(Working_Sales[[#This Row],[Price per Unit]]))</f>
        <v>300</v>
      </c>
      <c r="AB533" s="2">
        <f>INT(
   SUBSTITUTE(Working_Sales[[#This Row],[Price_Per_Unit_Whitespace_Removed]],
   "$",
   ""
   )
)</f>
        <v>300</v>
      </c>
      <c r="AC533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533" s="8">
        <f>IFERROR(
   Working_Sales[[#This Row],[Price_Per_Unit_Decimal_Separator_Fixed]],
   Working_Sales[[#This Row],[Total_Amount_Converted_To_Integer]]/Working_Sales[[#This Row],[Quantity_Converted_To_Integer]]
)</f>
        <v>300</v>
      </c>
      <c r="AE533" t="s">
        <v>128</v>
      </c>
      <c r="AF533" s="2" t="str">
        <f>CLEAN(TRIM(Working_Sales[[#This Row],[Total Amount]]))</f>
        <v>900</v>
      </c>
      <c r="AG533" s="2">
        <f>INT(Working_Sales[[#This Row],[Total_Amount_Whitespace_Removed]])</f>
        <v>900</v>
      </c>
      <c r="AH53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534" spans="1:34" x14ac:dyDescent="0.35">
      <c r="A534" t="s">
        <v>1166</v>
      </c>
      <c r="B534" s="6" t="str">
        <f>CLEAN(TRIM(Working_Sales[[#This Row],[Transaction ID]]))</f>
        <v>321</v>
      </c>
      <c r="C534" t="s">
        <v>2117</v>
      </c>
      <c r="D534" s="2" t="str">
        <f>CLEAN(TRIM(Working_Sales[[#This Row],[Date]]))</f>
        <v>June 10, 2023</v>
      </c>
      <c r="E534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534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53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45087</v>
      </c>
      <c r="H534" t="s">
        <v>2767</v>
      </c>
      <c r="I534" s="2" t="str">
        <f>CLEAN(TRIM(Working_Sales[[#This Row],[Customer ID]]))</f>
        <v>CUST045</v>
      </c>
      <c r="J53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CUST045</v>
      </c>
      <c r="K53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CUST045</v>
      </c>
      <c r="L534" t="s">
        <v>26</v>
      </c>
      <c r="M534" s="4" t="str">
        <f>CLEAN(TRIM(Working_Sales[[#This Row],[Gender]]))</f>
        <v>Female</v>
      </c>
      <c r="N534" s="4" t="str" cm="1">
        <f t="array" ref="N534">_xlfn.SWITCH(
   Working_Sales[[#This Row],[Gender_Whitespace_Removed]],
   "m", "Male",
   "f", "Female",
   Working_Sales[[#This Row],[Gender_Whitespace_Removed]]
)</f>
        <v>Female</v>
      </c>
      <c r="O534" s="6" t="str">
        <f>PROPER(Working_Sales[[#This Row],[Gender_Abbreviation_Expanded]])</f>
        <v>Female</v>
      </c>
      <c r="P534">
        <v>26</v>
      </c>
      <c r="Q534" s="2" t="str">
        <f>CLEAN(TRIM(Working_Sales[[#This Row],[Age]]))</f>
        <v>26</v>
      </c>
      <c r="R534" s="6">
        <f>INT(SUBSTITUTE(Working_Sales[[#This Row],[Age_Whitespace_Removed]],".",","))</f>
        <v>26</v>
      </c>
      <c r="S534" t="s">
        <v>13</v>
      </c>
      <c r="T534" s="2" t="str">
        <f>CLEAN(TRIM(Working_Sales[[#This Row],[Product Category]]))</f>
        <v>Electronics</v>
      </c>
      <c r="U534" s="6" t="str">
        <f>PROPER(Working_Sales[[#This Row],[Product_Category_Whitespace_Removed]])</f>
        <v>Electronics</v>
      </c>
      <c r="V534" t="s">
        <v>37</v>
      </c>
      <c r="W534" s="2" t="str">
        <f>CLEAN(TRIM(Working_Sales[[#This Row],[Quantity]]))</f>
        <v>2</v>
      </c>
      <c r="X534" s="2">
        <f>INT(Working_Sales[[#This Row],[`]])</f>
        <v>2</v>
      </c>
      <c r="Y534" s="6">
        <f>IFERROR(
   Working_Sales[[#This Row],[Quantity_Converted_To_Integer]],
   Working_Sales[[#This Row],[Total_Amount_Whitespace_Removed]]/Working_Sales[[#This Row],[Price_Per_Unit_Decimal_Separator_Fixed]])</f>
        <v>2</v>
      </c>
      <c r="Z534" t="s">
        <v>30</v>
      </c>
      <c r="AA534" s="2" t="str">
        <f>CLEAN(TRIM(Working_Sales[[#This Row],[Price per Unit]]))</f>
        <v>25</v>
      </c>
      <c r="AB534" s="2">
        <f>INT(
   SUBSTITUTE(Working_Sales[[#This Row],[Price_Per_Unit_Whitespace_Removed]],
   "$",
   ""
   )
)</f>
        <v>25</v>
      </c>
      <c r="AC534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534" s="8">
        <f>IFERROR(
   Working_Sales[[#This Row],[Price_Per_Unit_Decimal_Separator_Fixed]],
   Working_Sales[[#This Row],[Total_Amount_Converted_To_Integer]]/Working_Sales[[#This Row],[Quantity_Converted_To_Integer]]
)</f>
        <v>25</v>
      </c>
      <c r="AE534" t="s">
        <v>15</v>
      </c>
      <c r="AF534" s="2" t="str">
        <f>CLEAN(TRIM(Working_Sales[[#This Row],[Total Amount]]))</f>
        <v>50</v>
      </c>
      <c r="AG534" s="2">
        <f>INT(Working_Sales[[#This Row],[Total_Amount_Whitespace_Removed]])</f>
        <v>50</v>
      </c>
      <c r="AH53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535" spans="1:34" x14ac:dyDescent="0.35">
      <c r="A535" t="s">
        <v>1167</v>
      </c>
      <c r="B535" s="6" t="str">
        <f>CLEAN(TRIM(Working_Sales[[#This Row],[Transaction ID]]))</f>
        <v>790</v>
      </c>
      <c r="C535" t="s">
        <v>1168</v>
      </c>
      <c r="D535" s="2" t="str">
        <f>CLEAN(TRIM(Working_Sales[[#This Row],[Date]]))</f>
        <v>2023-08-08</v>
      </c>
      <c r="E53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45146</v>
      </c>
      <c r="F53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45146</v>
      </c>
      <c r="G53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45146</v>
      </c>
      <c r="H535" t="s">
        <v>796</v>
      </c>
      <c r="I535" s="2" t="str">
        <f>CLEAN(TRIM(Working_Sales[[#This Row],[Customer ID]]))</f>
        <v>CUST240</v>
      </c>
      <c r="J53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CUST240</v>
      </c>
      <c r="K53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CUST240</v>
      </c>
      <c r="L535" t="s">
        <v>34</v>
      </c>
      <c r="M535" s="4" t="str">
        <f>CLEAN(TRIM(Working_Sales[[#This Row],[Gender]]))</f>
        <v>Male</v>
      </c>
      <c r="N535" s="4" t="str" cm="1">
        <f t="array" ref="N535">_xlfn.SWITCH(
   Working_Sales[[#This Row],[Gender_Whitespace_Removed]],
   "m", "Male",
   "f", "Female",
   Working_Sales[[#This Row],[Gender_Whitespace_Removed]]
)</f>
        <v>Male</v>
      </c>
      <c r="O535" s="6" t="str">
        <f>PROPER(Working_Sales[[#This Row],[Gender_Abbreviation_Expanded]])</f>
        <v>Male</v>
      </c>
      <c r="P535">
        <v>62</v>
      </c>
      <c r="Q535" s="2" t="str">
        <f>CLEAN(TRIM(Working_Sales[[#This Row],[Age]]))</f>
        <v>62</v>
      </c>
      <c r="R535" s="6">
        <f>INT(SUBSTITUTE(Working_Sales[[#This Row],[Age_Whitespace_Removed]],".",","))</f>
        <v>62</v>
      </c>
      <c r="S535" t="s">
        <v>56</v>
      </c>
      <c r="T535" s="2" t="str">
        <f>CLEAN(TRIM(Working_Sales[[#This Row],[Product Category]]))</f>
        <v>Clothing</v>
      </c>
      <c r="U535" s="6" t="str">
        <f>PROPER(Working_Sales[[#This Row],[Product_Category_Whitespace_Removed]])</f>
        <v>Clothing</v>
      </c>
      <c r="V535" t="s">
        <v>22</v>
      </c>
      <c r="W535" s="2" t="str">
        <f>CLEAN(TRIM(Working_Sales[[#This Row],[Quantity]]))</f>
        <v>1</v>
      </c>
      <c r="X535" s="2">
        <f>INT(Working_Sales[[#This Row],[`]])</f>
        <v>1</v>
      </c>
      <c r="Y535" s="6">
        <f>IFERROR(
   Working_Sales[[#This Row],[Quantity_Converted_To_Integer]],
   Working_Sales[[#This Row],[Total_Amount_Whitespace_Removed]]/Working_Sales[[#This Row],[Price_Per_Unit_Decimal_Separator_Fixed]])</f>
        <v>1</v>
      </c>
      <c r="Z535" t="s">
        <v>30</v>
      </c>
      <c r="AA535" s="2" t="str">
        <f>CLEAN(TRIM(Working_Sales[[#This Row],[Price per Unit]]))</f>
        <v>25</v>
      </c>
      <c r="AB535" s="2">
        <f>INT(
   SUBSTITUTE(Working_Sales[[#This Row],[Price_Per_Unit_Whitespace_Removed]],
   "$",
   ""
   )
)</f>
        <v>25</v>
      </c>
      <c r="AC535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535" s="8">
        <f>IFERROR(
   Working_Sales[[#This Row],[Price_Per_Unit_Decimal_Separator_Fixed]],
   Working_Sales[[#This Row],[Total_Amount_Converted_To_Integer]]/Working_Sales[[#This Row],[Quantity_Converted_To_Integer]]
)</f>
        <v>25</v>
      </c>
      <c r="AE535" t="s">
        <v>30</v>
      </c>
      <c r="AF535" s="2" t="str">
        <f>CLEAN(TRIM(Working_Sales[[#This Row],[Total Amount]]))</f>
        <v>25</v>
      </c>
      <c r="AG535" s="2">
        <f>INT(Working_Sales[[#This Row],[Total_Amount_Whitespace_Removed]])</f>
        <v>25</v>
      </c>
      <c r="AH53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536" spans="1:34" x14ac:dyDescent="0.35">
      <c r="A536" t="s">
        <v>1169</v>
      </c>
      <c r="B536" s="6" t="str">
        <f>CLEAN(TRIM(Working_Sales[[#This Row],[Transaction ID]]))</f>
        <v>188</v>
      </c>
      <c r="C536" t="s">
        <v>1170</v>
      </c>
      <c r="D536" s="2" t="str">
        <f>CLEAN(TRIM(Working_Sales[[#This Row],[Date]]))</f>
        <v>2023-05-03</v>
      </c>
      <c r="E53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45049</v>
      </c>
      <c r="F53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45049</v>
      </c>
      <c r="G53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45049</v>
      </c>
      <c r="H536" t="s">
        <v>2768</v>
      </c>
      <c r="I536" s="2" t="str">
        <f>CLEAN(TRIM(Working_Sales[[#This Row],[Customer ID]]))</f>
        <v>CUST368</v>
      </c>
      <c r="J53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CUST368</v>
      </c>
      <c r="K53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CUST368</v>
      </c>
      <c r="L536" t="s">
        <v>34</v>
      </c>
      <c r="M536" s="4" t="str">
        <f>CLEAN(TRIM(Working_Sales[[#This Row],[Gender]]))</f>
        <v>Male</v>
      </c>
      <c r="N536" s="4" t="str" cm="1">
        <f t="array" ref="N536">_xlfn.SWITCH(
   Working_Sales[[#This Row],[Gender_Whitespace_Removed]],
   "m", "Male",
   "f", "Female",
   Working_Sales[[#This Row],[Gender_Whitespace_Removed]]
)</f>
        <v>Male</v>
      </c>
      <c r="O536" s="6" t="str">
        <f>PROPER(Working_Sales[[#This Row],[Gender_Abbreviation_Expanded]])</f>
        <v>Male</v>
      </c>
      <c r="P536">
        <v>40</v>
      </c>
      <c r="Q536" s="2" t="str">
        <f>CLEAN(TRIM(Working_Sales[[#This Row],[Age]]))</f>
        <v>40</v>
      </c>
      <c r="R536" s="6">
        <f>INT(SUBSTITUTE(Working_Sales[[#This Row],[Age_Whitespace_Removed]],".",","))</f>
        <v>40</v>
      </c>
      <c r="S536" t="s">
        <v>56</v>
      </c>
      <c r="T536" s="2" t="str">
        <f>CLEAN(TRIM(Working_Sales[[#This Row],[Product Category]]))</f>
        <v>Clothing</v>
      </c>
      <c r="U536" s="6" t="str">
        <f>PROPER(Working_Sales[[#This Row],[Product_Category_Whitespace_Removed]])</f>
        <v>Clothing</v>
      </c>
      <c r="V536" t="s">
        <v>29</v>
      </c>
      <c r="W536" s="2" t="str">
        <f>CLEAN(TRIM(Working_Sales[[#This Row],[Quantity]]))</f>
        <v>3</v>
      </c>
      <c r="X536" s="2">
        <f>INT(Working_Sales[[#This Row],[`]])</f>
        <v>3</v>
      </c>
      <c r="Y536" s="6">
        <f>IFERROR(
   Working_Sales[[#This Row],[Quantity_Converted_To_Integer]],
   Working_Sales[[#This Row],[Total_Amount_Whitespace_Removed]]/Working_Sales[[#This Row],[Price_Per_Unit_Decimal_Separator_Fixed]])</f>
        <v>3</v>
      </c>
      <c r="Z536" t="s">
        <v>371</v>
      </c>
      <c r="AA536" s="2" t="str">
        <f>CLEAN(TRIM(Working_Sales[[#This Row],[Price per Unit]]))</f>
        <v>25.00</v>
      </c>
      <c r="AB536" s="2" t="e">
        <f>INT(
   SUBSTITUTE(Working_Sales[[#This Row],[Price_Per_Unit_Whitespace_Removed]],
   "$",
   ""
   )
)</f>
        <v>#VALUE!</v>
      </c>
      <c r="AC536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536" s="8">
        <f>IFERROR(
   Working_Sales[[#This Row],[Price_Per_Unit_Decimal_Separator_Fixed]],
   Working_Sales[[#This Row],[Total_Amount_Converted_To_Integer]]/Working_Sales[[#This Row],[Quantity_Converted_To_Integer]]
)</f>
        <v>25</v>
      </c>
      <c r="AE536" t="s">
        <v>31</v>
      </c>
      <c r="AF536" s="2" t="str">
        <f>CLEAN(TRIM(Working_Sales[[#This Row],[Total Amount]]))</f>
        <v>75</v>
      </c>
      <c r="AG536" s="2">
        <f>INT(Working_Sales[[#This Row],[Total_Amount_Whitespace_Removed]])</f>
        <v>75</v>
      </c>
      <c r="AH53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537" spans="1:34" x14ac:dyDescent="0.35">
      <c r="A537" t="s">
        <v>1171</v>
      </c>
      <c r="B537" s="6" t="str">
        <f>CLEAN(TRIM(Working_Sales[[#This Row],[Transaction ID]]))</f>
        <v>305</v>
      </c>
      <c r="C537" t="s">
        <v>210</v>
      </c>
      <c r="D537" s="2" t="str">
        <f>CLEAN(TRIM(Working_Sales[[#This Row],[Date]]))</f>
        <v>2023-05-16</v>
      </c>
      <c r="E53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45062</v>
      </c>
      <c r="F53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45062</v>
      </c>
      <c r="G53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45062</v>
      </c>
      <c r="H537" t="s">
        <v>2769</v>
      </c>
      <c r="I537" s="2" t="str">
        <f>CLEAN(TRIM(Working_Sales[[#This Row],[Customer ID]]))</f>
        <v>cust087</v>
      </c>
      <c r="J53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3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CUST087</v>
      </c>
      <c r="L537" t="s">
        <v>26</v>
      </c>
      <c r="M537" s="4" t="str">
        <f>CLEAN(TRIM(Working_Sales[[#This Row],[Gender]]))</f>
        <v>Female</v>
      </c>
      <c r="N537" s="4" t="str" cm="1">
        <f t="array" ref="N537">_xlfn.SWITCH(
   Working_Sales[[#This Row],[Gender_Whitespace_Removed]],
   "m", "Male",
   "f", "Female",
   Working_Sales[[#This Row],[Gender_Whitespace_Removed]]
)</f>
        <v>Female</v>
      </c>
      <c r="O537" s="6" t="str">
        <f>PROPER(Working_Sales[[#This Row],[Gender_Abbreviation_Expanded]])</f>
        <v>Female</v>
      </c>
      <c r="P537">
        <v>18</v>
      </c>
      <c r="Q537" s="2" t="str">
        <f>CLEAN(TRIM(Working_Sales[[#This Row],[Age]]))</f>
        <v>18</v>
      </c>
      <c r="R537" s="6">
        <f>INT(SUBSTITUTE(Working_Sales[[#This Row],[Age_Whitespace_Removed]],".",","))</f>
        <v>18</v>
      </c>
      <c r="S537" t="s">
        <v>69</v>
      </c>
      <c r="T537" s="2" t="str">
        <f>CLEAN(TRIM(Working_Sales[[#This Row],[Product Category]]))</f>
        <v>BEAUTY</v>
      </c>
      <c r="U537" s="6" t="str">
        <f>PROPER(Working_Sales[[#This Row],[Product_Category_Whitespace_Removed]])</f>
        <v>Beauty</v>
      </c>
      <c r="V537" t="s">
        <v>22</v>
      </c>
      <c r="W537" s="2" t="str">
        <f>CLEAN(TRIM(Working_Sales[[#This Row],[Quantity]]))</f>
        <v>1</v>
      </c>
      <c r="X537" s="2">
        <f>INT(Working_Sales[[#This Row],[`]])</f>
        <v>1</v>
      </c>
      <c r="Y537" s="6">
        <f>IFERROR(
   Working_Sales[[#This Row],[Quantity_Converted_To_Integer]],
   Working_Sales[[#This Row],[Total_Amount_Whitespace_Removed]]/Working_Sales[[#This Row],[Price_Per_Unit_Decimal_Separator_Fixed]])</f>
        <v>1</v>
      </c>
      <c r="Z537" t="s">
        <v>70</v>
      </c>
      <c r="AA537" s="2" t="str">
        <f>CLEAN(TRIM(Working_Sales[[#This Row],[Price per Unit]]))</f>
        <v>30</v>
      </c>
      <c r="AB537" s="2">
        <f>INT(
   SUBSTITUTE(Working_Sales[[#This Row],[Price_Per_Unit_Whitespace_Removed]],
   "$",
   ""
   )
)</f>
        <v>30</v>
      </c>
      <c r="AC537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537" s="8">
        <f>IFERROR(
   Working_Sales[[#This Row],[Price_Per_Unit_Decimal_Separator_Fixed]],
   Working_Sales[[#This Row],[Total_Amount_Converted_To_Integer]]/Working_Sales[[#This Row],[Quantity_Converted_To_Integer]]
)</f>
        <v>30</v>
      </c>
      <c r="AE537" t="s">
        <v>70</v>
      </c>
      <c r="AF537" s="2" t="str">
        <f>CLEAN(TRIM(Working_Sales[[#This Row],[Total Amount]]))</f>
        <v>30</v>
      </c>
      <c r="AG537" s="2">
        <f>INT(Working_Sales[[#This Row],[Total_Amount_Whitespace_Removed]])</f>
        <v>30</v>
      </c>
      <c r="AH53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538" spans="1:34" x14ac:dyDescent="0.35">
      <c r="A538" t="s">
        <v>61</v>
      </c>
      <c r="B538" s="6" t="str">
        <f>CLEAN(TRIM(Working_Sales[[#This Row],[Transaction ID]]))</f>
        <v>32</v>
      </c>
      <c r="C538" t="s">
        <v>2118</v>
      </c>
      <c r="D538" s="2" t="str">
        <f>CLEAN(TRIM(Working_Sales[[#This Row],[Date]]))</f>
        <v>04-Jan-2023</v>
      </c>
      <c r="E53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44930</v>
      </c>
      <c r="F53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44930</v>
      </c>
      <c r="G53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44930</v>
      </c>
      <c r="H538" t="s">
        <v>1260</v>
      </c>
      <c r="I538" s="2" t="str">
        <f>CLEAN(TRIM(Working_Sales[[#This Row],[Customer ID]]))</f>
        <v>CUST369</v>
      </c>
      <c r="J53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CUST369</v>
      </c>
      <c r="K53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CUST369</v>
      </c>
      <c r="L538" t="s">
        <v>34</v>
      </c>
      <c r="M538" s="4" t="str">
        <f>CLEAN(TRIM(Working_Sales[[#This Row],[Gender]]))</f>
        <v>Male</v>
      </c>
      <c r="N538" s="4" t="str" cm="1">
        <f t="array" ref="N538">_xlfn.SWITCH(
   Working_Sales[[#This Row],[Gender_Whitespace_Removed]],
   "m", "Male",
   "f", "Female",
   Working_Sales[[#This Row],[Gender_Whitespace_Removed]]
)</f>
        <v>Male</v>
      </c>
      <c r="O538" s="6" t="str">
        <f>PROPER(Working_Sales[[#This Row],[Gender_Abbreviation_Expanded]])</f>
        <v>Male</v>
      </c>
      <c r="P538">
        <v>30</v>
      </c>
      <c r="Q538" s="2" t="str">
        <f>CLEAN(TRIM(Working_Sales[[#This Row],[Age]]))</f>
        <v>30</v>
      </c>
      <c r="R538" s="6">
        <f>INT(SUBSTITUTE(Working_Sales[[#This Row],[Age_Whitespace_Removed]],".",","))</f>
        <v>30</v>
      </c>
      <c r="S538" t="s">
        <v>36</v>
      </c>
      <c r="T538" s="2" t="str">
        <f>CLEAN(TRIM(Working_Sales[[#This Row],[Product Category]]))</f>
        <v>Beauty</v>
      </c>
      <c r="U538" s="6" t="str">
        <f>PROPER(Working_Sales[[#This Row],[Product_Category_Whitespace_Removed]])</f>
        <v>Beauty</v>
      </c>
      <c r="V538" t="s">
        <v>29</v>
      </c>
      <c r="W538" s="2" t="str">
        <f>CLEAN(TRIM(Working_Sales[[#This Row],[Quantity]]))</f>
        <v>3</v>
      </c>
      <c r="X538" s="2">
        <f>INT(Working_Sales[[#This Row],[`]])</f>
        <v>3</v>
      </c>
      <c r="Y538" s="6">
        <f>IFERROR(
   Working_Sales[[#This Row],[Quantity_Converted_To_Integer]],
   Working_Sales[[#This Row],[Total_Amount_Whitespace_Removed]]/Working_Sales[[#This Row],[Price_Per_Unit_Decimal_Separator_Fixed]])</f>
        <v>3</v>
      </c>
      <c r="Z538" t="s">
        <v>70</v>
      </c>
      <c r="AA538" s="2" t="str">
        <f>CLEAN(TRIM(Working_Sales[[#This Row],[Price per Unit]]))</f>
        <v>30</v>
      </c>
      <c r="AB538" s="2">
        <f>INT(
   SUBSTITUTE(Working_Sales[[#This Row],[Price_Per_Unit_Whitespace_Removed]],
   "$",
   ""
   )
)</f>
        <v>30</v>
      </c>
      <c r="AC538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538" s="8">
        <f>IFERROR(
   Working_Sales[[#This Row],[Price_Per_Unit_Decimal_Separator_Fixed]],
   Working_Sales[[#This Row],[Total_Amount_Converted_To_Integer]]/Working_Sales[[#This Row],[Quantity_Converted_To_Integer]]
)</f>
        <v>30</v>
      </c>
      <c r="AE538" t="s">
        <v>191</v>
      </c>
      <c r="AF538" s="2" t="str">
        <f>CLEAN(TRIM(Working_Sales[[#This Row],[Total Amount]]))</f>
        <v>90</v>
      </c>
      <c r="AG538" s="2">
        <f>INT(Working_Sales[[#This Row],[Total_Amount_Whitespace_Removed]])</f>
        <v>90</v>
      </c>
      <c r="AH53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539" spans="1:34" x14ac:dyDescent="0.35">
      <c r="A539" t="s">
        <v>1174</v>
      </c>
      <c r="B539" s="6" t="str">
        <f>CLEAN(TRIM(Working_Sales[[#This Row],[Transaction ID]]))</f>
        <v>967</v>
      </c>
      <c r="C539" t="s">
        <v>1175</v>
      </c>
      <c r="D539" s="2" t="str">
        <f>CLEAN(TRIM(Working_Sales[[#This Row],[Date]]))</f>
        <v>2023-04-17</v>
      </c>
      <c r="E53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45033</v>
      </c>
      <c r="F53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45033</v>
      </c>
      <c r="G53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45033</v>
      </c>
      <c r="H539" t="s">
        <v>954</v>
      </c>
      <c r="I539" s="2" t="str">
        <f>CLEAN(TRIM(Working_Sales[[#This Row],[Customer ID]]))</f>
        <v>CUST056</v>
      </c>
      <c r="J53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CUST056</v>
      </c>
      <c r="K53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CUST056</v>
      </c>
      <c r="L539" t="s">
        <v>34</v>
      </c>
      <c r="M539" s="4" t="str">
        <f>CLEAN(TRIM(Working_Sales[[#This Row],[Gender]]))</f>
        <v>Male</v>
      </c>
      <c r="N539" s="4" t="str" cm="1">
        <f t="array" ref="N539">_xlfn.SWITCH(
   Working_Sales[[#This Row],[Gender_Whitespace_Removed]],
   "m", "Male",
   "f", "Female",
   Working_Sales[[#This Row],[Gender_Whitespace_Removed]]
)</f>
        <v>Male</v>
      </c>
      <c r="O539" s="6" t="str">
        <f>PROPER(Working_Sales[[#This Row],[Gender_Abbreviation_Expanded]])</f>
        <v>Male</v>
      </c>
      <c r="P539" t="s">
        <v>1176</v>
      </c>
      <c r="Q539" s="2" t="str">
        <f>CLEAN(TRIM(Working_Sales[[#This Row],[Age]]))</f>
        <v>62.0</v>
      </c>
      <c r="R539" s="6">
        <f>INT(SUBSTITUTE(Working_Sales[[#This Row],[Age_Whitespace_Removed]],".",","))</f>
        <v>62</v>
      </c>
      <c r="S539" t="s">
        <v>42</v>
      </c>
      <c r="T539" s="2" t="str">
        <f>CLEAN(TRIM(Working_Sales[[#This Row],[Product Category]]))</f>
        <v>Beauty</v>
      </c>
      <c r="U539" s="6" t="str">
        <f>PROPER(Working_Sales[[#This Row],[Product_Category_Whitespace_Removed]])</f>
        <v>Beauty</v>
      </c>
      <c r="V539" t="s">
        <v>22</v>
      </c>
      <c r="W539" s="2" t="str">
        <f>CLEAN(TRIM(Working_Sales[[#This Row],[Quantity]]))</f>
        <v>1</v>
      </c>
      <c r="X539" s="2">
        <f>INT(Working_Sales[[#This Row],[`]])</f>
        <v>1</v>
      </c>
      <c r="Y539" s="6">
        <f>IFERROR(
   Working_Sales[[#This Row],[Quantity_Converted_To_Integer]],
   Working_Sales[[#This Row],[Total_Amount_Whitespace_Removed]]/Working_Sales[[#This Row],[Price_Per_Unit_Decimal_Separator_Fixed]])</f>
        <v>1</v>
      </c>
      <c r="Z539" t="s">
        <v>49</v>
      </c>
      <c r="AA539" s="2" t="str">
        <f>CLEAN(TRIM(Working_Sales[[#This Row],[Price per Unit]]))</f>
        <v>$25</v>
      </c>
      <c r="AB539" s="2">
        <f>INT(
   SUBSTITUTE(Working_Sales[[#This Row],[Price_Per_Unit_Whitespace_Removed]],
   "$",
   ""
   )
)</f>
        <v>25</v>
      </c>
      <c r="AC539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539" s="8">
        <f>IFERROR(
   Working_Sales[[#This Row],[Price_Per_Unit_Decimal_Separator_Fixed]],
   Working_Sales[[#This Row],[Total_Amount_Converted_To_Integer]]/Working_Sales[[#This Row],[Quantity_Converted_To_Integer]]
)</f>
        <v>25</v>
      </c>
      <c r="AE539" t="s">
        <v>30</v>
      </c>
      <c r="AF539" s="2" t="str">
        <f>CLEAN(TRIM(Working_Sales[[#This Row],[Total Amount]]))</f>
        <v>25</v>
      </c>
      <c r="AG539" s="2">
        <f>INT(Working_Sales[[#This Row],[Total_Amount_Whitespace_Removed]])</f>
        <v>25</v>
      </c>
      <c r="AH53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540" spans="1:34" x14ac:dyDescent="0.35">
      <c r="A540" t="s">
        <v>1177</v>
      </c>
      <c r="B540" s="6" t="str">
        <f>CLEAN(TRIM(Working_Sales[[#This Row],[Transaction ID]]))</f>
        <v>241</v>
      </c>
      <c r="C540" t="s">
        <v>457</v>
      </c>
      <c r="D540" s="2" t="str">
        <f>CLEAN(TRIM(Working_Sales[[#This Row],[Date]]))</f>
        <v>21/09/2023</v>
      </c>
      <c r="E54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45190</v>
      </c>
      <c r="F54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45190</v>
      </c>
      <c r="G54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45190</v>
      </c>
      <c r="H540" t="s">
        <v>2770</v>
      </c>
      <c r="I540" s="2" t="str">
        <f>CLEAN(TRIM(Working_Sales[[#This Row],[Customer ID]]))</f>
        <v>CUST370</v>
      </c>
      <c r="J54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4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CUST370</v>
      </c>
      <c r="L540" t="s">
        <v>26</v>
      </c>
      <c r="M540" s="4" t="str">
        <f>CLEAN(TRIM(Working_Sales[[#This Row],[Gender]]))</f>
        <v>Female</v>
      </c>
      <c r="N540" s="4" t="str" cm="1">
        <f t="array" ref="N540">_xlfn.SWITCH(
   Working_Sales[[#This Row],[Gender_Whitespace_Removed]],
   "m", "Male",
   "f", "Female",
   Working_Sales[[#This Row],[Gender_Whitespace_Removed]]
)</f>
        <v>Female</v>
      </c>
      <c r="O540" s="6" t="str">
        <f>PROPER(Working_Sales[[#This Row],[Gender_Abbreviation_Expanded]])</f>
        <v>Female</v>
      </c>
      <c r="P540">
        <v>23</v>
      </c>
      <c r="Q540" s="2" t="str">
        <f>CLEAN(TRIM(Working_Sales[[#This Row],[Age]]))</f>
        <v>23</v>
      </c>
      <c r="R540" s="6">
        <f>INT(SUBSTITUTE(Working_Sales[[#This Row],[Age_Whitespace_Removed]],".",","))</f>
        <v>23</v>
      </c>
      <c r="S540" t="s">
        <v>13</v>
      </c>
      <c r="T540" s="2" t="str">
        <f>CLEAN(TRIM(Working_Sales[[#This Row],[Product Category]]))</f>
        <v>Electronics</v>
      </c>
      <c r="U540" s="6" t="str">
        <f>PROPER(Working_Sales[[#This Row],[Product_Category_Whitespace_Removed]])</f>
        <v>Electronics</v>
      </c>
      <c r="V540" t="s">
        <v>29</v>
      </c>
      <c r="W540" s="2" t="str">
        <f>CLEAN(TRIM(Working_Sales[[#This Row],[Quantity]]))</f>
        <v>3</v>
      </c>
      <c r="X540" s="2">
        <f>INT(Working_Sales[[#This Row],[`]])</f>
        <v>3</v>
      </c>
      <c r="Y540" s="6">
        <f>IFERROR(
   Working_Sales[[#This Row],[Quantity_Converted_To_Integer]],
   Working_Sales[[#This Row],[Total_Amount_Whitespace_Removed]]/Working_Sales[[#This Row],[Price_Per_Unit_Decimal_Separator_Fixed]])</f>
        <v>3</v>
      </c>
      <c r="Z540" t="s">
        <v>49</v>
      </c>
      <c r="AA540" s="2" t="str">
        <f>CLEAN(TRIM(Working_Sales[[#This Row],[Price per Unit]]))</f>
        <v>$25</v>
      </c>
      <c r="AB540" s="2">
        <f>INT(
   SUBSTITUTE(Working_Sales[[#This Row],[Price_Per_Unit_Whitespace_Removed]],
   "$",
   ""
   )
)</f>
        <v>25</v>
      </c>
      <c r="AC540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540" s="8">
        <f>IFERROR(
   Working_Sales[[#This Row],[Price_Per_Unit_Decimal_Separator_Fixed]],
   Working_Sales[[#This Row],[Total_Amount_Converted_To_Integer]]/Working_Sales[[#This Row],[Quantity_Converted_To_Integer]]
)</f>
        <v>25</v>
      </c>
      <c r="AE540" t="s">
        <v>31</v>
      </c>
      <c r="AF540" s="2" t="str">
        <f>CLEAN(TRIM(Working_Sales[[#This Row],[Total Amount]]))</f>
        <v>75</v>
      </c>
      <c r="AG540" s="2">
        <f>INT(Working_Sales[[#This Row],[Total_Amount_Whitespace_Removed]])</f>
        <v>75</v>
      </c>
      <c r="AH54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541" spans="1:34" x14ac:dyDescent="0.35">
      <c r="A541" t="s">
        <v>1179</v>
      </c>
      <c r="B541" s="6" t="str">
        <f>CLEAN(TRIM(Working_Sales[[#This Row],[Transaction ID]]))</f>
        <v>734</v>
      </c>
      <c r="C541" t="s">
        <v>1180</v>
      </c>
      <c r="D541" s="2" t="str">
        <f>CLEAN(TRIM(Working_Sales[[#This Row],[Date]]))</f>
        <v>2023-01-10</v>
      </c>
      <c r="E54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44936</v>
      </c>
      <c r="F54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44936</v>
      </c>
      <c r="G54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44936</v>
      </c>
      <c r="H541" t="s">
        <v>2771</v>
      </c>
      <c r="I541" s="2" t="str">
        <f>CLEAN(TRIM(Working_Sales[[#This Row],[Customer ID]]))</f>
        <v>CUST-321</v>
      </c>
      <c r="J54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4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CUST321</v>
      </c>
      <c r="L541" t="s">
        <v>26</v>
      </c>
      <c r="M541" s="4" t="str">
        <f>CLEAN(TRIM(Working_Sales[[#This Row],[Gender]]))</f>
        <v>Female</v>
      </c>
      <c r="N541" s="4" t="str" cm="1">
        <f t="array" ref="N541">_xlfn.SWITCH(
   Working_Sales[[#This Row],[Gender_Whitespace_Removed]],
   "m", "Male",
   "f", "Female",
   Working_Sales[[#This Row],[Gender_Whitespace_Removed]]
)</f>
        <v>Female</v>
      </c>
      <c r="O541" s="6" t="str">
        <f>PROPER(Working_Sales[[#This Row],[Gender_Abbreviation_Expanded]])</f>
        <v>Female</v>
      </c>
      <c r="P541">
        <v>27</v>
      </c>
      <c r="Q541" s="2" t="str">
        <f>CLEAN(TRIM(Working_Sales[[#This Row],[Age]]))</f>
        <v>27</v>
      </c>
      <c r="R541" s="6">
        <f>INT(SUBSTITUTE(Working_Sales[[#This Row],[Age_Whitespace_Removed]],".",","))</f>
        <v>27</v>
      </c>
      <c r="S541" t="s">
        <v>56</v>
      </c>
      <c r="T541" s="2" t="str">
        <f>CLEAN(TRIM(Working_Sales[[#This Row],[Product Category]]))</f>
        <v>Clothing</v>
      </c>
      <c r="U541" s="6" t="str">
        <f>PROPER(Working_Sales[[#This Row],[Product_Category_Whitespace_Removed]])</f>
        <v>Clothing</v>
      </c>
      <c r="V541" t="s">
        <v>22</v>
      </c>
      <c r="W541" s="2" t="str">
        <f>CLEAN(TRIM(Working_Sales[[#This Row],[Quantity]]))</f>
        <v>1</v>
      </c>
      <c r="X541" s="2">
        <f>INT(Working_Sales[[#This Row],[`]])</f>
        <v>1</v>
      </c>
      <c r="Y541" s="6">
        <f>IFERROR(
   Working_Sales[[#This Row],[Quantity_Converted_To_Integer]],
   Working_Sales[[#This Row],[Total_Amount_Whitespace_Removed]]/Working_Sales[[#This Row],[Price_Per_Unit_Decimal_Separator_Fixed]])</f>
        <v>1</v>
      </c>
      <c r="Z541" t="s">
        <v>70</v>
      </c>
      <c r="AA541" s="2" t="str">
        <f>CLEAN(TRIM(Working_Sales[[#This Row],[Price per Unit]]))</f>
        <v>30</v>
      </c>
      <c r="AB541" s="2">
        <f>INT(
   SUBSTITUTE(Working_Sales[[#This Row],[Price_Per_Unit_Whitespace_Removed]],
   "$",
   ""
   )
)</f>
        <v>30</v>
      </c>
      <c r="AC541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541" s="8">
        <f>IFERROR(
   Working_Sales[[#This Row],[Price_Per_Unit_Decimal_Separator_Fixed]],
   Working_Sales[[#This Row],[Total_Amount_Converted_To_Integer]]/Working_Sales[[#This Row],[Quantity_Converted_To_Integer]]
)</f>
        <v>30</v>
      </c>
      <c r="AE541" t="s">
        <v>70</v>
      </c>
      <c r="AF541" s="2" t="str">
        <f>CLEAN(TRIM(Working_Sales[[#This Row],[Total Amount]]))</f>
        <v>30</v>
      </c>
      <c r="AG541" s="2">
        <f>INT(Working_Sales[[#This Row],[Total_Amount_Whitespace_Removed]])</f>
        <v>30</v>
      </c>
      <c r="AH54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542" spans="1:34" x14ac:dyDescent="0.35">
      <c r="A542" t="s">
        <v>1181</v>
      </c>
      <c r="B542" s="6" t="str">
        <f>CLEAN(TRIM(Working_Sales[[#This Row],[Transaction ID]]))</f>
        <v>175</v>
      </c>
      <c r="C542" t="s">
        <v>2119</v>
      </c>
      <c r="D542" s="2" t="str">
        <f>CLEAN(TRIM(Working_Sales[[#This Row],[Date]]))</f>
        <v>03/20/2023</v>
      </c>
      <c r="E542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54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45005</v>
      </c>
      <c r="G54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45005</v>
      </c>
      <c r="H542" t="s">
        <v>2667</v>
      </c>
      <c r="I542" s="2" t="str">
        <f>CLEAN(TRIM(Working_Sales[[#This Row],[Customer ID]]))</f>
        <v>cust310</v>
      </c>
      <c r="J54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4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CUST310</v>
      </c>
      <c r="L542" t="s">
        <v>26</v>
      </c>
      <c r="M542" s="4" t="str">
        <f>CLEAN(TRIM(Working_Sales[[#This Row],[Gender]]))</f>
        <v>Female</v>
      </c>
      <c r="N542" s="4" t="str" cm="1">
        <f t="array" ref="N542">_xlfn.SWITCH(
   Working_Sales[[#This Row],[Gender_Whitespace_Removed]],
   "m", "Male",
   "f", "Female",
   Working_Sales[[#This Row],[Gender_Whitespace_Removed]]
)</f>
        <v>Female</v>
      </c>
      <c r="O542" s="6" t="str">
        <f>PROPER(Working_Sales[[#This Row],[Gender_Abbreviation_Expanded]])</f>
        <v>Female</v>
      </c>
      <c r="P542">
        <v>31</v>
      </c>
      <c r="Q542" s="2" t="str">
        <f>CLEAN(TRIM(Working_Sales[[#This Row],[Age]]))</f>
        <v>31</v>
      </c>
      <c r="R542" s="6">
        <f>INT(SUBSTITUTE(Working_Sales[[#This Row],[Age_Whitespace_Removed]],".",","))</f>
        <v>31</v>
      </c>
      <c r="S542" t="s">
        <v>13</v>
      </c>
      <c r="T542" s="2" t="str">
        <f>CLEAN(TRIM(Working_Sales[[#This Row],[Product Category]]))</f>
        <v>Electronics</v>
      </c>
      <c r="U542" s="6" t="str">
        <f>PROPER(Working_Sales[[#This Row],[Product_Category_Whitespace_Removed]])</f>
        <v>Electronics</v>
      </c>
      <c r="V542" t="s">
        <v>14</v>
      </c>
      <c r="W542" s="2" t="str">
        <f>CLEAN(TRIM(Working_Sales[[#This Row],[Quantity]]))</f>
        <v>4</v>
      </c>
      <c r="X542" s="2">
        <f>INT(Working_Sales[[#This Row],[`]])</f>
        <v>4</v>
      </c>
      <c r="Y542" s="6">
        <f>IFERROR(
   Working_Sales[[#This Row],[Quantity_Converted_To_Integer]],
   Working_Sales[[#This Row],[Total_Amount_Whitespace_Removed]]/Working_Sales[[#This Row],[Price_Per_Unit_Decimal_Separator_Fixed]])</f>
        <v>4</v>
      </c>
      <c r="Z542" t="s">
        <v>171</v>
      </c>
      <c r="AA542" s="2" t="str">
        <f>CLEAN(TRIM(Working_Sales[[#This Row],[Price per Unit]]))</f>
        <v>25</v>
      </c>
      <c r="AB542" s="2">
        <f>INT(
   SUBSTITUTE(Working_Sales[[#This Row],[Price_Per_Unit_Whitespace_Removed]],
   "$",
   ""
   )
)</f>
        <v>25</v>
      </c>
      <c r="AC542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542" s="8">
        <f>IFERROR(
   Working_Sales[[#This Row],[Price_Per_Unit_Decimal_Separator_Fixed]],
   Working_Sales[[#This Row],[Total_Amount_Converted_To_Integer]]/Working_Sales[[#This Row],[Quantity_Converted_To_Integer]]
)</f>
        <v>25</v>
      </c>
      <c r="AE542" t="s">
        <v>38</v>
      </c>
      <c r="AF542" s="2" t="str">
        <f>CLEAN(TRIM(Working_Sales[[#This Row],[Total Amount]]))</f>
        <v>100</v>
      </c>
      <c r="AG542" s="2">
        <f>INT(Working_Sales[[#This Row],[Total_Amount_Whitespace_Removed]])</f>
        <v>100</v>
      </c>
      <c r="AH54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543" spans="1:34" x14ac:dyDescent="0.35">
      <c r="A543" t="s">
        <v>1183</v>
      </c>
      <c r="B543" s="6" t="str">
        <f>CLEAN(TRIM(Working_Sales[[#This Row],[Transaction ID]]))</f>
        <v>246</v>
      </c>
      <c r="C543" t="s">
        <v>1184</v>
      </c>
      <c r="D543" s="2" t="str">
        <f>CLEAN(TRIM(Working_Sales[[#This Row],[Date]]))</f>
        <v>04/20/2023</v>
      </c>
      <c r="E543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54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45036</v>
      </c>
      <c r="G54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45036</v>
      </c>
      <c r="H543" t="s">
        <v>2772</v>
      </c>
      <c r="I543" s="2" t="str">
        <f>CLEAN(TRIM(Working_Sales[[#This Row],[Customer ID]]))</f>
        <v>Cust371</v>
      </c>
      <c r="J54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4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CUST371</v>
      </c>
      <c r="L543" t="s">
        <v>46</v>
      </c>
      <c r="M543" s="4" t="str">
        <f>CLEAN(TRIM(Working_Sales[[#This Row],[Gender]]))</f>
        <v>F</v>
      </c>
      <c r="N543" s="4" t="str" cm="1">
        <f t="array" ref="N543">_xlfn.SWITCH(
   Working_Sales[[#This Row],[Gender_Whitespace_Removed]],
   "m", "Male",
   "f", "Female",
   Working_Sales[[#This Row],[Gender_Whitespace_Removed]]
)</f>
        <v>Female</v>
      </c>
      <c r="O543" s="6" t="str">
        <f>PROPER(Working_Sales[[#This Row],[Gender_Abbreviation_Expanded]])</f>
        <v>Female</v>
      </c>
      <c r="P543">
        <v>48</v>
      </c>
      <c r="Q543" s="2" t="str">
        <f>CLEAN(TRIM(Working_Sales[[#This Row],[Age]]))</f>
        <v>48</v>
      </c>
      <c r="R543" s="6">
        <f>INT(SUBSTITUTE(Working_Sales[[#This Row],[Age_Whitespace_Removed]],".",","))</f>
        <v>48</v>
      </c>
      <c r="S543" t="s">
        <v>109</v>
      </c>
      <c r="T543" s="2" t="str">
        <f>CLEAN(TRIM(Working_Sales[[#This Row],[Product Category]]))</f>
        <v>Electronics</v>
      </c>
      <c r="U543" s="6" t="str">
        <f>PROPER(Working_Sales[[#This Row],[Product_Category_Whitespace_Removed]])</f>
        <v>Electronics</v>
      </c>
      <c r="V543" t="s">
        <v>37</v>
      </c>
      <c r="W543" s="2" t="str">
        <f>CLEAN(TRIM(Working_Sales[[#This Row],[Quantity]]))</f>
        <v>2</v>
      </c>
      <c r="X543" s="2">
        <f>INT(Working_Sales[[#This Row],[`]])</f>
        <v>2</v>
      </c>
      <c r="Y543" s="6">
        <f>IFERROR(
   Working_Sales[[#This Row],[Quantity_Converted_To_Integer]],
   Working_Sales[[#This Row],[Total_Amount_Whitespace_Removed]]/Working_Sales[[#This Row],[Price_Per_Unit_Decimal_Separator_Fixed]])</f>
        <v>2</v>
      </c>
      <c r="Z543" t="s">
        <v>30</v>
      </c>
      <c r="AA543" s="2" t="str">
        <f>CLEAN(TRIM(Working_Sales[[#This Row],[Price per Unit]]))</f>
        <v>25</v>
      </c>
      <c r="AB543" s="2">
        <f>INT(
   SUBSTITUTE(Working_Sales[[#This Row],[Price_Per_Unit_Whitespace_Removed]],
   "$",
   ""
   )
)</f>
        <v>25</v>
      </c>
      <c r="AC543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543" s="8">
        <f>IFERROR(
   Working_Sales[[#This Row],[Price_Per_Unit_Decimal_Separator_Fixed]],
   Working_Sales[[#This Row],[Total_Amount_Converted_To_Integer]]/Working_Sales[[#This Row],[Quantity_Converted_To_Integer]]
)</f>
        <v>25</v>
      </c>
      <c r="AE543" t="s">
        <v>15</v>
      </c>
      <c r="AF543" s="2" t="str">
        <f>CLEAN(TRIM(Working_Sales[[#This Row],[Total Amount]]))</f>
        <v>50</v>
      </c>
      <c r="AG543" s="2">
        <f>INT(Working_Sales[[#This Row],[Total_Amount_Whitespace_Removed]])</f>
        <v>50</v>
      </c>
      <c r="AH54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544" spans="1:34" x14ac:dyDescent="0.35">
      <c r="A544" t="s">
        <v>235</v>
      </c>
      <c r="B544" s="6" t="str">
        <f>CLEAN(TRIM(Working_Sales[[#This Row],[Transaction ID]]))</f>
        <v>57</v>
      </c>
      <c r="C544" t="s">
        <v>1186</v>
      </c>
      <c r="D544" s="2" t="str">
        <f>CLEAN(TRIM(Working_Sales[[#This Row],[Date]]))</f>
        <v>2023-11-18</v>
      </c>
      <c r="E54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45248</v>
      </c>
      <c r="F54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45248</v>
      </c>
      <c r="G54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45248</v>
      </c>
      <c r="H544" t="s">
        <v>2773</v>
      </c>
      <c r="I544" s="2" t="str">
        <f>CLEAN(TRIM(Working_Sales[[#This Row],[Customer ID]]))</f>
        <v>cust372</v>
      </c>
      <c r="J54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4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CUST372</v>
      </c>
      <c r="L544" t="s">
        <v>140</v>
      </c>
      <c r="M544" s="4" t="str">
        <f>CLEAN(TRIM(Working_Sales[[#This Row],[Gender]]))</f>
        <v>FEMALE</v>
      </c>
      <c r="N544" s="4" t="str" cm="1">
        <f t="array" ref="N544">_xlfn.SWITCH(
   Working_Sales[[#This Row],[Gender_Whitespace_Removed]],
   "m", "Male",
   "f", "Female",
   Working_Sales[[#This Row],[Gender_Whitespace_Removed]]
)</f>
        <v>FEMALE</v>
      </c>
      <c r="O544" s="6" t="str">
        <f>PROPER(Working_Sales[[#This Row],[Gender_Abbreviation_Expanded]])</f>
        <v>Female</v>
      </c>
      <c r="P544">
        <v>63</v>
      </c>
      <c r="Q544" s="2" t="str">
        <f>CLEAN(TRIM(Working_Sales[[#This Row],[Age]]))</f>
        <v>63</v>
      </c>
      <c r="R544" s="6">
        <f>INT(SUBSTITUTE(Working_Sales[[#This Row],[Age_Whitespace_Removed]],".",","))</f>
        <v>63</v>
      </c>
      <c r="S544" t="s">
        <v>36</v>
      </c>
      <c r="T544" s="2" t="str">
        <f>CLEAN(TRIM(Working_Sales[[#This Row],[Product Category]]))</f>
        <v>Beauty</v>
      </c>
      <c r="U544" s="6" t="str">
        <f>PROPER(Working_Sales[[#This Row],[Product_Category_Whitespace_Removed]])</f>
        <v>Beauty</v>
      </c>
      <c r="V544" t="s">
        <v>22</v>
      </c>
      <c r="W544" s="2" t="str">
        <f>CLEAN(TRIM(Working_Sales[[#This Row],[Quantity]]))</f>
        <v>1</v>
      </c>
      <c r="X544" s="2">
        <f>INT(Working_Sales[[#This Row],[`]])</f>
        <v>1</v>
      </c>
      <c r="Y544" s="6">
        <f>IFERROR(
   Working_Sales[[#This Row],[Quantity_Converted_To_Integer]],
   Working_Sales[[#This Row],[Total_Amount_Whitespace_Removed]]/Working_Sales[[#This Row],[Price_Per_Unit_Decimal_Separator_Fixed]])</f>
        <v>1</v>
      </c>
      <c r="Z544" t="s">
        <v>70</v>
      </c>
      <c r="AA544" s="2" t="str">
        <f>CLEAN(TRIM(Working_Sales[[#This Row],[Price per Unit]]))</f>
        <v>30</v>
      </c>
      <c r="AB544" s="2">
        <f>INT(
   SUBSTITUTE(Working_Sales[[#This Row],[Price_Per_Unit_Whitespace_Removed]],
   "$",
   ""
   )
)</f>
        <v>30</v>
      </c>
      <c r="AC544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544" s="8">
        <f>IFERROR(
   Working_Sales[[#This Row],[Price_Per_Unit_Decimal_Separator_Fixed]],
   Working_Sales[[#This Row],[Total_Amount_Converted_To_Integer]]/Working_Sales[[#This Row],[Quantity_Converted_To_Integer]]
)</f>
        <v>30</v>
      </c>
      <c r="AF544" s="2" t="str">
        <f>CLEAN(TRIM(Working_Sales[[#This Row],[Total Amount]]))</f>
        <v/>
      </c>
      <c r="AG544" s="2" t="e">
        <f>INT(Working_Sales[[#This Row],[Total_Amount_Whitespace_Removed]])</f>
        <v>#VALUE!</v>
      </c>
      <c r="AH54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545" spans="1:34" x14ac:dyDescent="0.35">
      <c r="A545" t="s">
        <v>1188</v>
      </c>
      <c r="B545" s="6" t="str">
        <f>CLEAN(TRIM(Working_Sales[[#This Row],[Transaction ID]]))</f>
        <v>758</v>
      </c>
      <c r="C545" t="s">
        <v>2120</v>
      </c>
      <c r="D545" s="2" t="str">
        <f>CLEAN(TRIM(Working_Sales[[#This Row],[Date]]))</f>
        <v>2023-05-12</v>
      </c>
      <c r="E54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45058</v>
      </c>
      <c r="F54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45058</v>
      </c>
      <c r="G54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45058</v>
      </c>
      <c r="H545" t="s">
        <v>2774</v>
      </c>
      <c r="I545" s="2" t="str">
        <f>CLEAN(TRIM(Working_Sales[[#This Row],[Customer ID]]))</f>
        <v>CUST373</v>
      </c>
      <c r="J54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CUST373</v>
      </c>
      <c r="K54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CUST373</v>
      </c>
      <c r="L545" t="s">
        <v>34</v>
      </c>
      <c r="M545" s="4" t="str">
        <f>CLEAN(TRIM(Working_Sales[[#This Row],[Gender]]))</f>
        <v>Male</v>
      </c>
      <c r="N545" s="4" t="str" cm="1">
        <f t="array" ref="N545">_xlfn.SWITCH(
   Working_Sales[[#This Row],[Gender_Whitespace_Removed]],
   "m", "Male",
   "f", "Female",
   Working_Sales[[#This Row],[Gender_Whitespace_Removed]]
)</f>
        <v>Male</v>
      </c>
      <c r="O545" s="6" t="str">
        <f>PROPER(Working_Sales[[#This Row],[Gender_Abbreviation_Expanded]])</f>
        <v>Male</v>
      </c>
      <c r="P545" t="s">
        <v>1189</v>
      </c>
      <c r="Q545" s="2" t="str">
        <f>CLEAN(TRIM(Working_Sales[[#This Row],[Age]]))</f>
        <v>64</v>
      </c>
      <c r="R545" s="6">
        <f>INT(SUBSTITUTE(Working_Sales[[#This Row],[Age_Whitespace_Removed]],".",","))</f>
        <v>64</v>
      </c>
      <c r="S545" t="s">
        <v>56</v>
      </c>
      <c r="T545" s="2" t="str">
        <f>CLEAN(TRIM(Working_Sales[[#This Row],[Product Category]]))</f>
        <v>Clothing</v>
      </c>
      <c r="U545" s="6" t="str">
        <f>PROPER(Working_Sales[[#This Row],[Product_Category_Whitespace_Removed]])</f>
        <v>Clothing</v>
      </c>
      <c r="V545" t="s">
        <v>14</v>
      </c>
      <c r="W545" s="2" t="str">
        <f>CLEAN(TRIM(Working_Sales[[#This Row],[Quantity]]))</f>
        <v>4</v>
      </c>
      <c r="X545" s="2">
        <f>INT(Working_Sales[[#This Row],[`]])</f>
        <v>4</v>
      </c>
      <c r="Y545" s="6">
        <f>IFERROR(
   Working_Sales[[#This Row],[Quantity_Converted_To_Integer]],
   Working_Sales[[#This Row],[Total_Amount_Whitespace_Removed]]/Working_Sales[[#This Row],[Price_Per_Unit_Decimal_Separator_Fixed]])</f>
        <v>4</v>
      </c>
      <c r="Z545" t="s">
        <v>30</v>
      </c>
      <c r="AA545" s="2" t="str">
        <f>CLEAN(TRIM(Working_Sales[[#This Row],[Price per Unit]]))</f>
        <v>25</v>
      </c>
      <c r="AB545" s="2">
        <f>INT(
   SUBSTITUTE(Working_Sales[[#This Row],[Price_Per_Unit_Whitespace_Removed]],
   "$",
   ""
   )
)</f>
        <v>25</v>
      </c>
      <c r="AC545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545" s="8">
        <f>IFERROR(
   Working_Sales[[#This Row],[Price_Per_Unit_Decimal_Separator_Fixed]],
   Working_Sales[[#This Row],[Total_Amount_Converted_To_Integer]]/Working_Sales[[#This Row],[Quantity_Converted_To_Integer]]
)</f>
        <v>25</v>
      </c>
      <c r="AE545" t="s">
        <v>38</v>
      </c>
      <c r="AF545" s="2" t="str">
        <f>CLEAN(TRIM(Working_Sales[[#This Row],[Total Amount]]))</f>
        <v>100</v>
      </c>
      <c r="AG545" s="2">
        <f>INT(Working_Sales[[#This Row],[Total_Amount_Whitespace_Removed]])</f>
        <v>100</v>
      </c>
      <c r="AH54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546" spans="1:34" x14ac:dyDescent="0.35">
      <c r="A546" t="s">
        <v>1190</v>
      </c>
      <c r="B546" s="6" t="str">
        <f>CLEAN(TRIM(Working_Sales[[#This Row],[Transaction ID]]))</f>
        <v>146</v>
      </c>
      <c r="C546" t="s">
        <v>67</v>
      </c>
      <c r="D546" s="2" t="str">
        <f>CLEAN(TRIM(Working_Sales[[#This Row],[Date]]))</f>
        <v>2023-08-28</v>
      </c>
      <c r="E54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45166</v>
      </c>
      <c r="F54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45166</v>
      </c>
      <c r="G54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45166</v>
      </c>
      <c r="H546" t="s">
        <v>2183</v>
      </c>
      <c r="I546" s="2" t="str">
        <f>CLEAN(TRIM(Working_Sales[[#This Row],[Customer ID]]))</f>
        <v>CUST147</v>
      </c>
      <c r="J54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CUST147</v>
      </c>
      <c r="K54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CUST147</v>
      </c>
      <c r="L546" t="s">
        <v>34</v>
      </c>
      <c r="M546" s="4" t="str">
        <f>CLEAN(TRIM(Working_Sales[[#This Row],[Gender]]))</f>
        <v>Male</v>
      </c>
      <c r="N546" s="4" t="str" cm="1">
        <f t="array" ref="N546">_xlfn.SWITCH(
   Working_Sales[[#This Row],[Gender_Whitespace_Removed]],
   "m", "Male",
   "f", "Female",
   Working_Sales[[#This Row],[Gender_Whitespace_Removed]]
)</f>
        <v>Male</v>
      </c>
      <c r="O546" s="6" t="str">
        <f>PROPER(Working_Sales[[#This Row],[Gender_Abbreviation_Expanded]])</f>
        <v>Male</v>
      </c>
      <c r="P546">
        <v>38</v>
      </c>
      <c r="Q546" s="2" t="str">
        <f>CLEAN(TRIM(Working_Sales[[#This Row],[Age]]))</f>
        <v>38</v>
      </c>
      <c r="R546" s="6">
        <f>INT(SUBSTITUTE(Working_Sales[[#This Row],[Age_Whitespace_Removed]],".",","))</f>
        <v>38</v>
      </c>
      <c r="S546" t="s">
        <v>89</v>
      </c>
      <c r="T546" s="2" t="str">
        <f>CLEAN(TRIM(Working_Sales[[#This Row],[Product Category]]))</f>
        <v>CLOTHING</v>
      </c>
      <c r="U546" s="6" t="str">
        <f>PROPER(Working_Sales[[#This Row],[Product_Category_Whitespace_Removed]])</f>
        <v>Clothing</v>
      </c>
      <c r="V546" t="s">
        <v>14</v>
      </c>
      <c r="W546" s="2" t="str">
        <f>CLEAN(TRIM(Working_Sales[[#This Row],[Quantity]]))</f>
        <v>4</v>
      </c>
      <c r="X546" s="2">
        <f>INT(Working_Sales[[#This Row],[`]])</f>
        <v>4</v>
      </c>
      <c r="Y546" s="6">
        <f>IFERROR(
   Working_Sales[[#This Row],[Quantity_Converted_To_Integer]],
   Working_Sales[[#This Row],[Total_Amount_Whitespace_Removed]]/Working_Sales[[#This Row],[Price_Per_Unit_Decimal_Separator_Fixed]])</f>
        <v>4</v>
      </c>
      <c r="Z546" t="s">
        <v>15</v>
      </c>
      <c r="AA546" s="2" t="str">
        <f>CLEAN(TRIM(Working_Sales[[#This Row],[Price per Unit]]))</f>
        <v>50</v>
      </c>
      <c r="AB546" s="2">
        <f>INT(
   SUBSTITUTE(Working_Sales[[#This Row],[Price_Per_Unit_Whitespace_Removed]],
   "$",
   ""
   )
)</f>
        <v>50</v>
      </c>
      <c r="AC546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546" s="8">
        <f>IFERROR(
   Working_Sales[[#This Row],[Price_Per_Unit_Decimal_Separator_Fixed]],
   Working_Sales[[#This Row],[Total_Amount_Converted_To_Integer]]/Working_Sales[[#This Row],[Quantity_Converted_To_Integer]]
)</f>
        <v>50</v>
      </c>
      <c r="AE546" t="s">
        <v>16</v>
      </c>
      <c r="AF546" s="2" t="str">
        <f>CLEAN(TRIM(Working_Sales[[#This Row],[Total Amount]]))</f>
        <v>200</v>
      </c>
      <c r="AG546" s="2">
        <f>INT(Working_Sales[[#This Row],[Total_Amount_Whitespace_Removed]])</f>
        <v>200</v>
      </c>
      <c r="AH54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547" spans="1:34" x14ac:dyDescent="0.35">
      <c r="A547" t="s">
        <v>1191</v>
      </c>
      <c r="B547" s="6" t="str">
        <f>CLEAN(TRIM(Working_Sales[[#This Row],[Transaction ID]]))</f>
        <v>91</v>
      </c>
      <c r="C547" t="s">
        <v>1192</v>
      </c>
      <c r="D547" s="2" t="str">
        <f>CLEAN(TRIM(Working_Sales[[#This Row],[Date]]))</f>
        <v>2023-03-25</v>
      </c>
      <c r="E54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45010</v>
      </c>
      <c r="F54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45010</v>
      </c>
      <c r="G54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45010</v>
      </c>
      <c r="H547" t="s">
        <v>1382</v>
      </c>
      <c r="I547" s="2" t="str">
        <f>CLEAN(TRIM(Working_Sales[[#This Row],[Customer ID]]))</f>
        <v>CUST104</v>
      </c>
      <c r="J54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CUST104</v>
      </c>
      <c r="K54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CUST104</v>
      </c>
      <c r="L547" t="s">
        <v>26</v>
      </c>
      <c r="M547" s="4" t="str">
        <f>CLEAN(TRIM(Working_Sales[[#This Row],[Gender]]))</f>
        <v>Female</v>
      </c>
      <c r="N547" s="4" t="str" cm="1">
        <f t="array" ref="N547">_xlfn.SWITCH(
   Working_Sales[[#This Row],[Gender_Whitespace_Removed]],
   "m", "Male",
   "f", "Female",
   Working_Sales[[#This Row],[Gender_Whitespace_Removed]]
)</f>
        <v>Female</v>
      </c>
      <c r="O547" s="6" t="str">
        <f>PROPER(Working_Sales[[#This Row],[Gender_Abbreviation_Expanded]])</f>
        <v>Female</v>
      </c>
      <c r="P547">
        <v>55</v>
      </c>
      <c r="Q547" s="2" t="str">
        <f>CLEAN(TRIM(Working_Sales[[#This Row],[Age]]))</f>
        <v>55</v>
      </c>
      <c r="R547" s="6">
        <f>INT(SUBSTITUTE(Working_Sales[[#This Row],[Age_Whitespace_Removed]],".",","))</f>
        <v>55</v>
      </c>
      <c r="S547" t="s">
        <v>13</v>
      </c>
      <c r="T547" s="2" t="str">
        <f>CLEAN(TRIM(Working_Sales[[#This Row],[Product Category]]))</f>
        <v>Electronics</v>
      </c>
      <c r="U547" s="6" t="str">
        <f>PROPER(Working_Sales[[#This Row],[Product_Category_Whitespace_Removed]])</f>
        <v>Electronics</v>
      </c>
      <c r="V547" t="s">
        <v>22</v>
      </c>
      <c r="W547" s="2" t="str">
        <f>CLEAN(TRIM(Working_Sales[[#This Row],[Quantity]]))</f>
        <v>1</v>
      </c>
      <c r="X547" s="2">
        <f>INT(Working_Sales[[#This Row],[`]])</f>
        <v>1</v>
      </c>
      <c r="Y547" s="6">
        <f>IFERROR(
   Working_Sales[[#This Row],[Quantity_Converted_To_Integer]],
   Working_Sales[[#This Row],[Total_Amount_Whitespace_Removed]]/Working_Sales[[#This Row],[Price_Per_Unit_Decimal_Separator_Fixed]])</f>
        <v>1</v>
      </c>
      <c r="Z547" t="s">
        <v>57</v>
      </c>
      <c r="AA547" s="2" t="str">
        <f>CLEAN(TRIM(Working_Sales[[#This Row],[Price per Unit]]))</f>
        <v>500</v>
      </c>
      <c r="AB547" s="2">
        <f>INT(
   SUBSTITUTE(Working_Sales[[#This Row],[Price_Per_Unit_Whitespace_Removed]],
   "$",
   ""
   )
)</f>
        <v>500</v>
      </c>
      <c r="AC547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547" s="8">
        <f>IFERROR(
   Working_Sales[[#This Row],[Price_Per_Unit_Decimal_Separator_Fixed]],
   Working_Sales[[#This Row],[Total_Amount_Converted_To_Integer]]/Working_Sales[[#This Row],[Quantity_Converted_To_Integer]]
)</f>
        <v>500</v>
      </c>
      <c r="AE547" t="s">
        <v>57</v>
      </c>
      <c r="AF547" s="2" t="str">
        <f>CLEAN(TRIM(Working_Sales[[#This Row],[Total Amount]]))</f>
        <v>500</v>
      </c>
      <c r="AG547" s="2">
        <f>INT(Working_Sales[[#This Row],[Total_Amount_Whitespace_Removed]])</f>
        <v>500</v>
      </c>
      <c r="AH54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548" spans="1:34" x14ac:dyDescent="0.35">
      <c r="A548" t="s">
        <v>1193</v>
      </c>
      <c r="B548" s="6" t="str">
        <f>CLEAN(TRIM(Working_Sales[[#This Row],[Transaction ID]]))</f>
        <v>393</v>
      </c>
      <c r="C548" t="s">
        <v>464</v>
      </c>
      <c r="D548" s="2" t="str">
        <f>CLEAN(TRIM(Working_Sales[[#This Row],[Date]]))</f>
        <v>2023-10-11</v>
      </c>
      <c r="E54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45210</v>
      </c>
      <c r="F54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45210</v>
      </c>
      <c r="G54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45210</v>
      </c>
      <c r="H548" t="s">
        <v>2775</v>
      </c>
      <c r="I548" s="2" t="str">
        <f>CLEAN(TRIM(Working_Sales[[#This Row],[Customer ID]]))</f>
        <v>CUST054</v>
      </c>
      <c r="J54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CUST054</v>
      </c>
      <c r="K54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CUST054</v>
      </c>
      <c r="L548" t="s">
        <v>26</v>
      </c>
      <c r="M548" s="4" t="str">
        <f>CLEAN(TRIM(Working_Sales[[#This Row],[Gender]]))</f>
        <v>Female</v>
      </c>
      <c r="N548" s="4" t="str" cm="1">
        <f t="array" ref="N548">_xlfn.SWITCH(
   Working_Sales[[#This Row],[Gender_Whitespace_Removed]],
   "m", "Male",
   "f", "Female",
   Working_Sales[[#This Row],[Gender_Whitespace_Removed]]
)</f>
        <v>Female</v>
      </c>
      <c r="O548" s="6" t="str">
        <f>PROPER(Working_Sales[[#This Row],[Gender_Abbreviation_Expanded]])</f>
        <v>Female</v>
      </c>
      <c r="P548">
        <v>22</v>
      </c>
      <c r="Q548" s="2" t="str">
        <f>CLEAN(TRIM(Working_Sales[[#This Row],[Age]]))</f>
        <v>22</v>
      </c>
      <c r="R548" s="6">
        <f>INT(SUBSTITUTE(Working_Sales[[#This Row],[Age_Whitespace_Removed]],".",","))</f>
        <v>22</v>
      </c>
      <c r="S548" t="s">
        <v>36</v>
      </c>
      <c r="T548" s="2" t="str">
        <f>CLEAN(TRIM(Working_Sales[[#This Row],[Product Category]]))</f>
        <v>Beauty</v>
      </c>
      <c r="U548" s="6" t="str">
        <f>PROPER(Working_Sales[[#This Row],[Product_Category_Whitespace_Removed]])</f>
        <v>Beauty</v>
      </c>
      <c r="V548" t="s">
        <v>37</v>
      </c>
      <c r="W548" s="2" t="str">
        <f>CLEAN(TRIM(Working_Sales[[#This Row],[Quantity]]))</f>
        <v>2</v>
      </c>
      <c r="X548" s="2">
        <f>INT(Working_Sales[[#This Row],[`]])</f>
        <v>2</v>
      </c>
      <c r="Y548" s="6">
        <f>IFERROR(
   Working_Sales[[#This Row],[Quantity_Converted_To_Integer]],
   Working_Sales[[#This Row],[Total_Amount_Whitespace_Removed]]/Working_Sales[[#This Row],[Price_Per_Unit_Decimal_Separator_Fixed]])</f>
        <v>2</v>
      </c>
      <c r="Z548" t="s">
        <v>57</v>
      </c>
      <c r="AA548" s="2" t="str">
        <f>CLEAN(TRIM(Working_Sales[[#This Row],[Price per Unit]]))</f>
        <v>500</v>
      </c>
      <c r="AB548" s="2">
        <f>INT(
   SUBSTITUTE(Working_Sales[[#This Row],[Price_Per_Unit_Whitespace_Removed]],
   "$",
   ""
   )
)</f>
        <v>500</v>
      </c>
      <c r="AC548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548" s="8">
        <f>IFERROR(
   Working_Sales[[#This Row],[Price_Per_Unit_Decimal_Separator_Fixed]],
   Working_Sales[[#This Row],[Total_Amount_Converted_To_Integer]]/Working_Sales[[#This Row],[Quantity_Converted_To_Integer]]
)</f>
        <v>500</v>
      </c>
      <c r="AE548" t="s">
        <v>163</v>
      </c>
      <c r="AF548" s="2" t="str">
        <f>CLEAN(TRIM(Working_Sales[[#This Row],[Total Amount]]))</f>
        <v>1000</v>
      </c>
      <c r="AG548" s="2">
        <f>INT(Working_Sales[[#This Row],[Total_Amount_Whitespace_Removed]])</f>
        <v>1000</v>
      </c>
      <c r="AH54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549" spans="1:34" x14ac:dyDescent="0.35">
      <c r="A549" t="s">
        <v>1195</v>
      </c>
      <c r="B549" s="6" t="str">
        <f>CLEAN(TRIM(Working_Sales[[#This Row],[Transaction ID]]))</f>
        <v>311</v>
      </c>
      <c r="C549" t="s">
        <v>111</v>
      </c>
      <c r="D549" s="2" t="str">
        <f>CLEAN(TRIM(Working_Sales[[#This Row],[Date]]))</f>
        <v>December 05, 2023</v>
      </c>
      <c r="E549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549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54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45265</v>
      </c>
      <c r="H549" t="s">
        <v>2776</v>
      </c>
      <c r="I549" s="2" t="str">
        <f>CLEAN(TRIM(Working_Sales[[#This Row],[Customer ID]]))</f>
        <v>CUST374</v>
      </c>
      <c r="J54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CUST374</v>
      </c>
      <c r="K54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CUST374</v>
      </c>
      <c r="L549" t="s">
        <v>26</v>
      </c>
      <c r="M549" s="4" t="str">
        <f>CLEAN(TRIM(Working_Sales[[#This Row],[Gender]]))</f>
        <v>Female</v>
      </c>
      <c r="N549" s="4" t="str" cm="1">
        <f t="array" ref="N549">_xlfn.SWITCH(
   Working_Sales[[#This Row],[Gender_Whitespace_Removed]],
   "m", "Male",
   "f", "Female",
   Working_Sales[[#This Row],[Gender_Whitespace_Removed]]
)</f>
        <v>Female</v>
      </c>
      <c r="O549" s="6" t="str">
        <f>PROPER(Working_Sales[[#This Row],[Gender_Abbreviation_Expanded]])</f>
        <v>Female</v>
      </c>
      <c r="P549">
        <v>32</v>
      </c>
      <c r="Q549" s="2" t="str">
        <f>CLEAN(TRIM(Working_Sales[[#This Row],[Age]]))</f>
        <v>32</v>
      </c>
      <c r="R549" s="6">
        <f>INT(SUBSTITUTE(Working_Sales[[#This Row],[Age_Whitespace_Removed]],".",","))</f>
        <v>32</v>
      </c>
      <c r="S549" t="s">
        <v>62</v>
      </c>
      <c r="T549" s="2" t="str">
        <f>CLEAN(TRIM(Working_Sales[[#This Row],[Product Category]]))</f>
        <v>beauty</v>
      </c>
      <c r="U549" s="6" t="str">
        <f>PROPER(Working_Sales[[#This Row],[Product_Category_Whitespace_Removed]])</f>
        <v>Beauty</v>
      </c>
      <c r="V549" t="s">
        <v>14</v>
      </c>
      <c r="W549" s="2" t="str">
        <f>CLEAN(TRIM(Working_Sales[[#This Row],[Quantity]]))</f>
        <v>4</v>
      </c>
      <c r="X549" s="2">
        <f>INT(Working_Sales[[#This Row],[`]])</f>
        <v>4</v>
      </c>
      <c r="Y549" s="6">
        <f>IFERROR(
   Working_Sales[[#This Row],[Quantity_Converted_To_Integer]],
   Working_Sales[[#This Row],[Total_Amount_Whitespace_Removed]]/Working_Sales[[#This Row],[Price_Per_Unit_Decimal_Separator_Fixed]])</f>
        <v>4</v>
      </c>
      <c r="Z549" t="s">
        <v>30</v>
      </c>
      <c r="AA549" s="2" t="str">
        <f>CLEAN(TRIM(Working_Sales[[#This Row],[Price per Unit]]))</f>
        <v>25</v>
      </c>
      <c r="AB549" s="2">
        <f>INT(
   SUBSTITUTE(Working_Sales[[#This Row],[Price_Per_Unit_Whitespace_Removed]],
   "$",
   ""
   )
)</f>
        <v>25</v>
      </c>
      <c r="AC549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549" s="8">
        <f>IFERROR(
   Working_Sales[[#This Row],[Price_Per_Unit_Decimal_Separator_Fixed]],
   Working_Sales[[#This Row],[Total_Amount_Converted_To_Integer]]/Working_Sales[[#This Row],[Quantity_Converted_To_Integer]]
)</f>
        <v>25</v>
      </c>
      <c r="AE549" t="s">
        <v>38</v>
      </c>
      <c r="AF549" s="2" t="str">
        <f>CLEAN(TRIM(Working_Sales[[#This Row],[Total Amount]]))</f>
        <v>100</v>
      </c>
      <c r="AG549" s="2">
        <f>INT(Working_Sales[[#This Row],[Total_Amount_Whitespace_Removed]])</f>
        <v>100</v>
      </c>
      <c r="AH54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550" spans="1:34" x14ac:dyDescent="0.35">
      <c r="A550" t="s">
        <v>1197</v>
      </c>
      <c r="B550" s="6" t="str">
        <f>CLEAN(TRIM(Working_Sales[[#This Row],[Transaction ID]]))</f>
        <v>360</v>
      </c>
      <c r="C550" t="s">
        <v>1676</v>
      </c>
      <c r="D550" s="2" t="str">
        <f>CLEAN(TRIM(Working_Sales[[#This Row],[Date]]))</f>
        <v>2023-03-09</v>
      </c>
      <c r="E55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44994</v>
      </c>
      <c r="F55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44994</v>
      </c>
      <c r="G55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44994</v>
      </c>
      <c r="H550" t="s">
        <v>2777</v>
      </c>
      <c r="I550" s="2" t="str">
        <f>CLEAN(TRIM(Working_Sales[[#This Row],[Customer ID]]))</f>
        <v>cust375</v>
      </c>
      <c r="J55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5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CUST375</v>
      </c>
      <c r="L550" t="s">
        <v>34</v>
      </c>
      <c r="M550" s="4" t="str">
        <f>CLEAN(TRIM(Working_Sales[[#This Row],[Gender]]))</f>
        <v>Male</v>
      </c>
      <c r="N550" s="4" t="str" cm="1">
        <f t="array" ref="N550">_xlfn.SWITCH(
   Working_Sales[[#This Row],[Gender_Whitespace_Removed]],
   "m", "Male",
   "f", "Female",
   Working_Sales[[#This Row],[Gender_Whitespace_Removed]]
)</f>
        <v>Male</v>
      </c>
      <c r="O550" s="6" t="str">
        <f>PROPER(Working_Sales[[#This Row],[Gender_Abbreviation_Expanded]])</f>
        <v>Male</v>
      </c>
      <c r="P550">
        <v>42</v>
      </c>
      <c r="Q550" s="2" t="str">
        <f>CLEAN(TRIM(Working_Sales[[#This Row],[Age]]))</f>
        <v>42</v>
      </c>
      <c r="R550" s="6">
        <f>INT(SUBSTITUTE(Working_Sales[[#This Row],[Age_Whitespace_Removed]],".",","))</f>
        <v>42</v>
      </c>
      <c r="S550" t="s">
        <v>56</v>
      </c>
      <c r="T550" s="2" t="str">
        <f>CLEAN(TRIM(Working_Sales[[#This Row],[Product Category]]))</f>
        <v>Clothing</v>
      </c>
      <c r="U550" s="6" t="str">
        <f>PROPER(Working_Sales[[#This Row],[Product_Category_Whitespace_Removed]])</f>
        <v>Clothing</v>
      </c>
      <c r="V550" t="s">
        <v>14</v>
      </c>
      <c r="W550" s="2" t="str">
        <f>CLEAN(TRIM(Working_Sales[[#This Row],[Quantity]]))</f>
        <v>4</v>
      </c>
      <c r="X550" s="2">
        <f>INT(Working_Sales[[#This Row],[`]])</f>
        <v>4</v>
      </c>
      <c r="Y550" s="6">
        <f>IFERROR(
   Working_Sales[[#This Row],[Quantity_Converted_To_Integer]],
   Working_Sales[[#This Row],[Total_Amount_Whitespace_Removed]]/Working_Sales[[#This Row],[Price_Per_Unit_Decimal_Separator_Fixed]])</f>
        <v>4</v>
      </c>
      <c r="Z550" t="s">
        <v>30</v>
      </c>
      <c r="AA550" s="2" t="str">
        <f>CLEAN(TRIM(Working_Sales[[#This Row],[Price per Unit]]))</f>
        <v>25</v>
      </c>
      <c r="AB550" s="2">
        <f>INT(
   SUBSTITUTE(Working_Sales[[#This Row],[Price_Per_Unit_Whitespace_Removed]],
   "$",
   ""
   )
)</f>
        <v>25</v>
      </c>
      <c r="AC550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550" s="8">
        <f>IFERROR(
   Working_Sales[[#This Row],[Price_Per_Unit_Decimal_Separator_Fixed]],
   Working_Sales[[#This Row],[Total_Amount_Converted_To_Integer]]/Working_Sales[[#This Row],[Quantity_Converted_To_Integer]]
)</f>
        <v>25</v>
      </c>
      <c r="AE550" t="s">
        <v>38</v>
      </c>
      <c r="AF550" s="2" t="str">
        <f>CLEAN(TRIM(Working_Sales[[#This Row],[Total Amount]]))</f>
        <v>100</v>
      </c>
      <c r="AG550" s="2">
        <f>INT(Working_Sales[[#This Row],[Total_Amount_Whitespace_Removed]])</f>
        <v>100</v>
      </c>
      <c r="AH55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551" spans="1:34" x14ac:dyDescent="0.35">
      <c r="A551" t="s">
        <v>1199</v>
      </c>
      <c r="B551" s="6" t="str">
        <f>CLEAN(TRIM(Working_Sales[[#This Row],[Transaction ID]]))</f>
        <v>94</v>
      </c>
      <c r="C551" t="s">
        <v>1200</v>
      </c>
      <c r="D551" s="2" t="str">
        <f>CLEAN(TRIM(Working_Sales[[#This Row],[Date]]))</f>
        <v>19/05/2023</v>
      </c>
      <c r="E55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45065</v>
      </c>
      <c r="F55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45065</v>
      </c>
      <c r="G55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45065</v>
      </c>
      <c r="H551" t="s">
        <v>2778</v>
      </c>
      <c r="I551" s="2" t="str">
        <f>CLEAN(TRIM(Working_Sales[[#This Row],[Customer ID]]))</f>
        <v>CUST370</v>
      </c>
      <c r="J55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CUST370</v>
      </c>
      <c r="K55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CUST370</v>
      </c>
      <c r="L551" t="s">
        <v>26</v>
      </c>
      <c r="M551" s="4" t="str">
        <f>CLEAN(TRIM(Working_Sales[[#This Row],[Gender]]))</f>
        <v>Female</v>
      </c>
      <c r="N551" s="4" t="str" cm="1">
        <f t="array" ref="N551">_xlfn.SWITCH(
   Working_Sales[[#This Row],[Gender_Whitespace_Removed]],
   "m", "Male",
   "f", "Female",
   Working_Sales[[#This Row],[Gender_Whitespace_Removed]]
)</f>
        <v>Female</v>
      </c>
      <c r="O551" s="6" t="str">
        <f>PROPER(Working_Sales[[#This Row],[Gender_Abbreviation_Expanded]])</f>
        <v>Female</v>
      </c>
      <c r="P551" t="s">
        <v>88</v>
      </c>
      <c r="Q551" s="2" t="str">
        <f>CLEAN(TRIM(Working_Sales[[#This Row],[Age]]))</f>
        <v>47.0</v>
      </c>
      <c r="R551" s="6">
        <f>INT(SUBSTITUTE(Working_Sales[[#This Row],[Age_Whitespace_Removed]],".",","))</f>
        <v>47</v>
      </c>
      <c r="S551" t="s">
        <v>62</v>
      </c>
      <c r="T551" s="2" t="str">
        <f>CLEAN(TRIM(Working_Sales[[#This Row],[Product Category]]))</f>
        <v>beauty</v>
      </c>
      <c r="U551" s="6" t="str">
        <f>PROPER(Working_Sales[[#This Row],[Product_Category_Whitespace_Removed]])</f>
        <v>Beauty</v>
      </c>
      <c r="V551" t="s">
        <v>37</v>
      </c>
      <c r="W551" s="2" t="str">
        <f>CLEAN(TRIM(Working_Sales[[#This Row],[Quantity]]))</f>
        <v>2</v>
      </c>
      <c r="X551" s="2">
        <f>INT(Working_Sales[[#This Row],[`]])</f>
        <v>2</v>
      </c>
      <c r="Y551" s="6">
        <f>IFERROR(
   Working_Sales[[#This Row],[Quantity_Converted_To_Integer]],
   Working_Sales[[#This Row],[Total_Amount_Whitespace_Removed]]/Working_Sales[[#This Row],[Price_Per_Unit_Decimal_Separator_Fixed]])</f>
        <v>2</v>
      </c>
      <c r="Z551" t="s">
        <v>57</v>
      </c>
      <c r="AA551" s="2" t="str">
        <f>CLEAN(TRIM(Working_Sales[[#This Row],[Price per Unit]]))</f>
        <v>500</v>
      </c>
      <c r="AB551" s="2">
        <f>INT(
   SUBSTITUTE(Working_Sales[[#This Row],[Price_Per_Unit_Whitespace_Removed]],
   "$",
   ""
   )
)</f>
        <v>500</v>
      </c>
      <c r="AC551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551" s="8">
        <f>IFERROR(
   Working_Sales[[#This Row],[Price_Per_Unit_Decimal_Separator_Fixed]],
   Working_Sales[[#This Row],[Total_Amount_Converted_To_Integer]]/Working_Sales[[#This Row],[Quantity_Converted_To_Integer]]
)</f>
        <v>500</v>
      </c>
      <c r="AE551" t="s">
        <v>163</v>
      </c>
      <c r="AF551" s="2" t="str">
        <f>CLEAN(TRIM(Working_Sales[[#This Row],[Total Amount]]))</f>
        <v>1000</v>
      </c>
      <c r="AG551" s="2">
        <f>INT(Working_Sales[[#This Row],[Total_Amount_Whitespace_Removed]])</f>
        <v>1000</v>
      </c>
      <c r="AH55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552" spans="1:34" x14ac:dyDescent="0.35">
      <c r="A552" t="s">
        <v>1202</v>
      </c>
      <c r="B552" s="6" t="str">
        <f>CLEAN(TRIM(Working_Sales[[#This Row],[Transaction ID]]))</f>
        <v>823</v>
      </c>
      <c r="C552" t="s">
        <v>1203</v>
      </c>
      <c r="D552" s="2" t="str">
        <f>CLEAN(TRIM(Working_Sales[[#This Row],[Date]]))</f>
        <v>08/19/2023</v>
      </c>
      <c r="E552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55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45157</v>
      </c>
      <c r="G55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45157</v>
      </c>
      <c r="H552" t="s">
        <v>1196</v>
      </c>
      <c r="I552" s="2" t="str">
        <f>CLEAN(TRIM(Working_Sales[[#This Row],[Customer ID]]))</f>
        <v>CUST311</v>
      </c>
      <c r="J55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CUST311</v>
      </c>
      <c r="K55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CUST311</v>
      </c>
      <c r="L552" t="s">
        <v>140</v>
      </c>
      <c r="M552" s="4" t="str">
        <f>CLEAN(TRIM(Working_Sales[[#This Row],[Gender]]))</f>
        <v>FEMALE</v>
      </c>
      <c r="N552" s="4" t="str" cm="1">
        <f t="array" ref="N552">_xlfn.SWITCH(
   Working_Sales[[#This Row],[Gender_Whitespace_Removed]],
   "m", "Male",
   "f", "Female",
   Working_Sales[[#This Row],[Gender_Whitespace_Removed]]
)</f>
        <v>FEMALE</v>
      </c>
      <c r="O552" s="6" t="str">
        <f>PROPER(Working_Sales[[#This Row],[Gender_Abbreviation_Expanded]])</f>
        <v>Female</v>
      </c>
      <c r="P552">
        <v>56</v>
      </c>
      <c r="Q552" s="2" t="str">
        <f>CLEAN(TRIM(Working_Sales[[#This Row],[Age]]))</f>
        <v>56</v>
      </c>
      <c r="R552" s="6">
        <f>INT(SUBSTITUTE(Working_Sales[[#This Row],[Age_Whitespace_Removed]],".",","))</f>
        <v>56</v>
      </c>
      <c r="S552" t="s">
        <v>13</v>
      </c>
      <c r="T552" s="2" t="str">
        <f>CLEAN(TRIM(Working_Sales[[#This Row],[Product Category]]))</f>
        <v>Electronics</v>
      </c>
      <c r="U552" s="6" t="str">
        <f>PROPER(Working_Sales[[#This Row],[Product_Category_Whitespace_Removed]])</f>
        <v>Electronics</v>
      </c>
      <c r="V552" t="s">
        <v>37</v>
      </c>
      <c r="W552" s="2" t="str">
        <f>CLEAN(TRIM(Working_Sales[[#This Row],[Quantity]]))</f>
        <v>2</v>
      </c>
      <c r="X552" s="2">
        <f>INT(Working_Sales[[#This Row],[`]])</f>
        <v>2</v>
      </c>
      <c r="Y552" s="6">
        <f>IFERROR(
   Working_Sales[[#This Row],[Quantity_Converted_To_Integer]],
   Working_Sales[[#This Row],[Total_Amount_Whitespace_Removed]]/Working_Sales[[#This Row],[Price_Per_Unit_Decimal_Separator_Fixed]])</f>
        <v>2</v>
      </c>
      <c r="Z552" t="s">
        <v>15</v>
      </c>
      <c r="AA552" s="2" t="str">
        <f>CLEAN(TRIM(Working_Sales[[#This Row],[Price per Unit]]))</f>
        <v>50</v>
      </c>
      <c r="AB552" s="2">
        <f>INT(
   SUBSTITUTE(Working_Sales[[#This Row],[Price_Per_Unit_Whitespace_Removed]],
   "$",
   ""
   )
)</f>
        <v>50</v>
      </c>
      <c r="AC552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552" s="8">
        <f>IFERROR(
   Working_Sales[[#This Row],[Price_Per_Unit_Decimal_Separator_Fixed]],
   Working_Sales[[#This Row],[Total_Amount_Converted_To_Integer]]/Working_Sales[[#This Row],[Quantity_Converted_To_Integer]]
)</f>
        <v>50</v>
      </c>
      <c r="AF552" s="2" t="str">
        <f>CLEAN(TRIM(Working_Sales[[#This Row],[Total Amount]]))</f>
        <v/>
      </c>
      <c r="AG552" s="2" t="e">
        <f>INT(Working_Sales[[#This Row],[Total_Amount_Whitespace_Removed]])</f>
        <v>#VALUE!</v>
      </c>
      <c r="AH55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553" spans="1:34" x14ac:dyDescent="0.35">
      <c r="A553" t="s">
        <v>1204</v>
      </c>
      <c r="B553" s="6" t="str">
        <f>CLEAN(TRIM(Working_Sales[[#This Row],[Transaction ID]]))</f>
        <v>757</v>
      </c>
      <c r="C553" t="s">
        <v>1205</v>
      </c>
      <c r="D553" s="2" t="str">
        <f>CLEAN(TRIM(Working_Sales[[#This Row],[Date]]))</f>
        <v>25/12/2023</v>
      </c>
      <c r="E55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45285</v>
      </c>
      <c r="F55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45285</v>
      </c>
      <c r="G55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45285</v>
      </c>
      <c r="H553" t="s">
        <v>2779</v>
      </c>
      <c r="I553" s="2" t="str">
        <f>CLEAN(TRIM(Working_Sales[[#This Row],[Customer ID]]))</f>
        <v>cust373</v>
      </c>
      <c r="J55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5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CUST373</v>
      </c>
      <c r="L553" t="s">
        <v>140</v>
      </c>
      <c r="M553" s="4" t="str">
        <f>CLEAN(TRIM(Working_Sales[[#This Row],[Gender]]))</f>
        <v>FEMALE</v>
      </c>
      <c r="N553" s="4" t="str" cm="1">
        <f t="array" ref="N553">_xlfn.SWITCH(
   Working_Sales[[#This Row],[Gender_Whitespace_Removed]],
   "m", "Male",
   "f", "Female",
   Working_Sales[[#This Row],[Gender_Whitespace_Removed]]
)</f>
        <v>FEMALE</v>
      </c>
      <c r="O553" s="6" t="str">
        <f>PROPER(Working_Sales[[#This Row],[Gender_Abbreviation_Expanded]])</f>
        <v>Female</v>
      </c>
      <c r="P553">
        <v>43</v>
      </c>
      <c r="Q553" s="2" t="str">
        <f>CLEAN(TRIM(Working_Sales[[#This Row],[Age]]))</f>
        <v>43</v>
      </c>
      <c r="R553" s="6">
        <f>INT(SUBSTITUTE(Working_Sales[[#This Row],[Age_Whitespace_Removed]],".",","))</f>
        <v>43</v>
      </c>
      <c r="S553" t="s">
        <v>48</v>
      </c>
      <c r="T553" s="2" t="str">
        <f>CLEAN(TRIM(Working_Sales[[#This Row],[Product Category]]))</f>
        <v>electronics</v>
      </c>
      <c r="U553" s="6" t="str">
        <f>PROPER(Working_Sales[[#This Row],[Product_Category_Whitespace_Removed]])</f>
        <v>Electronics</v>
      </c>
      <c r="V553" t="s">
        <v>14</v>
      </c>
      <c r="W553" s="2" t="str">
        <f>CLEAN(TRIM(Working_Sales[[#This Row],[Quantity]]))</f>
        <v>4</v>
      </c>
      <c r="X553" s="2">
        <f>INT(Working_Sales[[#This Row],[`]])</f>
        <v>4</v>
      </c>
      <c r="Y553" s="6">
        <f>IFERROR(
   Working_Sales[[#This Row],[Quantity_Converted_To_Integer]],
   Working_Sales[[#This Row],[Total_Amount_Whitespace_Removed]]/Working_Sales[[#This Row],[Price_Per_Unit_Decimal_Separator_Fixed]])</f>
        <v>4</v>
      </c>
      <c r="Z553" t="s">
        <v>23</v>
      </c>
      <c r="AA553" s="2" t="str">
        <f>CLEAN(TRIM(Working_Sales[[#This Row],[Price per Unit]]))</f>
        <v>300</v>
      </c>
      <c r="AB553" s="2">
        <f>INT(
   SUBSTITUTE(Working_Sales[[#This Row],[Price_Per_Unit_Whitespace_Removed]],
   "$",
   ""
   )
)</f>
        <v>300</v>
      </c>
      <c r="AC553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553" s="8">
        <f>IFERROR(
   Working_Sales[[#This Row],[Price_Per_Unit_Decimal_Separator_Fixed]],
   Working_Sales[[#This Row],[Total_Amount_Converted_To_Integer]]/Working_Sales[[#This Row],[Quantity_Converted_To_Integer]]
)</f>
        <v>300</v>
      </c>
      <c r="AE553" t="s">
        <v>79</v>
      </c>
      <c r="AF553" s="2" t="str">
        <f>CLEAN(TRIM(Working_Sales[[#This Row],[Total Amount]]))</f>
        <v>1200</v>
      </c>
      <c r="AG553" s="2">
        <f>INT(Working_Sales[[#This Row],[Total_Amount_Whitespace_Removed]])</f>
        <v>1200</v>
      </c>
      <c r="AH55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554" spans="1:34" x14ac:dyDescent="0.35">
      <c r="A554" t="s">
        <v>1206</v>
      </c>
      <c r="B554" s="6" t="str">
        <f>CLEAN(TRIM(Working_Sales[[#This Row],[Transaction ID]]))</f>
        <v>377</v>
      </c>
      <c r="C554" t="s">
        <v>2121</v>
      </c>
      <c r="D554" s="2" t="str">
        <f>CLEAN(TRIM(Working_Sales[[#This Row],[Date]]))</f>
        <v>09-Mar-2023</v>
      </c>
      <c r="E55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44994</v>
      </c>
      <c r="F55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44994</v>
      </c>
      <c r="G55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44994</v>
      </c>
      <c r="H554" t="s">
        <v>2780</v>
      </c>
      <c r="I554" s="2" t="str">
        <f>CLEAN(TRIM(Working_Sales[[#This Row],[Customer ID]]))</f>
        <v>cust355</v>
      </c>
      <c r="J55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5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CUST355</v>
      </c>
      <c r="L554" t="s">
        <v>26</v>
      </c>
      <c r="M554" s="4" t="str">
        <f>CLEAN(TRIM(Working_Sales[[#This Row],[Gender]]))</f>
        <v>Female</v>
      </c>
      <c r="N554" s="4" t="str" cm="1">
        <f t="array" ref="N554">_xlfn.SWITCH(
   Working_Sales[[#This Row],[Gender_Whitespace_Removed]],
   "m", "Male",
   "f", "Female",
   Working_Sales[[#This Row],[Gender_Whitespace_Removed]]
)</f>
        <v>Female</v>
      </c>
      <c r="O554" s="6" t="str">
        <f>PROPER(Working_Sales[[#This Row],[Gender_Abbreviation_Expanded]])</f>
        <v>Female</v>
      </c>
      <c r="P554">
        <v>46</v>
      </c>
      <c r="Q554" s="2" t="str">
        <f>CLEAN(TRIM(Working_Sales[[#This Row],[Age]]))</f>
        <v>46</v>
      </c>
      <c r="R554" s="6">
        <f>INT(SUBSTITUTE(Working_Sales[[#This Row],[Age_Whitespace_Removed]],".",","))</f>
        <v>46</v>
      </c>
      <c r="S554" t="s">
        <v>56</v>
      </c>
      <c r="T554" s="2" t="str">
        <f>CLEAN(TRIM(Working_Sales[[#This Row],[Product Category]]))</f>
        <v>Clothing</v>
      </c>
      <c r="U554" s="6" t="str">
        <f>PROPER(Working_Sales[[#This Row],[Product_Category_Whitespace_Removed]])</f>
        <v>Clothing</v>
      </c>
      <c r="V554" t="s">
        <v>14</v>
      </c>
      <c r="W554" s="2" t="str">
        <f>CLEAN(TRIM(Working_Sales[[#This Row],[Quantity]]))</f>
        <v>4</v>
      </c>
      <c r="X554" s="2">
        <f>INT(Working_Sales[[#This Row],[`]])</f>
        <v>4</v>
      </c>
      <c r="Y554" s="6">
        <f>IFERROR(
   Working_Sales[[#This Row],[Quantity_Converted_To_Integer]],
   Working_Sales[[#This Row],[Total_Amount_Whitespace_Removed]]/Working_Sales[[#This Row],[Price_Per_Unit_Decimal_Separator_Fixed]])</f>
        <v>4</v>
      </c>
      <c r="Z554" t="s">
        <v>15</v>
      </c>
      <c r="AA554" s="2" t="str">
        <f>CLEAN(TRIM(Working_Sales[[#This Row],[Price per Unit]]))</f>
        <v>50</v>
      </c>
      <c r="AB554" s="2">
        <f>INT(
   SUBSTITUTE(Working_Sales[[#This Row],[Price_Per_Unit_Whitespace_Removed]],
   "$",
   ""
   )
)</f>
        <v>50</v>
      </c>
      <c r="AC554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554" s="8">
        <f>IFERROR(
   Working_Sales[[#This Row],[Price_Per_Unit_Decimal_Separator_Fixed]],
   Working_Sales[[#This Row],[Total_Amount_Converted_To_Integer]]/Working_Sales[[#This Row],[Quantity_Converted_To_Integer]]
)</f>
        <v>50</v>
      </c>
      <c r="AE554" t="s">
        <v>16</v>
      </c>
      <c r="AF554" s="2" t="str">
        <f>CLEAN(TRIM(Working_Sales[[#This Row],[Total Amount]]))</f>
        <v>200</v>
      </c>
      <c r="AG554" s="2">
        <f>INT(Working_Sales[[#This Row],[Total_Amount_Whitespace_Removed]])</f>
        <v>200</v>
      </c>
      <c r="AH55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555" spans="1:34" x14ac:dyDescent="0.35">
      <c r="A555" t="s">
        <v>1208</v>
      </c>
      <c r="B555" s="6" t="str">
        <f>CLEAN(TRIM(Working_Sales[[#This Row],[Transaction ID]]))</f>
        <v>244</v>
      </c>
      <c r="C555" t="s">
        <v>1209</v>
      </c>
      <c r="D555" s="2" t="str">
        <f>CLEAN(TRIM(Working_Sales[[#This Row],[Date]]))</f>
        <v>December 09, 2023</v>
      </c>
      <c r="E555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555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55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45269</v>
      </c>
      <c r="H555" t="s">
        <v>2781</v>
      </c>
      <c r="I555" s="2" t="str">
        <f>CLEAN(TRIM(Working_Sales[[#This Row],[Customer ID]]))</f>
        <v>CUST268</v>
      </c>
      <c r="J55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CUST268</v>
      </c>
      <c r="K55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CUST268</v>
      </c>
      <c r="L555" t="s">
        <v>34</v>
      </c>
      <c r="M555" s="4" t="str">
        <f>CLEAN(TRIM(Working_Sales[[#This Row],[Gender]]))</f>
        <v>Male</v>
      </c>
      <c r="N555" s="4" t="str" cm="1">
        <f t="array" ref="N555">_xlfn.SWITCH(
   Working_Sales[[#This Row],[Gender_Whitespace_Removed]],
   "m", "Male",
   "f", "Female",
   Working_Sales[[#This Row],[Gender_Whitespace_Removed]]
)</f>
        <v>Male</v>
      </c>
      <c r="O555" s="6" t="str">
        <f>PROPER(Working_Sales[[#This Row],[Gender_Abbreviation_Expanded]])</f>
        <v>Male</v>
      </c>
      <c r="P555">
        <v>28</v>
      </c>
      <c r="Q555" s="2" t="str">
        <f>CLEAN(TRIM(Working_Sales[[#This Row],[Age]]))</f>
        <v>28</v>
      </c>
      <c r="R555" s="6">
        <f>INT(SUBSTITUTE(Working_Sales[[#This Row],[Age_Whitespace_Removed]],".",","))</f>
        <v>28</v>
      </c>
      <c r="S555" t="s">
        <v>36</v>
      </c>
      <c r="T555" s="2" t="str">
        <f>CLEAN(TRIM(Working_Sales[[#This Row],[Product Category]]))</f>
        <v>Beauty</v>
      </c>
      <c r="U555" s="6" t="str">
        <f>PROPER(Working_Sales[[#This Row],[Product_Category_Whitespace_Removed]])</f>
        <v>Beauty</v>
      </c>
      <c r="V555" t="s">
        <v>37</v>
      </c>
      <c r="W555" s="2" t="str">
        <f>CLEAN(TRIM(Working_Sales[[#This Row],[Quantity]]))</f>
        <v>2</v>
      </c>
      <c r="X555" s="2">
        <f>INT(Working_Sales[[#This Row],[`]])</f>
        <v>2</v>
      </c>
      <c r="Y555" s="6">
        <f>IFERROR(
   Working_Sales[[#This Row],[Quantity_Converted_To_Integer]],
   Working_Sales[[#This Row],[Total_Amount_Whitespace_Removed]]/Working_Sales[[#This Row],[Price_Per_Unit_Decimal_Separator_Fixed]])</f>
        <v>2</v>
      </c>
      <c r="AA555" s="2" t="str">
        <f>CLEAN(TRIM(Working_Sales[[#This Row],[Price per Unit]]))</f>
        <v/>
      </c>
      <c r="AB555" s="2" t="e">
        <f>INT(
   SUBSTITUTE(Working_Sales[[#This Row],[Price_Per_Unit_Whitespace_Removed]],
   "$",
   ""
   )
)</f>
        <v>#VALUE!</v>
      </c>
      <c r="AC555" s="2" t="e">
        <f>INT(
   IFERROR(
      Working_Sales[[#This Row],[Price_Per_Unit_Dollar_Sign_Removed]],
      SUBSTITUTE(
         Working_Sales[[#This Row],[Price_Per_Unit_Whitespace_Removed]],
        ".",
         ","
      )
   )
)</f>
        <v>#VALUE!</v>
      </c>
      <c r="AD555" s="8">
        <f>IFERROR(
   Working_Sales[[#This Row],[Price_Per_Unit_Decimal_Separator_Fixed]],
   Working_Sales[[#This Row],[Total_Amount_Converted_To_Integer]]/Working_Sales[[#This Row],[Quantity_Converted_To_Integer]]
)</f>
        <v>50</v>
      </c>
      <c r="AE555" t="s">
        <v>38</v>
      </c>
      <c r="AF555" s="2" t="str">
        <f>CLEAN(TRIM(Working_Sales[[#This Row],[Total Amount]]))</f>
        <v>100</v>
      </c>
      <c r="AG555" s="2">
        <f>INT(Working_Sales[[#This Row],[Total_Amount_Whitespace_Removed]])</f>
        <v>100</v>
      </c>
      <c r="AH55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556" spans="1:34" x14ac:dyDescent="0.35">
      <c r="A556" t="s">
        <v>1211</v>
      </c>
      <c r="B556" s="6" t="str">
        <f>CLEAN(TRIM(Working_Sales[[#This Row],[Transaction ID]]))</f>
        <v>832</v>
      </c>
      <c r="C556" t="s">
        <v>2122</v>
      </c>
      <c r="D556" s="2" t="str">
        <f>CLEAN(TRIM(Working_Sales[[#This Row],[Date]]))</f>
        <v>2023-09-11</v>
      </c>
      <c r="E55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45180</v>
      </c>
      <c r="F55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45180</v>
      </c>
      <c r="G55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45180</v>
      </c>
      <c r="H556" t="s">
        <v>2782</v>
      </c>
      <c r="I556" s="2" t="str">
        <f>CLEAN(TRIM(Working_Sales[[#This Row],[Customer ID]]))</f>
        <v>CUST256</v>
      </c>
      <c r="J55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CUST256</v>
      </c>
      <c r="K55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CUST256</v>
      </c>
      <c r="L556" t="s">
        <v>34</v>
      </c>
      <c r="M556" s="4" t="str">
        <f>CLEAN(TRIM(Working_Sales[[#This Row],[Gender]]))</f>
        <v>Male</v>
      </c>
      <c r="N556" s="4" t="str" cm="1">
        <f t="array" ref="N556">_xlfn.SWITCH(
   Working_Sales[[#This Row],[Gender_Whitespace_Removed]],
   "m", "Male",
   "f", "Female",
   Working_Sales[[#This Row],[Gender_Whitespace_Removed]]
)</f>
        <v>Male</v>
      </c>
      <c r="O556" s="6" t="str">
        <f>PROPER(Working_Sales[[#This Row],[Gender_Abbreviation_Expanded]])</f>
        <v>Male</v>
      </c>
      <c r="P556" t="s">
        <v>921</v>
      </c>
      <c r="Q556" s="2" t="str">
        <f>CLEAN(TRIM(Working_Sales[[#This Row],[Age]]))</f>
        <v>47</v>
      </c>
      <c r="R556" s="6">
        <f>INT(SUBSTITUTE(Working_Sales[[#This Row],[Age_Whitespace_Removed]],".",","))</f>
        <v>47</v>
      </c>
      <c r="S556" t="s">
        <v>36</v>
      </c>
      <c r="T556" s="2" t="str">
        <f>CLEAN(TRIM(Working_Sales[[#This Row],[Product Category]]))</f>
        <v>Beauty</v>
      </c>
      <c r="U556" s="6" t="str">
        <f>PROPER(Working_Sales[[#This Row],[Product_Category_Whitespace_Removed]])</f>
        <v>Beauty</v>
      </c>
      <c r="V556" t="s">
        <v>14</v>
      </c>
      <c r="W556" s="2" t="str">
        <f>CLEAN(TRIM(Working_Sales[[#This Row],[Quantity]]))</f>
        <v>4</v>
      </c>
      <c r="X556" s="2">
        <f>INT(Working_Sales[[#This Row],[`]])</f>
        <v>4</v>
      </c>
      <c r="Y556" s="6">
        <f>IFERROR(
   Working_Sales[[#This Row],[Quantity_Converted_To_Integer]],
   Working_Sales[[#This Row],[Total_Amount_Whitespace_Removed]]/Working_Sales[[#This Row],[Price_Per_Unit_Decimal_Separator_Fixed]])</f>
        <v>4</v>
      </c>
      <c r="Z556" t="s">
        <v>57</v>
      </c>
      <c r="AA556" s="2" t="str">
        <f>CLEAN(TRIM(Working_Sales[[#This Row],[Price per Unit]]))</f>
        <v>500</v>
      </c>
      <c r="AB556" s="2">
        <f>INT(
   SUBSTITUTE(Working_Sales[[#This Row],[Price_Per_Unit_Whitespace_Removed]],
   "$",
   ""
   )
)</f>
        <v>500</v>
      </c>
      <c r="AC556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556" s="8">
        <f>IFERROR(
   Working_Sales[[#This Row],[Price_Per_Unit_Decimal_Separator_Fixed]],
   Working_Sales[[#This Row],[Total_Amount_Converted_To_Integer]]/Working_Sales[[#This Row],[Quantity_Converted_To_Integer]]
)</f>
        <v>500</v>
      </c>
      <c r="AE556" t="s">
        <v>232</v>
      </c>
      <c r="AF556" s="2" t="str">
        <f>CLEAN(TRIM(Working_Sales[[#This Row],[Total Amount]]))</f>
        <v>2000</v>
      </c>
      <c r="AG556" s="2">
        <f>INT(Working_Sales[[#This Row],[Total_Amount_Whitespace_Removed]])</f>
        <v>2000</v>
      </c>
      <c r="AH55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557" spans="1:34" x14ac:dyDescent="0.35">
      <c r="A557" t="s">
        <v>1212</v>
      </c>
      <c r="B557" s="6" t="str">
        <f>CLEAN(TRIM(Working_Sales[[#This Row],[Transaction ID]]))</f>
        <v>88</v>
      </c>
      <c r="C557" t="s">
        <v>1213</v>
      </c>
      <c r="D557" s="2" t="str">
        <f>CLEAN(TRIM(Working_Sales[[#This Row],[Date]]))</f>
        <v>29/03/2023</v>
      </c>
      <c r="E55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45014</v>
      </c>
      <c r="F55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45014</v>
      </c>
      <c r="G55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45014</v>
      </c>
      <c r="H557" t="s">
        <v>2783</v>
      </c>
      <c r="I557" s="2" t="str">
        <f>CLEAN(TRIM(Working_Sales[[#This Row],[Customer ID]]))</f>
        <v>cust275</v>
      </c>
      <c r="J55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5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CUST275</v>
      </c>
      <c r="L557" t="s">
        <v>268</v>
      </c>
      <c r="M557" s="4" t="str">
        <f>CLEAN(TRIM(Working_Sales[[#This Row],[Gender]]))</f>
        <v>M</v>
      </c>
      <c r="N557" s="4" t="str" cm="1">
        <f t="array" ref="N557">_xlfn.SWITCH(
   Working_Sales[[#This Row],[Gender_Whitespace_Removed]],
   "m", "Male",
   "f", "Female",
   Working_Sales[[#This Row],[Gender_Whitespace_Removed]]
)</f>
        <v>Male</v>
      </c>
      <c r="O557" s="6" t="str">
        <f>PROPER(Working_Sales[[#This Row],[Gender_Abbreviation_Expanded]])</f>
        <v>Male</v>
      </c>
      <c r="P557">
        <v>56</v>
      </c>
      <c r="Q557" s="2" t="str">
        <f>CLEAN(TRIM(Working_Sales[[#This Row],[Age]]))</f>
        <v>56</v>
      </c>
      <c r="R557" s="6">
        <f>INT(SUBSTITUTE(Working_Sales[[#This Row],[Age_Whitespace_Removed]],".",","))</f>
        <v>56</v>
      </c>
      <c r="S557" t="s">
        <v>56</v>
      </c>
      <c r="T557" s="2" t="str">
        <f>CLEAN(TRIM(Working_Sales[[#This Row],[Product Category]]))</f>
        <v>Clothing</v>
      </c>
      <c r="U557" s="6" t="str">
        <f>PROPER(Working_Sales[[#This Row],[Product_Category_Whitespace_Removed]])</f>
        <v>Clothing</v>
      </c>
      <c r="V557" t="s">
        <v>22</v>
      </c>
      <c r="W557" s="2" t="str">
        <f>CLEAN(TRIM(Working_Sales[[#This Row],[Quantity]]))</f>
        <v>1</v>
      </c>
      <c r="X557" s="2">
        <f>INT(Working_Sales[[#This Row],[`]])</f>
        <v>1</v>
      </c>
      <c r="Y557" s="6">
        <f>IFERROR(
   Working_Sales[[#This Row],[Quantity_Converted_To_Integer]],
   Working_Sales[[#This Row],[Total_Amount_Whitespace_Removed]]/Working_Sales[[#This Row],[Price_Per_Unit_Decimal_Separator_Fixed]])</f>
        <v>1</v>
      </c>
      <c r="Z557" t="s">
        <v>162</v>
      </c>
      <c r="AA557" s="2" t="str">
        <f>CLEAN(TRIM(Working_Sales[[#This Row],[Price per Unit]]))</f>
        <v>$500</v>
      </c>
      <c r="AB557" s="2">
        <f>INT(
   SUBSTITUTE(Working_Sales[[#This Row],[Price_Per_Unit_Whitespace_Removed]],
   "$",
   ""
   )
)</f>
        <v>500</v>
      </c>
      <c r="AC557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557" s="8">
        <f>IFERROR(
   Working_Sales[[#This Row],[Price_Per_Unit_Decimal_Separator_Fixed]],
   Working_Sales[[#This Row],[Total_Amount_Converted_To_Integer]]/Working_Sales[[#This Row],[Quantity_Converted_To_Integer]]
)</f>
        <v>500</v>
      </c>
      <c r="AE557" t="s">
        <v>57</v>
      </c>
      <c r="AF557" s="2" t="str">
        <f>CLEAN(TRIM(Working_Sales[[#This Row],[Total Amount]]))</f>
        <v>500</v>
      </c>
      <c r="AG557" s="2">
        <f>INT(Working_Sales[[#This Row],[Total_Amount_Whitespace_Removed]])</f>
        <v>500</v>
      </c>
      <c r="AH55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558" spans="1:34" x14ac:dyDescent="0.35">
      <c r="A558" t="s">
        <v>1215</v>
      </c>
      <c r="B558" s="6" t="str">
        <f>CLEAN(TRIM(Working_Sales[[#This Row],[Transaction ID]]))</f>
        <v>215</v>
      </c>
      <c r="C558" t="s">
        <v>1216</v>
      </c>
      <c r="D558" s="2" t="str">
        <f>CLEAN(TRIM(Working_Sales[[#This Row],[Date]]))</f>
        <v>November 29, 2023</v>
      </c>
      <c r="E558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558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55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45259</v>
      </c>
      <c r="H558" t="s">
        <v>2642</v>
      </c>
      <c r="I558" s="2" t="str">
        <f>CLEAN(TRIM(Working_Sales[[#This Row],[Customer ID]]))</f>
        <v>CUST294</v>
      </c>
      <c r="J55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CUST294</v>
      </c>
      <c r="K55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CUST294</v>
      </c>
      <c r="L558" t="s">
        <v>34</v>
      </c>
      <c r="M558" s="4" t="str">
        <f>CLEAN(TRIM(Working_Sales[[#This Row],[Gender]]))</f>
        <v>Male</v>
      </c>
      <c r="N558" s="4" t="str" cm="1">
        <f t="array" ref="N558">_xlfn.SWITCH(
   Working_Sales[[#This Row],[Gender_Whitespace_Removed]],
   "m", "Male",
   "f", "Female",
   Working_Sales[[#This Row],[Gender_Whitespace_Removed]]
)</f>
        <v>Male</v>
      </c>
      <c r="O558" s="6" t="str">
        <f>PROPER(Working_Sales[[#This Row],[Gender_Abbreviation_Expanded]])</f>
        <v>Male</v>
      </c>
      <c r="P558" t="s">
        <v>1218</v>
      </c>
      <c r="Q558" s="2" t="str">
        <f>CLEAN(TRIM(Working_Sales[[#This Row],[Age]]))</f>
        <v>58.0</v>
      </c>
      <c r="R558" s="6">
        <f>INT(SUBSTITUTE(Working_Sales[[#This Row],[Age_Whitespace_Removed]],".",","))</f>
        <v>58</v>
      </c>
      <c r="S558" t="s">
        <v>56</v>
      </c>
      <c r="T558" s="2" t="str">
        <f>CLEAN(TRIM(Working_Sales[[#This Row],[Product Category]]))</f>
        <v>Clothing</v>
      </c>
      <c r="U558" s="6" t="str">
        <f>PROPER(Working_Sales[[#This Row],[Product_Category_Whitespace_Removed]])</f>
        <v>Clothing</v>
      </c>
      <c r="V558" t="s">
        <v>29</v>
      </c>
      <c r="W558" s="2" t="str">
        <f>CLEAN(TRIM(Working_Sales[[#This Row],[Quantity]]))</f>
        <v>3</v>
      </c>
      <c r="X558" s="2">
        <f>INT(Working_Sales[[#This Row],[`]])</f>
        <v>3</v>
      </c>
      <c r="Y558" s="6">
        <f>IFERROR(
   Working_Sales[[#This Row],[Quantity_Converted_To_Integer]],
   Working_Sales[[#This Row],[Total_Amount_Whitespace_Removed]]/Working_Sales[[#This Row],[Price_Per_Unit_Decimal_Separator_Fixed]])</f>
        <v>3</v>
      </c>
      <c r="Z558" t="s">
        <v>84</v>
      </c>
      <c r="AA558" s="2" t="str">
        <f>CLEAN(TRIM(Working_Sales[[#This Row],[Price per Unit]]))</f>
        <v>500.00</v>
      </c>
      <c r="AB558" s="2" t="e">
        <f>INT(
   SUBSTITUTE(Working_Sales[[#This Row],[Price_Per_Unit_Whitespace_Removed]],
   "$",
   ""
   )
)</f>
        <v>#VALUE!</v>
      </c>
      <c r="AC558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558" s="8">
        <f>IFERROR(
   Working_Sales[[#This Row],[Price_Per_Unit_Decimal_Separator_Fixed]],
   Working_Sales[[#This Row],[Total_Amount_Converted_To_Integer]]/Working_Sales[[#This Row],[Quantity_Converted_To_Integer]]
)</f>
        <v>500</v>
      </c>
      <c r="AE558" t="s">
        <v>85</v>
      </c>
      <c r="AF558" s="2" t="str">
        <f>CLEAN(TRIM(Working_Sales[[#This Row],[Total Amount]]))</f>
        <v>1500</v>
      </c>
      <c r="AG558" s="2">
        <f>INT(Working_Sales[[#This Row],[Total_Amount_Whitespace_Removed]])</f>
        <v>1500</v>
      </c>
      <c r="AH55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559" spans="1:34" x14ac:dyDescent="0.35">
      <c r="A559" t="s">
        <v>1219</v>
      </c>
      <c r="B559" s="6" t="str">
        <f>CLEAN(TRIM(Working_Sales[[#This Row],[Transaction ID]]))</f>
        <v>991</v>
      </c>
      <c r="C559" t="s">
        <v>775</v>
      </c>
      <c r="D559" s="2" t="str">
        <f>CLEAN(TRIM(Working_Sales[[#This Row],[Date]]))</f>
        <v>26/12/2023</v>
      </c>
      <c r="E55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45286</v>
      </c>
      <c r="F55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45286</v>
      </c>
      <c r="G55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45286</v>
      </c>
      <c r="H559" t="s">
        <v>2784</v>
      </c>
      <c r="I559" s="2" t="str">
        <f>CLEAN(TRIM(Working_Sales[[#This Row],[Customer ID]]))</f>
        <v>cust376</v>
      </c>
      <c r="J55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5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CUST376</v>
      </c>
      <c r="L559" t="s">
        <v>26</v>
      </c>
      <c r="M559" s="4" t="str">
        <f>CLEAN(TRIM(Working_Sales[[#This Row],[Gender]]))</f>
        <v>Female</v>
      </c>
      <c r="N559" s="4" t="str" cm="1">
        <f t="array" ref="N559">_xlfn.SWITCH(
   Working_Sales[[#This Row],[Gender_Whitespace_Removed]],
   "m", "Male",
   "f", "Female",
   Working_Sales[[#This Row],[Gender_Whitespace_Removed]]
)</f>
        <v>Female</v>
      </c>
      <c r="O559" s="6" t="str">
        <f>PROPER(Working_Sales[[#This Row],[Gender_Abbreviation_Expanded]])</f>
        <v>Female</v>
      </c>
      <c r="P559">
        <v>34</v>
      </c>
      <c r="Q559" s="2" t="str">
        <f>CLEAN(TRIM(Working_Sales[[#This Row],[Age]]))</f>
        <v>34</v>
      </c>
      <c r="R559" s="6">
        <f>INT(SUBSTITUTE(Working_Sales[[#This Row],[Age_Whitespace_Removed]],".",","))</f>
        <v>34</v>
      </c>
      <c r="S559" t="s">
        <v>400</v>
      </c>
      <c r="T559" s="2" t="str">
        <f>CLEAN(TRIM(Working_Sales[[#This Row],[Product Category]]))</f>
        <v>Clothing</v>
      </c>
      <c r="U559" s="6" t="str">
        <f>PROPER(Working_Sales[[#This Row],[Product_Category_Whitespace_Removed]])</f>
        <v>Clothing</v>
      </c>
      <c r="V559" t="s">
        <v>37</v>
      </c>
      <c r="W559" s="2" t="str">
        <f>CLEAN(TRIM(Working_Sales[[#This Row],[Quantity]]))</f>
        <v>2</v>
      </c>
      <c r="X559" s="2">
        <f>INT(Working_Sales[[#This Row],[`]])</f>
        <v>2</v>
      </c>
      <c r="Y559" s="6">
        <f>IFERROR(
   Working_Sales[[#This Row],[Quantity_Converted_To_Integer]],
   Working_Sales[[#This Row],[Total_Amount_Whitespace_Removed]]/Working_Sales[[#This Row],[Price_Per_Unit_Decimal_Separator_Fixed]])</f>
        <v>2</v>
      </c>
      <c r="Z559" t="s">
        <v>15</v>
      </c>
      <c r="AA559" s="2" t="str">
        <f>CLEAN(TRIM(Working_Sales[[#This Row],[Price per Unit]]))</f>
        <v>50</v>
      </c>
      <c r="AB559" s="2">
        <f>INT(
   SUBSTITUTE(Working_Sales[[#This Row],[Price_Per_Unit_Whitespace_Removed]],
   "$",
   ""
   )
)</f>
        <v>50</v>
      </c>
      <c r="AC559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559" s="8">
        <f>IFERROR(
   Working_Sales[[#This Row],[Price_Per_Unit_Decimal_Separator_Fixed]],
   Working_Sales[[#This Row],[Total_Amount_Converted_To_Integer]]/Working_Sales[[#This Row],[Quantity_Converted_To_Integer]]
)</f>
        <v>50</v>
      </c>
      <c r="AE559" t="s">
        <v>38</v>
      </c>
      <c r="AF559" s="2" t="str">
        <f>CLEAN(TRIM(Working_Sales[[#This Row],[Total Amount]]))</f>
        <v>100</v>
      </c>
      <c r="AG559" s="2">
        <f>INT(Working_Sales[[#This Row],[Total_Amount_Whitespace_Removed]])</f>
        <v>100</v>
      </c>
      <c r="AH55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560" spans="1:34" x14ac:dyDescent="0.35">
      <c r="A560" t="s">
        <v>1220</v>
      </c>
      <c r="B560" s="6" t="str">
        <f>CLEAN(TRIM(Working_Sales[[#This Row],[Transaction ID]]))</f>
        <v>174</v>
      </c>
      <c r="C560" t="s">
        <v>2123</v>
      </c>
      <c r="D560" s="2" t="str">
        <f>CLEAN(TRIM(Working_Sales[[#This Row],[Date]]))</f>
        <v>April 12, 2023</v>
      </c>
      <c r="E560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560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56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45028</v>
      </c>
      <c r="H560" t="s">
        <v>2565</v>
      </c>
      <c r="I560" s="2" t="str">
        <f>CLEAN(TRIM(Working_Sales[[#This Row],[Customer ID]]))</f>
        <v>cust044</v>
      </c>
      <c r="J56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6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CUST044</v>
      </c>
      <c r="L560" t="s">
        <v>26</v>
      </c>
      <c r="M560" s="4" t="str">
        <f>CLEAN(TRIM(Working_Sales[[#This Row],[Gender]]))</f>
        <v>Female</v>
      </c>
      <c r="N560" s="4" t="str" cm="1">
        <f t="array" ref="N560">_xlfn.SWITCH(
   Working_Sales[[#This Row],[Gender_Whitespace_Removed]],
   "m", "Male",
   "f", "Female",
   Working_Sales[[#This Row],[Gender_Whitespace_Removed]]
)</f>
        <v>Female</v>
      </c>
      <c r="O560" s="6" t="str">
        <f>PROPER(Working_Sales[[#This Row],[Gender_Abbreviation_Expanded]])</f>
        <v>Female</v>
      </c>
      <c r="P560">
        <v>39</v>
      </c>
      <c r="Q560" s="2" t="str">
        <f>CLEAN(TRIM(Working_Sales[[#This Row],[Age]]))</f>
        <v>39</v>
      </c>
      <c r="R560" s="6">
        <f>INT(SUBSTITUTE(Working_Sales[[#This Row],[Age_Whitespace_Removed]],".",","))</f>
        <v>39</v>
      </c>
      <c r="S560" t="s">
        <v>434</v>
      </c>
      <c r="T560" s="2" t="str">
        <f>CLEAN(TRIM(Working_Sales[[#This Row],[Product Category]]))</f>
        <v>Beauty</v>
      </c>
      <c r="U560" s="6" t="str">
        <f>PROPER(Working_Sales[[#This Row],[Product_Category_Whitespace_Removed]])</f>
        <v>Beauty</v>
      </c>
      <c r="V560" t="s">
        <v>22</v>
      </c>
      <c r="W560" s="2" t="str">
        <f>CLEAN(TRIM(Working_Sales[[#This Row],[Quantity]]))</f>
        <v>1</v>
      </c>
      <c r="X560" s="2">
        <f>INT(Working_Sales[[#This Row],[`]])</f>
        <v>1</v>
      </c>
      <c r="Y560" s="6">
        <f>IFERROR(
   Working_Sales[[#This Row],[Quantity_Converted_To_Integer]],
   Working_Sales[[#This Row],[Total_Amount_Whitespace_Removed]]/Working_Sales[[#This Row],[Price_Per_Unit_Decimal_Separator_Fixed]])</f>
        <v>1</v>
      </c>
      <c r="Z560" t="s">
        <v>23</v>
      </c>
      <c r="AA560" s="2" t="str">
        <f>CLEAN(TRIM(Working_Sales[[#This Row],[Price per Unit]]))</f>
        <v>300</v>
      </c>
      <c r="AB560" s="2">
        <f>INT(
   SUBSTITUTE(Working_Sales[[#This Row],[Price_Per_Unit_Whitespace_Removed]],
   "$",
   ""
   )
)</f>
        <v>300</v>
      </c>
      <c r="AC560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560" s="8">
        <f>IFERROR(
   Working_Sales[[#This Row],[Price_Per_Unit_Decimal_Separator_Fixed]],
   Working_Sales[[#This Row],[Total_Amount_Converted_To_Integer]]/Working_Sales[[#This Row],[Quantity_Converted_To_Integer]]
)</f>
        <v>300</v>
      </c>
      <c r="AE560" t="s">
        <v>23</v>
      </c>
      <c r="AF560" s="2" t="str">
        <f>CLEAN(TRIM(Working_Sales[[#This Row],[Total Amount]]))</f>
        <v>300</v>
      </c>
      <c r="AG560" s="2">
        <f>INT(Working_Sales[[#This Row],[Total_Amount_Whitespace_Removed]])</f>
        <v>300</v>
      </c>
      <c r="AH56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561" spans="1:34" x14ac:dyDescent="0.35">
      <c r="A561" t="s">
        <v>1223</v>
      </c>
      <c r="B561" s="6" t="str">
        <f>CLEAN(TRIM(Working_Sales[[#This Row],[Transaction ID]]))</f>
        <v>426</v>
      </c>
      <c r="C561" t="s">
        <v>1224</v>
      </c>
      <c r="D561" s="2" t="str">
        <f>CLEAN(TRIM(Working_Sales[[#This Row],[Date]]))</f>
        <v>2023-03-24</v>
      </c>
      <c r="E56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45009</v>
      </c>
      <c r="F56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45009</v>
      </c>
      <c r="G56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45009</v>
      </c>
      <c r="H561" t="s">
        <v>2722</v>
      </c>
      <c r="I561" s="2" t="str">
        <f>CLEAN(TRIM(Working_Sales[[#This Row],[Customer ID]]))</f>
        <v>CUST342</v>
      </c>
      <c r="J56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CUST342</v>
      </c>
      <c r="K56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CUST342</v>
      </c>
      <c r="L561" t="s">
        <v>34</v>
      </c>
      <c r="M561" s="4" t="str">
        <f>CLEAN(TRIM(Working_Sales[[#This Row],[Gender]]))</f>
        <v>Male</v>
      </c>
      <c r="N561" s="4" t="str" cm="1">
        <f t="array" ref="N561">_xlfn.SWITCH(
   Working_Sales[[#This Row],[Gender_Whitespace_Removed]],
   "m", "Male",
   "f", "Female",
   Working_Sales[[#This Row],[Gender_Whitespace_Removed]]
)</f>
        <v>Male</v>
      </c>
      <c r="O561" s="6" t="str">
        <f>PROPER(Working_Sales[[#This Row],[Gender_Abbreviation_Expanded]])</f>
        <v>Male</v>
      </c>
      <c r="P561">
        <v>23</v>
      </c>
      <c r="Q561" s="2" t="str">
        <f>CLEAN(TRIM(Working_Sales[[#This Row],[Age]]))</f>
        <v>23</v>
      </c>
      <c r="R561" s="6">
        <f>INT(SUBSTITUTE(Working_Sales[[#This Row],[Age_Whitespace_Removed]],".",","))</f>
        <v>23</v>
      </c>
      <c r="S561" t="s">
        <v>13</v>
      </c>
      <c r="T561" s="2" t="str">
        <f>CLEAN(TRIM(Working_Sales[[#This Row],[Product Category]]))</f>
        <v>Electronics</v>
      </c>
      <c r="U561" s="6" t="str">
        <f>PROPER(Working_Sales[[#This Row],[Product_Category_Whitespace_Removed]])</f>
        <v>Electronics</v>
      </c>
      <c r="V561" t="s">
        <v>29</v>
      </c>
      <c r="W561" s="2" t="str">
        <f>CLEAN(TRIM(Working_Sales[[#This Row],[Quantity]]))</f>
        <v>3</v>
      </c>
      <c r="X561" s="2">
        <f>INT(Working_Sales[[#This Row],[`]])</f>
        <v>3</v>
      </c>
      <c r="Y561" s="6">
        <f>IFERROR(
   Working_Sales[[#This Row],[Quantity_Converted_To_Integer]],
   Working_Sales[[#This Row],[Total_Amount_Whitespace_Removed]]/Working_Sales[[#This Row],[Price_Per_Unit_Decimal_Separator_Fixed]])</f>
        <v>3</v>
      </c>
      <c r="Z561" t="s">
        <v>153</v>
      </c>
      <c r="AA561" s="2" t="str">
        <f>CLEAN(TRIM(Working_Sales[[#This Row],[Price per Unit]]))</f>
        <v>50.00</v>
      </c>
      <c r="AB561" s="2" t="e">
        <f>INT(
   SUBSTITUTE(Working_Sales[[#This Row],[Price_Per_Unit_Whitespace_Removed]],
   "$",
   ""
   )
)</f>
        <v>#VALUE!</v>
      </c>
      <c r="AC561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561" s="8">
        <f>IFERROR(
   Working_Sales[[#This Row],[Price_Per_Unit_Decimal_Separator_Fixed]],
   Working_Sales[[#This Row],[Total_Amount_Converted_To_Integer]]/Working_Sales[[#This Row],[Quantity_Converted_To_Integer]]
)</f>
        <v>50</v>
      </c>
      <c r="AE561" t="s">
        <v>130</v>
      </c>
      <c r="AF561" s="2" t="str">
        <f>CLEAN(TRIM(Working_Sales[[#This Row],[Total Amount]]))</f>
        <v>150</v>
      </c>
      <c r="AG561" s="2">
        <f>INT(Working_Sales[[#This Row],[Total_Amount_Whitespace_Removed]])</f>
        <v>150</v>
      </c>
      <c r="AH56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562" spans="1:34" x14ac:dyDescent="0.35">
      <c r="A562" t="s">
        <v>1226</v>
      </c>
      <c r="B562" s="6" t="str">
        <f>CLEAN(TRIM(Working_Sales[[#This Row],[Transaction ID]]))</f>
        <v>782</v>
      </c>
      <c r="C562" t="s">
        <v>2015</v>
      </c>
      <c r="D562" s="2" t="str">
        <f>CLEAN(TRIM(Working_Sales[[#This Row],[Date]]))</f>
        <v>04-Jun-2023</v>
      </c>
      <c r="E56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45081</v>
      </c>
      <c r="F56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45081</v>
      </c>
      <c r="G56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45081</v>
      </c>
      <c r="H562" t="s">
        <v>2785</v>
      </c>
      <c r="I562" s="2" t="str">
        <f>CLEAN(TRIM(Working_Sales[[#This Row],[Customer ID]]))</f>
        <v>cust377</v>
      </c>
      <c r="J56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6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CUST377</v>
      </c>
      <c r="L562" t="s">
        <v>34</v>
      </c>
      <c r="M562" s="4" t="str">
        <f>CLEAN(TRIM(Working_Sales[[#This Row],[Gender]]))</f>
        <v>Male</v>
      </c>
      <c r="N562" s="4" t="str" cm="1">
        <f t="array" ref="N562">_xlfn.SWITCH(
   Working_Sales[[#This Row],[Gender_Whitespace_Removed]],
   "m", "Male",
   "f", "Female",
   Working_Sales[[#This Row],[Gender_Whitespace_Removed]]
)</f>
        <v>Male</v>
      </c>
      <c r="O562" s="6" t="str">
        <f>PROPER(Working_Sales[[#This Row],[Gender_Abbreviation_Expanded]])</f>
        <v>Male</v>
      </c>
      <c r="P562">
        <v>59</v>
      </c>
      <c r="Q562" s="2" t="str">
        <f>CLEAN(TRIM(Working_Sales[[#This Row],[Age]]))</f>
        <v>59</v>
      </c>
      <c r="R562" s="6">
        <f>INT(SUBSTITUTE(Working_Sales[[#This Row],[Age_Whitespace_Removed]],".",","))</f>
        <v>59</v>
      </c>
      <c r="S562" t="s">
        <v>56</v>
      </c>
      <c r="T562" s="2" t="str">
        <f>CLEAN(TRIM(Working_Sales[[#This Row],[Product Category]]))</f>
        <v>Clothing</v>
      </c>
      <c r="U562" s="6" t="str">
        <f>PROPER(Working_Sales[[#This Row],[Product_Category_Whitespace_Removed]])</f>
        <v>Clothing</v>
      </c>
      <c r="V562" t="s">
        <v>29</v>
      </c>
      <c r="W562" s="2" t="str">
        <f>CLEAN(TRIM(Working_Sales[[#This Row],[Quantity]]))</f>
        <v>3</v>
      </c>
      <c r="X562" s="2">
        <f>INT(Working_Sales[[#This Row],[`]])</f>
        <v>3</v>
      </c>
      <c r="Y562" s="6">
        <f>IFERROR(
   Working_Sales[[#This Row],[Quantity_Converted_To_Integer]],
   Working_Sales[[#This Row],[Total_Amount_Whitespace_Removed]]/Working_Sales[[#This Row],[Price_Per_Unit_Decimal_Separator_Fixed]])</f>
        <v>3</v>
      </c>
      <c r="Z562" t="s">
        <v>23</v>
      </c>
      <c r="AA562" s="2" t="str">
        <f>CLEAN(TRIM(Working_Sales[[#This Row],[Price per Unit]]))</f>
        <v>300</v>
      </c>
      <c r="AB562" s="2">
        <f>INT(
   SUBSTITUTE(Working_Sales[[#This Row],[Price_Per_Unit_Whitespace_Removed]],
   "$",
   ""
   )
)</f>
        <v>300</v>
      </c>
      <c r="AC562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562" s="8">
        <f>IFERROR(
   Working_Sales[[#This Row],[Price_Per_Unit_Decimal_Separator_Fixed]],
   Working_Sales[[#This Row],[Total_Amount_Converted_To_Integer]]/Working_Sales[[#This Row],[Quantity_Converted_To_Integer]]
)</f>
        <v>300</v>
      </c>
      <c r="AE562" t="s">
        <v>128</v>
      </c>
      <c r="AF562" s="2" t="str">
        <f>CLEAN(TRIM(Working_Sales[[#This Row],[Total Amount]]))</f>
        <v>900</v>
      </c>
      <c r="AG562" s="2">
        <f>INT(Working_Sales[[#This Row],[Total_Amount_Whitespace_Removed]])</f>
        <v>900</v>
      </c>
      <c r="AH56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563" spans="1:34" x14ac:dyDescent="0.35">
      <c r="A563" t="s">
        <v>1227</v>
      </c>
      <c r="B563" s="6" t="str">
        <f>CLEAN(TRIM(Working_Sales[[#This Row],[Transaction ID]]))</f>
        <v>119</v>
      </c>
      <c r="C563" t="s">
        <v>290</v>
      </c>
      <c r="D563" s="2" t="str">
        <f>CLEAN(TRIM(Working_Sales[[#This Row],[Date]]))</f>
        <v>13/03/2023</v>
      </c>
      <c r="E56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44998</v>
      </c>
      <c r="F56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44998</v>
      </c>
      <c r="G56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44998</v>
      </c>
      <c r="H563" t="s">
        <v>2398</v>
      </c>
      <c r="I563" s="2" t="str">
        <f>CLEAN(TRIM(Working_Sales[[#This Row],[Customer ID]]))</f>
        <v>CUST083</v>
      </c>
      <c r="J56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CUST083</v>
      </c>
      <c r="K56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CUST083</v>
      </c>
      <c r="L563" t="s">
        <v>26</v>
      </c>
      <c r="M563" s="4" t="str">
        <f>CLEAN(TRIM(Working_Sales[[#This Row],[Gender]]))</f>
        <v>Female</v>
      </c>
      <c r="N563" s="4" t="str" cm="1">
        <f t="array" ref="N563">_xlfn.SWITCH(
   Working_Sales[[#This Row],[Gender_Whitespace_Removed]],
   "m", "Male",
   "f", "Female",
   Working_Sales[[#This Row],[Gender_Whitespace_Removed]]
)</f>
        <v>Female</v>
      </c>
      <c r="O563" s="6" t="str">
        <f>PROPER(Working_Sales[[#This Row],[Gender_Abbreviation_Expanded]])</f>
        <v>Female</v>
      </c>
      <c r="P563">
        <v>60</v>
      </c>
      <c r="Q563" s="2" t="str">
        <f>CLEAN(TRIM(Working_Sales[[#This Row],[Age]]))</f>
        <v>60</v>
      </c>
      <c r="R563" s="6">
        <f>INT(SUBSTITUTE(Working_Sales[[#This Row],[Age_Whitespace_Removed]],".",","))</f>
        <v>60</v>
      </c>
      <c r="S563" t="s">
        <v>56</v>
      </c>
      <c r="T563" s="2" t="str">
        <f>CLEAN(TRIM(Working_Sales[[#This Row],[Product Category]]))</f>
        <v>Clothing</v>
      </c>
      <c r="U563" s="6" t="str">
        <f>PROPER(Working_Sales[[#This Row],[Product_Category_Whitespace_Removed]])</f>
        <v>Clothing</v>
      </c>
      <c r="V563" t="s">
        <v>29</v>
      </c>
      <c r="W563" s="2" t="str">
        <f>CLEAN(TRIM(Working_Sales[[#This Row],[Quantity]]))</f>
        <v>3</v>
      </c>
      <c r="X563" s="2">
        <f>INT(Working_Sales[[#This Row],[`]])</f>
        <v>3</v>
      </c>
      <c r="Y563" s="6">
        <f>IFERROR(
   Working_Sales[[#This Row],[Quantity_Converted_To_Integer]],
   Working_Sales[[#This Row],[Total_Amount_Whitespace_Removed]]/Working_Sales[[#This Row],[Price_Per_Unit_Decimal_Separator_Fixed]])</f>
        <v>3</v>
      </c>
      <c r="Z563" t="s">
        <v>15</v>
      </c>
      <c r="AA563" s="2" t="str">
        <f>CLEAN(TRIM(Working_Sales[[#This Row],[Price per Unit]]))</f>
        <v>50</v>
      </c>
      <c r="AB563" s="2">
        <f>INT(
   SUBSTITUTE(Working_Sales[[#This Row],[Price_Per_Unit_Whitespace_Removed]],
   "$",
   ""
   )
)</f>
        <v>50</v>
      </c>
      <c r="AC563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563" s="8">
        <f>IFERROR(
   Working_Sales[[#This Row],[Price_Per_Unit_Decimal_Separator_Fixed]],
   Working_Sales[[#This Row],[Total_Amount_Converted_To_Integer]]/Working_Sales[[#This Row],[Quantity_Converted_To_Integer]]
)</f>
        <v>50</v>
      </c>
      <c r="AE563" t="s">
        <v>130</v>
      </c>
      <c r="AF563" s="2" t="str">
        <f>CLEAN(TRIM(Working_Sales[[#This Row],[Total Amount]]))</f>
        <v>150</v>
      </c>
      <c r="AG563" s="2">
        <f>INT(Working_Sales[[#This Row],[Total_Amount_Whitespace_Removed]])</f>
        <v>150</v>
      </c>
      <c r="AH56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564" spans="1:34" x14ac:dyDescent="0.35">
      <c r="A564" t="s">
        <v>44</v>
      </c>
      <c r="B564" s="6" t="str">
        <f>CLEAN(TRIM(Working_Sales[[#This Row],[Transaction ID]]))</f>
        <v>120</v>
      </c>
      <c r="C564" t="s">
        <v>1230</v>
      </c>
      <c r="D564" s="2" t="str">
        <f>CLEAN(TRIM(Working_Sales[[#This Row],[Date]]))</f>
        <v>2023-05-07</v>
      </c>
      <c r="E56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45053</v>
      </c>
      <c r="F56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45053</v>
      </c>
      <c r="G56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45053</v>
      </c>
      <c r="H564" t="s">
        <v>2786</v>
      </c>
      <c r="I564" s="2" t="str">
        <f>CLEAN(TRIM(Working_Sales[[#This Row],[Customer ID]]))</f>
        <v>CUST378</v>
      </c>
      <c r="J56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CUST378</v>
      </c>
      <c r="K56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CUST378</v>
      </c>
      <c r="L564" t="s">
        <v>34</v>
      </c>
      <c r="M564" s="4" t="str">
        <f>CLEAN(TRIM(Working_Sales[[#This Row],[Gender]]))</f>
        <v>Male</v>
      </c>
      <c r="N564" s="4" t="str" cm="1">
        <f t="array" ref="N564">_xlfn.SWITCH(
   Working_Sales[[#This Row],[Gender_Whitespace_Removed]],
   "m", "Male",
   "f", "Female",
   Working_Sales[[#This Row],[Gender_Whitespace_Removed]]
)</f>
        <v>Male</v>
      </c>
      <c r="O564" s="6" t="str">
        <f>PROPER(Working_Sales[[#This Row],[Gender_Abbreviation_Expanded]])</f>
        <v>Male</v>
      </c>
      <c r="P564">
        <v>60</v>
      </c>
      <c r="Q564" s="2" t="str">
        <f>CLEAN(TRIM(Working_Sales[[#This Row],[Age]]))</f>
        <v>60</v>
      </c>
      <c r="R564" s="6">
        <f>INT(SUBSTITUTE(Working_Sales[[#This Row],[Age_Whitespace_Removed]],".",","))</f>
        <v>60</v>
      </c>
      <c r="S564" t="s">
        <v>36</v>
      </c>
      <c r="T564" s="2" t="str">
        <f>CLEAN(TRIM(Working_Sales[[#This Row],[Product Category]]))</f>
        <v>Beauty</v>
      </c>
      <c r="U564" s="6" t="str">
        <f>PROPER(Working_Sales[[#This Row],[Product_Category_Whitespace_Removed]])</f>
        <v>Beauty</v>
      </c>
      <c r="V564" t="s">
        <v>22</v>
      </c>
      <c r="W564" s="2" t="str">
        <f>CLEAN(TRIM(Working_Sales[[#This Row],[Quantity]]))</f>
        <v>1</v>
      </c>
      <c r="X564" s="2">
        <f>INT(Working_Sales[[#This Row],[`]])</f>
        <v>1</v>
      </c>
      <c r="Y564" s="6">
        <f>IFERROR(
   Working_Sales[[#This Row],[Quantity_Converted_To_Integer]],
   Working_Sales[[#This Row],[Total_Amount_Whitespace_Removed]]/Working_Sales[[#This Row],[Price_Per_Unit_Decimal_Separator_Fixed]])</f>
        <v>1</v>
      </c>
      <c r="Z564" t="s">
        <v>153</v>
      </c>
      <c r="AA564" s="2" t="str">
        <f>CLEAN(TRIM(Working_Sales[[#This Row],[Price per Unit]]))</f>
        <v>50.00</v>
      </c>
      <c r="AB564" s="2" t="e">
        <f>INT(
   SUBSTITUTE(Working_Sales[[#This Row],[Price_Per_Unit_Whitespace_Removed]],
   "$",
   ""
   )
)</f>
        <v>#VALUE!</v>
      </c>
      <c r="AC564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564" s="8">
        <f>IFERROR(
   Working_Sales[[#This Row],[Price_Per_Unit_Decimal_Separator_Fixed]],
   Working_Sales[[#This Row],[Total_Amount_Converted_To_Integer]]/Working_Sales[[#This Row],[Quantity_Converted_To_Integer]]
)</f>
        <v>50</v>
      </c>
      <c r="AE564" t="s">
        <v>15</v>
      </c>
      <c r="AF564" s="2" t="str">
        <f>CLEAN(TRIM(Working_Sales[[#This Row],[Total Amount]]))</f>
        <v>50</v>
      </c>
      <c r="AG564" s="2">
        <f>INT(Working_Sales[[#This Row],[Total_Amount_Whitespace_Removed]])</f>
        <v>50</v>
      </c>
      <c r="AH56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565" spans="1:34" x14ac:dyDescent="0.35">
      <c r="A565" t="s">
        <v>1231</v>
      </c>
      <c r="B565" s="6" t="str">
        <f>CLEAN(TRIM(Working_Sales[[#This Row],[Transaction ID]]))</f>
        <v>643</v>
      </c>
      <c r="C565" t="s">
        <v>1232</v>
      </c>
      <c r="D565" s="2" t="str">
        <f>CLEAN(TRIM(Working_Sales[[#This Row],[Date]]))</f>
        <v>09/24/2023</v>
      </c>
      <c r="E565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56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45193</v>
      </c>
      <c r="G56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45193</v>
      </c>
      <c r="H565" t="s">
        <v>2787</v>
      </c>
      <c r="I565" s="2" t="str">
        <f>CLEAN(TRIM(Working_Sales[[#This Row],[Customer ID]]))</f>
        <v>CUST116</v>
      </c>
      <c r="J56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CUST116</v>
      </c>
      <c r="K56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CUST116</v>
      </c>
      <c r="L565" t="s">
        <v>26</v>
      </c>
      <c r="M565" s="4" t="str">
        <f>CLEAN(TRIM(Working_Sales[[#This Row],[Gender]]))</f>
        <v>Female</v>
      </c>
      <c r="N565" s="4" t="str" cm="1">
        <f t="array" ref="N565">_xlfn.SWITCH(
   Working_Sales[[#This Row],[Gender_Whitespace_Removed]],
   "m", "Male",
   "f", "Female",
   Working_Sales[[#This Row],[Gender_Whitespace_Removed]]
)</f>
        <v>Female</v>
      </c>
      <c r="O565" s="6" t="str">
        <f>PROPER(Working_Sales[[#This Row],[Gender_Abbreviation_Expanded]])</f>
        <v>Female</v>
      </c>
      <c r="P565">
        <v>28</v>
      </c>
      <c r="Q565" s="2" t="str">
        <f>CLEAN(TRIM(Working_Sales[[#This Row],[Age]]))</f>
        <v>28</v>
      </c>
      <c r="R565" s="6">
        <f>INT(SUBSTITUTE(Working_Sales[[#This Row],[Age_Whitespace_Removed]],".",","))</f>
        <v>28</v>
      </c>
      <c r="S565" t="s">
        <v>48</v>
      </c>
      <c r="T565" s="2" t="str">
        <f>CLEAN(TRIM(Working_Sales[[#This Row],[Product Category]]))</f>
        <v>electronics</v>
      </c>
      <c r="U565" s="6" t="str">
        <f>PROPER(Working_Sales[[#This Row],[Product_Category_Whitespace_Removed]])</f>
        <v>Electronics</v>
      </c>
      <c r="V565" t="s">
        <v>29</v>
      </c>
      <c r="W565" s="2" t="str">
        <f>CLEAN(TRIM(Working_Sales[[#This Row],[Quantity]]))</f>
        <v>3</v>
      </c>
      <c r="X565" s="2">
        <f>INT(Working_Sales[[#This Row],[`]])</f>
        <v>3</v>
      </c>
      <c r="Y565" s="6">
        <f>IFERROR(
   Working_Sales[[#This Row],[Quantity_Converted_To_Integer]],
   Working_Sales[[#This Row],[Total_Amount_Whitespace_Removed]]/Working_Sales[[#This Row],[Price_Per_Unit_Decimal_Separator_Fixed]])</f>
        <v>3</v>
      </c>
      <c r="Z565" t="s">
        <v>70</v>
      </c>
      <c r="AA565" s="2" t="str">
        <f>CLEAN(TRIM(Working_Sales[[#This Row],[Price per Unit]]))</f>
        <v>30</v>
      </c>
      <c r="AB565" s="2">
        <f>INT(
   SUBSTITUTE(Working_Sales[[#This Row],[Price_Per_Unit_Whitespace_Removed]],
   "$",
   ""
   )
)</f>
        <v>30</v>
      </c>
      <c r="AC565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565" s="8">
        <f>IFERROR(
   Working_Sales[[#This Row],[Price_Per_Unit_Decimal_Separator_Fixed]],
   Working_Sales[[#This Row],[Total_Amount_Converted_To_Integer]]/Working_Sales[[#This Row],[Quantity_Converted_To_Integer]]
)</f>
        <v>30</v>
      </c>
      <c r="AE565" t="s">
        <v>191</v>
      </c>
      <c r="AF565" s="2" t="str">
        <f>CLEAN(TRIM(Working_Sales[[#This Row],[Total Amount]]))</f>
        <v>90</v>
      </c>
      <c r="AG565" s="2">
        <f>INT(Working_Sales[[#This Row],[Total_Amount_Whitespace_Removed]])</f>
        <v>90</v>
      </c>
      <c r="AH56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566" spans="1:34" x14ac:dyDescent="0.35">
      <c r="A566" t="s">
        <v>22</v>
      </c>
      <c r="B566" s="6" t="str">
        <f>CLEAN(TRIM(Working_Sales[[#This Row],[Transaction ID]]))</f>
        <v>1</v>
      </c>
      <c r="C566" t="s">
        <v>2124</v>
      </c>
      <c r="D566" s="2" t="str">
        <f>CLEAN(TRIM(Working_Sales[[#This Row],[Date]]))</f>
        <v>24/11/2023</v>
      </c>
      <c r="E56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45254</v>
      </c>
      <c r="F56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45254</v>
      </c>
      <c r="G56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45254</v>
      </c>
      <c r="H566" t="s">
        <v>2788</v>
      </c>
      <c r="I566" s="2" t="str">
        <f>CLEAN(TRIM(Working_Sales[[#This Row],[Customer ID]]))</f>
        <v>CUST379</v>
      </c>
      <c r="J56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CUST379</v>
      </c>
      <c r="K56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CUST379</v>
      </c>
      <c r="L566" t="s">
        <v>34</v>
      </c>
      <c r="M566" s="4" t="str">
        <f>CLEAN(TRIM(Working_Sales[[#This Row],[Gender]]))</f>
        <v>Male</v>
      </c>
      <c r="N566" s="4" t="str" cm="1">
        <f t="array" ref="N566">_xlfn.SWITCH(
   Working_Sales[[#This Row],[Gender_Whitespace_Removed]],
   "m", "Male",
   "f", "Female",
   Working_Sales[[#This Row],[Gender_Whitespace_Removed]]
)</f>
        <v>Male</v>
      </c>
      <c r="O566" s="6" t="str">
        <f>PROPER(Working_Sales[[#This Row],[Gender_Abbreviation_Expanded]])</f>
        <v>Male</v>
      </c>
      <c r="P566">
        <v>34</v>
      </c>
      <c r="Q566" s="2" t="str">
        <f>CLEAN(TRIM(Working_Sales[[#This Row],[Age]]))</f>
        <v>34</v>
      </c>
      <c r="R566" s="6">
        <f>INT(SUBSTITUTE(Working_Sales[[#This Row],[Age_Whitespace_Removed]],".",","))</f>
        <v>34</v>
      </c>
      <c r="S566" t="s">
        <v>69</v>
      </c>
      <c r="T566" s="2" t="str">
        <f>CLEAN(TRIM(Working_Sales[[#This Row],[Product Category]]))</f>
        <v>BEAUTY</v>
      </c>
      <c r="U566" s="6" t="str">
        <f>PROPER(Working_Sales[[#This Row],[Product_Category_Whitespace_Removed]])</f>
        <v>Beauty</v>
      </c>
      <c r="V566" t="s">
        <v>29</v>
      </c>
      <c r="W566" s="2" t="str">
        <f>CLEAN(TRIM(Working_Sales[[#This Row],[Quantity]]))</f>
        <v>3</v>
      </c>
      <c r="X566" s="2">
        <f>INT(Working_Sales[[#This Row],[`]])</f>
        <v>3</v>
      </c>
      <c r="Y566" s="6">
        <f>IFERROR(
   Working_Sales[[#This Row],[Quantity_Converted_To_Integer]],
   Working_Sales[[#This Row],[Total_Amount_Whitespace_Removed]]/Working_Sales[[#This Row],[Price_Per_Unit_Decimal_Separator_Fixed]])</f>
        <v>3</v>
      </c>
      <c r="Z566" t="s">
        <v>153</v>
      </c>
      <c r="AA566" s="2" t="str">
        <f>CLEAN(TRIM(Working_Sales[[#This Row],[Price per Unit]]))</f>
        <v>50.00</v>
      </c>
      <c r="AB566" s="2" t="e">
        <f>INT(
   SUBSTITUTE(Working_Sales[[#This Row],[Price_Per_Unit_Whitespace_Removed]],
   "$",
   ""
   )
)</f>
        <v>#VALUE!</v>
      </c>
      <c r="AC566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566" s="8">
        <f>IFERROR(
   Working_Sales[[#This Row],[Price_Per_Unit_Decimal_Separator_Fixed]],
   Working_Sales[[#This Row],[Total_Amount_Converted_To_Integer]]/Working_Sales[[#This Row],[Quantity_Converted_To_Integer]]
)</f>
        <v>50</v>
      </c>
      <c r="AE566" t="s">
        <v>130</v>
      </c>
      <c r="AF566" s="2" t="str">
        <f>CLEAN(TRIM(Working_Sales[[#This Row],[Total Amount]]))</f>
        <v>150</v>
      </c>
      <c r="AG566" s="2">
        <f>INT(Working_Sales[[#This Row],[Total_Amount_Whitespace_Removed]])</f>
        <v>150</v>
      </c>
      <c r="AH56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567" spans="1:34" x14ac:dyDescent="0.35">
      <c r="A567" t="s">
        <v>1234</v>
      </c>
      <c r="B567" s="6" t="str">
        <f>CLEAN(TRIM(Working_Sales[[#This Row],[Transaction ID]]))</f>
        <v>395</v>
      </c>
      <c r="C567" t="s">
        <v>1235</v>
      </c>
      <c r="D567" s="2" t="str">
        <f>CLEAN(TRIM(Working_Sales[[#This Row],[Date]]))</f>
        <v>2023-12-06</v>
      </c>
      <c r="E56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45266</v>
      </c>
      <c r="F56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45266</v>
      </c>
      <c r="G56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45266</v>
      </c>
      <c r="H567" t="s">
        <v>2789</v>
      </c>
      <c r="I567" s="2" t="str">
        <f>CLEAN(TRIM(Working_Sales[[#This Row],[Customer ID]]))</f>
        <v>cust332</v>
      </c>
      <c r="J56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6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CUST332</v>
      </c>
      <c r="L567" t="s">
        <v>34</v>
      </c>
      <c r="M567" s="4" t="str">
        <f>CLEAN(TRIM(Working_Sales[[#This Row],[Gender]]))</f>
        <v>Male</v>
      </c>
      <c r="N567" s="4" t="str" cm="1">
        <f t="array" ref="N567">_xlfn.SWITCH(
   Working_Sales[[#This Row],[Gender_Whitespace_Removed]],
   "m", "Male",
   "f", "Female",
   Working_Sales[[#This Row],[Gender_Whitespace_Removed]]
)</f>
        <v>Male</v>
      </c>
      <c r="O567" s="6" t="str">
        <f>PROPER(Working_Sales[[#This Row],[Gender_Abbreviation_Expanded]])</f>
        <v>Male</v>
      </c>
      <c r="P567">
        <v>50</v>
      </c>
      <c r="Q567" s="2" t="str">
        <f>CLEAN(TRIM(Working_Sales[[#This Row],[Age]]))</f>
        <v>50</v>
      </c>
      <c r="R567" s="6">
        <f>INT(SUBSTITUTE(Working_Sales[[#This Row],[Age_Whitespace_Removed]],".",","))</f>
        <v>50</v>
      </c>
      <c r="S567" t="s">
        <v>13</v>
      </c>
      <c r="T567" s="2" t="str">
        <f>CLEAN(TRIM(Working_Sales[[#This Row],[Product Category]]))</f>
        <v>Electronics</v>
      </c>
      <c r="U567" s="6" t="str">
        <f>PROPER(Working_Sales[[#This Row],[Product_Category_Whitespace_Removed]])</f>
        <v>Electronics</v>
      </c>
      <c r="V567" t="s">
        <v>37</v>
      </c>
      <c r="W567" s="2" t="str">
        <f>CLEAN(TRIM(Working_Sales[[#This Row],[Quantity]]))</f>
        <v>2</v>
      </c>
      <c r="X567" s="2">
        <f>INT(Working_Sales[[#This Row],[`]])</f>
        <v>2</v>
      </c>
      <c r="Y567" s="6">
        <f>IFERROR(
   Working_Sales[[#This Row],[Quantity_Converted_To_Integer]],
   Working_Sales[[#This Row],[Total_Amount_Whitespace_Removed]]/Working_Sales[[#This Row],[Price_Per_Unit_Decimal_Separator_Fixed]])</f>
        <v>2</v>
      </c>
      <c r="Z567" t="s">
        <v>282</v>
      </c>
      <c r="AA567" s="2" t="str">
        <f>CLEAN(TRIM(Working_Sales[[#This Row],[Price per Unit]]))</f>
        <v>500</v>
      </c>
      <c r="AB567" s="2">
        <f>INT(
   SUBSTITUTE(Working_Sales[[#This Row],[Price_Per_Unit_Whitespace_Removed]],
   "$",
   ""
   )
)</f>
        <v>500</v>
      </c>
      <c r="AC567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567" s="8">
        <f>IFERROR(
   Working_Sales[[#This Row],[Price_Per_Unit_Decimal_Separator_Fixed]],
   Working_Sales[[#This Row],[Total_Amount_Converted_To_Integer]]/Working_Sales[[#This Row],[Quantity_Converted_To_Integer]]
)</f>
        <v>500</v>
      </c>
      <c r="AE567" t="s">
        <v>163</v>
      </c>
      <c r="AF567" s="2" t="str">
        <f>CLEAN(TRIM(Working_Sales[[#This Row],[Total Amount]]))</f>
        <v>1000</v>
      </c>
      <c r="AG567" s="2">
        <f>INT(Working_Sales[[#This Row],[Total_Amount_Whitespace_Removed]])</f>
        <v>1000</v>
      </c>
      <c r="AH56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568" spans="1:34" x14ac:dyDescent="0.35">
      <c r="A568" t="s">
        <v>1236</v>
      </c>
      <c r="B568" s="6" t="str">
        <f>CLEAN(TRIM(Working_Sales[[#This Row],[Transaction ID]]))</f>
        <v>402</v>
      </c>
      <c r="C568" t="s">
        <v>1237</v>
      </c>
      <c r="D568" s="2" t="str">
        <f>CLEAN(TRIM(Working_Sales[[#This Row],[Date]]))</f>
        <v>2023-03-21</v>
      </c>
      <c r="E56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45006</v>
      </c>
      <c r="F56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45006</v>
      </c>
      <c r="G56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45006</v>
      </c>
      <c r="H568" t="s">
        <v>2790</v>
      </c>
      <c r="I568" s="2" t="str">
        <f>CLEAN(TRIM(Working_Sales[[#This Row],[Customer ID]]))</f>
        <v>cust380</v>
      </c>
      <c r="J56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6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CUST380</v>
      </c>
      <c r="L568" t="s">
        <v>26</v>
      </c>
      <c r="M568" s="4" t="str">
        <f>CLEAN(TRIM(Working_Sales[[#This Row],[Gender]]))</f>
        <v>Female</v>
      </c>
      <c r="N568" s="4" t="str" cm="1">
        <f t="array" ref="N568">_xlfn.SWITCH(
   Working_Sales[[#This Row],[Gender_Whitespace_Removed]],
   "m", "Male",
   "f", "Female",
   Working_Sales[[#This Row],[Gender_Whitespace_Removed]]
)</f>
        <v>Female</v>
      </c>
      <c r="O568" s="6" t="str">
        <f>PROPER(Working_Sales[[#This Row],[Gender_Abbreviation_Expanded]])</f>
        <v>Female</v>
      </c>
      <c r="P568" t="s">
        <v>624</v>
      </c>
      <c r="Q568" s="2" t="str">
        <f>CLEAN(TRIM(Working_Sales[[#This Row],[Age]]))</f>
        <v>41</v>
      </c>
      <c r="R568" s="6">
        <f>INT(SUBSTITUTE(Working_Sales[[#This Row],[Age_Whitespace_Removed]],".",","))</f>
        <v>41</v>
      </c>
      <c r="S568" t="s">
        <v>124</v>
      </c>
      <c r="T568" s="2" t="str">
        <f>CLEAN(TRIM(Working_Sales[[#This Row],[Product Category]]))</f>
        <v>Clothing</v>
      </c>
      <c r="U568" s="6" t="str">
        <f>PROPER(Working_Sales[[#This Row],[Product_Category_Whitespace_Removed]])</f>
        <v>Clothing</v>
      </c>
      <c r="V568" t="s">
        <v>37</v>
      </c>
      <c r="W568" s="2" t="str">
        <f>CLEAN(TRIM(Working_Sales[[#This Row],[Quantity]]))</f>
        <v>2</v>
      </c>
      <c r="X568" s="2">
        <f>INT(Working_Sales[[#This Row],[`]])</f>
        <v>2</v>
      </c>
      <c r="Y568" s="6">
        <f>IFERROR(
   Working_Sales[[#This Row],[Quantity_Converted_To_Integer]],
   Working_Sales[[#This Row],[Total_Amount_Whitespace_Removed]]/Working_Sales[[#This Row],[Price_Per_Unit_Decimal_Separator_Fixed]])</f>
        <v>2</v>
      </c>
      <c r="Z568" t="s">
        <v>23</v>
      </c>
      <c r="AA568" s="2" t="str">
        <f>CLEAN(TRIM(Working_Sales[[#This Row],[Price per Unit]]))</f>
        <v>300</v>
      </c>
      <c r="AB568" s="2">
        <f>INT(
   SUBSTITUTE(Working_Sales[[#This Row],[Price_Per_Unit_Whitespace_Removed]],
   "$",
   ""
   )
)</f>
        <v>300</v>
      </c>
      <c r="AC568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568" s="8">
        <f>IFERROR(
   Working_Sales[[#This Row],[Price_Per_Unit_Decimal_Separator_Fixed]],
   Working_Sales[[#This Row],[Total_Amount_Converted_To_Integer]]/Working_Sales[[#This Row],[Quantity_Converted_To_Integer]]
)</f>
        <v>300</v>
      </c>
      <c r="AE568" t="s">
        <v>107</v>
      </c>
      <c r="AF568" s="2" t="str">
        <f>CLEAN(TRIM(Working_Sales[[#This Row],[Total Amount]]))</f>
        <v>600</v>
      </c>
      <c r="AG568" s="2">
        <f>INT(Working_Sales[[#This Row],[Total_Amount_Whitespace_Removed]])</f>
        <v>600</v>
      </c>
      <c r="AH56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600</v>
      </c>
    </row>
    <row r="569" spans="1:34" x14ac:dyDescent="0.35">
      <c r="A569" t="s">
        <v>1239</v>
      </c>
      <c r="B569" s="6" t="str">
        <f>CLEAN(TRIM(Working_Sales[[#This Row],[Transaction ID]]))</f>
        <v>405</v>
      </c>
      <c r="C569" t="s">
        <v>2125</v>
      </c>
      <c r="D569" s="2" t="str">
        <f>CLEAN(TRIM(Working_Sales[[#This Row],[Date]]))</f>
        <v>November 06, 2023</v>
      </c>
      <c r="E569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569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56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45236</v>
      </c>
      <c r="H569" t="s">
        <v>2791</v>
      </c>
      <c r="I569" s="2" t="str">
        <f>CLEAN(TRIM(Working_Sales[[#This Row],[Customer ID]]))</f>
        <v>Cust164</v>
      </c>
      <c r="J56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6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CUST164</v>
      </c>
      <c r="L569" t="s">
        <v>26</v>
      </c>
      <c r="M569" s="4" t="str">
        <f>CLEAN(TRIM(Working_Sales[[#This Row],[Gender]]))</f>
        <v>Female</v>
      </c>
      <c r="N569" s="4" t="str" cm="1">
        <f t="array" ref="N569">_xlfn.SWITCH(
   Working_Sales[[#This Row],[Gender_Whitespace_Removed]],
   "m", "Male",
   "f", "Female",
   Working_Sales[[#This Row],[Gender_Whitespace_Removed]]
)</f>
        <v>Female</v>
      </c>
      <c r="O569" s="6" t="str">
        <f>PROPER(Working_Sales[[#This Row],[Gender_Abbreviation_Expanded]])</f>
        <v>Female</v>
      </c>
      <c r="P569">
        <v>25</v>
      </c>
      <c r="Q569" s="2" t="str">
        <f>CLEAN(TRIM(Working_Sales[[#This Row],[Age]]))</f>
        <v>25</v>
      </c>
      <c r="R569" s="6">
        <f>INT(SUBSTITUTE(Working_Sales[[#This Row],[Age_Whitespace_Removed]],".",","))</f>
        <v>25</v>
      </c>
      <c r="S569" t="s">
        <v>56</v>
      </c>
      <c r="T569" s="2" t="str">
        <f>CLEAN(TRIM(Working_Sales[[#This Row],[Product Category]]))</f>
        <v>Clothing</v>
      </c>
      <c r="U569" s="6" t="str">
        <f>PROPER(Working_Sales[[#This Row],[Product_Category_Whitespace_Removed]])</f>
        <v>Clothing</v>
      </c>
      <c r="V569" t="s">
        <v>14</v>
      </c>
      <c r="W569" s="2" t="str">
        <f>CLEAN(TRIM(Working_Sales[[#This Row],[Quantity]]))</f>
        <v>4</v>
      </c>
      <c r="X569" s="2">
        <f>INT(Working_Sales[[#This Row],[`]])</f>
        <v>4</v>
      </c>
      <c r="Y569" s="6">
        <f>IFERROR(
   Working_Sales[[#This Row],[Quantity_Converted_To_Integer]],
   Working_Sales[[#This Row],[Total_Amount_Whitespace_Removed]]/Working_Sales[[#This Row],[Price_Per_Unit_Decimal_Separator_Fixed]])</f>
        <v>4</v>
      </c>
      <c r="Z569" t="s">
        <v>23</v>
      </c>
      <c r="AA569" s="2" t="str">
        <f>CLEAN(TRIM(Working_Sales[[#This Row],[Price per Unit]]))</f>
        <v>300</v>
      </c>
      <c r="AB569" s="2">
        <f>INT(
   SUBSTITUTE(Working_Sales[[#This Row],[Price_Per_Unit_Whitespace_Removed]],
   "$",
   ""
   )
)</f>
        <v>300</v>
      </c>
      <c r="AC569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569" s="8">
        <f>IFERROR(
   Working_Sales[[#This Row],[Price_Per_Unit_Decimal_Separator_Fixed]],
   Working_Sales[[#This Row],[Total_Amount_Converted_To_Integer]]/Working_Sales[[#This Row],[Quantity_Converted_To_Integer]]
)</f>
        <v>300</v>
      </c>
      <c r="AE569" t="s">
        <v>79</v>
      </c>
      <c r="AF569" s="2" t="str">
        <f>CLEAN(TRIM(Working_Sales[[#This Row],[Total Amount]]))</f>
        <v>1200</v>
      </c>
      <c r="AG569" s="2">
        <f>INT(Working_Sales[[#This Row],[Total_Amount_Whitespace_Removed]])</f>
        <v>1200</v>
      </c>
      <c r="AH56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570" spans="1:34" x14ac:dyDescent="0.35">
      <c r="A570" t="s">
        <v>1241</v>
      </c>
      <c r="B570" s="6" t="str">
        <f>CLEAN(TRIM(Working_Sales[[#This Row],[Transaction ID]]))</f>
        <v>859</v>
      </c>
      <c r="C570" t="s">
        <v>1242</v>
      </c>
      <c r="D570" s="2" t="str">
        <f>CLEAN(TRIM(Working_Sales[[#This Row],[Date]]))</f>
        <v>2023-08-18</v>
      </c>
      <c r="E57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45156</v>
      </c>
      <c r="F57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45156</v>
      </c>
      <c r="G57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45156</v>
      </c>
      <c r="H570" t="s">
        <v>2792</v>
      </c>
      <c r="I570" s="2" t="str">
        <f>CLEAN(TRIM(Working_Sales[[#This Row],[Customer ID]]))</f>
        <v>cust381</v>
      </c>
      <c r="J57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7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CUST381</v>
      </c>
      <c r="L570" t="s">
        <v>26</v>
      </c>
      <c r="M570" s="4" t="str">
        <f>CLEAN(TRIM(Working_Sales[[#This Row],[Gender]]))</f>
        <v>Female</v>
      </c>
      <c r="N570" s="4" t="str" cm="1">
        <f t="array" ref="N570">_xlfn.SWITCH(
   Working_Sales[[#This Row],[Gender_Whitespace_Removed]],
   "m", "Male",
   "f", "Female",
   Working_Sales[[#This Row],[Gender_Whitespace_Removed]]
)</f>
        <v>Female</v>
      </c>
      <c r="O570" s="6" t="str">
        <f>PROPER(Working_Sales[[#This Row],[Gender_Abbreviation_Expanded]])</f>
        <v>Female</v>
      </c>
      <c r="P570">
        <v>56</v>
      </c>
      <c r="Q570" s="2" t="str">
        <f>CLEAN(TRIM(Working_Sales[[#This Row],[Age]]))</f>
        <v>56</v>
      </c>
      <c r="R570" s="6">
        <f>INT(SUBSTITUTE(Working_Sales[[#This Row],[Age_Whitespace_Removed]],".",","))</f>
        <v>56</v>
      </c>
      <c r="S570" t="s">
        <v>13</v>
      </c>
      <c r="T570" s="2" t="str">
        <f>CLEAN(TRIM(Working_Sales[[#This Row],[Product Category]]))</f>
        <v>Electronics</v>
      </c>
      <c r="U570" s="6" t="str">
        <f>PROPER(Working_Sales[[#This Row],[Product_Category_Whitespace_Removed]])</f>
        <v>Electronics</v>
      </c>
      <c r="V570" t="s">
        <v>29</v>
      </c>
      <c r="W570" s="2" t="str">
        <f>CLEAN(TRIM(Working_Sales[[#This Row],[Quantity]]))</f>
        <v>3</v>
      </c>
      <c r="X570" s="2">
        <f>INT(Working_Sales[[#This Row],[`]])</f>
        <v>3</v>
      </c>
      <c r="Y570" s="6">
        <f>IFERROR(
   Working_Sales[[#This Row],[Quantity_Converted_To_Integer]],
   Working_Sales[[#This Row],[Total_Amount_Whitespace_Removed]]/Working_Sales[[#This Row],[Price_Per_Unit_Decimal_Separator_Fixed]])</f>
        <v>3</v>
      </c>
      <c r="Z570" t="s">
        <v>57</v>
      </c>
      <c r="AA570" s="2" t="str">
        <f>CLEAN(TRIM(Working_Sales[[#This Row],[Price per Unit]]))</f>
        <v>500</v>
      </c>
      <c r="AB570" s="2">
        <f>INT(
   SUBSTITUTE(Working_Sales[[#This Row],[Price_Per_Unit_Whitespace_Removed]],
   "$",
   ""
   )
)</f>
        <v>500</v>
      </c>
      <c r="AC570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570" s="8">
        <f>IFERROR(
   Working_Sales[[#This Row],[Price_Per_Unit_Decimal_Separator_Fixed]],
   Working_Sales[[#This Row],[Total_Amount_Converted_To_Integer]]/Working_Sales[[#This Row],[Quantity_Converted_To_Integer]]
)</f>
        <v>500</v>
      </c>
      <c r="AE570" t="s">
        <v>85</v>
      </c>
      <c r="AF570" s="2" t="str">
        <f>CLEAN(TRIM(Working_Sales[[#This Row],[Total Amount]]))</f>
        <v>1500</v>
      </c>
      <c r="AG570" s="2">
        <f>INT(Working_Sales[[#This Row],[Total_Amount_Whitespace_Removed]])</f>
        <v>1500</v>
      </c>
      <c r="AH57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571" spans="1:34" x14ac:dyDescent="0.35">
      <c r="A571" t="s">
        <v>1243</v>
      </c>
      <c r="B571" s="6" t="str">
        <f>CLEAN(TRIM(Working_Sales[[#This Row],[Transaction ID]]))</f>
        <v>813</v>
      </c>
      <c r="C571" t="s">
        <v>1244</v>
      </c>
      <c r="D571" s="2" t="str">
        <f>CLEAN(TRIM(Working_Sales[[#This Row],[Date]]))</f>
        <v>2023-10-03</v>
      </c>
      <c r="E57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45202</v>
      </c>
      <c r="F57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45202</v>
      </c>
      <c r="G57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45202</v>
      </c>
      <c r="H571" t="s">
        <v>2793</v>
      </c>
      <c r="I571" s="2" t="str">
        <f>CLEAN(TRIM(Working_Sales[[#This Row],[Customer ID]]))</f>
        <v>cust121</v>
      </c>
      <c r="J57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7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CUST121</v>
      </c>
      <c r="L571" t="s">
        <v>34</v>
      </c>
      <c r="M571" s="4" t="str">
        <f>CLEAN(TRIM(Working_Sales[[#This Row],[Gender]]))</f>
        <v>Male</v>
      </c>
      <c r="N571" s="4" t="str" cm="1">
        <f t="array" ref="N571">_xlfn.SWITCH(
   Working_Sales[[#This Row],[Gender_Whitespace_Removed]],
   "m", "Male",
   "f", "Female",
   Working_Sales[[#This Row],[Gender_Whitespace_Removed]]
)</f>
        <v>Male</v>
      </c>
      <c r="O571" s="6" t="str">
        <f>PROPER(Working_Sales[[#This Row],[Gender_Abbreviation_Expanded]])</f>
        <v>Male</v>
      </c>
      <c r="P571">
        <v>52</v>
      </c>
      <c r="Q571" s="2" t="str">
        <f>CLEAN(TRIM(Working_Sales[[#This Row],[Age]]))</f>
        <v>52</v>
      </c>
      <c r="R571" s="6">
        <f>INT(SUBSTITUTE(Working_Sales[[#This Row],[Age_Whitespace_Removed]],".",","))</f>
        <v>52</v>
      </c>
      <c r="S571" t="s">
        <v>13</v>
      </c>
      <c r="T571" s="2" t="str">
        <f>CLEAN(TRIM(Working_Sales[[#This Row],[Product Category]]))</f>
        <v>Electronics</v>
      </c>
      <c r="U571" s="6" t="str">
        <f>PROPER(Working_Sales[[#This Row],[Product_Category_Whitespace_Removed]])</f>
        <v>Electronics</v>
      </c>
      <c r="V571" t="s">
        <v>29</v>
      </c>
      <c r="W571" s="2" t="str">
        <f>CLEAN(TRIM(Working_Sales[[#This Row],[Quantity]]))</f>
        <v>3</v>
      </c>
      <c r="X571" s="2">
        <f>INT(Working_Sales[[#This Row],[`]])</f>
        <v>3</v>
      </c>
      <c r="Y571" s="6">
        <f>IFERROR(
   Working_Sales[[#This Row],[Quantity_Converted_To_Integer]],
   Working_Sales[[#This Row],[Total_Amount_Whitespace_Removed]]/Working_Sales[[#This Row],[Price_Per_Unit_Decimal_Separator_Fixed]])</f>
        <v>3</v>
      </c>
      <c r="Z571" t="s">
        <v>15</v>
      </c>
      <c r="AA571" s="2" t="str">
        <f>CLEAN(TRIM(Working_Sales[[#This Row],[Price per Unit]]))</f>
        <v>50</v>
      </c>
      <c r="AB571" s="2">
        <f>INT(
   SUBSTITUTE(Working_Sales[[#This Row],[Price_Per_Unit_Whitespace_Removed]],
   "$",
   ""
   )
)</f>
        <v>50</v>
      </c>
      <c r="AC571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571" s="8">
        <f>IFERROR(
   Working_Sales[[#This Row],[Price_Per_Unit_Decimal_Separator_Fixed]],
   Working_Sales[[#This Row],[Total_Amount_Converted_To_Integer]]/Working_Sales[[#This Row],[Quantity_Converted_To_Integer]]
)</f>
        <v>50</v>
      </c>
      <c r="AE571" t="s">
        <v>130</v>
      </c>
      <c r="AF571" s="2" t="str">
        <f>CLEAN(TRIM(Working_Sales[[#This Row],[Total Amount]]))</f>
        <v>150</v>
      </c>
      <c r="AG571" s="2">
        <f>INT(Working_Sales[[#This Row],[Total_Amount_Whitespace_Removed]])</f>
        <v>150</v>
      </c>
      <c r="AH57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572" spans="1:34" x14ac:dyDescent="0.35">
      <c r="A572" t="s">
        <v>1245</v>
      </c>
      <c r="B572" s="6" t="str">
        <f>CLEAN(TRIM(Working_Sales[[#This Row],[Transaction ID]]))</f>
        <v>163</v>
      </c>
      <c r="C572" t="s">
        <v>1246</v>
      </c>
      <c r="D572" s="2" t="str">
        <f>CLEAN(TRIM(Working_Sales[[#This Row],[Date]]))</f>
        <v>2023-01-02</v>
      </c>
      <c r="E57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44928</v>
      </c>
      <c r="F57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44928</v>
      </c>
      <c r="G57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44928</v>
      </c>
      <c r="H572" t="s">
        <v>2794</v>
      </c>
      <c r="I572" s="2" t="str">
        <f>CLEAN(TRIM(Working_Sales[[#This Row],[Customer ID]]))</f>
        <v>CUST326</v>
      </c>
      <c r="J57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CUST326</v>
      </c>
      <c r="K57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CUST326</v>
      </c>
      <c r="L572" t="s">
        <v>26</v>
      </c>
      <c r="M572" s="4" t="str">
        <f>CLEAN(TRIM(Working_Sales[[#This Row],[Gender]]))</f>
        <v>Female</v>
      </c>
      <c r="N572" s="4" t="str" cm="1">
        <f t="array" ref="N572">_xlfn.SWITCH(
   Working_Sales[[#This Row],[Gender_Whitespace_Removed]],
   "m", "Male",
   "f", "Female",
   Working_Sales[[#This Row],[Gender_Whitespace_Removed]]
)</f>
        <v>Female</v>
      </c>
      <c r="O572" s="6" t="str">
        <f>PROPER(Working_Sales[[#This Row],[Gender_Abbreviation_Expanded]])</f>
        <v>Female</v>
      </c>
      <c r="P572">
        <v>64</v>
      </c>
      <c r="Q572" s="2" t="str">
        <f>CLEAN(TRIM(Working_Sales[[#This Row],[Age]]))</f>
        <v>64</v>
      </c>
      <c r="R572" s="6">
        <f>INT(SUBSTITUTE(Working_Sales[[#This Row],[Age_Whitespace_Removed]],".",","))</f>
        <v>64</v>
      </c>
      <c r="S572" t="s">
        <v>56</v>
      </c>
      <c r="T572" s="2" t="str">
        <f>CLEAN(TRIM(Working_Sales[[#This Row],[Product Category]]))</f>
        <v>Clothing</v>
      </c>
      <c r="U572" s="6" t="str">
        <f>PROPER(Working_Sales[[#This Row],[Product_Category_Whitespace_Removed]])</f>
        <v>Clothing</v>
      </c>
      <c r="V572" t="s">
        <v>29</v>
      </c>
      <c r="W572" s="2" t="str">
        <f>CLEAN(TRIM(Working_Sales[[#This Row],[Quantity]]))</f>
        <v>3</v>
      </c>
      <c r="X572" s="2">
        <f>INT(Working_Sales[[#This Row],[`]])</f>
        <v>3</v>
      </c>
      <c r="Y572" s="6">
        <f>IFERROR(
   Working_Sales[[#This Row],[Quantity_Converted_To_Integer]],
   Working_Sales[[#This Row],[Total_Amount_Whitespace_Removed]]/Working_Sales[[#This Row],[Price_Per_Unit_Decimal_Separator_Fixed]])</f>
        <v>3</v>
      </c>
      <c r="Z572" t="s">
        <v>96</v>
      </c>
      <c r="AA572" s="2" t="str">
        <f>CLEAN(TRIM(Working_Sales[[#This Row],[Price per Unit]]))</f>
        <v>$50</v>
      </c>
      <c r="AB572" s="2">
        <f>INT(
   SUBSTITUTE(Working_Sales[[#This Row],[Price_Per_Unit_Whitespace_Removed]],
   "$",
   ""
   )
)</f>
        <v>50</v>
      </c>
      <c r="AC572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572" s="8">
        <f>IFERROR(
   Working_Sales[[#This Row],[Price_Per_Unit_Decimal_Separator_Fixed]],
   Working_Sales[[#This Row],[Total_Amount_Converted_To_Integer]]/Working_Sales[[#This Row],[Quantity_Converted_To_Integer]]
)</f>
        <v>50</v>
      </c>
      <c r="AE572" t="s">
        <v>130</v>
      </c>
      <c r="AF572" s="2" t="str">
        <f>CLEAN(TRIM(Working_Sales[[#This Row],[Total Amount]]))</f>
        <v>150</v>
      </c>
      <c r="AG572" s="2">
        <f>INT(Working_Sales[[#This Row],[Total_Amount_Whitespace_Removed]])</f>
        <v>150</v>
      </c>
      <c r="AH57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573" spans="1:34" x14ac:dyDescent="0.35">
      <c r="A573" t="s">
        <v>1248</v>
      </c>
      <c r="B573" s="6" t="str">
        <f>CLEAN(TRIM(Working_Sales[[#This Row],[Transaction ID]]))</f>
        <v>115</v>
      </c>
      <c r="C573" t="s">
        <v>2126</v>
      </c>
      <c r="D573" s="2" t="str">
        <f>CLEAN(TRIM(Working_Sales[[#This Row],[Date]]))</f>
        <v>26-Nov-2023</v>
      </c>
      <c r="E57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45256</v>
      </c>
      <c r="F57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45256</v>
      </c>
      <c r="G57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45256</v>
      </c>
      <c r="H573" t="s">
        <v>872</v>
      </c>
      <c r="I573" s="2" t="str">
        <f>CLEAN(TRIM(Working_Sales[[#This Row],[Customer ID]]))</f>
        <v>CUST066</v>
      </c>
      <c r="J57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CUST066</v>
      </c>
      <c r="K57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CUST066</v>
      </c>
      <c r="L573" t="s">
        <v>34</v>
      </c>
      <c r="M573" s="4" t="str">
        <f>CLEAN(TRIM(Working_Sales[[#This Row],[Gender]]))</f>
        <v>Male</v>
      </c>
      <c r="N573" s="4" t="str" cm="1">
        <f t="array" ref="N573">_xlfn.SWITCH(
   Working_Sales[[#This Row],[Gender_Whitespace_Removed]],
   "m", "Male",
   "f", "Female",
   Working_Sales[[#This Row],[Gender_Whitespace_Removed]]
)</f>
        <v>Male</v>
      </c>
      <c r="O573" s="6" t="str">
        <f>PROPER(Working_Sales[[#This Row],[Gender_Abbreviation_Expanded]])</f>
        <v>Male</v>
      </c>
      <c r="P573">
        <v>51</v>
      </c>
      <c r="Q573" s="2" t="str">
        <f>CLEAN(TRIM(Working_Sales[[#This Row],[Age]]))</f>
        <v>51</v>
      </c>
      <c r="R573" s="6">
        <f>INT(SUBSTITUTE(Working_Sales[[#This Row],[Age_Whitespace_Removed]],".",","))</f>
        <v>51</v>
      </c>
      <c r="S573" t="s">
        <v>89</v>
      </c>
      <c r="T573" s="2" t="str">
        <f>CLEAN(TRIM(Working_Sales[[#This Row],[Product Category]]))</f>
        <v>CLOTHING</v>
      </c>
      <c r="U573" s="6" t="str">
        <f>PROPER(Working_Sales[[#This Row],[Product_Category_Whitespace_Removed]])</f>
        <v>Clothing</v>
      </c>
      <c r="V573" t="s">
        <v>29</v>
      </c>
      <c r="W573" s="2" t="str">
        <f>CLEAN(TRIM(Working_Sales[[#This Row],[Quantity]]))</f>
        <v>3</v>
      </c>
      <c r="X573" s="2">
        <f>INT(Working_Sales[[#This Row],[`]])</f>
        <v>3</v>
      </c>
      <c r="Y573" s="6">
        <f>IFERROR(
   Working_Sales[[#This Row],[Quantity_Converted_To_Integer]],
   Working_Sales[[#This Row],[Total_Amount_Whitespace_Removed]]/Working_Sales[[#This Row],[Price_Per_Unit_Decimal_Separator_Fixed]])</f>
        <v>3</v>
      </c>
      <c r="AA573" s="2" t="str">
        <f>CLEAN(TRIM(Working_Sales[[#This Row],[Price per Unit]]))</f>
        <v/>
      </c>
      <c r="AB573" s="2" t="e">
        <f>INT(
   SUBSTITUTE(Working_Sales[[#This Row],[Price_Per_Unit_Whitespace_Removed]],
   "$",
   ""
   )
)</f>
        <v>#VALUE!</v>
      </c>
      <c r="AC573" s="2" t="e">
        <f>INT(
   IFERROR(
      Working_Sales[[#This Row],[Price_Per_Unit_Dollar_Sign_Removed]],
      SUBSTITUTE(
         Working_Sales[[#This Row],[Price_Per_Unit_Whitespace_Removed]],
        ".",
         ","
      )
   )
)</f>
        <v>#VALUE!</v>
      </c>
      <c r="AD573" s="8">
        <f>IFERROR(
   Working_Sales[[#This Row],[Price_Per_Unit_Decimal_Separator_Fixed]],
   Working_Sales[[#This Row],[Total_Amount_Converted_To_Integer]]/Working_Sales[[#This Row],[Quantity_Converted_To_Integer]]
)</f>
        <v>500</v>
      </c>
      <c r="AE573" t="s">
        <v>85</v>
      </c>
      <c r="AF573" s="2" t="str">
        <f>CLEAN(TRIM(Working_Sales[[#This Row],[Total Amount]]))</f>
        <v>1500</v>
      </c>
      <c r="AG573" s="2">
        <f>INT(Working_Sales[[#This Row],[Total_Amount_Whitespace_Removed]])</f>
        <v>1500</v>
      </c>
      <c r="AH57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574" spans="1:34" x14ac:dyDescent="0.35">
      <c r="A574" t="s">
        <v>1250</v>
      </c>
      <c r="B574" s="6" t="str">
        <f>CLEAN(TRIM(Working_Sales[[#This Row],[Transaction ID]]))</f>
        <v>151</v>
      </c>
      <c r="C574" t="s">
        <v>1251</v>
      </c>
      <c r="D574" s="2" t="str">
        <f>CLEAN(TRIM(Working_Sales[[#This Row],[Date]]))</f>
        <v>December 15, 2023</v>
      </c>
      <c r="E574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574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57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45275</v>
      </c>
      <c r="H574" t="s">
        <v>2795</v>
      </c>
      <c r="I574" s="2" t="str">
        <f>CLEAN(TRIM(Working_Sales[[#This Row],[Customer ID]]))</f>
        <v>CUST075</v>
      </c>
      <c r="J57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CUST075</v>
      </c>
      <c r="K57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CUST075</v>
      </c>
      <c r="L574" t="s">
        <v>34</v>
      </c>
      <c r="M574" s="4" t="str">
        <f>CLEAN(TRIM(Working_Sales[[#This Row],[Gender]]))</f>
        <v>Male</v>
      </c>
      <c r="N574" s="4" t="str" cm="1">
        <f t="array" ref="N574">_xlfn.SWITCH(
   Working_Sales[[#This Row],[Gender_Whitespace_Removed]],
   "m", "Male",
   "f", "Female",
   Working_Sales[[#This Row],[Gender_Whitespace_Removed]]
)</f>
        <v>Male</v>
      </c>
      <c r="O574" s="6" t="str">
        <f>PROPER(Working_Sales[[#This Row],[Gender_Abbreviation_Expanded]])</f>
        <v>Male</v>
      </c>
      <c r="P574">
        <v>29</v>
      </c>
      <c r="Q574" s="2" t="str">
        <f>CLEAN(TRIM(Working_Sales[[#This Row],[Age]]))</f>
        <v>29</v>
      </c>
      <c r="R574" s="6">
        <f>INT(SUBSTITUTE(Working_Sales[[#This Row],[Age_Whitespace_Removed]],".",","))</f>
        <v>29</v>
      </c>
      <c r="S574" t="s">
        <v>89</v>
      </c>
      <c r="T574" s="2" t="str">
        <f>CLEAN(TRIM(Working_Sales[[#This Row],[Product Category]]))</f>
        <v>CLOTHING</v>
      </c>
      <c r="U574" s="6" t="str">
        <f>PROPER(Working_Sales[[#This Row],[Product_Category_Whitespace_Removed]])</f>
        <v>Clothing</v>
      </c>
      <c r="V574" t="s">
        <v>22</v>
      </c>
      <c r="W574" s="2" t="str">
        <f>CLEAN(TRIM(Working_Sales[[#This Row],[Quantity]]))</f>
        <v>1</v>
      </c>
      <c r="X574" s="2">
        <f>INT(Working_Sales[[#This Row],[`]])</f>
        <v>1</v>
      </c>
      <c r="Y574" s="6">
        <f>IFERROR(
   Working_Sales[[#This Row],[Quantity_Converted_To_Integer]],
   Working_Sales[[#This Row],[Total_Amount_Whitespace_Removed]]/Working_Sales[[#This Row],[Price_Per_Unit_Decimal_Separator_Fixed]])</f>
        <v>1</v>
      </c>
      <c r="Z574" t="s">
        <v>75</v>
      </c>
      <c r="AA574" s="2" t="str">
        <f>CLEAN(TRIM(Working_Sales[[#This Row],[Price per Unit]]))</f>
        <v>50</v>
      </c>
      <c r="AB574" s="2">
        <f>INT(
   SUBSTITUTE(Working_Sales[[#This Row],[Price_Per_Unit_Whitespace_Removed]],
   "$",
   ""
   )
)</f>
        <v>50</v>
      </c>
      <c r="AC574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574" s="8">
        <f>IFERROR(
   Working_Sales[[#This Row],[Price_Per_Unit_Decimal_Separator_Fixed]],
   Working_Sales[[#This Row],[Total_Amount_Converted_To_Integer]]/Working_Sales[[#This Row],[Quantity_Converted_To_Integer]]
)</f>
        <v>50</v>
      </c>
      <c r="AE574" t="s">
        <v>15</v>
      </c>
      <c r="AF574" s="2" t="str">
        <f>CLEAN(TRIM(Working_Sales[[#This Row],[Total Amount]]))</f>
        <v>50</v>
      </c>
      <c r="AG574" s="2">
        <f>INT(Working_Sales[[#This Row],[Total_Amount_Whitespace_Removed]])</f>
        <v>50</v>
      </c>
      <c r="AH57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575" spans="1:34" x14ac:dyDescent="0.35">
      <c r="A575" t="s">
        <v>1253</v>
      </c>
      <c r="B575" s="6" t="str">
        <f>CLEAN(TRIM(Working_Sales[[#This Row],[Transaction ID]]))</f>
        <v>597</v>
      </c>
      <c r="C575" t="s">
        <v>1254</v>
      </c>
      <c r="D575" s="2" t="str">
        <f>CLEAN(TRIM(Working_Sales[[#This Row],[Date]]))</f>
        <v>08/22/2023</v>
      </c>
      <c r="E575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57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45160</v>
      </c>
      <c r="G57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45160</v>
      </c>
      <c r="H575" t="s">
        <v>1639</v>
      </c>
      <c r="I575" s="2" t="str">
        <f>CLEAN(TRIM(Working_Sales[[#This Row],[Customer ID]]))</f>
        <v>cust043</v>
      </c>
      <c r="J57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7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CUST043</v>
      </c>
      <c r="L575" t="s">
        <v>34</v>
      </c>
      <c r="M575" s="4" t="str">
        <f>CLEAN(TRIM(Working_Sales[[#This Row],[Gender]]))</f>
        <v>Male</v>
      </c>
      <c r="N575" s="4" t="str" cm="1">
        <f t="array" ref="N575">_xlfn.SWITCH(
   Working_Sales[[#This Row],[Gender_Whitespace_Removed]],
   "m", "Male",
   "f", "Female",
   Working_Sales[[#This Row],[Gender_Whitespace_Removed]]
)</f>
        <v>Male</v>
      </c>
      <c r="O575" s="6" t="str">
        <f>PROPER(Working_Sales[[#This Row],[Gender_Abbreviation_Expanded]])</f>
        <v>Male</v>
      </c>
      <c r="P575">
        <v>22</v>
      </c>
      <c r="Q575" s="2" t="str">
        <f>CLEAN(TRIM(Working_Sales[[#This Row],[Age]]))</f>
        <v>22</v>
      </c>
      <c r="R575" s="6">
        <f>INT(SUBSTITUTE(Working_Sales[[#This Row],[Age_Whitespace_Removed]],".",","))</f>
        <v>22</v>
      </c>
      <c r="S575" t="s">
        <v>36</v>
      </c>
      <c r="T575" s="2" t="str">
        <f>CLEAN(TRIM(Working_Sales[[#This Row],[Product Category]]))</f>
        <v>Beauty</v>
      </c>
      <c r="U575" s="6" t="str">
        <f>PROPER(Working_Sales[[#This Row],[Product_Category_Whitespace_Removed]])</f>
        <v>Beauty</v>
      </c>
      <c r="V575" t="s">
        <v>14</v>
      </c>
      <c r="W575" s="2" t="str">
        <f>CLEAN(TRIM(Working_Sales[[#This Row],[Quantity]]))</f>
        <v>4</v>
      </c>
      <c r="X575" s="2">
        <f>INT(Working_Sales[[#This Row],[`]])</f>
        <v>4</v>
      </c>
      <c r="Y575" s="6">
        <f>IFERROR(
   Working_Sales[[#This Row],[Quantity_Converted_To_Integer]],
   Working_Sales[[#This Row],[Total_Amount_Whitespace_Removed]]/Working_Sales[[#This Row],[Price_Per_Unit_Decimal_Separator_Fixed]])</f>
        <v>4</v>
      </c>
      <c r="Z575" t="s">
        <v>180</v>
      </c>
      <c r="AA575" s="2" t="str">
        <f>CLEAN(TRIM(Working_Sales[[#This Row],[Price per Unit]]))</f>
        <v>300</v>
      </c>
      <c r="AB575" s="2">
        <f>INT(
   SUBSTITUTE(Working_Sales[[#This Row],[Price_Per_Unit_Whitespace_Removed]],
   "$",
   ""
   )
)</f>
        <v>300</v>
      </c>
      <c r="AC575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575" s="8">
        <f>IFERROR(
   Working_Sales[[#This Row],[Price_Per_Unit_Decimal_Separator_Fixed]],
   Working_Sales[[#This Row],[Total_Amount_Converted_To_Integer]]/Working_Sales[[#This Row],[Quantity_Converted_To_Integer]]
)</f>
        <v>300</v>
      </c>
      <c r="AE575" t="s">
        <v>79</v>
      </c>
      <c r="AF575" s="2" t="str">
        <f>CLEAN(TRIM(Working_Sales[[#This Row],[Total Amount]]))</f>
        <v>1200</v>
      </c>
      <c r="AG575" s="2">
        <f>INT(Working_Sales[[#This Row],[Total_Amount_Whitespace_Removed]])</f>
        <v>1200</v>
      </c>
      <c r="AH57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576" spans="1:34" x14ac:dyDescent="0.35">
      <c r="A576" t="s">
        <v>1255</v>
      </c>
      <c r="B576" s="6" t="str">
        <f>CLEAN(TRIM(Working_Sales[[#This Row],[Transaction ID]]))</f>
        <v>680</v>
      </c>
      <c r="C576" t="s">
        <v>1256</v>
      </c>
      <c r="D576" s="2" t="str">
        <f>CLEAN(TRIM(Working_Sales[[#This Row],[Date]]))</f>
        <v>2023-10-22</v>
      </c>
      <c r="E57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45221</v>
      </c>
      <c r="F57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45221</v>
      </c>
      <c r="G57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45221</v>
      </c>
      <c r="H576" t="s">
        <v>2796</v>
      </c>
      <c r="I576" s="2" t="str">
        <f>CLEAN(TRIM(Working_Sales[[#This Row],[Customer ID]]))</f>
        <v>CUST082</v>
      </c>
      <c r="J57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7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CUST082</v>
      </c>
      <c r="L576" t="s">
        <v>26</v>
      </c>
      <c r="M576" s="4" t="str">
        <f>CLEAN(TRIM(Working_Sales[[#This Row],[Gender]]))</f>
        <v>Female</v>
      </c>
      <c r="N576" s="4" t="str" cm="1">
        <f t="array" ref="N576">_xlfn.SWITCH(
   Working_Sales[[#This Row],[Gender_Whitespace_Removed]],
   "m", "Male",
   "f", "Female",
   Working_Sales[[#This Row],[Gender_Whitespace_Removed]]
)</f>
        <v>Female</v>
      </c>
      <c r="O576" s="6" t="str">
        <f>PROPER(Working_Sales[[#This Row],[Gender_Abbreviation_Expanded]])</f>
        <v>Female</v>
      </c>
      <c r="P576" t="s">
        <v>1257</v>
      </c>
      <c r="Q576" s="2" t="str">
        <f>CLEAN(TRIM(Working_Sales[[#This Row],[Age]]))</f>
        <v>53.0</v>
      </c>
      <c r="R576" s="6">
        <f>INT(SUBSTITUTE(Working_Sales[[#This Row],[Age_Whitespace_Removed]],".",","))</f>
        <v>53</v>
      </c>
      <c r="S576" t="s">
        <v>56</v>
      </c>
      <c r="T576" s="2" t="str">
        <f>CLEAN(TRIM(Working_Sales[[#This Row],[Product Category]]))</f>
        <v>Clothing</v>
      </c>
      <c r="U576" s="6" t="str">
        <f>PROPER(Working_Sales[[#This Row],[Product_Category_Whitespace_Removed]])</f>
        <v>Clothing</v>
      </c>
      <c r="V576" t="s">
        <v>29</v>
      </c>
      <c r="W576" s="2" t="str">
        <f>CLEAN(TRIM(Working_Sales[[#This Row],[Quantity]]))</f>
        <v>3</v>
      </c>
      <c r="X576" s="2">
        <f>INT(Working_Sales[[#This Row],[`]])</f>
        <v>3</v>
      </c>
      <c r="Y576" s="6">
        <f>IFERROR(
   Working_Sales[[#This Row],[Quantity_Converted_To_Integer]],
   Working_Sales[[#This Row],[Total_Amount_Whitespace_Removed]]/Working_Sales[[#This Row],[Price_Per_Unit_Decimal_Separator_Fixed]])</f>
        <v>3</v>
      </c>
      <c r="Z576" t="s">
        <v>23</v>
      </c>
      <c r="AA576" s="2" t="str">
        <f>CLEAN(TRIM(Working_Sales[[#This Row],[Price per Unit]]))</f>
        <v>300</v>
      </c>
      <c r="AB576" s="2">
        <f>INT(
   SUBSTITUTE(Working_Sales[[#This Row],[Price_Per_Unit_Whitespace_Removed]],
   "$",
   ""
   )
)</f>
        <v>300</v>
      </c>
      <c r="AC576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576" s="8">
        <f>IFERROR(
   Working_Sales[[#This Row],[Price_Per_Unit_Decimal_Separator_Fixed]],
   Working_Sales[[#This Row],[Total_Amount_Converted_To_Integer]]/Working_Sales[[#This Row],[Quantity_Converted_To_Integer]]
)</f>
        <v>300</v>
      </c>
      <c r="AE576" t="s">
        <v>128</v>
      </c>
      <c r="AF576" s="2" t="str">
        <f>CLEAN(TRIM(Working_Sales[[#This Row],[Total Amount]]))</f>
        <v>900</v>
      </c>
      <c r="AG576" s="2">
        <f>INT(Working_Sales[[#This Row],[Total_Amount_Whitespace_Removed]])</f>
        <v>900</v>
      </c>
      <c r="AH57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577" spans="1:34" x14ac:dyDescent="0.35">
      <c r="A577" t="s">
        <v>1258</v>
      </c>
      <c r="B577" s="6" t="str">
        <f>CLEAN(TRIM(Working_Sales[[#This Row],[Transaction ID]]))</f>
        <v>733</v>
      </c>
      <c r="C577" t="s">
        <v>2127</v>
      </c>
      <c r="D577" s="2" t="str">
        <f>CLEAN(TRIM(Working_Sales[[#This Row],[Date]]))</f>
        <v>29-Aug-2023</v>
      </c>
      <c r="E57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45167</v>
      </c>
      <c r="F57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45167</v>
      </c>
      <c r="G57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45167</v>
      </c>
      <c r="H577" t="s">
        <v>2797</v>
      </c>
      <c r="I577" s="2" t="str">
        <f>CLEAN(TRIM(Working_Sales[[#This Row],[Customer ID]]))</f>
        <v>CUST-382</v>
      </c>
      <c r="J57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7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CUST382</v>
      </c>
      <c r="L577" t="s">
        <v>11</v>
      </c>
      <c r="M577" s="4" t="str">
        <f>CLEAN(TRIM(Working_Sales[[#This Row],[Gender]]))</f>
        <v>MALE</v>
      </c>
      <c r="N577" s="4" t="str" cm="1">
        <f t="array" ref="N577">_xlfn.SWITCH(
   Working_Sales[[#This Row],[Gender_Whitespace_Removed]],
   "m", "Male",
   "f", "Female",
   Working_Sales[[#This Row],[Gender_Whitespace_Removed]]
)</f>
        <v>MALE</v>
      </c>
      <c r="O577" s="6" t="str">
        <f>PROPER(Working_Sales[[#This Row],[Gender_Abbreviation_Expanded]])</f>
        <v>Male</v>
      </c>
      <c r="P577">
        <v>34</v>
      </c>
      <c r="Q577" s="2" t="str">
        <f>CLEAN(TRIM(Working_Sales[[#This Row],[Age]]))</f>
        <v>34</v>
      </c>
      <c r="R577" s="6">
        <f>INT(SUBSTITUTE(Working_Sales[[#This Row],[Age_Whitespace_Removed]],".",","))</f>
        <v>34</v>
      </c>
      <c r="S577" t="s">
        <v>69</v>
      </c>
      <c r="T577" s="2" t="str">
        <f>CLEAN(TRIM(Working_Sales[[#This Row],[Product Category]]))</f>
        <v>BEAUTY</v>
      </c>
      <c r="U577" s="6" t="str">
        <f>PROPER(Working_Sales[[#This Row],[Product_Category_Whitespace_Removed]])</f>
        <v>Beauty</v>
      </c>
      <c r="V577" t="s">
        <v>22</v>
      </c>
      <c r="W577" s="2" t="str">
        <f>CLEAN(TRIM(Working_Sales[[#This Row],[Quantity]]))</f>
        <v>1</v>
      </c>
      <c r="X577" s="2">
        <f>INT(Working_Sales[[#This Row],[`]])</f>
        <v>1</v>
      </c>
      <c r="Y577" s="6">
        <f>IFERROR(
   Working_Sales[[#This Row],[Quantity_Converted_To_Integer]],
   Working_Sales[[#This Row],[Total_Amount_Whitespace_Removed]]/Working_Sales[[#This Row],[Price_Per_Unit_Decimal_Separator_Fixed]])</f>
        <v>1</v>
      </c>
      <c r="Z577" t="s">
        <v>147</v>
      </c>
      <c r="AA577" s="2" t="str">
        <f>CLEAN(TRIM(Working_Sales[[#This Row],[Price per Unit]]))</f>
        <v>$30</v>
      </c>
      <c r="AB577" s="2">
        <f>INT(
   SUBSTITUTE(Working_Sales[[#This Row],[Price_Per_Unit_Whitespace_Removed]],
   "$",
   ""
   )
)</f>
        <v>30</v>
      </c>
      <c r="AC577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577" s="8">
        <f>IFERROR(
   Working_Sales[[#This Row],[Price_Per_Unit_Decimal_Separator_Fixed]],
   Working_Sales[[#This Row],[Total_Amount_Converted_To_Integer]]/Working_Sales[[#This Row],[Quantity_Converted_To_Integer]]
)</f>
        <v>30</v>
      </c>
      <c r="AE577" t="s">
        <v>70</v>
      </c>
      <c r="AF577" s="2" t="str">
        <f>CLEAN(TRIM(Working_Sales[[#This Row],[Total Amount]]))</f>
        <v>30</v>
      </c>
      <c r="AG577" s="2">
        <f>INT(Working_Sales[[#This Row],[Total_Amount_Whitespace_Removed]])</f>
        <v>30</v>
      </c>
      <c r="AH57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578" spans="1:34" x14ac:dyDescent="0.35">
      <c r="A578" t="s">
        <v>1259</v>
      </c>
      <c r="B578" s="6" t="str">
        <f>CLEAN(TRIM(Working_Sales[[#This Row],[Transaction ID]]))</f>
        <v>369</v>
      </c>
      <c r="C578" t="s">
        <v>890</v>
      </c>
      <c r="D578" s="2" t="str">
        <f>CLEAN(TRIM(Working_Sales[[#This Row],[Date]]))</f>
        <v>2023-11-15</v>
      </c>
      <c r="E57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45245</v>
      </c>
      <c r="F57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45245</v>
      </c>
      <c r="G57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45245</v>
      </c>
      <c r="H578" t="s">
        <v>2798</v>
      </c>
      <c r="I578" s="2" t="str">
        <f>CLEAN(TRIM(Working_Sales[[#This Row],[Customer ID]]))</f>
        <v>CUST383</v>
      </c>
      <c r="J57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CUST383</v>
      </c>
      <c r="K57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CUST383</v>
      </c>
      <c r="L578" t="s">
        <v>268</v>
      </c>
      <c r="M578" s="4" t="str">
        <f>CLEAN(TRIM(Working_Sales[[#This Row],[Gender]]))</f>
        <v>M</v>
      </c>
      <c r="N578" s="4" t="str" cm="1">
        <f t="array" ref="N578">_xlfn.SWITCH(
   Working_Sales[[#This Row],[Gender_Whitespace_Removed]],
   "m", "Male",
   "f", "Female",
   Working_Sales[[#This Row],[Gender_Whitespace_Removed]]
)</f>
        <v>Male</v>
      </c>
      <c r="O578" s="6" t="str">
        <f>PROPER(Working_Sales[[#This Row],[Gender_Abbreviation_Expanded]])</f>
        <v>Male</v>
      </c>
      <c r="P578" t="s">
        <v>482</v>
      </c>
      <c r="Q578" s="2" t="str">
        <f>CLEAN(TRIM(Working_Sales[[#This Row],[Age]]))</f>
        <v>23</v>
      </c>
      <c r="R578" s="6">
        <f>INT(SUBSTITUTE(Working_Sales[[#This Row],[Age_Whitespace_Removed]],".",","))</f>
        <v>23</v>
      </c>
      <c r="S578" t="s">
        <v>13</v>
      </c>
      <c r="T578" s="2" t="str">
        <f>CLEAN(TRIM(Working_Sales[[#This Row],[Product Category]]))</f>
        <v>Electronics</v>
      </c>
      <c r="U578" s="6" t="str">
        <f>PROPER(Working_Sales[[#This Row],[Product_Category_Whitespace_Removed]])</f>
        <v>Electronics</v>
      </c>
      <c r="V578" t="s">
        <v>29</v>
      </c>
      <c r="W578" s="2" t="str">
        <f>CLEAN(TRIM(Working_Sales[[#This Row],[Quantity]]))</f>
        <v>3</v>
      </c>
      <c r="X578" s="2">
        <f>INT(Working_Sales[[#This Row],[`]])</f>
        <v>3</v>
      </c>
      <c r="Y578" s="6">
        <f>IFERROR(
   Working_Sales[[#This Row],[Quantity_Converted_To_Integer]],
   Working_Sales[[#This Row],[Total_Amount_Whitespace_Removed]]/Working_Sales[[#This Row],[Price_Per_Unit_Decimal_Separator_Fixed]])</f>
        <v>3</v>
      </c>
      <c r="Z578" t="s">
        <v>162</v>
      </c>
      <c r="AA578" s="2" t="str">
        <f>CLEAN(TRIM(Working_Sales[[#This Row],[Price per Unit]]))</f>
        <v>$500</v>
      </c>
      <c r="AB578" s="2">
        <f>INT(
   SUBSTITUTE(Working_Sales[[#This Row],[Price_Per_Unit_Whitespace_Removed]],
   "$",
   ""
   )
)</f>
        <v>500</v>
      </c>
      <c r="AC578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578" s="8">
        <f>IFERROR(
   Working_Sales[[#This Row],[Price_Per_Unit_Decimal_Separator_Fixed]],
   Working_Sales[[#This Row],[Total_Amount_Converted_To_Integer]]/Working_Sales[[#This Row],[Quantity_Converted_To_Integer]]
)</f>
        <v>500</v>
      </c>
      <c r="AE578" t="s">
        <v>85</v>
      </c>
      <c r="AF578" s="2" t="str">
        <f>CLEAN(TRIM(Working_Sales[[#This Row],[Total Amount]]))</f>
        <v>1500</v>
      </c>
      <c r="AG578" s="2">
        <f>INT(Working_Sales[[#This Row],[Total_Amount_Whitespace_Removed]])</f>
        <v>1500</v>
      </c>
      <c r="AH57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579" spans="1:34" x14ac:dyDescent="0.35">
      <c r="A579" t="s">
        <v>1261</v>
      </c>
      <c r="B579" s="6" t="str">
        <f>CLEAN(TRIM(Working_Sales[[#This Row],[Transaction ID]]))</f>
        <v>544</v>
      </c>
      <c r="C579" t="s">
        <v>1262</v>
      </c>
      <c r="D579" s="2" t="str">
        <f>CLEAN(TRIM(Working_Sales[[#This Row],[Date]]))</f>
        <v>2023-12-23</v>
      </c>
      <c r="E57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45283</v>
      </c>
      <c r="F57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45283</v>
      </c>
      <c r="G57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45283</v>
      </c>
      <c r="H579" t="s">
        <v>2799</v>
      </c>
      <c r="I579" s="2" t="str">
        <f>CLEAN(TRIM(Working_Sales[[#This Row],[Customer ID]]))</f>
        <v>CUST262</v>
      </c>
      <c r="J57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CUST262</v>
      </c>
      <c r="K57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CUST262</v>
      </c>
      <c r="L579" t="s">
        <v>26</v>
      </c>
      <c r="M579" s="4" t="str">
        <f>CLEAN(TRIM(Working_Sales[[#This Row],[Gender]]))</f>
        <v>Female</v>
      </c>
      <c r="N579" s="4" t="str" cm="1">
        <f t="array" ref="N579">_xlfn.SWITCH(
   Working_Sales[[#This Row],[Gender_Whitespace_Removed]],
   "m", "Male",
   "f", "Female",
   Working_Sales[[#This Row],[Gender_Whitespace_Removed]]
)</f>
        <v>Female</v>
      </c>
      <c r="O579" s="6" t="str">
        <f>PROPER(Working_Sales[[#This Row],[Gender_Abbreviation_Expanded]])</f>
        <v>Female</v>
      </c>
      <c r="P579">
        <v>27</v>
      </c>
      <c r="Q579" s="2" t="str">
        <f>CLEAN(TRIM(Working_Sales[[#This Row],[Age]]))</f>
        <v>27</v>
      </c>
      <c r="R579" s="6">
        <f>INT(SUBSTITUTE(Working_Sales[[#This Row],[Age_Whitespace_Removed]],".",","))</f>
        <v>27</v>
      </c>
      <c r="S579" t="s">
        <v>13</v>
      </c>
      <c r="T579" s="2" t="str">
        <f>CLEAN(TRIM(Working_Sales[[#This Row],[Product Category]]))</f>
        <v>Electronics</v>
      </c>
      <c r="U579" s="6" t="str">
        <f>PROPER(Working_Sales[[#This Row],[Product_Category_Whitespace_Removed]])</f>
        <v>Electronics</v>
      </c>
      <c r="V579" t="s">
        <v>22</v>
      </c>
      <c r="W579" s="2" t="str">
        <f>CLEAN(TRIM(Working_Sales[[#This Row],[Quantity]]))</f>
        <v>1</v>
      </c>
      <c r="X579" s="2">
        <f>INT(Working_Sales[[#This Row],[`]])</f>
        <v>1</v>
      </c>
      <c r="Y579" s="6">
        <f>IFERROR(
   Working_Sales[[#This Row],[Quantity_Converted_To_Integer]],
   Working_Sales[[#This Row],[Total_Amount_Whitespace_Removed]]/Working_Sales[[#This Row],[Price_Per_Unit_Decimal_Separator_Fixed]])</f>
        <v>1</v>
      </c>
      <c r="Z579" t="s">
        <v>30</v>
      </c>
      <c r="AA579" s="2" t="str">
        <f>CLEAN(TRIM(Working_Sales[[#This Row],[Price per Unit]]))</f>
        <v>25</v>
      </c>
      <c r="AB579" s="2">
        <f>INT(
   SUBSTITUTE(Working_Sales[[#This Row],[Price_Per_Unit_Whitespace_Removed]],
   "$",
   ""
   )
)</f>
        <v>25</v>
      </c>
      <c r="AC579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579" s="8">
        <f>IFERROR(
   Working_Sales[[#This Row],[Price_Per_Unit_Decimal_Separator_Fixed]],
   Working_Sales[[#This Row],[Total_Amount_Converted_To_Integer]]/Working_Sales[[#This Row],[Quantity_Converted_To_Integer]]
)</f>
        <v>25</v>
      </c>
      <c r="AE579" t="s">
        <v>30</v>
      </c>
      <c r="AF579" s="2" t="str">
        <f>CLEAN(TRIM(Working_Sales[[#This Row],[Total Amount]]))</f>
        <v>25</v>
      </c>
      <c r="AG579" s="2">
        <f>INT(Working_Sales[[#This Row],[Total_Amount_Whitespace_Removed]])</f>
        <v>25</v>
      </c>
      <c r="AH57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580" spans="1:34" x14ac:dyDescent="0.35">
      <c r="A580" t="s">
        <v>1263</v>
      </c>
      <c r="B580" s="6" t="str">
        <f>CLEAN(TRIM(Working_Sales[[#This Row],[Transaction ID]]))</f>
        <v>478</v>
      </c>
      <c r="C580" t="s">
        <v>1264</v>
      </c>
      <c r="D580" s="2" t="str">
        <f>CLEAN(TRIM(Working_Sales[[#This Row],[Date]]))</f>
        <v>04/13/2023</v>
      </c>
      <c r="E580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58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45029</v>
      </c>
      <c r="G58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45029</v>
      </c>
      <c r="H580" t="s">
        <v>2800</v>
      </c>
      <c r="I580" s="2" t="str">
        <f>CLEAN(TRIM(Working_Sales[[#This Row],[Customer ID]]))</f>
        <v>CUST020</v>
      </c>
      <c r="J58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8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CUST020</v>
      </c>
      <c r="L580" t="s">
        <v>46</v>
      </c>
      <c r="M580" s="4" t="str">
        <f>CLEAN(TRIM(Working_Sales[[#This Row],[Gender]]))</f>
        <v>F</v>
      </c>
      <c r="N580" s="4" t="str" cm="1">
        <f t="array" ref="N580">_xlfn.SWITCH(
   Working_Sales[[#This Row],[Gender_Whitespace_Removed]],
   "m", "Male",
   "f", "Female",
   Working_Sales[[#This Row],[Gender_Whitespace_Removed]]
)</f>
        <v>Female</v>
      </c>
      <c r="O580" s="6" t="str">
        <f>PROPER(Working_Sales[[#This Row],[Gender_Abbreviation_Expanded]])</f>
        <v>Female</v>
      </c>
      <c r="P580" t="s">
        <v>1218</v>
      </c>
      <c r="Q580" s="2" t="str">
        <f>CLEAN(TRIM(Working_Sales[[#This Row],[Age]]))</f>
        <v>58.0</v>
      </c>
      <c r="R580" s="6">
        <f>INT(SUBSTITUTE(Working_Sales[[#This Row],[Age_Whitespace_Removed]],".",","))</f>
        <v>58</v>
      </c>
      <c r="S580" t="s">
        <v>56</v>
      </c>
      <c r="T580" s="2" t="str">
        <f>CLEAN(TRIM(Working_Sales[[#This Row],[Product Category]]))</f>
        <v>Clothing</v>
      </c>
      <c r="U580" s="6" t="str">
        <f>PROPER(Working_Sales[[#This Row],[Product_Category_Whitespace_Removed]])</f>
        <v>Clothing</v>
      </c>
      <c r="V580" t="s">
        <v>37</v>
      </c>
      <c r="W580" s="2" t="str">
        <f>CLEAN(TRIM(Working_Sales[[#This Row],[Quantity]]))</f>
        <v>2</v>
      </c>
      <c r="X580" s="2">
        <f>INT(Working_Sales[[#This Row],[`]])</f>
        <v>2</v>
      </c>
      <c r="Y580" s="6">
        <f>IFERROR(
   Working_Sales[[#This Row],[Quantity_Converted_To_Integer]],
   Working_Sales[[#This Row],[Total_Amount_Whitespace_Removed]]/Working_Sales[[#This Row],[Price_Per_Unit_Decimal_Separator_Fixed]])</f>
        <v>2</v>
      </c>
      <c r="Z580" t="s">
        <v>70</v>
      </c>
      <c r="AA580" s="2" t="str">
        <f>CLEAN(TRIM(Working_Sales[[#This Row],[Price per Unit]]))</f>
        <v>30</v>
      </c>
      <c r="AB580" s="2">
        <f>INT(
   SUBSTITUTE(Working_Sales[[#This Row],[Price_Per_Unit_Whitespace_Removed]],
   "$",
   ""
   )
)</f>
        <v>30</v>
      </c>
      <c r="AC580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580" s="8">
        <f>IFERROR(
   Working_Sales[[#This Row],[Price_Per_Unit_Decimal_Separator_Fixed]],
   Working_Sales[[#This Row],[Total_Amount_Converted_To_Integer]]/Working_Sales[[#This Row],[Quantity_Converted_To_Integer]]
)</f>
        <v>30</v>
      </c>
      <c r="AE580" t="s">
        <v>71</v>
      </c>
      <c r="AF580" s="2" t="str">
        <f>CLEAN(TRIM(Working_Sales[[#This Row],[Total Amount]]))</f>
        <v>60</v>
      </c>
      <c r="AG580" s="2">
        <f>INT(Working_Sales[[#This Row],[Total_Amount_Whitespace_Removed]])</f>
        <v>60</v>
      </c>
      <c r="AH58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581" spans="1:34" x14ac:dyDescent="0.35">
      <c r="A581" t="s">
        <v>1266</v>
      </c>
      <c r="B581" s="6" t="str">
        <f>CLEAN(TRIM(Working_Sales[[#This Row],[Transaction ID]]))</f>
        <v>533</v>
      </c>
      <c r="C581" t="s">
        <v>1267</v>
      </c>
      <c r="D581" s="2" t="str">
        <f>CLEAN(TRIM(Working_Sales[[#This Row],[Date]]))</f>
        <v>16/11/2023</v>
      </c>
      <c r="E58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45246</v>
      </c>
      <c r="F58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45246</v>
      </c>
      <c r="G58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45246</v>
      </c>
      <c r="H581" t="s">
        <v>1559</v>
      </c>
      <c r="I581" s="2" t="str">
        <f>CLEAN(TRIM(Working_Sales[[#This Row],[Customer ID]]))</f>
        <v>CUST012</v>
      </c>
      <c r="J58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CUST012</v>
      </c>
      <c r="K58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CUST012</v>
      </c>
      <c r="L581" t="s">
        <v>34</v>
      </c>
      <c r="M581" s="4" t="str">
        <f>CLEAN(TRIM(Working_Sales[[#This Row],[Gender]]))</f>
        <v>Male</v>
      </c>
      <c r="N581" s="4" t="str" cm="1">
        <f t="array" ref="N581">_xlfn.SWITCH(
   Working_Sales[[#This Row],[Gender_Whitespace_Removed]],
   "m", "Male",
   "f", "Female",
   Working_Sales[[#This Row],[Gender_Whitespace_Removed]]
)</f>
        <v>Male</v>
      </c>
      <c r="O581" s="6" t="str">
        <f>PROPER(Working_Sales[[#This Row],[Gender_Abbreviation_Expanded]])</f>
        <v>Male</v>
      </c>
      <c r="P581">
        <v>19</v>
      </c>
      <c r="Q581" s="2" t="str">
        <f>CLEAN(TRIM(Working_Sales[[#This Row],[Age]]))</f>
        <v>19</v>
      </c>
      <c r="R581" s="6">
        <f>INT(SUBSTITUTE(Working_Sales[[#This Row],[Age_Whitespace_Removed]],".",","))</f>
        <v>19</v>
      </c>
      <c r="S581" t="s">
        <v>13</v>
      </c>
      <c r="T581" s="2" t="str">
        <f>CLEAN(TRIM(Working_Sales[[#This Row],[Product Category]]))</f>
        <v>Electronics</v>
      </c>
      <c r="U581" s="6" t="str">
        <f>PROPER(Working_Sales[[#This Row],[Product_Category_Whitespace_Removed]])</f>
        <v>Electronics</v>
      </c>
      <c r="V581" t="s">
        <v>29</v>
      </c>
      <c r="W581" s="2" t="str">
        <f>CLEAN(TRIM(Working_Sales[[#This Row],[Quantity]]))</f>
        <v>3</v>
      </c>
      <c r="X581" s="2">
        <f>INT(Working_Sales[[#This Row],[`]])</f>
        <v>3</v>
      </c>
      <c r="Y581" s="6">
        <f>IFERROR(
   Working_Sales[[#This Row],[Quantity_Converted_To_Integer]],
   Working_Sales[[#This Row],[Total_Amount_Whitespace_Removed]]/Working_Sales[[#This Row],[Price_Per_Unit_Decimal_Separator_Fixed]])</f>
        <v>3</v>
      </c>
      <c r="Z581" t="s">
        <v>57</v>
      </c>
      <c r="AA581" s="2" t="str">
        <f>CLEAN(TRIM(Working_Sales[[#This Row],[Price per Unit]]))</f>
        <v>500</v>
      </c>
      <c r="AB581" s="2">
        <f>INT(
   SUBSTITUTE(Working_Sales[[#This Row],[Price_Per_Unit_Whitespace_Removed]],
   "$",
   ""
   )
)</f>
        <v>500</v>
      </c>
      <c r="AC581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581" s="8">
        <f>IFERROR(
   Working_Sales[[#This Row],[Price_Per_Unit_Decimal_Separator_Fixed]],
   Working_Sales[[#This Row],[Total_Amount_Converted_To_Integer]]/Working_Sales[[#This Row],[Quantity_Converted_To_Integer]]
)</f>
        <v>500</v>
      </c>
      <c r="AE581" t="s">
        <v>85</v>
      </c>
      <c r="AF581" s="2" t="str">
        <f>CLEAN(TRIM(Working_Sales[[#This Row],[Total Amount]]))</f>
        <v>1500</v>
      </c>
      <c r="AG581" s="2">
        <f>INT(Working_Sales[[#This Row],[Total_Amount_Whitespace_Removed]])</f>
        <v>1500</v>
      </c>
      <c r="AH58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582" spans="1:34" x14ac:dyDescent="0.35">
      <c r="A582" t="s">
        <v>1268</v>
      </c>
      <c r="B582" s="6" t="str">
        <f>CLEAN(TRIM(Working_Sales[[#This Row],[Transaction ID]]))</f>
        <v>997</v>
      </c>
      <c r="C582" t="s">
        <v>155</v>
      </c>
      <c r="D582" s="2" t="str">
        <f>CLEAN(TRIM(Working_Sales[[#This Row],[Date]]))</f>
        <v>2023-11-17</v>
      </c>
      <c r="E58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45247</v>
      </c>
      <c r="F58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45247</v>
      </c>
      <c r="G58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45247</v>
      </c>
      <c r="H582" t="s">
        <v>2801</v>
      </c>
      <c r="I582" s="2" t="str">
        <f>CLEAN(TRIM(Working_Sales[[#This Row],[Customer ID]]))</f>
        <v>cust233</v>
      </c>
      <c r="J58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8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CUST233</v>
      </c>
      <c r="L582" t="s">
        <v>11</v>
      </c>
      <c r="M582" s="4" t="str">
        <f>CLEAN(TRIM(Working_Sales[[#This Row],[Gender]]))</f>
        <v>MALE</v>
      </c>
      <c r="N582" s="4" t="str" cm="1">
        <f t="array" ref="N582">_xlfn.SWITCH(
   Working_Sales[[#This Row],[Gender_Whitespace_Removed]],
   "m", "Male",
   "f", "Female",
   Working_Sales[[#This Row],[Gender_Whitespace_Removed]]
)</f>
        <v>MALE</v>
      </c>
      <c r="O582" s="6" t="str">
        <f>PROPER(Working_Sales[[#This Row],[Gender_Abbreviation_Expanded]])</f>
        <v>Male</v>
      </c>
      <c r="P582" t="s">
        <v>1269</v>
      </c>
      <c r="Q582" s="2" t="str">
        <f>CLEAN(TRIM(Working_Sales[[#This Row],[Age]]))</f>
        <v>52.0</v>
      </c>
      <c r="R582" s="6">
        <f>INT(SUBSTITUTE(Working_Sales[[#This Row],[Age_Whitespace_Removed]],".",","))</f>
        <v>52</v>
      </c>
      <c r="S582" t="s">
        <v>36</v>
      </c>
      <c r="T582" s="2" t="str">
        <f>CLEAN(TRIM(Working_Sales[[#This Row],[Product Category]]))</f>
        <v>Beauty</v>
      </c>
      <c r="U582" s="6" t="str">
        <f>PROPER(Working_Sales[[#This Row],[Product_Category_Whitespace_Removed]])</f>
        <v>Beauty</v>
      </c>
      <c r="V582" t="s">
        <v>29</v>
      </c>
      <c r="W582" s="2" t="str">
        <f>CLEAN(TRIM(Working_Sales[[#This Row],[Quantity]]))</f>
        <v>3</v>
      </c>
      <c r="X582" s="2">
        <f>INT(Working_Sales[[#This Row],[`]])</f>
        <v>3</v>
      </c>
      <c r="Y582" s="6">
        <f>IFERROR(
   Working_Sales[[#This Row],[Quantity_Converted_To_Integer]],
   Working_Sales[[#This Row],[Total_Amount_Whitespace_Removed]]/Working_Sales[[#This Row],[Price_Per_Unit_Decimal_Separator_Fixed]])</f>
        <v>3</v>
      </c>
      <c r="Z582" t="s">
        <v>70</v>
      </c>
      <c r="AA582" s="2" t="str">
        <f>CLEAN(TRIM(Working_Sales[[#This Row],[Price per Unit]]))</f>
        <v>30</v>
      </c>
      <c r="AB582" s="2">
        <f>INT(
   SUBSTITUTE(Working_Sales[[#This Row],[Price_Per_Unit_Whitespace_Removed]],
   "$",
   ""
   )
)</f>
        <v>30</v>
      </c>
      <c r="AC582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582" s="8">
        <f>IFERROR(
   Working_Sales[[#This Row],[Price_Per_Unit_Decimal_Separator_Fixed]],
   Working_Sales[[#This Row],[Total_Amount_Converted_To_Integer]]/Working_Sales[[#This Row],[Quantity_Converted_To_Integer]]
)</f>
        <v>30</v>
      </c>
      <c r="AE582" t="s">
        <v>191</v>
      </c>
      <c r="AF582" s="2" t="str">
        <f>CLEAN(TRIM(Working_Sales[[#This Row],[Total Amount]]))</f>
        <v>90</v>
      </c>
      <c r="AG582" s="2">
        <f>INT(Working_Sales[[#This Row],[Total_Amount_Whitespace_Removed]])</f>
        <v>90</v>
      </c>
      <c r="AH58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583" spans="1:34" x14ac:dyDescent="0.35">
      <c r="A583" t="s">
        <v>1270</v>
      </c>
      <c r="B583" s="6" t="str">
        <f>CLEAN(TRIM(Working_Sales[[#This Row],[Transaction ID]]))</f>
        <v>595</v>
      </c>
      <c r="C583" t="s">
        <v>765</v>
      </c>
      <c r="D583" s="2" t="str">
        <f>CLEAN(TRIM(Working_Sales[[#This Row],[Date]]))</f>
        <v>2023-11-09</v>
      </c>
      <c r="E58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45239</v>
      </c>
      <c r="F58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45239</v>
      </c>
      <c r="G58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45239</v>
      </c>
      <c r="H583" t="s">
        <v>707</v>
      </c>
      <c r="I583" s="2" t="str">
        <f>CLEAN(TRIM(Working_Sales[[#This Row],[Customer ID]]))</f>
        <v>CUST265</v>
      </c>
      <c r="J58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CUST265</v>
      </c>
      <c r="K58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CUST265</v>
      </c>
      <c r="L583" t="s">
        <v>26</v>
      </c>
      <c r="M583" s="4" t="str">
        <f>CLEAN(TRIM(Working_Sales[[#This Row],[Gender]]))</f>
        <v>Female</v>
      </c>
      <c r="N583" s="4" t="str" cm="1">
        <f t="array" ref="N583">_xlfn.SWITCH(
   Working_Sales[[#This Row],[Gender_Whitespace_Removed]],
   "m", "Male",
   "f", "Female",
   Working_Sales[[#This Row],[Gender_Whitespace_Removed]]
)</f>
        <v>Female</v>
      </c>
      <c r="O583" s="6" t="str">
        <f>PROPER(Working_Sales[[#This Row],[Gender_Abbreviation_Expanded]])</f>
        <v>Female</v>
      </c>
      <c r="P583">
        <v>18</v>
      </c>
      <c r="Q583" s="2" t="str">
        <f>CLEAN(TRIM(Working_Sales[[#This Row],[Age]]))</f>
        <v>18</v>
      </c>
      <c r="R583" s="6">
        <f>INT(SUBSTITUTE(Working_Sales[[#This Row],[Age_Whitespace_Removed]],".",","))</f>
        <v>18</v>
      </c>
      <c r="S583" t="s">
        <v>56</v>
      </c>
      <c r="T583" s="2" t="str">
        <f>CLEAN(TRIM(Working_Sales[[#This Row],[Product Category]]))</f>
        <v>Clothing</v>
      </c>
      <c r="U583" s="6" t="str">
        <f>PROPER(Working_Sales[[#This Row],[Product_Category_Whitespace_Removed]])</f>
        <v>Clothing</v>
      </c>
      <c r="W583" s="2" t="str">
        <f>CLEAN(TRIM(Working_Sales[[#This Row],[Quantity]]))</f>
        <v/>
      </c>
      <c r="X583" s="2" t="e">
        <f>INT(Working_Sales[[#This Row],[`]])</f>
        <v>#VALUE!</v>
      </c>
      <c r="Y583" s="6">
        <f>IFERROR(
   Working_Sales[[#This Row],[Quantity_Converted_To_Integer]],
   Working_Sales[[#This Row],[Total_Amount_Whitespace_Removed]]/Working_Sales[[#This Row],[Price_Per_Unit_Decimal_Separator_Fixed]])</f>
        <v>4</v>
      </c>
      <c r="Z583" t="s">
        <v>57</v>
      </c>
      <c r="AA583" s="2" t="str">
        <f>CLEAN(TRIM(Working_Sales[[#This Row],[Price per Unit]]))</f>
        <v>500</v>
      </c>
      <c r="AB583" s="2">
        <f>INT(
   SUBSTITUTE(Working_Sales[[#This Row],[Price_Per_Unit_Whitespace_Removed]],
   "$",
   ""
   )
)</f>
        <v>500</v>
      </c>
      <c r="AC583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583" s="8">
        <f>IFERROR(
   Working_Sales[[#This Row],[Price_Per_Unit_Decimal_Separator_Fixed]],
   Working_Sales[[#This Row],[Total_Amount_Converted_To_Integer]]/Working_Sales[[#This Row],[Quantity_Converted_To_Integer]]
)</f>
        <v>500</v>
      </c>
      <c r="AE583" t="s">
        <v>232</v>
      </c>
      <c r="AF583" s="2" t="str">
        <f>CLEAN(TRIM(Working_Sales[[#This Row],[Total Amount]]))</f>
        <v>2000</v>
      </c>
      <c r="AG583" s="2">
        <f>INT(Working_Sales[[#This Row],[Total_Amount_Whitespace_Removed]])</f>
        <v>2000</v>
      </c>
      <c r="AH58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584" spans="1:34" x14ac:dyDescent="0.35">
      <c r="A584" t="s">
        <v>1271</v>
      </c>
      <c r="B584" s="6" t="str">
        <f>CLEAN(TRIM(Working_Sales[[#This Row],[Transaction ID]]))</f>
        <v>968</v>
      </c>
      <c r="C584" t="s">
        <v>1999</v>
      </c>
      <c r="D584" s="2" t="str">
        <f>CLEAN(TRIM(Working_Sales[[#This Row],[Date]]))</f>
        <v>11/17/2023</v>
      </c>
      <c r="E584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58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45247</v>
      </c>
      <c r="G58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45247</v>
      </c>
      <c r="H584" t="s">
        <v>2802</v>
      </c>
      <c r="I584" s="2" t="str">
        <f>CLEAN(TRIM(Working_Sales[[#This Row],[Customer ID]]))</f>
        <v>cust309</v>
      </c>
      <c r="J58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8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CUST309</v>
      </c>
      <c r="L584" t="s">
        <v>26</v>
      </c>
      <c r="M584" s="4" t="str">
        <f>CLEAN(TRIM(Working_Sales[[#This Row],[Gender]]))</f>
        <v>Female</v>
      </c>
      <c r="N584" s="4" t="str" cm="1">
        <f t="array" ref="N584">_xlfn.SWITCH(
   Working_Sales[[#This Row],[Gender_Whitespace_Removed]],
   "m", "Male",
   "f", "Female",
   Working_Sales[[#This Row],[Gender_Whitespace_Removed]]
)</f>
        <v>Female</v>
      </c>
      <c r="O584" s="6" t="str">
        <f>PROPER(Working_Sales[[#This Row],[Gender_Abbreviation_Expanded]])</f>
        <v>Female</v>
      </c>
      <c r="P584">
        <v>48</v>
      </c>
      <c r="Q584" s="2" t="str">
        <f>CLEAN(TRIM(Working_Sales[[#This Row],[Age]]))</f>
        <v>48</v>
      </c>
      <c r="R584" s="6">
        <f>INT(SUBSTITUTE(Working_Sales[[#This Row],[Age_Whitespace_Removed]],".",","))</f>
        <v>48</v>
      </c>
      <c r="S584" t="s">
        <v>89</v>
      </c>
      <c r="T584" s="2" t="str">
        <f>CLEAN(TRIM(Working_Sales[[#This Row],[Product Category]]))</f>
        <v>CLOTHING</v>
      </c>
      <c r="U584" s="6" t="str">
        <f>PROPER(Working_Sales[[#This Row],[Product_Category_Whitespace_Removed]])</f>
        <v>Clothing</v>
      </c>
      <c r="V584" t="s">
        <v>29</v>
      </c>
      <c r="W584" s="2" t="str">
        <f>CLEAN(TRIM(Working_Sales[[#This Row],[Quantity]]))</f>
        <v>3</v>
      </c>
      <c r="X584" s="2">
        <f>INT(Working_Sales[[#This Row],[`]])</f>
        <v>3</v>
      </c>
      <c r="Y584" s="6">
        <f>IFERROR(
   Working_Sales[[#This Row],[Quantity_Converted_To_Integer]],
   Working_Sales[[#This Row],[Total_Amount_Whitespace_Removed]]/Working_Sales[[#This Row],[Price_Per_Unit_Decimal_Separator_Fixed]])</f>
        <v>3</v>
      </c>
      <c r="Z584" t="s">
        <v>23</v>
      </c>
      <c r="AA584" s="2" t="str">
        <f>CLEAN(TRIM(Working_Sales[[#This Row],[Price per Unit]]))</f>
        <v>300</v>
      </c>
      <c r="AB584" s="2">
        <f>INT(
   SUBSTITUTE(Working_Sales[[#This Row],[Price_Per_Unit_Whitespace_Removed]],
   "$",
   ""
   )
)</f>
        <v>300</v>
      </c>
      <c r="AC584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584" s="8">
        <f>IFERROR(
   Working_Sales[[#This Row],[Price_Per_Unit_Decimal_Separator_Fixed]],
   Working_Sales[[#This Row],[Total_Amount_Converted_To_Integer]]/Working_Sales[[#This Row],[Quantity_Converted_To_Integer]]
)</f>
        <v>300</v>
      </c>
      <c r="AE584" t="s">
        <v>128</v>
      </c>
      <c r="AF584" s="2" t="str">
        <f>CLEAN(TRIM(Working_Sales[[#This Row],[Total Amount]]))</f>
        <v>900</v>
      </c>
      <c r="AG584" s="2">
        <f>INT(Working_Sales[[#This Row],[Total_Amount_Whitespace_Removed]])</f>
        <v>900</v>
      </c>
      <c r="AH58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585" spans="1:34" x14ac:dyDescent="0.35">
      <c r="A585" t="s">
        <v>1272</v>
      </c>
      <c r="B585" s="6" t="str">
        <f>CLEAN(TRIM(Working_Sales[[#This Row],[Transaction ID]]))</f>
        <v>259</v>
      </c>
      <c r="C585" t="s">
        <v>619</v>
      </c>
      <c r="D585" s="2" t="str">
        <f>CLEAN(TRIM(Working_Sales[[#This Row],[Date]]))</f>
        <v>2023-08-09</v>
      </c>
      <c r="E58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45147</v>
      </c>
      <c r="F58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45147</v>
      </c>
      <c r="G58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45147</v>
      </c>
      <c r="H585" t="s">
        <v>2803</v>
      </c>
      <c r="I585" s="2" t="str">
        <f>CLEAN(TRIM(Working_Sales[[#This Row],[Customer ID]]))</f>
        <v>CUST384</v>
      </c>
      <c r="J58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CUST384</v>
      </c>
      <c r="K58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CUST384</v>
      </c>
      <c r="L585" t="s">
        <v>26</v>
      </c>
      <c r="M585" s="4" t="str">
        <f>CLEAN(TRIM(Working_Sales[[#This Row],[Gender]]))</f>
        <v>Female</v>
      </c>
      <c r="N585" s="4" t="str" cm="1">
        <f t="array" ref="N585">_xlfn.SWITCH(
   Working_Sales[[#This Row],[Gender_Whitespace_Removed]],
   "m", "Male",
   "f", "Female",
   Working_Sales[[#This Row],[Gender_Whitespace_Removed]]
)</f>
        <v>Female</v>
      </c>
      <c r="O585" s="6" t="str">
        <f>PROPER(Working_Sales[[#This Row],[Gender_Abbreviation_Expanded]])</f>
        <v>Female</v>
      </c>
      <c r="P585">
        <v>45</v>
      </c>
      <c r="Q585" s="2" t="str">
        <f>CLEAN(TRIM(Working_Sales[[#This Row],[Age]]))</f>
        <v>45</v>
      </c>
      <c r="R585" s="6">
        <f>INT(SUBSTITUTE(Working_Sales[[#This Row],[Age_Whitespace_Removed]],".",","))</f>
        <v>45</v>
      </c>
      <c r="S585" t="s">
        <v>89</v>
      </c>
      <c r="T585" s="2" t="str">
        <f>CLEAN(TRIM(Working_Sales[[#This Row],[Product Category]]))</f>
        <v>CLOTHING</v>
      </c>
      <c r="U585" s="6" t="str">
        <f>PROPER(Working_Sales[[#This Row],[Product_Category_Whitespace_Removed]])</f>
        <v>Clothing</v>
      </c>
      <c r="V585" t="s">
        <v>14</v>
      </c>
      <c r="W585" s="2" t="str">
        <f>CLEAN(TRIM(Working_Sales[[#This Row],[Quantity]]))</f>
        <v>4</v>
      </c>
      <c r="X585" s="2">
        <f>INT(Working_Sales[[#This Row],[`]])</f>
        <v>4</v>
      </c>
      <c r="Y585" s="6">
        <f>IFERROR(
   Working_Sales[[#This Row],[Quantity_Converted_To_Integer]],
   Working_Sales[[#This Row],[Total_Amount_Whitespace_Removed]]/Working_Sales[[#This Row],[Price_Per_Unit_Decimal_Separator_Fixed]])</f>
        <v>4</v>
      </c>
      <c r="Z585" t="s">
        <v>153</v>
      </c>
      <c r="AA585" s="2" t="str">
        <f>CLEAN(TRIM(Working_Sales[[#This Row],[Price per Unit]]))</f>
        <v>50.00</v>
      </c>
      <c r="AB585" s="2" t="e">
        <f>INT(
   SUBSTITUTE(Working_Sales[[#This Row],[Price_Per_Unit_Whitespace_Removed]],
   "$",
   ""
   )
)</f>
        <v>#VALUE!</v>
      </c>
      <c r="AC585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585" s="8">
        <f>IFERROR(
   Working_Sales[[#This Row],[Price_Per_Unit_Decimal_Separator_Fixed]],
   Working_Sales[[#This Row],[Total_Amount_Converted_To_Integer]]/Working_Sales[[#This Row],[Quantity_Converted_To_Integer]]
)</f>
        <v>50</v>
      </c>
      <c r="AE585" t="s">
        <v>16</v>
      </c>
      <c r="AF585" s="2" t="str">
        <f>CLEAN(TRIM(Working_Sales[[#This Row],[Total Amount]]))</f>
        <v>200</v>
      </c>
      <c r="AG585" s="2">
        <f>INT(Working_Sales[[#This Row],[Total_Amount_Whitespace_Removed]])</f>
        <v>200</v>
      </c>
      <c r="AH58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586" spans="1:34" x14ac:dyDescent="0.35">
      <c r="A586" t="s">
        <v>1274</v>
      </c>
      <c r="B586" s="6" t="str">
        <f>CLEAN(TRIM(Working_Sales[[#This Row],[Transaction ID]]))</f>
        <v>855</v>
      </c>
      <c r="C586" t="s">
        <v>1275</v>
      </c>
      <c r="D586" s="2" t="str">
        <f>CLEAN(TRIM(Working_Sales[[#This Row],[Date]]))</f>
        <v>September 01, 2023</v>
      </c>
      <c r="E586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586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58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45170</v>
      </c>
      <c r="H586" t="s">
        <v>2804</v>
      </c>
      <c r="I586" s="2" t="str">
        <f>CLEAN(TRIM(Working_Sales[[#This Row],[Customer ID]]))</f>
        <v>cust385</v>
      </c>
      <c r="J58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8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CUST385</v>
      </c>
      <c r="L586" t="s">
        <v>11</v>
      </c>
      <c r="M586" s="4" t="str">
        <f>CLEAN(TRIM(Working_Sales[[#This Row],[Gender]]))</f>
        <v>MALE</v>
      </c>
      <c r="N586" s="4" t="str" cm="1">
        <f t="array" ref="N586">_xlfn.SWITCH(
   Working_Sales[[#This Row],[Gender_Whitespace_Removed]],
   "m", "Male",
   "f", "Female",
   Working_Sales[[#This Row],[Gender_Whitespace_Removed]]
)</f>
        <v>MALE</v>
      </c>
      <c r="O586" s="6" t="str">
        <f>PROPER(Working_Sales[[#This Row],[Gender_Abbreviation_Expanded]])</f>
        <v>Male</v>
      </c>
      <c r="P586">
        <v>54</v>
      </c>
      <c r="Q586" s="2" t="str">
        <f>CLEAN(TRIM(Working_Sales[[#This Row],[Age]]))</f>
        <v>54</v>
      </c>
      <c r="R586" s="6">
        <f>INT(SUBSTITUTE(Working_Sales[[#This Row],[Age_Whitespace_Removed]],".",","))</f>
        <v>54</v>
      </c>
      <c r="S586" t="s">
        <v>36</v>
      </c>
      <c r="T586" s="2" t="str">
        <f>CLEAN(TRIM(Working_Sales[[#This Row],[Product Category]]))</f>
        <v>Beauty</v>
      </c>
      <c r="U586" s="6" t="str">
        <f>PROPER(Working_Sales[[#This Row],[Product_Category_Whitespace_Removed]])</f>
        <v>Beauty</v>
      </c>
      <c r="V586" t="s">
        <v>22</v>
      </c>
      <c r="W586" s="2" t="str">
        <f>CLEAN(TRIM(Working_Sales[[#This Row],[Quantity]]))</f>
        <v>1</v>
      </c>
      <c r="X586" s="2">
        <f>INT(Working_Sales[[#This Row],[`]])</f>
        <v>1</v>
      </c>
      <c r="Y586" s="6">
        <f>IFERROR(
   Working_Sales[[#This Row],[Quantity_Converted_To_Integer]],
   Working_Sales[[#This Row],[Total_Amount_Whitespace_Removed]]/Working_Sales[[#This Row],[Price_Per_Unit_Decimal_Separator_Fixed]])</f>
        <v>1</v>
      </c>
      <c r="Z586" t="s">
        <v>49</v>
      </c>
      <c r="AA586" s="2" t="str">
        <f>CLEAN(TRIM(Working_Sales[[#This Row],[Price per Unit]]))</f>
        <v>$25</v>
      </c>
      <c r="AB586" s="2">
        <f>INT(
   SUBSTITUTE(Working_Sales[[#This Row],[Price_Per_Unit_Whitespace_Removed]],
   "$",
   ""
   )
)</f>
        <v>25</v>
      </c>
      <c r="AC586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586" s="8">
        <f>IFERROR(
   Working_Sales[[#This Row],[Price_Per_Unit_Decimal_Separator_Fixed]],
   Working_Sales[[#This Row],[Total_Amount_Converted_To_Integer]]/Working_Sales[[#This Row],[Quantity_Converted_To_Integer]]
)</f>
        <v>25</v>
      </c>
      <c r="AE586" t="s">
        <v>30</v>
      </c>
      <c r="AF586" s="2" t="str">
        <f>CLEAN(TRIM(Working_Sales[[#This Row],[Total Amount]]))</f>
        <v>25</v>
      </c>
      <c r="AG586" s="2">
        <f>INT(Working_Sales[[#This Row],[Total_Amount_Whitespace_Removed]])</f>
        <v>25</v>
      </c>
      <c r="AH58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587" spans="1:34" x14ac:dyDescent="0.35">
      <c r="A587" t="s">
        <v>1276</v>
      </c>
      <c r="B587" s="6" t="str">
        <f>CLEAN(TRIM(Working_Sales[[#This Row],[Transaction ID]]))</f>
        <v>136</v>
      </c>
      <c r="C587" t="s">
        <v>700</v>
      </c>
      <c r="D587" s="2" t="str">
        <f>CLEAN(TRIM(Working_Sales[[#This Row],[Date]]))</f>
        <v>20/03/2023</v>
      </c>
      <c r="E58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45005</v>
      </c>
      <c r="F58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45005</v>
      </c>
      <c r="G58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45005</v>
      </c>
      <c r="H587" t="s">
        <v>2805</v>
      </c>
      <c r="I587" s="2" t="str">
        <f>CLEAN(TRIM(Working_Sales[[#This Row],[Customer ID]]))</f>
        <v>CUST332</v>
      </c>
      <c r="J58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CUST332</v>
      </c>
      <c r="K58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CUST332</v>
      </c>
      <c r="L587" t="s">
        <v>20</v>
      </c>
      <c r="M587" s="4" t="str">
        <f>CLEAN(TRIM(Working_Sales[[#This Row],[Gender]]))</f>
        <v>male</v>
      </c>
      <c r="N587" s="4" t="str" cm="1">
        <f t="array" ref="N587">_xlfn.SWITCH(
   Working_Sales[[#This Row],[Gender_Whitespace_Removed]],
   "m", "Male",
   "f", "Female",
   Working_Sales[[#This Row],[Gender_Whitespace_Removed]]
)</f>
        <v>male</v>
      </c>
      <c r="O587" s="6" t="str">
        <f>PROPER(Working_Sales[[#This Row],[Gender_Abbreviation_Expanded]])</f>
        <v>Male</v>
      </c>
      <c r="P587">
        <v>44</v>
      </c>
      <c r="Q587" s="2" t="str">
        <f>CLEAN(TRIM(Working_Sales[[#This Row],[Age]]))</f>
        <v>44</v>
      </c>
      <c r="R587" s="6">
        <f>INT(SUBSTITUTE(Working_Sales[[#This Row],[Age_Whitespace_Removed]],".",","))</f>
        <v>44</v>
      </c>
      <c r="S587" t="s">
        <v>13</v>
      </c>
      <c r="T587" s="2" t="str">
        <f>CLEAN(TRIM(Working_Sales[[#This Row],[Product Category]]))</f>
        <v>Electronics</v>
      </c>
      <c r="U587" s="6" t="str">
        <f>PROPER(Working_Sales[[#This Row],[Product_Category_Whitespace_Removed]])</f>
        <v>Electronics</v>
      </c>
      <c r="V587" t="s">
        <v>37</v>
      </c>
      <c r="W587" s="2" t="str">
        <f>CLEAN(TRIM(Working_Sales[[#This Row],[Quantity]]))</f>
        <v>2</v>
      </c>
      <c r="X587" s="2">
        <f>INT(Working_Sales[[#This Row],[`]])</f>
        <v>2</v>
      </c>
      <c r="Y587" s="6">
        <f>IFERROR(
   Working_Sales[[#This Row],[Quantity_Converted_To_Integer]],
   Working_Sales[[#This Row],[Total_Amount_Whitespace_Removed]]/Working_Sales[[#This Row],[Price_Per_Unit_Decimal_Separator_Fixed]])</f>
        <v>2</v>
      </c>
      <c r="Z587" t="s">
        <v>23</v>
      </c>
      <c r="AA587" s="2" t="str">
        <f>CLEAN(TRIM(Working_Sales[[#This Row],[Price per Unit]]))</f>
        <v>300</v>
      </c>
      <c r="AB587" s="2">
        <f>INT(
   SUBSTITUTE(Working_Sales[[#This Row],[Price_Per_Unit_Whitespace_Removed]],
   "$",
   ""
   )
)</f>
        <v>300</v>
      </c>
      <c r="AC587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587" s="8">
        <f>IFERROR(
   Working_Sales[[#This Row],[Price_Per_Unit_Decimal_Separator_Fixed]],
   Working_Sales[[#This Row],[Total_Amount_Converted_To_Integer]]/Working_Sales[[#This Row],[Quantity_Converted_To_Integer]]
)</f>
        <v>300</v>
      </c>
      <c r="AE587" t="s">
        <v>107</v>
      </c>
      <c r="AF587" s="2" t="str">
        <f>CLEAN(TRIM(Working_Sales[[#This Row],[Total Amount]]))</f>
        <v>600</v>
      </c>
      <c r="AG587" s="2">
        <f>INT(Working_Sales[[#This Row],[Total_Amount_Whitespace_Removed]])</f>
        <v>600</v>
      </c>
      <c r="AH58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600</v>
      </c>
    </row>
    <row r="588" spans="1:34" x14ac:dyDescent="0.35">
      <c r="A588" t="s">
        <v>1278</v>
      </c>
      <c r="B588" s="6" t="str">
        <f>CLEAN(TRIM(Working_Sales[[#This Row],[Transaction ID]]))</f>
        <v>934</v>
      </c>
      <c r="C588" t="s">
        <v>1279</v>
      </c>
      <c r="D588" s="2" t="str">
        <f>CLEAN(TRIM(Working_Sales[[#This Row],[Date]]))</f>
        <v>2023-07-25</v>
      </c>
      <c r="E58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45132</v>
      </c>
      <c r="F58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45132</v>
      </c>
      <c r="G58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45132</v>
      </c>
      <c r="H588" t="s">
        <v>2806</v>
      </c>
      <c r="I588" s="2" t="str">
        <f>CLEAN(TRIM(Working_Sales[[#This Row],[Customer ID]]))</f>
        <v>cust386</v>
      </c>
      <c r="J58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8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CUST386</v>
      </c>
      <c r="L588" t="s">
        <v>34</v>
      </c>
      <c r="M588" s="4" t="str">
        <f>CLEAN(TRIM(Working_Sales[[#This Row],[Gender]]))</f>
        <v>Male</v>
      </c>
      <c r="N588" s="4" t="str" cm="1">
        <f t="array" ref="N588">_xlfn.SWITCH(
   Working_Sales[[#This Row],[Gender_Whitespace_Removed]],
   "m", "Male",
   "f", "Female",
   Working_Sales[[#This Row],[Gender_Whitespace_Removed]]
)</f>
        <v>Male</v>
      </c>
      <c r="O588" s="6" t="str">
        <f>PROPER(Working_Sales[[#This Row],[Gender_Abbreviation_Expanded]])</f>
        <v>Male</v>
      </c>
      <c r="P588" t="s">
        <v>1280</v>
      </c>
      <c r="Q588" s="2" t="str">
        <f>CLEAN(TRIM(Working_Sales[[#This Row],[Age]]))</f>
        <v>30</v>
      </c>
      <c r="R588" s="6">
        <f>INT(SUBSTITUTE(Working_Sales[[#This Row],[Age_Whitespace_Removed]],".",","))</f>
        <v>30</v>
      </c>
      <c r="S588" t="s">
        <v>36</v>
      </c>
      <c r="T588" s="2" t="str">
        <f>CLEAN(TRIM(Working_Sales[[#This Row],[Product Category]]))</f>
        <v>Beauty</v>
      </c>
      <c r="U588" s="6" t="str">
        <f>PROPER(Working_Sales[[#This Row],[Product_Category_Whitespace_Removed]])</f>
        <v>Beauty</v>
      </c>
      <c r="V588" t="s">
        <v>22</v>
      </c>
      <c r="W588" s="2" t="str">
        <f>CLEAN(TRIM(Working_Sales[[#This Row],[Quantity]]))</f>
        <v>1</v>
      </c>
      <c r="X588" s="2">
        <f>INT(Working_Sales[[#This Row],[`]])</f>
        <v>1</v>
      </c>
      <c r="Y588" s="6">
        <f>IFERROR(
   Working_Sales[[#This Row],[Quantity_Converted_To_Integer]],
   Working_Sales[[#This Row],[Total_Amount_Whitespace_Removed]]/Working_Sales[[#This Row],[Price_Per_Unit_Decimal_Separator_Fixed]])</f>
        <v>1</v>
      </c>
      <c r="Z588" t="s">
        <v>57</v>
      </c>
      <c r="AA588" s="2" t="str">
        <f>CLEAN(TRIM(Working_Sales[[#This Row],[Price per Unit]]))</f>
        <v>500</v>
      </c>
      <c r="AB588" s="2">
        <f>INT(
   SUBSTITUTE(Working_Sales[[#This Row],[Price_Per_Unit_Whitespace_Removed]],
   "$",
   ""
   )
)</f>
        <v>500</v>
      </c>
      <c r="AC588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588" s="8">
        <f>IFERROR(
   Working_Sales[[#This Row],[Price_Per_Unit_Decimal_Separator_Fixed]],
   Working_Sales[[#This Row],[Total_Amount_Converted_To_Integer]]/Working_Sales[[#This Row],[Quantity_Converted_To_Integer]]
)</f>
        <v>500</v>
      </c>
      <c r="AE588" t="s">
        <v>57</v>
      </c>
      <c r="AF588" s="2" t="str">
        <f>CLEAN(TRIM(Working_Sales[[#This Row],[Total Amount]]))</f>
        <v>500</v>
      </c>
      <c r="AG588" s="2">
        <f>INT(Working_Sales[[#This Row],[Total_Amount_Whitespace_Removed]])</f>
        <v>500</v>
      </c>
      <c r="AH58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589" spans="1:34" x14ac:dyDescent="0.35">
      <c r="A589" t="s">
        <v>1281</v>
      </c>
      <c r="B589" s="6" t="str">
        <f>CLEAN(TRIM(Working_Sales[[#This Row],[Transaction ID]]))</f>
        <v>642</v>
      </c>
      <c r="C589" t="s">
        <v>1282</v>
      </c>
      <c r="D589" s="2" t="str">
        <f>CLEAN(TRIM(Working_Sales[[#This Row],[Date]]))</f>
        <v>22/05/2023</v>
      </c>
      <c r="E58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45068</v>
      </c>
      <c r="F58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45068</v>
      </c>
      <c r="G58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45068</v>
      </c>
      <c r="H589" t="s">
        <v>2807</v>
      </c>
      <c r="I589" s="2" t="str">
        <f>CLEAN(TRIM(Working_Sales[[#This Row],[Customer ID]]))</f>
        <v>CUST171</v>
      </c>
      <c r="J58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CUST171</v>
      </c>
      <c r="K58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CUST171</v>
      </c>
      <c r="L589" t="s">
        <v>26</v>
      </c>
      <c r="M589" s="4" t="str">
        <f>CLEAN(TRIM(Working_Sales[[#This Row],[Gender]]))</f>
        <v>Female</v>
      </c>
      <c r="N589" s="4" t="str" cm="1">
        <f t="array" ref="N589">_xlfn.SWITCH(
   Working_Sales[[#This Row],[Gender_Whitespace_Removed]],
   "m", "Male",
   "f", "Female",
   Working_Sales[[#This Row],[Gender_Whitespace_Removed]]
)</f>
        <v>Female</v>
      </c>
      <c r="O589" s="6" t="str">
        <f>PROPER(Working_Sales[[#This Row],[Gender_Abbreviation_Expanded]])</f>
        <v>Female</v>
      </c>
      <c r="P589">
        <v>54</v>
      </c>
      <c r="Q589" s="2" t="str">
        <f>CLEAN(TRIM(Working_Sales[[#This Row],[Age]]))</f>
        <v>54</v>
      </c>
      <c r="R589" s="6">
        <f>INT(SUBSTITUTE(Working_Sales[[#This Row],[Age_Whitespace_Removed]],".",","))</f>
        <v>54</v>
      </c>
      <c r="S589" t="s">
        <v>28</v>
      </c>
      <c r="T589" s="2" t="str">
        <f>CLEAN(TRIM(Working_Sales[[#This Row],[Product Category]]))</f>
        <v>clothing</v>
      </c>
      <c r="U589" s="6" t="str">
        <f>PROPER(Working_Sales[[#This Row],[Product_Category_Whitespace_Removed]])</f>
        <v>Clothing</v>
      </c>
      <c r="V589" t="s">
        <v>14</v>
      </c>
      <c r="W589" s="2" t="str">
        <f>CLEAN(TRIM(Working_Sales[[#This Row],[Quantity]]))</f>
        <v>4</v>
      </c>
      <c r="X589" s="2">
        <f>INT(Working_Sales[[#This Row],[`]])</f>
        <v>4</v>
      </c>
      <c r="Y589" s="6">
        <f>IFERROR(
   Working_Sales[[#This Row],[Quantity_Converted_To_Integer]],
   Working_Sales[[#This Row],[Total_Amount_Whitespace_Removed]]/Working_Sales[[#This Row],[Price_Per_Unit_Decimal_Separator_Fixed]])</f>
        <v>4</v>
      </c>
      <c r="Z589" t="s">
        <v>30</v>
      </c>
      <c r="AA589" s="2" t="str">
        <f>CLEAN(TRIM(Working_Sales[[#This Row],[Price per Unit]]))</f>
        <v>25</v>
      </c>
      <c r="AB589" s="2">
        <f>INT(
   SUBSTITUTE(Working_Sales[[#This Row],[Price_Per_Unit_Whitespace_Removed]],
   "$",
   ""
   )
)</f>
        <v>25</v>
      </c>
      <c r="AC589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589" s="8">
        <f>IFERROR(
   Working_Sales[[#This Row],[Price_Per_Unit_Decimal_Separator_Fixed]],
   Working_Sales[[#This Row],[Total_Amount_Converted_To_Integer]]/Working_Sales[[#This Row],[Quantity_Converted_To_Integer]]
)</f>
        <v>25</v>
      </c>
      <c r="AE589" t="s">
        <v>38</v>
      </c>
      <c r="AF589" s="2" t="str">
        <f>CLEAN(TRIM(Working_Sales[[#This Row],[Total Amount]]))</f>
        <v>100</v>
      </c>
      <c r="AG589" s="2">
        <f>INT(Working_Sales[[#This Row],[Total_Amount_Whitespace_Removed]])</f>
        <v>100</v>
      </c>
      <c r="AH58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590" spans="1:34" x14ac:dyDescent="0.35">
      <c r="A590" t="s">
        <v>1283</v>
      </c>
      <c r="B590" s="6" t="str">
        <f>CLEAN(TRIM(Working_Sales[[#This Row],[Transaction ID]]))</f>
        <v>593</v>
      </c>
      <c r="C590" t="s">
        <v>1153</v>
      </c>
      <c r="D590" s="2" t="str">
        <f>CLEAN(TRIM(Working_Sales[[#This Row],[Date]]))</f>
        <v>2023-05-06</v>
      </c>
      <c r="E59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45052</v>
      </c>
      <c r="F59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45052</v>
      </c>
      <c r="G59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45052</v>
      </c>
      <c r="H590" t="s">
        <v>2808</v>
      </c>
      <c r="I590" s="2" t="str">
        <f>CLEAN(TRIM(Working_Sales[[#This Row],[Customer ID]]))</f>
        <v>CUST078</v>
      </c>
      <c r="J59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CUST078</v>
      </c>
      <c r="K59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CUST078</v>
      </c>
      <c r="L590" t="s">
        <v>34</v>
      </c>
      <c r="M590" s="4" t="str">
        <f>CLEAN(TRIM(Working_Sales[[#This Row],[Gender]]))</f>
        <v>Male</v>
      </c>
      <c r="N590" s="4" t="str" cm="1">
        <f t="array" ref="N590">_xlfn.SWITCH(
   Working_Sales[[#This Row],[Gender_Whitespace_Removed]],
   "m", "Male",
   "f", "Female",
   Working_Sales[[#This Row],[Gender_Whitespace_Removed]]
)</f>
        <v>Male</v>
      </c>
      <c r="O590" s="6" t="str">
        <f>PROPER(Working_Sales[[#This Row],[Gender_Abbreviation_Expanded]])</f>
        <v>Male</v>
      </c>
      <c r="P590">
        <v>35</v>
      </c>
      <c r="Q590" s="2" t="str">
        <f>CLEAN(TRIM(Working_Sales[[#This Row],[Age]]))</f>
        <v>35</v>
      </c>
      <c r="R590" s="6">
        <f>INT(SUBSTITUTE(Working_Sales[[#This Row],[Age_Whitespace_Removed]],".",","))</f>
        <v>35</v>
      </c>
      <c r="S590" t="s">
        <v>109</v>
      </c>
      <c r="T590" s="2" t="str">
        <f>CLEAN(TRIM(Working_Sales[[#This Row],[Product Category]]))</f>
        <v>Electronics</v>
      </c>
      <c r="U590" s="6" t="str">
        <f>PROPER(Working_Sales[[#This Row],[Product_Category_Whitespace_Removed]])</f>
        <v>Electronics</v>
      </c>
      <c r="V590" t="s">
        <v>37</v>
      </c>
      <c r="W590" s="2" t="str">
        <f>CLEAN(TRIM(Working_Sales[[#This Row],[Quantity]]))</f>
        <v>2</v>
      </c>
      <c r="X590" s="2">
        <f>INT(Working_Sales[[#This Row],[`]])</f>
        <v>2</v>
      </c>
      <c r="Y590" s="6">
        <f>IFERROR(
   Working_Sales[[#This Row],[Quantity_Converted_To_Integer]],
   Working_Sales[[#This Row],[Total_Amount_Whitespace_Removed]]/Working_Sales[[#This Row],[Price_Per_Unit_Decimal_Separator_Fixed]])</f>
        <v>2</v>
      </c>
      <c r="Z590" t="s">
        <v>43</v>
      </c>
      <c r="AA590" s="2" t="str">
        <f>CLEAN(TRIM(Working_Sales[[#This Row],[Price per Unit]]))</f>
        <v>30.00</v>
      </c>
      <c r="AB590" s="2" t="e">
        <f>INT(
   SUBSTITUTE(Working_Sales[[#This Row],[Price_Per_Unit_Whitespace_Removed]],
   "$",
   ""
   )
)</f>
        <v>#VALUE!</v>
      </c>
      <c r="AC590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590" s="8">
        <f>IFERROR(
   Working_Sales[[#This Row],[Price_Per_Unit_Decimal_Separator_Fixed]],
   Working_Sales[[#This Row],[Total_Amount_Converted_To_Integer]]/Working_Sales[[#This Row],[Quantity_Converted_To_Integer]]
)</f>
        <v>30</v>
      </c>
      <c r="AE590" t="s">
        <v>71</v>
      </c>
      <c r="AF590" s="2" t="str">
        <f>CLEAN(TRIM(Working_Sales[[#This Row],[Total Amount]]))</f>
        <v>60</v>
      </c>
      <c r="AG590" s="2">
        <f>INT(Working_Sales[[#This Row],[Total_Amount_Whitespace_Removed]])</f>
        <v>60</v>
      </c>
      <c r="AH59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591" spans="1:34" x14ac:dyDescent="0.35">
      <c r="A591" t="s">
        <v>1284</v>
      </c>
      <c r="B591" s="6" t="str">
        <f>CLEAN(TRIM(Working_Sales[[#This Row],[Transaction ID]]))</f>
        <v>952</v>
      </c>
      <c r="C591" t="s">
        <v>1285</v>
      </c>
      <c r="D591" s="2" t="str">
        <f>CLEAN(TRIM(Working_Sales[[#This Row],[Date]]))</f>
        <v>November 13, 2023</v>
      </c>
      <c r="E591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591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59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45243</v>
      </c>
      <c r="H591" t="s">
        <v>2809</v>
      </c>
      <c r="I591" s="2" t="str">
        <f>CLEAN(TRIM(Working_Sales[[#This Row],[Customer ID]]))</f>
        <v>CUST008</v>
      </c>
      <c r="J59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CUST008</v>
      </c>
      <c r="K59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CUST008</v>
      </c>
      <c r="L591" t="s">
        <v>140</v>
      </c>
      <c r="M591" s="4" t="str">
        <f>CLEAN(TRIM(Working_Sales[[#This Row],[Gender]]))</f>
        <v>FEMALE</v>
      </c>
      <c r="N591" s="4" t="str" cm="1">
        <f t="array" ref="N591">_xlfn.SWITCH(
   Working_Sales[[#This Row],[Gender_Whitespace_Removed]],
   "m", "Male",
   "f", "Female",
   Working_Sales[[#This Row],[Gender_Whitespace_Removed]]
)</f>
        <v>FEMALE</v>
      </c>
      <c r="O591" s="6" t="str">
        <f>PROPER(Working_Sales[[#This Row],[Gender_Abbreviation_Expanded]])</f>
        <v>Female</v>
      </c>
      <c r="P591">
        <v>57</v>
      </c>
      <c r="Q591" s="2" t="str">
        <f>CLEAN(TRIM(Working_Sales[[#This Row],[Age]]))</f>
        <v>57</v>
      </c>
      <c r="R591" s="6">
        <f>INT(SUBSTITUTE(Working_Sales[[#This Row],[Age_Whitespace_Removed]],".",","))</f>
        <v>57</v>
      </c>
      <c r="S591" t="s">
        <v>56</v>
      </c>
      <c r="T591" s="2" t="str">
        <f>CLEAN(TRIM(Working_Sales[[#This Row],[Product Category]]))</f>
        <v>Clothing</v>
      </c>
      <c r="U591" s="6" t="str">
        <f>PROPER(Working_Sales[[#This Row],[Product_Category_Whitespace_Removed]])</f>
        <v>Clothing</v>
      </c>
      <c r="V591" t="s">
        <v>22</v>
      </c>
      <c r="W591" s="2" t="str">
        <f>CLEAN(TRIM(Working_Sales[[#This Row],[Quantity]]))</f>
        <v>1</v>
      </c>
      <c r="X591" s="2">
        <f>INT(Working_Sales[[#This Row],[`]])</f>
        <v>1</v>
      </c>
      <c r="Y591" s="6">
        <f>IFERROR(
   Working_Sales[[#This Row],[Quantity_Converted_To_Integer]],
   Working_Sales[[#This Row],[Total_Amount_Whitespace_Removed]]/Working_Sales[[#This Row],[Price_Per_Unit_Decimal_Separator_Fixed]])</f>
        <v>1</v>
      </c>
      <c r="Z591" t="s">
        <v>30</v>
      </c>
      <c r="AA591" s="2" t="str">
        <f>CLEAN(TRIM(Working_Sales[[#This Row],[Price per Unit]]))</f>
        <v>25</v>
      </c>
      <c r="AB591" s="2">
        <f>INT(
   SUBSTITUTE(Working_Sales[[#This Row],[Price_Per_Unit_Whitespace_Removed]],
   "$",
   ""
   )
)</f>
        <v>25</v>
      </c>
      <c r="AC591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591" s="8">
        <f>IFERROR(
   Working_Sales[[#This Row],[Price_Per_Unit_Decimal_Separator_Fixed]],
   Working_Sales[[#This Row],[Total_Amount_Converted_To_Integer]]/Working_Sales[[#This Row],[Quantity_Converted_To_Integer]]
)</f>
        <v>25</v>
      </c>
      <c r="AE591" t="s">
        <v>30</v>
      </c>
      <c r="AF591" s="2" t="str">
        <f>CLEAN(TRIM(Working_Sales[[#This Row],[Total Amount]]))</f>
        <v>25</v>
      </c>
      <c r="AG591" s="2">
        <f>INT(Working_Sales[[#This Row],[Total_Amount_Whitespace_Removed]])</f>
        <v>25</v>
      </c>
      <c r="AH59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592" spans="1:34" x14ac:dyDescent="0.35">
      <c r="A592" t="s">
        <v>1286</v>
      </c>
      <c r="B592" s="6" t="str">
        <f>CLEAN(TRIM(Working_Sales[[#This Row],[Transaction ID]]))</f>
        <v>502</v>
      </c>
      <c r="C592" t="s">
        <v>1287</v>
      </c>
      <c r="D592" s="2" t="str">
        <f>CLEAN(TRIM(Working_Sales[[#This Row],[Date]]))</f>
        <v>2023-04-02</v>
      </c>
      <c r="E59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45018</v>
      </c>
      <c r="F59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45018</v>
      </c>
      <c r="G59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45018</v>
      </c>
      <c r="H592" t="s">
        <v>2810</v>
      </c>
      <c r="I592" s="2" t="str">
        <f>CLEAN(TRIM(Working_Sales[[#This Row],[Customer ID]]))</f>
        <v>cust231</v>
      </c>
      <c r="J59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9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CUST231</v>
      </c>
      <c r="L592" t="s">
        <v>34</v>
      </c>
      <c r="M592" s="4" t="str">
        <f>CLEAN(TRIM(Working_Sales[[#This Row],[Gender]]))</f>
        <v>Male</v>
      </c>
      <c r="N592" s="4" t="str" cm="1">
        <f t="array" ref="N592">_xlfn.SWITCH(
   Working_Sales[[#This Row],[Gender_Whitespace_Removed]],
   "m", "Male",
   "f", "Female",
   Working_Sales[[#This Row],[Gender_Whitespace_Removed]]
)</f>
        <v>Male</v>
      </c>
      <c r="O592" s="6" t="str">
        <f>PROPER(Working_Sales[[#This Row],[Gender_Abbreviation_Expanded]])</f>
        <v>Male</v>
      </c>
      <c r="P592">
        <v>43</v>
      </c>
      <c r="Q592" s="2" t="str">
        <f>CLEAN(TRIM(Working_Sales[[#This Row],[Age]]))</f>
        <v>43</v>
      </c>
      <c r="R592" s="6">
        <f>INT(SUBSTITUTE(Working_Sales[[#This Row],[Age_Whitespace_Removed]],".",","))</f>
        <v>43</v>
      </c>
      <c r="S592" t="s">
        <v>13</v>
      </c>
      <c r="T592" s="2" t="str">
        <f>CLEAN(TRIM(Working_Sales[[#This Row],[Product Category]]))</f>
        <v>Electronics</v>
      </c>
      <c r="U592" s="6" t="str">
        <f>PROPER(Working_Sales[[#This Row],[Product_Category_Whitespace_Removed]])</f>
        <v>Electronics</v>
      </c>
      <c r="V592" t="s">
        <v>29</v>
      </c>
      <c r="W592" s="2" t="str">
        <f>CLEAN(TRIM(Working_Sales[[#This Row],[Quantity]]))</f>
        <v>3</v>
      </c>
      <c r="X592" s="2">
        <f>INT(Working_Sales[[#This Row],[`]])</f>
        <v>3</v>
      </c>
      <c r="Y592" s="6">
        <f>IFERROR(
   Working_Sales[[#This Row],[Quantity_Converted_To_Integer]],
   Working_Sales[[#This Row],[Total_Amount_Whitespace_Removed]]/Working_Sales[[#This Row],[Price_Per_Unit_Decimal_Separator_Fixed]])</f>
        <v>3</v>
      </c>
      <c r="Z592" t="s">
        <v>96</v>
      </c>
      <c r="AA592" s="2" t="str">
        <f>CLEAN(TRIM(Working_Sales[[#This Row],[Price per Unit]]))</f>
        <v>$50</v>
      </c>
      <c r="AB592" s="2">
        <f>INT(
   SUBSTITUTE(Working_Sales[[#This Row],[Price_Per_Unit_Whitespace_Removed]],
   "$",
   ""
   )
)</f>
        <v>50</v>
      </c>
      <c r="AC592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592" s="8">
        <f>IFERROR(
   Working_Sales[[#This Row],[Price_Per_Unit_Decimal_Separator_Fixed]],
   Working_Sales[[#This Row],[Total_Amount_Converted_To_Integer]]/Working_Sales[[#This Row],[Quantity_Converted_To_Integer]]
)</f>
        <v>50</v>
      </c>
      <c r="AE592" t="s">
        <v>130</v>
      </c>
      <c r="AF592" s="2" t="str">
        <f>CLEAN(TRIM(Working_Sales[[#This Row],[Total Amount]]))</f>
        <v>150</v>
      </c>
      <c r="AG592" s="2">
        <f>INT(Working_Sales[[#This Row],[Total_Amount_Whitespace_Removed]])</f>
        <v>150</v>
      </c>
      <c r="AH59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593" spans="1:34" x14ac:dyDescent="0.35">
      <c r="A593" t="s">
        <v>1288</v>
      </c>
      <c r="B593" s="6" t="str">
        <f>CLEAN(TRIM(Working_Sales[[#This Row],[Transaction ID]]))</f>
        <v>539</v>
      </c>
      <c r="C593" t="s">
        <v>2046</v>
      </c>
      <c r="D593" s="2" t="str">
        <f>CLEAN(TRIM(Working_Sales[[#This Row],[Date]]))</f>
        <v>08-Jun-2023</v>
      </c>
      <c r="E59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45085</v>
      </c>
      <c r="F59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45085</v>
      </c>
      <c r="G59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45085</v>
      </c>
      <c r="H593" t="s">
        <v>2811</v>
      </c>
      <c r="I593" s="2" t="str">
        <f>CLEAN(TRIM(Working_Sales[[#This Row],[Customer ID]]))</f>
        <v>cust314</v>
      </c>
      <c r="J59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9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CUST314</v>
      </c>
      <c r="L593" t="s">
        <v>34</v>
      </c>
      <c r="M593" s="4" t="str">
        <f>CLEAN(TRIM(Working_Sales[[#This Row],[Gender]]))</f>
        <v>Male</v>
      </c>
      <c r="N593" s="4" t="str" cm="1">
        <f t="array" ref="N593">_xlfn.SWITCH(
   Working_Sales[[#This Row],[Gender_Whitespace_Removed]],
   "m", "Male",
   "f", "Female",
   Working_Sales[[#This Row],[Gender_Whitespace_Removed]]
)</f>
        <v>Male</v>
      </c>
      <c r="O593" s="6" t="str">
        <f>PROPER(Working_Sales[[#This Row],[Gender_Abbreviation_Expanded]])</f>
        <v>Male</v>
      </c>
      <c r="P593">
        <v>25</v>
      </c>
      <c r="Q593" s="2" t="str">
        <f>CLEAN(TRIM(Working_Sales[[#This Row],[Age]]))</f>
        <v>25</v>
      </c>
      <c r="R593" s="6">
        <f>INT(SUBSTITUTE(Working_Sales[[#This Row],[Age_Whitespace_Removed]],".",","))</f>
        <v>25</v>
      </c>
      <c r="S593" t="s">
        <v>36</v>
      </c>
      <c r="T593" s="2" t="str">
        <f>CLEAN(TRIM(Working_Sales[[#This Row],[Product Category]]))</f>
        <v>Beauty</v>
      </c>
      <c r="U593" s="6" t="str">
        <f>PROPER(Working_Sales[[#This Row],[Product_Category_Whitespace_Removed]])</f>
        <v>Beauty</v>
      </c>
      <c r="V593" t="s">
        <v>22</v>
      </c>
      <c r="W593" s="2" t="str">
        <f>CLEAN(TRIM(Working_Sales[[#This Row],[Quantity]]))</f>
        <v>1</v>
      </c>
      <c r="X593" s="2">
        <f>INT(Working_Sales[[#This Row],[`]])</f>
        <v>1</v>
      </c>
      <c r="Y593" s="6">
        <f>IFERROR(
   Working_Sales[[#This Row],[Quantity_Converted_To_Integer]],
   Working_Sales[[#This Row],[Total_Amount_Whitespace_Removed]]/Working_Sales[[#This Row],[Price_Per_Unit_Decimal_Separator_Fixed]])</f>
        <v>1</v>
      </c>
      <c r="Z593" t="s">
        <v>57</v>
      </c>
      <c r="AA593" s="2" t="str">
        <f>CLEAN(TRIM(Working_Sales[[#This Row],[Price per Unit]]))</f>
        <v>500</v>
      </c>
      <c r="AB593" s="2">
        <f>INT(
   SUBSTITUTE(Working_Sales[[#This Row],[Price_Per_Unit_Whitespace_Removed]],
   "$",
   ""
   )
)</f>
        <v>500</v>
      </c>
      <c r="AC593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593" s="8">
        <f>IFERROR(
   Working_Sales[[#This Row],[Price_Per_Unit_Decimal_Separator_Fixed]],
   Working_Sales[[#This Row],[Total_Amount_Converted_To_Integer]]/Working_Sales[[#This Row],[Quantity_Converted_To_Integer]]
)</f>
        <v>500</v>
      </c>
      <c r="AE593" t="s">
        <v>57</v>
      </c>
      <c r="AF593" s="2" t="str">
        <f>CLEAN(TRIM(Working_Sales[[#This Row],[Total Amount]]))</f>
        <v>500</v>
      </c>
      <c r="AG593" s="2">
        <f>INT(Working_Sales[[#This Row],[Total_Amount_Whitespace_Removed]])</f>
        <v>500</v>
      </c>
      <c r="AH59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594" spans="1:34" x14ac:dyDescent="0.35">
      <c r="A594" t="s">
        <v>1289</v>
      </c>
      <c r="B594" s="6" t="str">
        <f>CLEAN(TRIM(Working_Sales[[#This Row],[Transaction ID]]))</f>
        <v>661</v>
      </c>
      <c r="C594" t="s">
        <v>1065</v>
      </c>
      <c r="D594" s="2" t="str">
        <f>CLEAN(TRIM(Working_Sales[[#This Row],[Date]]))</f>
        <v>16/07/2023</v>
      </c>
      <c r="E59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45123</v>
      </c>
      <c r="F59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45123</v>
      </c>
      <c r="G59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45123</v>
      </c>
      <c r="H594" t="s">
        <v>2812</v>
      </c>
      <c r="I594" s="2" t="str">
        <f>CLEAN(TRIM(Working_Sales[[#This Row],[Customer ID]]))</f>
        <v>cust283</v>
      </c>
      <c r="J59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9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CUST283</v>
      </c>
      <c r="L594" t="s">
        <v>26</v>
      </c>
      <c r="M594" s="4" t="str">
        <f>CLEAN(TRIM(Working_Sales[[#This Row],[Gender]]))</f>
        <v>Female</v>
      </c>
      <c r="N594" s="4" t="str" cm="1">
        <f t="array" ref="N594">_xlfn.SWITCH(
   Working_Sales[[#This Row],[Gender_Whitespace_Removed]],
   "m", "Male",
   "f", "Female",
   Working_Sales[[#This Row],[Gender_Whitespace_Removed]]
)</f>
        <v>Female</v>
      </c>
      <c r="O594" s="6" t="str">
        <f>PROPER(Working_Sales[[#This Row],[Gender_Abbreviation_Expanded]])</f>
        <v>Female</v>
      </c>
      <c r="P594">
        <v>44</v>
      </c>
      <c r="Q594" s="2" t="str">
        <f>CLEAN(TRIM(Working_Sales[[#This Row],[Age]]))</f>
        <v>44</v>
      </c>
      <c r="R594" s="6">
        <f>INT(SUBSTITUTE(Working_Sales[[#This Row],[Age_Whitespace_Removed]],".",","))</f>
        <v>44</v>
      </c>
      <c r="S594" t="s">
        <v>56</v>
      </c>
      <c r="T594" s="2" t="str">
        <f>CLEAN(TRIM(Working_Sales[[#This Row],[Product Category]]))</f>
        <v>Clothing</v>
      </c>
      <c r="U594" s="6" t="str">
        <f>PROPER(Working_Sales[[#This Row],[Product_Category_Whitespace_Removed]])</f>
        <v>Clothing</v>
      </c>
      <c r="V594" t="s">
        <v>14</v>
      </c>
      <c r="W594" s="2" t="str">
        <f>CLEAN(TRIM(Working_Sales[[#This Row],[Quantity]]))</f>
        <v>4</v>
      </c>
      <c r="X594" s="2">
        <f>INT(Working_Sales[[#This Row],[`]])</f>
        <v>4</v>
      </c>
      <c r="Y594" s="6">
        <f>IFERROR(
   Working_Sales[[#This Row],[Quantity_Converted_To_Integer]],
   Working_Sales[[#This Row],[Total_Amount_Whitespace_Removed]]/Working_Sales[[#This Row],[Price_Per_Unit_Decimal_Separator_Fixed]])</f>
        <v>4</v>
      </c>
      <c r="Z594" t="s">
        <v>371</v>
      </c>
      <c r="AA594" s="2" t="str">
        <f>CLEAN(TRIM(Working_Sales[[#This Row],[Price per Unit]]))</f>
        <v>25.00</v>
      </c>
      <c r="AB594" s="2" t="e">
        <f>INT(
   SUBSTITUTE(Working_Sales[[#This Row],[Price_Per_Unit_Whitespace_Removed]],
   "$",
   ""
   )
)</f>
        <v>#VALUE!</v>
      </c>
      <c r="AC594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594" s="8">
        <f>IFERROR(
   Working_Sales[[#This Row],[Price_Per_Unit_Decimal_Separator_Fixed]],
   Working_Sales[[#This Row],[Total_Amount_Converted_To_Integer]]/Working_Sales[[#This Row],[Quantity_Converted_To_Integer]]
)</f>
        <v>25</v>
      </c>
      <c r="AE594" t="s">
        <v>38</v>
      </c>
      <c r="AF594" s="2" t="str">
        <f>CLEAN(TRIM(Working_Sales[[#This Row],[Total Amount]]))</f>
        <v>100</v>
      </c>
      <c r="AG594" s="2">
        <f>INT(Working_Sales[[#This Row],[Total_Amount_Whitespace_Removed]])</f>
        <v>100</v>
      </c>
      <c r="AH59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595" spans="1:34" x14ac:dyDescent="0.35">
      <c r="A595" t="s">
        <v>1290</v>
      </c>
      <c r="B595" s="6" t="str">
        <f>CLEAN(TRIM(Working_Sales[[#This Row],[Transaction ID]]))</f>
        <v>582</v>
      </c>
      <c r="C595" t="s">
        <v>2128</v>
      </c>
      <c r="D595" s="2" t="str">
        <f>CLEAN(TRIM(Working_Sales[[#This Row],[Date]]))</f>
        <v>11/14/2023</v>
      </c>
      <c r="E595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59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45244</v>
      </c>
      <c r="G59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45244</v>
      </c>
      <c r="H595" t="s">
        <v>2813</v>
      </c>
      <c r="I595" s="2" t="str">
        <f>CLEAN(TRIM(Working_Sales[[#This Row],[Customer ID]]))</f>
        <v>cust387</v>
      </c>
      <c r="J59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9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CUST387</v>
      </c>
      <c r="L595" t="s">
        <v>34</v>
      </c>
      <c r="M595" s="4" t="str">
        <f>CLEAN(TRIM(Working_Sales[[#This Row],[Gender]]))</f>
        <v>Male</v>
      </c>
      <c r="N595" s="4" t="str" cm="1">
        <f t="array" ref="N595">_xlfn.SWITCH(
   Working_Sales[[#This Row],[Gender_Whitespace_Removed]],
   "m", "Male",
   "f", "Female",
   Working_Sales[[#This Row],[Gender_Whitespace_Removed]]
)</f>
        <v>Male</v>
      </c>
      <c r="O595" s="6" t="str">
        <f>PROPER(Working_Sales[[#This Row],[Gender_Abbreviation_Expanded]])</f>
        <v>Male</v>
      </c>
      <c r="P595" t="s">
        <v>1291</v>
      </c>
      <c r="Q595" s="2" t="str">
        <f>CLEAN(TRIM(Working_Sales[[#This Row],[Age]]))</f>
        <v>35</v>
      </c>
      <c r="R595" s="6">
        <f>INT(SUBSTITUTE(Working_Sales[[#This Row],[Age_Whitespace_Removed]],".",","))</f>
        <v>35</v>
      </c>
      <c r="S595" t="s">
        <v>28</v>
      </c>
      <c r="T595" s="2" t="str">
        <f>CLEAN(TRIM(Working_Sales[[#This Row],[Product Category]]))</f>
        <v>clothing</v>
      </c>
      <c r="U595" s="6" t="str">
        <f>PROPER(Working_Sales[[#This Row],[Product_Category_Whitespace_Removed]])</f>
        <v>Clothing</v>
      </c>
      <c r="V595" t="s">
        <v>29</v>
      </c>
      <c r="W595" s="2" t="str">
        <f>CLEAN(TRIM(Working_Sales[[#This Row],[Quantity]]))</f>
        <v>3</v>
      </c>
      <c r="X595" s="2">
        <f>INT(Working_Sales[[#This Row],[`]])</f>
        <v>3</v>
      </c>
      <c r="Y595" s="6">
        <f>IFERROR(
   Working_Sales[[#This Row],[Quantity_Converted_To_Integer]],
   Working_Sales[[#This Row],[Total_Amount_Whitespace_Removed]]/Working_Sales[[#This Row],[Price_Per_Unit_Decimal_Separator_Fixed]])</f>
        <v>3</v>
      </c>
      <c r="Z595" t="s">
        <v>23</v>
      </c>
      <c r="AA595" s="2" t="str">
        <f>CLEAN(TRIM(Working_Sales[[#This Row],[Price per Unit]]))</f>
        <v>300</v>
      </c>
      <c r="AB595" s="2">
        <f>INT(
   SUBSTITUTE(Working_Sales[[#This Row],[Price_Per_Unit_Whitespace_Removed]],
   "$",
   ""
   )
)</f>
        <v>300</v>
      </c>
      <c r="AC595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595" s="8">
        <f>IFERROR(
   Working_Sales[[#This Row],[Price_Per_Unit_Decimal_Separator_Fixed]],
   Working_Sales[[#This Row],[Total_Amount_Converted_To_Integer]]/Working_Sales[[#This Row],[Quantity_Converted_To_Integer]]
)</f>
        <v>300</v>
      </c>
      <c r="AE595" t="s">
        <v>128</v>
      </c>
      <c r="AF595" s="2" t="str">
        <f>CLEAN(TRIM(Working_Sales[[#This Row],[Total Amount]]))</f>
        <v>900</v>
      </c>
      <c r="AG595" s="2">
        <f>INT(Working_Sales[[#This Row],[Total_Amount_Whitespace_Removed]])</f>
        <v>900</v>
      </c>
      <c r="AH59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596" spans="1:34" x14ac:dyDescent="0.35">
      <c r="A596" t="s">
        <v>1292</v>
      </c>
      <c r="B596" s="6" t="str">
        <f>CLEAN(TRIM(Working_Sales[[#This Row],[Transaction ID]]))</f>
        <v>344</v>
      </c>
      <c r="C596" t="s">
        <v>1293</v>
      </c>
      <c r="D596" s="2" t="str">
        <f>CLEAN(TRIM(Working_Sales[[#This Row],[Date]]))</f>
        <v>2023-01-21</v>
      </c>
      <c r="E59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44947</v>
      </c>
      <c r="F59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44947</v>
      </c>
      <c r="G59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44947</v>
      </c>
      <c r="H596" t="s">
        <v>2814</v>
      </c>
      <c r="I596" s="2" t="str">
        <f>CLEAN(TRIM(Working_Sales[[#This Row],[Customer ID]]))</f>
        <v>CUST388</v>
      </c>
      <c r="J59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CUST388</v>
      </c>
      <c r="K59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CUST388</v>
      </c>
      <c r="L596" t="s">
        <v>26</v>
      </c>
      <c r="M596" s="4" t="str">
        <f>CLEAN(TRIM(Working_Sales[[#This Row],[Gender]]))</f>
        <v>Female</v>
      </c>
      <c r="N596" s="4" t="str" cm="1">
        <f t="array" ref="N596">_xlfn.SWITCH(
   Working_Sales[[#This Row],[Gender_Whitespace_Removed]],
   "m", "Male",
   "f", "Female",
   Working_Sales[[#This Row],[Gender_Whitespace_Removed]]
)</f>
        <v>Female</v>
      </c>
      <c r="O596" s="6" t="str">
        <f>PROPER(Working_Sales[[#This Row],[Gender_Abbreviation_Expanded]])</f>
        <v>Female</v>
      </c>
      <c r="P596">
        <v>42</v>
      </c>
      <c r="Q596" s="2" t="str">
        <f>CLEAN(TRIM(Working_Sales[[#This Row],[Age]]))</f>
        <v>42</v>
      </c>
      <c r="R596" s="6">
        <f>INT(SUBSTITUTE(Working_Sales[[#This Row],[Age_Whitespace_Removed]],".",","))</f>
        <v>42</v>
      </c>
      <c r="S596" t="s">
        <v>36</v>
      </c>
      <c r="T596" s="2" t="str">
        <f>CLEAN(TRIM(Working_Sales[[#This Row],[Product Category]]))</f>
        <v>Beauty</v>
      </c>
      <c r="U596" s="6" t="str">
        <f>PROPER(Working_Sales[[#This Row],[Product_Category_Whitespace_Removed]])</f>
        <v>Beauty</v>
      </c>
      <c r="V596" t="s">
        <v>22</v>
      </c>
      <c r="W596" s="2" t="str">
        <f>CLEAN(TRIM(Working_Sales[[#This Row],[Quantity]]))</f>
        <v>1</v>
      </c>
      <c r="X596" s="2">
        <f>INT(Working_Sales[[#This Row],[`]])</f>
        <v>1</v>
      </c>
      <c r="Y596" s="6">
        <f>IFERROR(
   Working_Sales[[#This Row],[Quantity_Converted_To_Integer]],
   Working_Sales[[#This Row],[Total_Amount_Whitespace_Removed]]/Working_Sales[[#This Row],[Price_Per_Unit_Decimal_Separator_Fixed]])</f>
        <v>1</v>
      </c>
      <c r="Z596" t="s">
        <v>70</v>
      </c>
      <c r="AA596" s="2" t="str">
        <f>CLEAN(TRIM(Working_Sales[[#This Row],[Price per Unit]]))</f>
        <v>30</v>
      </c>
      <c r="AB596" s="2">
        <f>INT(
   SUBSTITUTE(Working_Sales[[#This Row],[Price_Per_Unit_Whitespace_Removed]],
   "$",
   ""
   )
)</f>
        <v>30</v>
      </c>
      <c r="AC596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596" s="8">
        <f>IFERROR(
   Working_Sales[[#This Row],[Price_Per_Unit_Decimal_Separator_Fixed]],
   Working_Sales[[#This Row],[Total_Amount_Converted_To_Integer]]/Working_Sales[[#This Row],[Quantity_Converted_To_Integer]]
)</f>
        <v>30</v>
      </c>
      <c r="AE596" t="s">
        <v>70</v>
      </c>
      <c r="AF596" s="2" t="str">
        <f>CLEAN(TRIM(Working_Sales[[#This Row],[Total Amount]]))</f>
        <v>30</v>
      </c>
      <c r="AG596" s="2">
        <f>INT(Working_Sales[[#This Row],[Total_Amount_Whitespace_Removed]])</f>
        <v>30</v>
      </c>
      <c r="AH59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597" spans="1:34" x14ac:dyDescent="0.35">
      <c r="A597" t="s">
        <v>1295</v>
      </c>
      <c r="B597" s="6" t="str">
        <f>CLEAN(TRIM(Working_Sales[[#This Row],[Transaction ID]]))</f>
        <v>682</v>
      </c>
      <c r="C597" t="s">
        <v>248</v>
      </c>
      <c r="D597" s="2" t="str">
        <f>CLEAN(TRIM(Working_Sales[[#This Row],[Date]]))</f>
        <v>2023-09-02</v>
      </c>
      <c r="E59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45171</v>
      </c>
      <c r="F59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45171</v>
      </c>
      <c r="G59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45171</v>
      </c>
      <c r="H597" t="s">
        <v>2815</v>
      </c>
      <c r="I597" s="2" t="str">
        <f>CLEAN(TRIM(Working_Sales[[#This Row],[Customer ID]]))</f>
        <v>CUST295</v>
      </c>
      <c r="J59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CUST295</v>
      </c>
      <c r="K59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CUST295</v>
      </c>
      <c r="L597" t="s">
        <v>34</v>
      </c>
      <c r="M597" s="4" t="str">
        <f>CLEAN(TRIM(Working_Sales[[#This Row],[Gender]]))</f>
        <v>Male</v>
      </c>
      <c r="N597" s="4" t="str" cm="1">
        <f t="array" ref="N597">_xlfn.SWITCH(
   Working_Sales[[#This Row],[Gender_Whitespace_Removed]],
   "m", "Male",
   "f", "Female",
   Working_Sales[[#This Row],[Gender_Whitespace_Removed]]
)</f>
        <v>Male</v>
      </c>
      <c r="O597" s="6" t="str">
        <f>PROPER(Working_Sales[[#This Row],[Gender_Abbreviation_Expanded]])</f>
        <v>Male</v>
      </c>
      <c r="P597">
        <v>46</v>
      </c>
      <c r="Q597" s="2" t="str">
        <f>CLEAN(TRIM(Working_Sales[[#This Row],[Age]]))</f>
        <v>46</v>
      </c>
      <c r="R597" s="6">
        <f>INT(SUBSTITUTE(Working_Sales[[#This Row],[Age_Whitespace_Removed]],".",","))</f>
        <v>46</v>
      </c>
      <c r="S597" t="s">
        <v>69</v>
      </c>
      <c r="T597" s="2" t="str">
        <f>CLEAN(TRIM(Working_Sales[[#This Row],[Product Category]]))</f>
        <v>BEAUTY</v>
      </c>
      <c r="U597" s="6" t="str">
        <f>PROPER(Working_Sales[[#This Row],[Product_Category_Whitespace_Removed]])</f>
        <v>Beauty</v>
      </c>
      <c r="V597" t="s">
        <v>14</v>
      </c>
      <c r="W597" s="2" t="str">
        <f>CLEAN(TRIM(Working_Sales[[#This Row],[Quantity]]))</f>
        <v>4</v>
      </c>
      <c r="X597" s="2">
        <f>INT(Working_Sales[[#This Row],[`]])</f>
        <v>4</v>
      </c>
      <c r="Y597" s="6">
        <f>IFERROR(
   Working_Sales[[#This Row],[Quantity_Converted_To_Integer]],
   Working_Sales[[#This Row],[Total_Amount_Whitespace_Removed]]/Working_Sales[[#This Row],[Price_Per_Unit_Decimal_Separator_Fixed]])</f>
        <v>4</v>
      </c>
      <c r="Z597" t="s">
        <v>23</v>
      </c>
      <c r="AA597" s="2" t="str">
        <f>CLEAN(TRIM(Working_Sales[[#This Row],[Price per Unit]]))</f>
        <v>300</v>
      </c>
      <c r="AB597" s="2">
        <f>INT(
   SUBSTITUTE(Working_Sales[[#This Row],[Price_Per_Unit_Whitespace_Removed]],
   "$",
   ""
   )
)</f>
        <v>300</v>
      </c>
      <c r="AC597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597" s="8">
        <f>IFERROR(
   Working_Sales[[#This Row],[Price_Per_Unit_Decimal_Separator_Fixed]],
   Working_Sales[[#This Row],[Total_Amount_Converted_To_Integer]]/Working_Sales[[#This Row],[Quantity_Converted_To_Integer]]
)</f>
        <v>300</v>
      </c>
      <c r="AE597" t="s">
        <v>79</v>
      </c>
      <c r="AF597" s="2" t="str">
        <f>CLEAN(TRIM(Working_Sales[[#This Row],[Total Amount]]))</f>
        <v>1200</v>
      </c>
      <c r="AG597" s="2">
        <f>INT(Working_Sales[[#This Row],[Total_Amount_Whitespace_Removed]])</f>
        <v>1200</v>
      </c>
      <c r="AH59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598" spans="1:34" x14ac:dyDescent="0.35">
      <c r="A598" t="s">
        <v>1296</v>
      </c>
      <c r="B598" s="6" t="str">
        <f>CLEAN(TRIM(Working_Sales[[#This Row],[Transaction ID]]))</f>
        <v>809</v>
      </c>
      <c r="C598" t="s">
        <v>1297</v>
      </c>
      <c r="D598" s="2" t="str">
        <f>CLEAN(TRIM(Working_Sales[[#This Row],[Date]]))</f>
        <v>25/09/2023</v>
      </c>
      <c r="E59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45194</v>
      </c>
      <c r="F59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45194</v>
      </c>
      <c r="G59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45194</v>
      </c>
      <c r="H598" t="s">
        <v>2816</v>
      </c>
      <c r="I598" s="2" t="str">
        <f>CLEAN(TRIM(Working_Sales[[#This Row],[Customer ID]]))</f>
        <v>CUST389</v>
      </c>
      <c r="J59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CUST389</v>
      </c>
      <c r="K59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CUST389</v>
      </c>
      <c r="L598" t="s">
        <v>140</v>
      </c>
      <c r="M598" s="4" t="str">
        <f>CLEAN(TRIM(Working_Sales[[#This Row],[Gender]]))</f>
        <v>FEMALE</v>
      </c>
      <c r="N598" s="4" t="str" cm="1">
        <f t="array" ref="N598">_xlfn.SWITCH(
   Working_Sales[[#This Row],[Gender_Whitespace_Removed]],
   "m", "Male",
   "f", "Female",
   Working_Sales[[#This Row],[Gender_Whitespace_Removed]]
)</f>
        <v>FEMALE</v>
      </c>
      <c r="O598" s="6" t="str">
        <f>PROPER(Working_Sales[[#This Row],[Gender_Abbreviation_Expanded]])</f>
        <v>Female</v>
      </c>
      <c r="P598">
        <v>62</v>
      </c>
      <c r="Q598" s="2" t="str">
        <f>CLEAN(TRIM(Working_Sales[[#This Row],[Age]]))</f>
        <v>62</v>
      </c>
      <c r="R598" s="6">
        <f>INT(SUBSTITUTE(Working_Sales[[#This Row],[Age_Whitespace_Removed]],".",","))</f>
        <v>62</v>
      </c>
      <c r="S598" t="s">
        <v>36</v>
      </c>
      <c r="T598" s="2" t="str">
        <f>CLEAN(TRIM(Working_Sales[[#This Row],[Product Category]]))</f>
        <v>Beauty</v>
      </c>
      <c r="U598" s="6" t="str">
        <f>PROPER(Working_Sales[[#This Row],[Product_Category_Whitespace_Removed]])</f>
        <v>Beauty</v>
      </c>
      <c r="V598" t="s">
        <v>37</v>
      </c>
      <c r="W598" s="2" t="str">
        <f>CLEAN(TRIM(Working_Sales[[#This Row],[Quantity]]))</f>
        <v>2</v>
      </c>
      <c r="X598" s="2">
        <f>INT(Working_Sales[[#This Row],[`]])</f>
        <v>2</v>
      </c>
      <c r="Y598" s="6">
        <f>IFERROR(
   Working_Sales[[#This Row],[Quantity_Converted_To_Integer]],
   Working_Sales[[#This Row],[Total_Amount_Whitespace_Removed]]/Working_Sales[[#This Row],[Price_Per_Unit_Decimal_Separator_Fixed]])</f>
        <v>2</v>
      </c>
      <c r="AA598" s="2" t="str">
        <f>CLEAN(TRIM(Working_Sales[[#This Row],[Price per Unit]]))</f>
        <v/>
      </c>
      <c r="AB598" s="2" t="e">
        <f>INT(
   SUBSTITUTE(Working_Sales[[#This Row],[Price_Per_Unit_Whitespace_Removed]],
   "$",
   ""
   )
)</f>
        <v>#VALUE!</v>
      </c>
      <c r="AC598" s="2" t="e">
        <f>INT(
   IFERROR(
      Working_Sales[[#This Row],[Price_Per_Unit_Dollar_Sign_Removed]],
      SUBSTITUTE(
         Working_Sales[[#This Row],[Price_Per_Unit_Whitespace_Removed]],
        ".",
         ","
      )
   )
)</f>
        <v>#VALUE!</v>
      </c>
      <c r="AD598" s="8">
        <f>IFERROR(
   Working_Sales[[#This Row],[Price_Per_Unit_Decimal_Separator_Fixed]],
   Working_Sales[[#This Row],[Total_Amount_Converted_To_Integer]]/Working_Sales[[#This Row],[Quantity_Converted_To_Integer]]
)</f>
        <v>50</v>
      </c>
      <c r="AE598" t="s">
        <v>38</v>
      </c>
      <c r="AF598" s="2" t="str">
        <f>CLEAN(TRIM(Working_Sales[[#This Row],[Total Amount]]))</f>
        <v>100</v>
      </c>
      <c r="AG598" s="2">
        <f>INT(Working_Sales[[#This Row],[Total_Amount_Whitespace_Removed]])</f>
        <v>100</v>
      </c>
      <c r="AH59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599" spans="1:34" x14ac:dyDescent="0.35">
      <c r="A599" t="s">
        <v>1298</v>
      </c>
      <c r="B599" s="6" t="str">
        <f>CLEAN(TRIM(Working_Sales[[#This Row],[Transaction ID]]))</f>
        <v>294</v>
      </c>
      <c r="C599" t="s">
        <v>1299</v>
      </c>
      <c r="D599" s="2" t="str">
        <f>CLEAN(TRIM(Working_Sales[[#This Row],[Date]]))</f>
        <v>2023-03-27</v>
      </c>
      <c r="E59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45012</v>
      </c>
      <c r="F59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45012</v>
      </c>
      <c r="G59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45012</v>
      </c>
      <c r="H599" t="s">
        <v>2817</v>
      </c>
      <c r="I599" s="2" t="str">
        <f>CLEAN(TRIM(Working_Sales[[#This Row],[Customer ID]]))</f>
        <v>cust033</v>
      </c>
      <c r="J59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59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CUST033</v>
      </c>
      <c r="L599" t="s">
        <v>26</v>
      </c>
      <c r="M599" s="4" t="str">
        <f>CLEAN(TRIM(Working_Sales[[#This Row],[Gender]]))</f>
        <v>Female</v>
      </c>
      <c r="N599" s="4" t="str" cm="1">
        <f t="array" ref="N599">_xlfn.SWITCH(
   Working_Sales[[#This Row],[Gender_Whitespace_Removed]],
   "m", "Male",
   "f", "Female",
   Working_Sales[[#This Row],[Gender_Whitespace_Removed]]
)</f>
        <v>Female</v>
      </c>
      <c r="O599" s="6" t="str">
        <f>PROPER(Working_Sales[[#This Row],[Gender_Abbreviation_Expanded]])</f>
        <v>Female</v>
      </c>
      <c r="P599">
        <v>23</v>
      </c>
      <c r="Q599" s="2" t="str">
        <f>CLEAN(TRIM(Working_Sales[[#This Row],[Age]]))</f>
        <v>23</v>
      </c>
      <c r="R599" s="6">
        <f>INT(SUBSTITUTE(Working_Sales[[#This Row],[Age_Whitespace_Removed]],".",","))</f>
        <v>23</v>
      </c>
      <c r="S599" t="s">
        <v>56</v>
      </c>
      <c r="T599" s="2" t="str">
        <f>CLEAN(TRIM(Working_Sales[[#This Row],[Product Category]]))</f>
        <v>Clothing</v>
      </c>
      <c r="U599" s="6" t="str">
        <f>PROPER(Working_Sales[[#This Row],[Product_Category_Whitespace_Removed]])</f>
        <v>Clothing</v>
      </c>
      <c r="V599" t="s">
        <v>29</v>
      </c>
      <c r="W599" s="2" t="str">
        <f>CLEAN(TRIM(Working_Sales[[#This Row],[Quantity]]))</f>
        <v>3</v>
      </c>
      <c r="X599" s="2">
        <f>INT(Working_Sales[[#This Row],[`]])</f>
        <v>3</v>
      </c>
      <c r="Y599" s="6">
        <f>IFERROR(
   Working_Sales[[#This Row],[Quantity_Converted_To_Integer]],
   Working_Sales[[#This Row],[Total_Amount_Whitespace_Removed]]/Working_Sales[[#This Row],[Price_Per_Unit_Decimal_Separator_Fixed]])</f>
        <v>3</v>
      </c>
      <c r="Z599" t="s">
        <v>70</v>
      </c>
      <c r="AA599" s="2" t="str">
        <f>CLEAN(TRIM(Working_Sales[[#This Row],[Price per Unit]]))</f>
        <v>30</v>
      </c>
      <c r="AB599" s="2">
        <f>INT(
   SUBSTITUTE(Working_Sales[[#This Row],[Price_Per_Unit_Whitespace_Removed]],
   "$",
   ""
   )
)</f>
        <v>30</v>
      </c>
      <c r="AC599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599" s="8">
        <f>IFERROR(
   Working_Sales[[#This Row],[Price_Per_Unit_Decimal_Separator_Fixed]],
   Working_Sales[[#This Row],[Total_Amount_Converted_To_Integer]]/Working_Sales[[#This Row],[Quantity_Converted_To_Integer]]
)</f>
        <v>30</v>
      </c>
      <c r="AE599" t="s">
        <v>191</v>
      </c>
      <c r="AF599" s="2" t="str">
        <f>CLEAN(TRIM(Working_Sales[[#This Row],[Total Amount]]))</f>
        <v>90</v>
      </c>
      <c r="AG599" s="2">
        <f>INT(Working_Sales[[#This Row],[Total_Amount_Whitespace_Removed]])</f>
        <v>90</v>
      </c>
      <c r="AH59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600" spans="1:34" x14ac:dyDescent="0.35">
      <c r="A600" t="s">
        <v>1301</v>
      </c>
      <c r="B600" s="6" t="str">
        <f>CLEAN(TRIM(Working_Sales[[#This Row],[Transaction ID]]))</f>
        <v>365</v>
      </c>
      <c r="C600" t="s">
        <v>1302</v>
      </c>
      <c r="D600" s="2" t="str">
        <f>CLEAN(TRIM(Working_Sales[[#This Row],[Date]]))</f>
        <v>2023-06-11</v>
      </c>
      <c r="E60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45088</v>
      </c>
      <c r="F60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45088</v>
      </c>
      <c r="G60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45088</v>
      </c>
      <c r="H600" t="s">
        <v>2818</v>
      </c>
      <c r="I600" s="2" t="str">
        <f>CLEAN(TRIM(Working_Sales[[#This Row],[Customer ID]]))</f>
        <v>cust390</v>
      </c>
      <c r="J60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0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CUST390</v>
      </c>
      <c r="L600" t="s">
        <v>20</v>
      </c>
      <c r="M600" s="4" t="str">
        <f>CLEAN(TRIM(Working_Sales[[#This Row],[Gender]]))</f>
        <v>male</v>
      </c>
      <c r="N600" s="4" t="str" cm="1">
        <f t="array" ref="N600">_xlfn.SWITCH(
   Working_Sales[[#This Row],[Gender_Whitespace_Removed]],
   "m", "Male",
   "f", "Female",
   Working_Sales[[#This Row],[Gender_Whitespace_Removed]]
)</f>
        <v>male</v>
      </c>
      <c r="O600" s="6" t="str">
        <f>PROPER(Working_Sales[[#This Row],[Gender_Abbreviation_Expanded]])</f>
        <v>Male</v>
      </c>
      <c r="P600">
        <v>31</v>
      </c>
      <c r="Q600" s="2" t="str">
        <f>CLEAN(TRIM(Working_Sales[[#This Row],[Age]]))</f>
        <v>31</v>
      </c>
      <c r="R600" s="6">
        <f>INT(SUBSTITUTE(Working_Sales[[#This Row],[Age_Whitespace_Removed]],".",","))</f>
        <v>31</v>
      </c>
      <c r="S600" t="s">
        <v>56</v>
      </c>
      <c r="T600" s="2" t="str">
        <f>CLEAN(TRIM(Working_Sales[[#This Row],[Product Category]]))</f>
        <v>Clothing</v>
      </c>
      <c r="U600" s="6" t="str">
        <f>PROPER(Working_Sales[[#This Row],[Product_Category_Whitespace_Removed]])</f>
        <v>Clothing</v>
      </c>
      <c r="V600" t="s">
        <v>22</v>
      </c>
      <c r="W600" s="2" t="str">
        <f>CLEAN(TRIM(Working_Sales[[#This Row],[Quantity]]))</f>
        <v>1</v>
      </c>
      <c r="X600" s="2">
        <f>INT(Working_Sales[[#This Row],[`]])</f>
        <v>1</v>
      </c>
      <c r="Y600" s="6">
        <f>IFERROR(
   Working_Sales[[#This Row],[Quantity_Converted_To_Integer]],
   Working_Sales[[#This Row],[Total_Amount_Whitespace_Removed]]/Working_Sales[[#This Row],[Price_Per_Unit_Decimal_Separator_Fixed]])</f>
        <v>1</v>
      </c>
      <c r="Z600" t="s">
        <v>288</v>
      </c>
      <c r="AA600" s="2" t="str">
        <f>CLEAN(TRIM(Working_Sales[[#This Row],[Price per Unit]]))</f>
        <v>300.00</v>
      </c>
      <c r="AB600" s="2" t="e">
        <f>INT(
   SUBSTITUTE(Working_Sales[[#This Row],[Price_Per_Unit_Whitespace_Removed]],
   "$",
   ""
   )
)</f>
        <v>#VALUE!</v>
      </c>
      <c r="AC600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600" s="8">
        <f>IFERROR(
   Working_Sales[[#This Row],[Price_Per_Unit_Decimal_Separator_Fixed]],
   Working_Sales[[#This Row],[Total_Amount_Converted_To_Integer]]/Working_Sales[[#This Row],[Quantity_Converted_To_Integer]]
)</f>
        <v>300</v>
      </c>
      <c r="AE600" t="s">
        <v>23</v>
      </c>
      <c r="AF600" s="2" t="str">
        <f>CLEAN(TRIM(Working_Sales[[#This Row],[Total Amount]]))</f>
        <v>300</v>
      </c>
      <c r="AG600" s="2">
        <f>INT(Working_Sales[[#This Row],[Total_Amount_Whitespace_Removed]])</f>
        <v>300</v>
      </c>
      <c r="AH60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601" spans="1:34" x14ac:dyDescent="0.35">
      <c r="A601" t="s">
        <v>1303</v>
      </c>
      <c r="B601" s="6" t="str">
        <f>CLEAN(TRIM(Working_Sales[[#This Row],[Transaction ID]]))</f>
        <v>718</v>
      </c>
      <c r="C601" t="s">
        <v>1304</v>
      </c>
      <c r="D601" s="2" t="str">
        <f>CLEAN(TRIM(Working_Sales[[#This Row],[Date]]))</f>
        <v>25/08/2023</v>
      </c>
      <c r="E60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45163</v>
      </c>
      <c r="F60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45163</v>
      </c>
      <c r="G60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45163</v>
      </c>
      <c r="H601" t="s">
        <v>2280</v>
      </c>
      <c r="I601" s="2" t="str">
        <f>CLEAN(TRIM(Working_Sales[[#This Row],[Customer ID]]))</f>
        <v>CUST182</v>
      </c>
      <c r="J60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CUST182</v>
      </c>
      <c r="K60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CUST182</v>
      </c>
      <c r="L601" t="s">
        <v>46</v>
      </c>
      <c r="M601" s="4" t="str">
        <f>CLEAN(TRIM(Working_Sales[[#This Row],[Gender]]))</f>
        <v>F</v>
      </c>
      <c r="N601" s="4" t="str" cm="1">
        <f t="array" ref="N601">_xlfn.SWITCH(
   Working_Sales[[#This Row],[Gender_Whitespace_Removed]],
   "m", "Male",
   "f", "Female",
   Working_Sales[[#This Row],[Gender_Whitespace_Removed]]
)</f>
        <v>Female</v>
      </c>
      <c r="O601" s="6" t="str">
        <f>PROPER(Working_Sales[[#This Row],[Gender_Abbreviation_Expanded]])</f>
        <v>Female</v>
      </c>
      <c r="P601">
        <v>59</v>
      </c>
      <c r="Q601" s="2" t="str">
        <f>CLEAN(TRIM(Working_Sales[[#This Row],[Age]]))</f>
        <v>59</v>
      </c>
      <c r="R601" s="6">
        <f>INT(SUBSTITUTE(Working_Sales[[#This Row],[Age_Whitespace_Removed]],".",","))</f>
        <v>59</v>
      </c>
      <c r="S601" t="s">
        <v>36</v>
      </c>
      <c r="T601" s="2" t="str">
        <f>CLEAN(TRIM(Working_Sales[[#This Row],[Product Category]]))</f>
        <v>Beauty</v>
      </c>
      <c r="U601" s="6" t="str">
        <f>PROPER(Working_Sales[[#This Row],[Product_Category_Whitespace_Removed]])</f>
        <v>Beauty</v>
      </c>
      <c r="V601" t="s">
        <v>29</v>
      </c>
      <c r="W601" s="2" t="str">
        <f>CLEAN(TRIM(Working_Sales[[#This Row],[Quantity]]))</f>
        <v>3</v>
      </c>
      <c r="X601" s="2">
        <f>INT(Working_Sales[[#This Row],[`]])</f>
        <v>3</v>
      </c>
      <c r="Y601" s="6">
        <f>IFERROR(
   Working_Sales[[#This Row],[Quantity_Converted_To_Integer]],
   Working_Sales[[#This Row],[Total_Amount_Whitespace_Removed]]/Working_Sales[[#This Row],[Price_Per_Unit_Decimal_Separator_Fixed]])</f>
        <v>3</v>
      </c>
      <c r="Z601" t="s">
        <v>49</v>
      </c>
      <c r="AA601" s="2" t="str">
        <f>CLEAN(TRIM(Working_Sales[[#This Row],[Price per Unit]]))</f>
        <v>$25</v>
      </c>
      <c r="AB601" s="2">
        <f>INT(
   SUBSTITUTE(Working_Sales[[#This Row],[Price_Per_Unit_Whitespace_Removed]],
   "$",
   ""
   )
)</f>
        <v>25</v>
      </c>
      <c r="AC601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601" s="8">
        <f>IFERROR(
   Working_Sales[[#This Row],[Price_Per_Unit_Decimal_Separator_Fixed]],
   Working_Sales[[#This Row],[Total_Amount_Converted_To_Integer]]/Working_Sales[[#This Row],[Quantity_Converted_To_Integer]]
)</f>
        <v>25</v>
      </c>
      <c r="AE601" t="s">
        <v>31</v>
      </c>
      <c r="AF601" s="2" t="str">
        <f>CLEAN(TRIM(Working_Sales[[#This Row],[Total Amount]]))</f>
        <v>75</v>
      </c>
      <c r="AG601" s="2">
        <f>INT(Working_Sales[[#This Row],[Total_Amount_Whitespace_Removed]])</f>
        <v>75</v>
      </c>
      <c r="AH60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602" spans="1:34" x14ac:dyDescent="0.35">
      <c r="A602" t="s">
        <v>1305</v>
      </c>
      <c r="B602" s="6" t="str">
        <f>CLEAN(TRIM(Working_Sales[[#This Row],[Transaction ID]]))</f>
        <v>15</v>
      </c>
      <c r="C602" t="s">
        <v>2129</v>
      </c>
      <c r="D602" s="2" t="str">
        <f>CLEAN(TRIM(Working_Sales[[#This Row],[Date]]))</f>
        <v>16/01/2023</v>
      </c>
      <c r="E60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44942</v>
      </c>
      <c r="F60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44942</v>
      </c>
      <c r="G60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44942</v>
      </c>
      <c r="H602" t="s">
        <v>2819</v>
      </c>
      <c r="I602" s="2" t="str">
        <f>CLEAN(TRIM(Working_Sales[[#This Row],[Customer ID]]))</f>
        <v>CUST391</v>
      </c>
      <c r="J60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CUST391</v>
      </c>
      <c r="K60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CUST391</v>
      </c>
      <c r="L602" t="s">
        <v>26</v>
      </c>
      <c r="M602" s="4" t="str">
        <f>CLEAN(TRIM(Working_Sales[[#This Row],[Gender]]))</f>
        <v>Female</v>
      </c>
      <c r="N602" s="4" t="str" cm="1">
        <f t="array" ref="N602">_xlfn.SWITCH(
   Working_Sales[[#This Row],[Gender_Whitespace_Removed]],
   "m", "Male",
   "f", "Female",
   Working_Sales[[#This Row],[Gender_Whitespace_Removed]]
)</f>
        <v>Female</v>
      </c>
      <c r="O602" s="6" t="str">
        <f>PROPER(Working_Sales[[#This Row],[Gender_Abbreviation_Expanded]])</f>
        <v>Female</v>
      </c>
      <c r="P602">
        <v>42</v>
      </c>
      <c r="Q602" s="2" t="str">
        <f>CLEAN(TRIM(Working_Sales[[#This Row],[Age]]))</f>
        <v>42</v>
      </c>
      <c r="R602" s="6">
        <f>INT(SUBSTITUTE(Working_Sales[[#This Row],[Age_Whitespace_Removed]],".",","))</f>
        <v>42</v>
      </c>
      <c r="S602" t="s">
        <v>13</v>
      </c>
      <c r="T602" s="2" t="str">
        <f>CLEAN(TRIM(Working_Sales[[#This Row],[Product Category]]))</f>
        <v>Electronics</v>
      </c>
      <c r="U602" s="6" t="str">
        <f>PROPER(Working_Sales[[#This Row],[Product_Category_Whitespace_Removed]])</f>
        <v>Electronics</v>
      </c>
      <c r="V602" t="s">
        <v>14</v>
      </c>
      <c r="W602" s="2" t="str">
        <f>CLEAN(TRIM(Working_Sales[[#This Row],[Quantity]]))</f>
        <v>4</v>
      </c>
      <c r="X602" s="2">
        <f>INT(Working_Sales[[#This Row],[`]])</f>
        <v>4</v>
      </c>
      <c r="Y602" s="6">
        <f>IFERROR(
   Working_Sales[[#This Row],[Quantity_Converted_To_Integer]],
   Working_Sales[[#This Row],[Total_Amount_Whitespace_Removed]]/Working_Sales[[#This Row],[Price_Per_Unit_Decimal_Separator_Fixed]])</f>
        <v>4</v>
      </c>
      <c r="Z602" t="s">
        <v>84</v>
      </c>
      <c r="AA602" s="2" t="str">
        <f>CLEAN(TRIM(Working_Sales[[#This Row],[Price per Unit]]))</f>
        <v>500.00</v>
      </c>
      <c r="AB602" s="2" t="e">
        <f>INT(
   SUBSTITUTE(Working_Sales[[#This Row],[Price_Per_Unit_Whitespace_Removed]],
   "$",
   ""
   )
)</f>
        <v>#VALUE!</v>
      </c>
      <c r="AC602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602" s="8">
        <f>IFERROR(
   Working_Sales[[#This Row],[Price_Per_Unit_Decimal_Separator_Fixed]],
   Working_Sales[[#This Row],[Total_Amount_Converted_To_Integer]]/Working_Sales[[#This Row],[Quantity_Converted_To_Integer]]
)</f>
        <v>500</v>
      </c>
      <c r="AE602" t="s">
        <v>232</v>
      </c>
      <c r="AF602" s="2" t="str">
        <f>CLEAN(TRIM(Working_Sales[[#This Row],[Total Amount]]))</f>
        <v>2000</v>
      </c>
      <c r="AG602" s="2">
        <f>INT(Working_Sales[[#This Row],[Total_Amount_Whitespace_Removed]])</f>
        <v>2000</v>
      </c>
      <c r="AH60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603" spans="1:34" x14ac:dyDescent="0.35">
      <c r="A603" t="s">
        <v>1307</v>
      </c>
      <c r="B603" s="6" t="str">
        <f>CLEAN(TRIM(Working_Sales[[#This Row],[Transaction ID]]))</f>
        <v>87</v>
      </c>
      <c r="C603" t="s">
        <v>1308</v>
      </c>
      <c r="D603" s="2" t="str">
        <f>CLEAN(TRIM(Working_Sales[[#This Row],[Date]]))</f>
        <v>November 22, 2023</v>
      </c>
      <c r="E603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603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60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45252</v>
      </c>
      <c r="H603" t="s">
        <v>2820</v>
      </c>
      <c r="I603" s="2" t="str">
        <f>CLEAN(TRIM(Working_Sales[[#This Row],[Customer ID]]))</f>
        <v>cust392</v>
      </c>
      <c r="J60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0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CUST392</v>
      </c>
      <c r="L603" t="s">
        <v>26</v>
      </c>
      <c r="M603" s="4" t="str">
        <f>CLEAN(TRIM(Working_Sales[[#This Row],[Gender]]))</f>
        <v>Female</v>
      </c>
      <c r="N603" s="4" t="str" cm="1">
        <f t="array" ref="N603">_xlfn.SWITCH(
   Working_Sales[[#This Row],[Gender_Whitespace_Removed]],
   "m", "Male",
   "f", "Female",
   Working_Sales[[#This Row],[Gender_Whitespace_Removed]]
)</f>
        <v>Female</v>
      </c>
      <c r="O603" s="6" t="str">
        <f>PROPER(Working_Sales[[#This Row],[Gender_Abbreviation_Expanded]])</f>
        <v>Female</v>
      </c>
      <c r="P603">
        <v>28</v>
      </c>
      <c r="Q603" s="2" t="str">
        <f>CLEAN(TRIM(Working_Sales[[#This Row],[Age]]))</f>
        <v>28</v>
      </c>
      <c r="R603" s="6">
        <f>INT(SUBSTITUTE(Working_Sales[[#This Row],[Age_Whitespace_Removed]],".",","))</f>
        <v>28</v>
      </c>
      <c r="S603" t="s">
        <v>36</v>
      </c>
      <c r="T603" s="2" t="str">
        <f>CLEAN(TRIM(Working_Sales[[#This Row],[Product Category]]))</f>
        <v>Beauty</v>
      </c>
      <c r="U603" s="6" t="str">
        <f>PROPER(Working_Sales[[#This Row],[Product_Category_Whitespace_Removed]])</f>
        <v>Beauty</v>
      </c>
      <c r="V603" t="s">
        <v>37</v>
      </c>
      <c r="W603" s="2" t="str">
        <f>CLEAN(TRIM(Working_Sales[[#This Row],[Quantity]]))</f>
        <v>2</v>
      </c>
      <c r="X603" s="2">
        <f>INT(Working_Sales[[#This Row],[`]])</f>
        <v>2</v>
      </c>
      <c r="Y603" s="6">
        <f>IFERROR(
   Working_Sales[[#This Row],[Quantity_Converted_To_Integer]],
   Working_Sales[[#This Row],[Total_Amount_Whitespace_Removed]]/Working_Sales[[#This Row],[Price_Per_Unit_Decimal_Separator_Fixed]])</f>
        <v>2</v>
      </c>
      <c r="Z603" t="s">
        <v>15</v>
      </c>
      <c r="AA603" s="2" t="str">
        <f>CLEAN(TRIM(Working_Sales[[#This Row],[Price per Unit]]))</f>
        <v>50</v>
      </c>
      <c r="AB603" s="2">
        <f>INT(
   SUBSTITUTE(Working_Sales[[#This Row],[Price_Per_Unit_Whitespace_Removed]],
   "$",
   ""
   )
)</f>
        <v>50</v>
      </c>
      <c r="AC603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603" s="8">
        <f>IFERROR(
   Working_Sales[[#This Row],[Price_Per_Unit_Decimal_Separator_Fixed]],
   Working_Sales[[#This Row],[Total_Amount_Converted_To_Integer]]/Working_Sales[[#This Row],[Quantity_Converted_To_Integer]]
)</f>
        <v>50</v>
      </c>
      <c r="AE603" t="s">
        <v>38</v>
      </c>
      <c r="AF603" s="2" t="str">
        <f>CLEAN(TRIM(Working_Sales[[#This Row],[Total Amount]]))</f>
        <v>100</v>
      </c>
      <c r="AG603" s="2">
        <f>INT(Working_Sales[[#This Row],[Total_Amount_Whitespace_Removed]])</f>
        <v>100</v>
      </c>
      <c r="AH60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604" spans="1:34" x14ac:dyDescent="0.35">
      <c r="A604" t="s">
        <v>1310</v>
      </c>
      <c r="B604" s="6" t="str">
        <f>CLEAN(TRIM(Working_Sales[[#This Row],[Transaction ID]]))</f>
        <v>371</v>
      </c>
      <c r="C604" t="s">
        <v>1311</v>
      </c>
      <c r="D604" s="2" t="str">
        <f>CLEAN(TRIM(Working_Sales[[#This Row],[Date]]))</f>
        <v>21/02/2023</v>
      </c>
      <c r="E60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44978</v>
      </c>
      <c r="F60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44978</v>
      </c>
      <c r="G60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44978</v>
      </c>
      <c r="H604" t="s">
        <v>2821</v>
      </c>
      <c r="I604" s="2" t="str">
        <f>CLEAN(TRIM(Working_Sales[[#This Row],[Customer ID]]))</f>
        <v>cust393</v>
      </c>
      <c r="J60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0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CUST393</v>
      </c>
      <c r="L604" t="s">
        <v>140</v>
      </c>
      <c r="M604" s="4" t="str">
        <f>CLEAN(TRIM(Working_Sales[[#This Row],[Gender]]))</f>
        <v>FEMALE</v>
      </c>
      <c r="N604" s="4" t="str" cm="1">
        <f t="array" ref="N604">_xlfn.SWITCH(
   Working_Sales[[#This Row],[Gender_Whitespace_Removed]],
   "m", "Male",
   "f", "Female",
   Working_Sales[[#This Row],[Gender_Whitespace_Removed]]
)</f>
        <v>FEMALE</v>
      </c>
      <c r="O604" s="6" t="str">
        <f>PROPER(Working_Sales[[#This Row],[Gender_Abbreviation_Expanded]])</f>
        <v>Female</v>
      </c>
      <c r="P604">
        <v>20</v>
      </c>
      <c r="Q604" s="2" t="str">
        <f>CLEAN(TRIM(Working_Sales[[#This Row],[Age]]))</f>
        <v>20</v>
      </c>
      <c r="R604" s="6">
        <f>INT(SUBSTITUTE(Working_Sales[[#This Row],[Age_Whitespace_Removed]],".",","))</f>
        <v>20</v>
      </c>
      <c r="S604" t="s">
        <v>36</v>
      </c>
      <c r="T604" s="2" t="str">
        <f>CLEAN(TRIM(Working_Sales[[#This Row],[Product Category]]))</f>
        <v>Beauty</v>
      </c>
      <c r="U604" s="6" t="str">
        <f>PROPER(Working_Sales[[#This Row],[Product_Category_Whitespace_Removed]])</f>
        <v>Beauty</v>
      </c>
      <c r="V604" t="s">
        <v>22</v>
      </c>
      <c r="W604" s="2" t="str">
        <f>CLEAN(TRIM(Working_Sales[[#This Row],[Quantity]]))</f>
        <v>1</v>
      </c>
      <c r="X604" s="2">
        <f>INT(Working_Sales[[#This Row],[`]])</f>
        <v>1</v>
      </c>
      <c r="Y604" s="6">
        <f>IFERROR(
   Working_Sales[[#This Row],[Quantity_Converted_To_Integer]],
   Working_Sales[[#This Row],[Total_Amount_Whitespace_Removed]]/Working_Sales[[#This Row],[Price_Per_Unit_Decimal_Separator_Fixed]])</f>
        <v>1</v>
      </c>
      <c r="Z604" t="s">
        <v>30</v>
      </c>
      <c r="AA604" s="2" t="str">
        <f>CLEAN(TRIM(Working_Sales[[#This Row],[Price per Unit]]))</f>
        <v>25</v>
      </c>
      <c r="AB604" s="2">
        <f>INT(
   SUBSTITUTE(Working_Sales[[#This Row],[Price_Per_Unit_Whitespace_Removed]],
   "$",
   ""
   )
)</f>
        <v>25</v>
      </c>
      <c r="AC604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604" s="8">
        <f>IFERROR(
   Working_Sales[[#This Row],[Price_Per_Unit_Decimal_Separator_Fixed]],
   Working_Sales[[#This Row],[Total_Amount_Converted_To_Integer]]/Working_Sales[[#This Row],[Quantity_Converted_To_Integer]]
)</f>
        <v>25</v>
      </c>
      <c r="AE604" t="s">
        <v>30</v>
      </c>
      <c r="AF604" s="2" t="str">
        <f>CLEAN(TRIM(Working_Sales[[#This Row],[Total Amount]]))</f>
        <v>25</v>
      </c>
      <c r="AG604" s="2">
        <f>INT(Working_Sales[[#This Row],[Total_Amount_Whitespace_Removed]])</f>
        <v>25</v>
      </c>
      <c r="AH60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605" spans="1:34" x14ac:dyDescent="0.35">
      <c r="A605" t="s">
        <v>1313</v>
      </c>
      <c r="B605" s="6" t="str">
        <f>CLEAN(TRIM(Working_Sales[[#This Row],[Transaction ID]]))</f>
        <v>166</v>
      </c>
      <c r="C605" t="s">
        <v>1287</v>
      </c>
      <c r="D605" s="2" t="str">
        <f>CLEAN(TRIM(Working_Sales[[#This Row],[Date]]))</f>
        <v>2023-04-02</v>
      </c>
      <c r="E60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45018</v>
      </c>
      <c r="F60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45018</v>
      </c>
      <c r="G60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45018</v>
      </c>
      <c r="H605" t="s">
        <v>2638</v>
      </c>
      <c r="I605" s="2" t="str">
        <f>CLEAN(TRIM(Working_Sales[[#This Row],[Customer ID]]))</f>
        <v>CUST024</v>
      </c>
      <c r="J60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CUST024</v>
      </c>
      <c r="K60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CUST024</v>
      </c>
      <c r="L605" t="s">
        <v>34</v>
      </c>
      <c r="M605" s="4" t="str">
        <f>CLEAN(TRIM(Working_Sales[[#This Row],[Gender]]))</f>
        <v>Male</v>
      </c>
      <c r="N605" s="4" t="str" cm="1">
        <f t="array" ref="N605">_xlfn.SWITCH(
   Working_Sales[[#This Row],[Gender_Whitespace_Removed]],
   "m", "Male",
   "f", "Female",
   Working_Sales[[#This Row],[Gender_Whitespace_Removed]]
)</f>
        <v>Male</v>
      </c>
      <c r="O605" s="6" t="str">
        <f>PROPER(Working_Sales[[#This Row],[Gender_Abbreviation_Expanded]])</f>
        <v>Male</v>
      </c>
      <c r="P605">
        <v>34</v>
      </c>
      <c r="Q605" s="2" t="str">
        <f>CLEAN(TRIM(Working_Sales[[#This Row],[Age]]))</f>
        <v>34</v>
      </c>
      <c r="R605" s="6">
        <f>INT(SUBSTITUTE(Working_Sales[[#This Row],[Age_Whitespace_Removed]],".",","))</f>
        <v>34</v>
      </c>
      <c r="S605" t="s">
        <v>56</v>
      </c>
      <c r="T605" s="2" t="str">
        <f>CLEAN(TRIM(Working_Sales[[#This Row],[Product Category]]))</f>
        <v>Clothing</v>
      </c>
      <c r="U605" s="6" t="str">
        <f>PROPER(Working_Sales[[#This Row],[Product_Category_Whitespace_Removed]])</f>
        <v>Clothing</v>
      </c>
      <c r="V605" t="s">
        <v>14</v>
      </c>
      <c r="W605" s="2" t="str">
        <f>CLEAN(TRIM(Working_Sales[[#This Row],[Quantity]]))</f>
        <v>4</v>
      </c>
      <c r="X605" s="2">
        <f>INT(Working_Sales[[#This Row],[`]])</f>
        <v>4</v>
      </c>
      <c r="Y605" s="6">
        <f>IFERROR(
   Working_Sales[[#This Row],[Quantity_Converted_To_Integer]],
   Working_Sales[[#This Row],[Total_Amount_Whitespace_Removed]]/Working_Sales[[#This Row],[Price_Per_Unit_Decimal_Separator_Fixed]])</f>
        <v>4</v>
      </c>
      <c r="Z605" t="s">
        <v>282</v>
      </c>
      <c r="AA605" s="2" t="str">
        <f>CLEAN(TRIM(Working_Sales[[#This Row],[Price per Unit]]))</f>
        <v>500</v>
      </c>
      <c r="AB605" s="2">
        <f>INT(
   SUBSTITUTE(Working_Sales[[#This Row],[Price_Per_Unit_Whitespace_Removed]],
   "$",
   ""
   )
)</f>
        <v>500</v>
      </c>
      <c r="AC605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605" s="8">
        <f>IFERROR(
   Working_Sales[[#This Row],[Price_Per_Unit_Decimal_Separator_Fixed]],
   Working_Sales[[#This Row],[Total_Amount_Converted_To_Integer]]/Working_Sales[[#This Row],[Quantity_Converted_To_Integer]]
)</f>
        <v>500</v>
      </c>
      <c r="AE605" t="s">
        <v>232</v>
      </c>
      <c r="AF605" s="2" t="str">
        <f>CLEAN(TRIM(Working_Sales[[#This Row],[Total Amount]]))</f>
        <v>2000</v>
      </c>
      <c r="AG605" s="2">
        <f>INT(Working_Sales[[#This Row],[Total_Amount_Whitespace_Removed]])</f>
        <v>2000</v>
      </c>
      <c r="AH60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606" spans="1:34" x14ac:dyDescent="0.35">
      <c r="A606" t="s">
        <v>1315</v>
      </c>
      <c r="B606" s="6" t="str">
        <f>CLEAN(TRIM(Working_Sales[[#This Row],[Transaction ID]]))</f>
        <v>890</v>
      </c>
      <c r="C606" t="s">
        <v>1316</v>
      </c>
      <c r="D606" s="2" t="str">
        <f>CLEAN(TRIM(Working_Sales[[#This Row],[Date]]))</f>
        <v>20/12/2023</v>
      </c>
      <c r="E60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45280</v>
      </c>
      <c r="F60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45280</v>
      </c>
      <c r="G60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45280</v>
      </c>
      <c r="H606" t="s">
        <v>2822</v>
      </c>
      <c r="I606" s="2" t="str">
        <f>CLEAN(TRIM(Working_Sales[[#This Row],[Customer ID]]))</f>
        <v>cust089</v>
      </c>
      <c r="J60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0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CUST089</v>
      </c>
      <c r="L606" t="s">
        <v>34</v>
      </c>
      <c r="M606" s="4" t="str">
        <f>CLEAN(TRIM(Working_Sales[[#This Row],[Gender]]))</f>
        <v>Male</v>
      </c>
      <c r="N606" s="4" t="str" cm="1">
        <f t="array" ref="N606">_xlfn.SWITCH(
   Working_Sales[[#This Row],[Gender_Whitespace_Removed]],
   "m", "Male",
   "f", "Female",
   Working_Sales[[#This Row],[Gender_Whitespace_Removed]]
)</f>
        <v>Male</v>
      </c>
      <c r="O606" s="6" t="str">
        <f>PROPER(Working_Sales[[#This Row],[Gender_Abbreviation_Expanded]])</f>
        <v>Male</v>
      </c>
      <c r="P606" t="s">
        <v>877</v>
      </c>
      <c r="Q606" s="2" t="str">
        <f>CLEAN(TRIM(Working_Sales[[#This Row],[Age]]))</f>
        <v>34</v>
      </c>
      <c r="R606" s="6">
        <f>INT(SUBSTITUTE(Working_Sales[[#This Row],[Age_Whitespace_Removed]],".",","))</f>
        <v>34</v>
      </c>
      <c r="S606" t="s">
        <v>13</v>
      </c>
      <c r="T606" s="2" t="str">
        <f>CLEAN(TRIM(Working_Sales[[#This Row],[Product Category]]))</f>
        <v>Electronics</v>
      </c>
      <c r="U606" s="6" t="str">
        <f>PROPER(Working_Sales[[#This Row],[Product_Category_Whitespace_Removed]])</f>
        <v>Electronics</v>
      </c>
      <c r="V606" t="s">
        <v>37</v>
      </c>
      <c r="W606" s="2" t="str">
        <f>CLEAN(TRIM(Working_Sales[[#This Row],[Quantity]]))</f>
        <v>2</v>
      </c>
      <c r="X606" s="2">
        <f>INT(Working_Sales[[#This Row],[`]])</f>
        <v>2</v>
      </c>
      <c r="Y606" s="6">
        <f>IFERROR(
   Working_Sales[[#This Row],[Quantity_Converted_To_Integer]],
   Working_Sales[[#This Row],[Total_Amount_Whitespace_Removed]]/Working_Sales[[#This Row],[Price_Per_Unit_Decimal_Separator_Fixed]])</f>
        <v>2</v>
      </c>
      <c r="Z606" t="s">
        <v>171</v>
      </c>
      <c r="AA606" s="2" t="str">
        <f>CLEAN(TRIM(Working_Sales[[#This Row],[Price per Unit]]))</f>
        <v>25</v>
      </c>
      <c r="AB606" s="2">
        <f>INT(
   SUBSTITUTE(Working_Sales[[#This Row],[Price_Per_Unit_Whitespace_Removed]],
   "$",
   ""
   )
)</f>
        <v>25</v>
      </c>
      <c r="AC606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606" s="8">
        <f>IFERROR(
   Working_Sales[[#This Row],[Price_Per_Unit_Decimal_Separator_Fixed]],
   Working_Sales[[#This Row],[Total_Amount_Converted_To_Integer]]/Working_Sales[[#This Row],[Quantity_Converted_To_Integer]]
)</f>
        <v>25</v>
      </c>
      <c r="AE606" t="s">
        <v>15</v>
      </c>
      <c r="AF606" s="2" t="str">
        <f>CLEAN(TRIM(Working_Sales[[#This Row],[Total Amount]]))</f>
        <v>50</v>
      </c>
      <c r="AG606" s="2">
        <f>INT(Working_Sales[[#This Row],[Total_Amount_Whitespace_Removed]])</f>
        <v>50</v>
      </c>
      <c r="AH60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607" spans="1:34" x14ac:dyDescent="0.35">
      <c r="A607" t="s">
        <v>1317</v>
      </c>
      <c r="B607" s="6" t="str">
        <f>CLEAN(TRIM(Working_Sales[[#This Row],[Transaction ID]]))</f>
        <v>336</v>
      </c>
      <c r="C607" t="s">
        <v>2130</v>
      </c>
      <c r="D607" s="2" t="str">
        <f>CLEAN(TRIM(Working_Sales[[#This Row],[Date]]))</f>
        <v>December 12, 2023</v>
      </c>
      <c r="E607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607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60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45272</v>
      </c>
      <c r="H607" t="s">
        <v>2598</v>
      </c>
      <c r="I607" s="2" t="str">
        <f>CLEAN(TRIM(Working_Sales[[#This Row],[Customer ID]]))</f>
        <v>CUST259</v>
      </c>
      <c r="J60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CUST259</v>
      </c>
      <c r="K60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CUST259</v>
      </c>
      <c r="L607" t="s">
        <v>26</v>
      </c>
      <c r="M607" s="4" t="str">
        <f>CLEAN(TRIM(Working_Sales[[#This Row],[Gender]]))</f>
        <v>Female</v>
      </c>
      <c r="N607" s="4" t="str" cm="1">
        <f t="array" ref="N607">_xlfn.SWITCH(
   Working_Sales[[#This Row],[Gender_Whitespace_Removed]],
   "m", "Male",
   "f", "Female",
   Working_Sales[[#This Row],[Gender_Whitespace_Removed]]
)</f>
        <v>Female</v>
      </c>
      <c r="O607" s="6" t="str">
        <f>PROPER(Working_Sales[[#This Row],[Gender_Abbreviation_Expanded]])</f>
        <v>Female</v>
      </c>
      <c r="P607">
        <v>52</v>
      </c>
      <c r="Q607" s="2" t="str">
        <f>CLEAN(TRIM(Working_Sales[[#This Row],[Age]]))</f>
        <v>52</v>
      </c>
      <c r="R607" s="6">
        <f>INT(SUBSTITUTE(Working_Sales[[#This Row],[Age_Whitespace_Removed]],".",","))</f>
        <v>52</v>
      </c>
      <c r="S607" t="s">
        <v>69</v>
      </c>
      <c r="T607" s="2" t="str">
        <f>CLEAN(TRIM(Working_Sales[[#This Row],[Product Category]]))</f>
        <v>BEAUTY</v>
      </c>
      <c r="U607" s="6" t="str">
        <f>PROPER(Working_Sales[[#This Row],[Product_Category_Whitespace_Removed]])</f>
        <v>Beauty</v>
      </c>
      <c r="V607" t="s">
        <v>29</v>
      </c>
      <c r="W607" s="2" t="str">
        <f>CLEAN(TRIM(Working_Sales[[#This Row],[Quantity]]))</f>
        <v>3</v>
      </c>
      <c r="X607" s="2">
        <f>INT(Working_Sales[[#This Row],[`]])</f>
        <v>3</v>
      </c>
      <c r="Y607" s="6">
        <f>IFERROR(
   Working_Sales[[#This Row],[Quantity_Converted_To_Integer]],
   Working_Sales[[#This Row],[Total_Amount_Whitespace_Removed]]/Working_Sales[[#This Row],[Price_Per_Unit_Decimal_Separator_Fixed]])</f>
        <v>3</v>
      </c>
      <c r="Z607" t="s">
        <v>15</v>
      </c>
      <c r="AA607" s="2" t="str">
        <f>CLEAN(TRIM(Working_Sales[[#This Row],[Price per Unit]]))</f>
        <v>50</v>
      </c>
      <c r="AB607" s="2">
        <f>INT(
   SUBSTITUTE(Working_Sales[[#This Row],[Price_Per_Unit_Whitespace_Removed]],
   "$",
   ""
   )
)</f>
        <v>50</v>
      </c>
      <c r="AC607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607" s="8">
        <f>IFERROR(
   Working_Sales[[#This Row],[Price_Per_Unit_Decimal_Separator_Fixed]],
   Working_Sales[[#This Row],[Total_Amount_Converted_To_Integer]]/Working_Sales[[#This Row],[Quantity_Converted_To_Integer]]
)</f>
        <v>50</v>
      </c>
      <c r="AE607" t="s">
        <v>130</v>
      </c>
      <c r="AF607" s="2" t="str">
        <f>CLEAN(TRIM(Working_Sales[[#This Row],[Total Amount]]))</f>
        <v>150</v>
      </c>
      <c r="AG607" s="2">
        <f>INT(Working_Sales[[#This Row],[Total_Amount_Whitespace_Removed]])</f>
        <v>150</v>
      </c>
      <c r="AH60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608" spans="1:34" x14ac:dyDescent="0.35">
      <c r="A608" t="s">
        <v>71</v>
      </c>
      <c r="B608" s="6" t="str">
        <f>CLEAN(TRIM(Working_Sales[[#This Row],[Transaction ID]]))</f>
        <v>60</v>
      </c>
      <c r="C608" t="s">
        <v>1025</v>
      </c>
      <c r="D608" s="2" t="str">
        <f>CLEAN(TRIM(Working_Sales[[#This Row],[Date]]))</f>
        <v>2023-10-23</v>
      </c>
      <c r="E60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45222</v>
      </c>
      <c r="F60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45222</v>
      </c>
      <c r="G60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45222</v>
      </c>
      <c r="H608" t="s">
        <v>2823</v>
      </c>
      <c r="I608" s="2" t="str">
        <f>CLEAN(TRIM(Working_Sales[[#This Row],[Customer ID]]))</f>
        <v>Cust394</v>
      </c>
      <c r="J60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0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CUST394</v>
      </c>
      <c r="L608" t="s">
        <v>34</v>
      </c>
      <c r="M608" s="4" t="str">
        <f>CLEAN(TRIM(Working_Sales[[#This Row],[Gender]]))</f>
        <v>Male</v>
      </c>
      <c r="N608" s="4" t="str" cm="1">
        <f t="array" ref="N608">_xlfn.SWITCH(
   Working_Sales[[#This Row],[Gender_Whitespace_Removed]],
   "m", "Male",
   "f", "Female",
   Working_Sales[[#This Row],[Gender_Whitespace_Removed]]
)</f>
        <v>Male</v>
      </c>
      <c r="O608" s="6" t="str">
        <f>PROPER(Working_Sales[[#This Row],[Gender_Abbreviation_Expanded]])</f>
        <v>Male</v>
      </c>
      <c r="P608">
        <v>30</v>
      </c>
      <c r="Q608" s="2" t="str">
        <f>CLEAN(TRIM(Working_Sales[[#This Row],[Age]]))</f>
        <v>30</v>
      </c>
      <c r="R608" s="6">
        <f>INT(SUBSTITUTE(Working_Sales[[#This Row],[Age_Whitespace_Removed]],".",","))</f>
        <v>30</v>
      </c>
      <c r="S608" t="s">
        <v>36</v>
      </c>
      <c r="T608" s="2" t="str">
        <f>CLEAN(TRIM(Working_Sales[[#This Row],[Product Category]]))</f>
        <v>Beauty</v>
      </c>
      <c r="U608" s="6" t="str">
        <f>PROPER(Working_Sales[[#This Row],[Product_Category_Whitespace_Removed]])</f>
        <v>Beauty</v>
      </c>
      <c r="V608" t="s">
        <v>29</v>
      </c>
      <c r="W608" s="2" t="str">
        <f>CLEAN(TRIM(Working_Sales[[#This Row],[Quantity]]))</f>
        <v>3</v>
      </c>
      <c r="X608" s="2">
        <f>INT(Working_Sales[[#This Row],[`]])</f>
        <v>3</v>
      </c>
      <c r="Y608" s="6">
        <f>IFERROR(
   Working_Sales[[#This Row],[Quantity_Converted_To_Integer]],
   Working_Sales[[#This Row],[Total_Amount_Whitespace_Removed]]/Working_Sales[[#This Row],[Price_Per_Unit_Decimal_Separator_Fixed]])</f>
        <v>3</v>
      </c>
      <c r="Z608" t="s">
        <v>15</v>
      </c>
      <c r="AA608" s="2" t="str">
        <f>CLEAN(TRIM(Working_Sales[[#This Row],[Price per Unit]]))</f>
        <v>50</v>
      </c>
      <c r="AB608" s="2">
        <f>INT(
   SUBSTITUTE(Working_Sales[[#This Row],[Price_Per_Unit_Whitespace_Removed]],
   "$",
   ""
   )
)</f>
        <v>50</v>
      </c>
      <c r="AC608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608" s="8">
        <f>IFERROR(
   Working_Sales[[#This Row],[Price_Per_Unit_Decimal_Separator_Fixed]],
   Working_Sales[[#This Row],[Total_Amount_Converted_To_Integer]]/Working_Sales[[#This Row],[Quantity_Converted_To_Integer]]
)</f>
        <v>50</v>
      </c>
      <c r="AE608" t="s">
        <v>130</v>
      </c>
      <c r="AF608" s="2" t="str">
        <f>CLEAN(TRIM(Working_Sales[[#This Row],[Total Amount]]))</f>
        <v>150</v>
      </c>
      <c r="AG608" s="2">
        <f>INT(Working_Sales[[#This Row],[Total_Amount_Whitespace_Removed]])</f>
        <v>150</v>
      </c>
      <c r="AH60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609" spans="1:34" x14ac:dyDescent="0.35">
      <c r="A609" t="s">
        <v>1321</v>
      </c>
      <c r="B609" s="6" t="str">
        <f>CLEAN(TRIM(Working_Sales[[#This Row],[Transaction ID]]))</f>
        <v>355</v>
      </c>
      <c r="C609" t="s">
        <v>1209</v>
      </c>
      <c r="D609" s="2" t="str">
        <f>CLEAN(TRIM(Working_Sales[[#This Row],[Date]]))</f>
        <v>December 09, 2023</v>
      </c>
      <c r="E609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609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60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45269</v>
      </c>
      <c r="H609" t="s">
        <v>2824</v>
      </c>
      <c r="I609" s="2" t="str">
        <f>CLEAN(TRIM(Working_Sales[[#This Row],[Customer ID]]))</f>
        <v>CUST106</v>
      </c>
      <c r="J60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CUST106</v>
      </c>
      <c r="K60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CUST106</v>
      </c>
      <c r="L609" t="s">
        <v>46</v>
      </c>
      <c r="M609" s="4" t="str">
        <f>CLEAN(TRIM(Working_Sales[[#This Row],[Gender]]))</f>
        <v>F</v>
      </c>
      <c r="N609" s="4" t="str" cm="1">
        <f t="array" ref="N609">_xlfn.SWITCH(
   Working_Sales[[#This Row],[Gender_Whitespace_Removed]],
   "m", "Male",
   "f", "Female",
   Working_Sales[[#This Row],[Gender_Whitespace_Removed]]
)</f>
        <v>Female</v>
      </c>
      <c r="O609" s="6" t="str">
        <f>PROPER(Working_Sales[[#This Row],[Gender_Abbreviation_Expanded]])</f>
        <v>Female</v>
      </c>
      <c r="P609">
        <v>55</v>
      </c>
      <c r="Q609" s="2" t="str">
        <f>CLEAN(TRIM(Working_Sales[[#This Row],[Age]]))</f>
        <v>55</v>
      </c>
      <c r="R609" s="6">
        <f>INT(SUBSTITUTE(Working_Sales[[#This Row],[Age_Whitespace_Removed]],".",","))</f>
        <v>55</v>
      </c>
      <c r="S609" t="s">
        <v>13</v>
      </c>
      <c r="T609" s="2" t="str">
        <f>CLEAN(TRIM(Working_Sales[[#This Row],[Product Category]]))</f>
        <v>Electronics</v>
      </c>
      <c r="U609" s="6" t="str">
        <f>PROPER(Working_Sales[[#This Row],[Product_Category_Whitespace_Removed]])</f>
        <v>Electronics</v>
      </c>
      <c r="V609" t="s">
        <v>22</v>
      </c>
      <c r="W609" s="2" t="str">
        <f>CLEAN(TRIM(Working_Sales[[#This Row],[Quantity]]))</f>
        <v>1</v>
      </c>
      <c r="X609" s="2">
        <f>INT(Working_Sales[[#This Row],[`]])</f>
        <v>1</v>
      </c>
      <c r="Y609" s="6">
        <f>IFERROR(
   Working_Sales[[#This Row],[Quantity_Converted_To_Integer]],
   Working_Sales[[#This Row],[Total_Amount_Whitespace_Removed]]/Working_Sales[[#This Row],[Price_Per_Unit_Decimal_Separator_Fixed]])</f>
        <v>1</v>
      </c>
      <c r="Z609" t="s">
        <v>57</v>
      </c>
      <c r="AA609" s="2" t="str">
        <f>CLEAN(TRIM(Working_Sales[[#This Row],[Price per Unit]]))</f>
        <v>500</v>
      </c>
      <c r="AB609" s="2">
        <f>INT(
   SUBSTITUTE(Working_Sales[[#This Row],[Price_Per_Unit_Whitespace_Removed]],
   "$",
   ""
   )
)</f>
        <v>500</v>
      </c>
      <c r="AC609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609" s="8">
        <f>IFERROR(
   Working_Sales[[#This Row],[Price_Per_Unit_Decimal_Separator_Fixed]],
   Working_Sales[[#This Row],[Total_Amount_Converted_To_Integer]]/Working_Sales[[#This Row],[Quantity_Converted_To_Integer]]
)</f>
        <v>500</v>
      </c>
      <c r="AE609" t="s">
        <v>57</v>
      </c>
      <c r="AF609" s="2" t="str">
        <f>CLEAN(TRIM(Working_Sales[[#This Row],[Total Amount]]))</f>
        <v>500</v>
      </c>
      <c r="AG609" s="2">
        <f>INT(Working_Sales[[#This Row],[Total_Amount_Whitespace_Removed]])</f>
        <v>500</v>
      </c>
      <c r="AH60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610" spans="1:34" x14ac:dyDescent="0.35">
      <c r="A610" t="s">
        <v>1322</v>
      </c>
      <c r="B610" s="6" t="str">
        <f>CLEAN(TRIM(Working_Sales[[#This Row],[Transaction ID]]))</f>
        <v>425</v>
      </c>
      <c r="C610" t="s">
        <v>1323</v>
      </c>
      <c r="D610" s="2" t="str">
        <f>CLEAN(TRIM(Working_Sales[[#This Row],[Date]]))</f>
        <v>15/05/2023</v>
      </c>
      <c r="E61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45061</v>
      </c>
      <c r="F61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45061</v>
      </c>
      <c r="G61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45061</v>
      </c>
      <c r="H610" t="s">
        <v>2825</v>
      </c>
      <c r="I610" s="2" t="str">
        <f>CLEAN(TRIM(Working_Sales[[#This Row],[Customer ID]]))</f>
        <v>CUST395</v>
      </c>
      <c r="J61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CUST395</v>
      </c>
      <c r="K61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CUST395</v>
      </c>
      <c r="L610" t="s">
        <v>26</v>
      </c>
      <c r="M610" s="4" t="str">
        <f>CLEAN(TRIM(Working_Sales[[#This Row],[Gender]]))</f>
        <v>Female</v>
      </c>
      <c r="N610" s="4" t="str" cm="1">
        <f t="array" ref="N610">_xlfn.SWITCH(
   Working_Sales[[#This Row],[Gender_Whitespace_Removed]],
   "m", "Male",
   "f", "Female",
   Working_Sales[[#This Row],[Gender_Whitespace_Removed]]
)</f>
        <v>Female</v>
      </c>
      <c r="O610" s="6" t="str">
        <f>PROPER(Working_Sales[[#This Row],[Gender_Abbreviation_Expanded]])</f>
        <v>Female</v>
      </c>
      <c r="P610" t="s">
        <v>1325</v>
      </c>
      <c r="Q610" s="2" t="str">
        <f>CLEAN(TRIM(Working_Sales[[#This Row],[Age]]))</f>
        <v>55.0</v>
      </c>
      <c r="R610" s="6">
        <f>INT(SUBSTITUTE(Working_Sales[[#This Row],[Age_Whitespace_Removed]],".",","))</f>
        <v>55</v>
      </c>
      <c r="S610" t="s">
        <v>13</v>
      </c>
      <c r="T610" s="2" t="str">
        <f>CLEAN(TRIM(Working_Sales[[#This Row],[Product Category]]))</f>
        <v>Electronics</v>
      </c>
      <c r="U610" s="6" t="str">
        <f>PROPER(Working_Sales[[#This Row],[Product_Category_Whitespace_Removed]])</f>
        <v>Electronics</v>
      </c>
      <c r="V610" t="s">
        <v>14</v>
      </c>
      <c r="W610" s="2" t="str">
        <f>CLEAN(TRIM(Working_Sales[[#This Row],[Quantity]]))</f>
        <v>4</v>
      </c>
      <c r="X610" s="2">
        <f>INT(Working_Sales[[#This Row],[`]])</f>
        <v>4</v>
      </c>
      <c r="Y610" s="6">
        <f>IFERROR(
   Working_Sales[[#This Row],[Quantity_Converted_To_Integer]],
   Working_Sales[[#This Row],[Total_Amount_Whitespace_Removed]]/Working_Sales[[#This Row],[Price_Per_Unit_Decimal_Separator_Fixed]])</f>
        <v>4</v>
      </c>
      <c r="Z610" t="s">
        <v>70</v>
      </c>
      <c r="AA610" s="2" t="str">
        <f>CLEAN(TRIM(Working_Sales[[#This Row],[Price per Unit]]))</f>
        <v>30</v>
      </c>
      <c r="AB610" s="2">
        <f>INT(
   SUBSTITUTE(Working_Sales[[#This Row],[Price_Per_Unit_Whitespace_Removed]],
   "$",
   ""
   )
)</f>
        <v>30</v>
      </c>
      <c r="AC610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610" s="8">
        <f>IFERROR(
   Working_Sales[[#This Row],[Price_Per_Unit_Decimal_Separator_Fixed]],
   Working_Sales[[#This Row],[Total_Amount_Converted_To_Integer]]/Working_Sales[[#This Row],[Quantity_Converted_To_Integer]]
)</f>
        <v>30</v>
      </c>
      <c r="AE610" t="s">
        <v>44</v>
      </c>
      <c r="AF610" s="2" t="str">
        <f>CLEAN(TRIM(Working_Sales[[#This Row],[Total Amount]]))</f>
        <v>120</v>
      </c>
      <c r="AG610" s="2">
        <f>INT(Working_Sales[[#This Row],[Total_Amount_Whitespace_Removed]])</f>
        <v>120</v>
      </c>
      <c r="AH61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611" spans="1:34" x14ac:dyDescent="0.35">
      <c r="A611" t="s">
        <v>1326</v>
      </c>
      <c r="B611" s="6" t="str">
        <f>CLEAN(TRIM(Working_Sales[[#This Row],[Transaction ID]]))</f>
        <v>293</v>
      </c>
      <c r="C611" t="s">
        <v>2131</v>
      </c>
      <c r="D611" s="2" t="str">
        <f>CLEAN(TRIM(Working_Sales[[#This Row],[Date]]))</f>
        <v>02-May-2023</v>
      </c>
      <c r="E61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45048</v>
      </c>
      <c r="F61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45048</v>
      </c>
      <c r="G61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45048</v>
      </c>
      <c r="H611" t="s">
        <v>2826</v>
      </c>
      <c r="I611" s="2" t="str">
        <f>CLEAN(TRIM(Working_Sales[[#This Row],[Customer ID]]))</f>
        <v>cust396</v>
      </c>
      <c r="J61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1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CUST396</v>
      </c>
      <c r="L611" t="s">
        <v>34</v>
      </c>
      <c r="M611" s="4" t="str">
        <f>CLEAN(TRIM(Working_Sales[[#This Row],[Gender]]))</f>
        <v>Male</v>
      </c>
      <c r="N611" s="4" t="str" cm="1">
        <f t="array" ref="N611">_xlfn.SWITCH(
   Working_Sales[[#This Row],[Gender_Whitespace_Removed]],
   "m", "Male",
   "f", "Female",
   Working_Sales[[#This Row],[Gender_Whitespace_Removed]]
)</f>
        <v>Male</v>
      </c>
      <c r="O611" s="6" t="str">
        <f>PROPER(Working_Sales[[#This Row],[Gender_Abbreviation_Expanded]])</f>
        <v>Male</v>
      </c>
      <c r="P611">
        <v>50</v>
      </c>
      <c r="Q611" s="2" t="str">
        <f>CLEAN(TRIM(Working_Sales[[#This Row],[Age]]))</f>
        <v>50</v>
      </c>
      <c r="R611" s="6">
        <f>INT(SUBSTITUTE(Working_Sales[[#This Row],[Age_Whitespace_Removed]],".",","))</f>
        <v>50</v>
      </c>
      <c r="S611" t="s">
        <v>48</v>
      </c>
      <c r="T611" s="2" t="str">
        <f>CLEAN(TRIM(Working_Sales[[#This Row],[Product Category]]))</f>
        <v>electronics</v>
      </c>
      <c r="U611" s="6" t="str">
        <f>PROPER(Working_Sales[[#This Row],[Product_Category_Whitespace_Removed]])</f>
        <v>Electronics</v>
      </c>
      <c r="V611" t="s">
        <v>29</v>
      </c>
      <c r="W611" s="2" t="str">
        <f>CLEAN(TRIM(Working_Sales[[#This Row],[Quantity]]))</f>
        <v>3</v>
      </c>
      <c r="X611" s="2">
        <f>INT(Working_Sales[[#This Row],[`]])</f>
        <v>3</v>
      </c>
      <c r="Y611" s="6">
        <f>IFERROR(
   Working_Sales[[#This Row],[Quantity_Converted_To_Integer]],
   Working_Sales[[#This Row],[Total_Amount_Whitespace_Removed]]/Working_Sales[[#This Row],[Price_Per_Unit_Decimal_Separator_Fixed]])</f>
        <v>3</v>
      </c>
      <c r="Z611" t="s">
        <v>70</v>
      </c>
      <c r="AA611" s="2" t="str">
        <f>CLEAN(TRIM(Working_Sales[[#This Row],[Price per Unit]]))</f>
        <v>30</v>
      </c>
      <c r="AB611" s="2">
        <f>INT(
   SUBSTITUTE(Working_Sales[[#This Row],[Price_Per_Unit_Whitespace_Removed]],
   "$",
   ""
   )
)</f>
        <v>30</v>
      </c>
      <c r="AC611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611" s="8">
        <f>IFERROR(
   Working_Sales[[#This Row],[Price_Per_Unit_Decimal_Separator_Fixed]],
   Working_Sales[[#This Row],[Total_Amount_Converted_To_Integer]]/Working_Sales[[#This Row],[Quantity_Converted_To_Integer]]
)</f>
        <v>30</v>
      </c>
      <c r="AE611" t="s">
        <v>191</v>
      </c>
      <c r="AF611" s="2" t="str">
        <f>CLEAN(TRIM(Working_Sales[[#This Row],[Total Amount]]))</f>
        <v>90</v>
      </c>
      <c r="AG611" s="2">
        <f>INT(Working_Sales[[#This Row],[Total_Amount_Whitespace_Removed]])</f>
        <v>90</v>
      </c>
      <c r="AH61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612" spans="1:34" x14ac:dyDescent="0.35">
      <c r="A612" t="s">
        <v>52</v>
      </c>
      <c r="B612" s="6" t="str">
        <f>CLEAN(TRIM(Working_Sales[[#This Row],[Transaction ID]]))</f>
        <v>42</v>
      </c>
      <c r="C612" t="s">
        <v>1328</v>
      </c>
      <c r="D612" s="2" t="str">
        <f>CLEAN(TRIM(Working_Sales[[#This Row],[Date]]))</f>
        <v>2023-02-17</v>
      </c>
      <c r="E61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44974</v>
      </c>
      <c r="F61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44974</v>
      </c>
      <c r="G61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44974</v>
      </c>
      <c r="H612" t="s">
        <v>433</v>
      </c>
      <c r="I612" s="2" t="str">
        <f>CLEAN(TRIM(Working_Sales[[#This Row],[Customer ID]]))</f>
        <v>cust397</v>
      </c>
      <c r="J61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1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CUST397</v>
      </c>
      <c r="L612" t="s">
        <v>34</v>
      </c>
      <c r="M612" s="4" t="str">
        <f>CLEAN(TRIM(Working_Sales[[#This Row],[Gender]]))</f>
        <v>Male</v>
      </c>
      <c r="N612" s="4" t="str" cm="1">
        <f t="array" ref="N612">_xlfn.SWITCH(
   Working_Sales[[#This Row],[Gender_Whitespace_Removed]],
   "m", "Male",
   "f", "Female",
   Working_Sales[[#This Row],[Gender_Whitespace_Removed]]
)</f>
        <v>Male</v>
      </c>
      <c r="O612" s="6" t="str">
        <f>PROPER(Working_Sales[[#This Row],[Gender_Abbreviation_Expanded]])</f>
        <v>Male</v>
      </c>
      <c r="P612">
        <v>22</v>
      </c>
      <c r="Q612" s="2" t="str">
        <f>CLEAN(TRIM(Working_Sales[[#This Row],[Age]]))</f>
        <v>22</v>
      </c>
      <c r="R612" s="6">
        <f>INT(SUBSTITUTE(Working_Sales[[#This Row],[Age_Whitespace_Removed]],".",","))</f>
        <v>22</v>
      </c>
      <c r="S612" t="s">
        <v>56</v>
      </c>
      <c r="T612" s="2" t="str">
        <f>CLEAN(TRIM(Working_Sales[[#This Row],[Product Category]]))</f>
        <v>Clothing</v>
      </c>
      <c r="U612" s="6" t="str">
        <f>PROPER(Working_Sales[[#This Row],[Product_Category_Whitespace_Removed]])</f>
        <v>Clothing</v>
      </c>
      <c r="V612" t="s">
        <v>29</v>
      </c>
      <c r="W612" s="2" t="str">
        <f>CLEAN(TRIM(Working_Sales[[#This Row],[Quantity]]))</f>
        <v>3</v>
      </c>
      <c r="X612" s="2">
        <f>INT(Working_Sales[[#This Row],[`]])</f>
        <v>3</v>
      </c>
      <c r="Y612" s="6">
        <f>IFERROR(
   Working_Sales[[#This Row],[Quantity_Converted_To_Integer]],
   Working_Sales[[#This Row],[Total_Amount_Whitespace_Removed]]/Working_Sales[[#This Row],[Price_Per_Unit_Decimal_Separator_Fixed]])</f>
        <v>3</v>
      </c>
      <c r="Z612" t="s">
        <v>23</v>
      </c>
      <c r="AA612" s="2" t="str">
        <f>CLEAN(TRIM(Working_Sales[[#This Row],[Price per Unit]]))</f>
        <v>300</v>
      </c>
      <c r="AB612" s="2">
        <f>INT(
   SUBSTITUTE(Working_Sales[[#This Row],[Price_Per_Unit_Whitespace_Removed]],
   "$",
   ""
   )
)</f>
        <v>300</v>
      </c>
      <c r="AC612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612" s="8">
        <f>IFERROR(
   Working_Sales[[#This Row],[Price_Per_Unit_Decimal_Separator_Fixed]],
   Working_Sales[[#This Row],[Total_Amount_Converted_To_Integer]]/Working_Sales[[#This Row],[Quantity_Converted_To_Integer]]
)</f>
        <v>300</v>
      </c>
      <c r="AE612" t="s">
        <v>128</v>
      </c>
      <c r="AF612" s="2" t="str">
        <f>CLEAN(TRIM(Working_Sales[[#This Row],[Total Amount]]))</f>
        <v>900</v>
      </c>
      <c r="AG612" s="2">
        <f>INT(Working_Sales[[#This Row],[Total_Amount_Whitespace_Removed]])</f>
        <v>900</v>
      </c>
      <c r="AH61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613" spans="1:34" x14ac:dyDescent="0.35">
      <c r="A613" t="s">
        <v>1330</v>
      </c>
      <c r="B613" s="6" t="str">
        <f>CLEAN(TRIM(Working_Sales[[#This Row],[Transaction ID]]))</f>
        <v>330</v>
      </c>
      <c r="C613" t="s">
        <v>2132</v>
      </c>
      <c r="D613" s="2" t="str">
        <f>CLEAN(TRIM(Working_Sales[[#This Row],[Date]]))</f>
        <v>09/18/2023</v>
      </c>
      <c r="E613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61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45187</v>
      </c>
      <c r="G61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45187</v>
      </c>
      <c r="H613" t="s">
        <v>2827</v>
      </c>
      <c r="I613" s="2" t="str">
        <f>CLEAN(TRIM(Working_Sales[[#This Row],[Customer ID]]))</f>
        <v>CUST143</v>
      </c>
      <c r="J61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1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CUST143</v>
      </c>
      <c r="L613" t="s">
        <v>26</v>
      </c>
      <c r="M613" s="4" t="str">
        <f>CLEAN(TRIM(Working_Sales[[#This Row],[Gender]]))</f>
        <v>Female</v>
      </c>
      <c r="N613" s="4" t="str" cm="1">
        <f t="array" ref="N613">_xlfn.SWITCH(
   Working_Sales[[#This Row],[Gender_Whitespace_Removed]],
   "m", "Male",
   "f", "Female",
   Working_Sales[[#This Row],[Gender_Whitespace_Removed]]
)</f>
        <v>Female</v>
      </c>
      <c r="O613" s="6" t="str">
        <f>PROPER(Working_Sales[[#This Row],[Gender_Abbreviation_Expanded]])</f>
        <v>Female</v>
      </c>
      <c r="P613">
        <v>25</v>
      </c>
      <c r="Q613" s="2" t="str">
        <f>CLEAN(TRIM(Working_Sales[[#This Row],[Age]]))</f>
        <v>25</v>
      </c>
      <c r="R613" s="6">
        <f>INT(SUBSTITUTE(Working_Sales[[#This Row],[Age_Whitespace_Removed]],".",","))</f>
        <v>25</v>
      </c>
      <c r="S613" t="s">
        <v>36</v>
      </c>
      <c r="T613" s="2" t="str">
        <f>CLEAN(TRIM(Working_Sales[[#This Row],[Product Category]]))</f>
        <v>Beauty</v>
      </c>
      <c r="U613" s="6" t="str">
        <f>PROPER(Working_Sales[[#This Row],[Product_Category_Whitespace_Removed]])</f>
        <v>Beauty</v>
      </c>
      <c r="V613" t="s">
        <v>14</v>
      </c>
      <c r="W613" s="2" t="str">
        <f>CLEAN(TRIM(Working_Sales[[#This Row],[Quantity]]))</f>
        <v>4</v>
      </c>
      <c r="X613" s="2">
        <f>INT(Working_Sales[[#This Row],[`]])</f>
        <v>4</v>
      </c>
      <c r="Y613" s="6">
        <f>IFERROR(
   Working_Sales[[#This Row],[Quantity_Converted_To_Integer]],
   Working_Sales[[#This Row],[Total_Amount_Whitespace_Removed]]/Working_Sales[[#This Row],[Price_Per_Unit_Decimal_Separator_Fixed]])</f>
        <v>4</v>
      </c>
      <c r="Z613" t="s">
        <v>15</v>
      </c>
      <c r="AA613" s="2" t="str">
        <f>CLEAN(TRIM(Working_Sales[[#This Row],[Price per Unit]]))</f>
        <v>50</v>
      </c>
      <c r="AB613" s="2">
        <f>INT(
   SUBSTITUTE(Working_Sales[[#This Row],[Price_Per_Unit_Whitespace_Removed]],
   "$",
   ""
   )
)</f>
        <v>50</v>
      </c>
      <c r="AC613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613" s="8">
        <f>IFERROR(
   Working_Sales[[#This Row],[Price_Per_Unit_Decimal_Separator_Fixed]],
   Working_Sales[[#This Row],[Total_Amount_Converted_To_Integer]]/Working_Sales[[#This Row],[Quantity_Converted_To_Integer]]
)</f>
        <v>50</v>
      </c>
      <c r="AE613" t="s">
        <v>16</v>
      </c>
      <c r="AF613" s="2" t="str">
        <f>CLEAN(TRIM(Working_Sales[[#This Row],[Total Amount]]))</f>
        <v>200</v>
      </c>
      <c r="AG613" s="2">
        <f>INT(Working_Sales[[#This Row],[Total_Amount_Whitespace_Removed]])</f>
        <v>200</v>
      </c>
      <c r="AH61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614" spans="1:34" x14ac:dyDescent="0.35">
      <c r="A614" t="s">
        <v>1331</v>
      </c>
      <c r="B614" s="6" t="str">
        <f>CLEAN(TRIM(Working_Sales[[#This Row],[Transaction ID]]))</f>
        <v>615</v>
      </c>
      <c r="C614" t="s">
        <v>1332</v>
      </c>
      <c r="D614" s="2" t="str">
        <f>CLEAN(TRIM(Working_Sales[[#This Row],[Date]]))</f>
        <v>23/12/2023</v>
      </c>
      <c r="E61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45283</v>
      </c>
      <c r="F61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45283</v>
      </c>
      <c r="G61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45283</v>
      </c>
      <c r="H614" t="s">
        <v>2828</v>
      </c>
      <c r="I614" s="2" t="str">
        <f>CLEAN(TRIM(Working_Sales[[#This Row],[Customer ID]]))</f>
        <v>CUST355</v>
      </c>
      <c r="J61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CUST355</v>
      </c>
      <c r="K61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CUST355</v>
      </c>
      <c r="L614" t="s">
        <v>26</v>
      </c>
      <c r="M614" s="4" t="str">
        <f>CLEAN(TRIM(Working_Sales[[#This Row],[Gender]]))</f>
        <v>Female</v>
      </c>
      <c r="N614" s="4" t="str" cm="1">
        <f t="array" ref="N614">_xlfn.SWITCH(
   Working_Sales[[#This Row],[Gender_Whitespace_Removed]],
   "m", "Male",
   "f", "Female",
   Working_Sales[[#This Row],[Gender_Whitespace_Removed]]
)</f>
        <v>Female</v>
      </c>
      <c r="O614" s="6" t="str">
        <f>PROPER(Working_Sales[[#This Row],[Gender_Abbreviation_Expanded]])</f>
        <v>Female</v>
      </c>
      <c r="P614">
        <v>61</v>
      </c>
      <c r="Q614" s="2" t="str">
        <f>CLEAN(TRIM(Working_Sales[[#This Row],[Age]]))</f>
        <v>61</v>
      </c>
      <c r="R614" s="6">
        <f>INT(SUBSTITUTE(Working_Sales[[#This Row],[Age_Whitespace_Removed]],".",","))</f>
        <v>61</v>
      </c>
      <c r="S614" t="s">
        <v>56</v>
      </c>
      <c r="T614" s="2" t="str">
        <f>CLEAN(TRIM(Working_Sales[[#This Row],[Product Category]]))</f>
        <v>Clothing</v>
      </c>
      <c r="U614" s="6" t="str">
        <f>PROPER(Working_Sales[[#This Row],[Product_Category_Whitespace_Removed]])</f>
        <v>Clothing</v>
      </c>
      <c r="W614" s="2" t="str">
        <f>CLEAN(TRIM(Working_Sales[[#This Row],[Quantity]]))</f>
        <v/>
      </c>
      <c r="X614" s="2" t="e">
        <f>INT(Working_Sales[[#This Row],[`]])</f>
        <v>#VALUE!</v>
      </c>
      <c r="Y614" s="6">
        <f>IFERROR(
   Working_Sales[[#This Row],[Quantity_Converted_To_Integer]],
   Working_Sales[[#This Row],[Total_Amount_Whitespace_Removed]]/Working_Sales[[#This Row],[Price_Per_Unit_Decimal_Separator_Fixed]])</f>
        <v>4</v>
      </c>
      <c r="Z614" t="s">
        <v>30</v>
      </c>
      <c r="AA614" s="2" t="str">
        <f>CLEAN(TRIM(Working_Sales[[#This Row],[Price per Unit]]))</f>
        <v>25</v>
      </c>
      <c r="AB614" s="2">
        <f>INT(
   SUBSTITUTE(Working_Sales[[#This Row],[Price_Per_Unit_Whitespace_Removed]],
   "$",
   ""
   )
)</f>
        <v>25</v>
      </c>
      <c r="AC614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614" s="8">
        <f>IFERROR(
   Working_Sales[[#This Row],[Price_Per_Unit_Decimal_Separator_Fixed]],
   Working_Sales[[#This Row],[Total_Amount_Converted_To_Integer]]/Working_Sales[[#This Row],[Quantity_Converted_To_Integer]]
)</f>
        <v>25</v>
      </c>
      <c r="AE614" t="s">
        <v>38</v>
      </c>
      <c r="AF614" s="2" t="str">
        <f>CLEAN(TRIM(Working_Sales[[#This Row],[Total Amount]]))</f>
        <v>100</v>
      </c>
      <c r="AG614" s="2">
        <f>INT(Working_Sales[[#This Row],[Total_Amount_Whitespace_Removed]])</f>
        <v>100</v>
      </c>
      <c r="AH61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615" spans="1:34" x14ac:dyDescent="0.35">
      <c r="A615" t="s">
        <v>1333</v>
      </c>
      <c r="B615" s="6" t="str">
        <f>CLEAN(TRIM(Working_Sales[[#This Row],[Transaction ID]]))</f>
        <v>430</v>
      </c>
      <c r="C615" t="s">
        <v>2133</v>
      </c>
      <c r="D615" s="2" t="str">
        <f>CLEAN(TRIM(Working_Sales[[#This Row],[Date]]))</f>
        <v>August 07, 2023</v>
      </c>
      <c r="E615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615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61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45145</v>
      </c>
      <c r="H615" t="s">
        <v>2829</v>
      </c>
      <c r="I615" s="2" t="str">
        <f>CLEAN(TRIM(Working_Sales[[#This Row],[Customer ID]]))</f>
        <v>CUST398</v>
      </c>
      <c r="J61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CUST398</v>
      </c>
      <c r="K61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CUST398</v>
      </c>
      <c r="L615" t="s">
        <v>26</v>
      </c>
      <c r="M615" s="4" t="str">
        <f>CLEAN(TRIM(Working_Sales[[#This Row],[Gender]]))</f>
        <v>Female</v>
      </c>
      <c r="N615" s="4" t="str" cm="1">
        <f t="array" ref="N615">_xlfn.SWITCH(
   Working_Sales[[#This Row],[Gender_Whitespace_Removed]],
   "m", "Male",
   "f", "Female",
   Working_Sales[[#This Row],[Gender_Whitespace_Removed]]
)</f>
        <v>Female</v>
      </c>
      <c r="O615" s="6" t="str">
        <f>PROPER(Working_Sales[[#This Row],[Gender_Abbreviation_Expanded]])</f>
        <v>Female</v>
      </c>
      <c r="P615" t="s">
        <v>674</v>
      </c>
      <c r="Q615" s="2" t="str">
        <f>CLEAN(TRIM(Working_Sales[[#This Row],[Age]]))</f>
        <v>43</v>
      </c>
      <c r="R615" s="6">
        <f>INT(SUBSTITUTE(Working_Sales[[#This Row],[Age_Whitespace_Removed]],".",","))</f>
        <v>43</v>
      </c>
      <c r="S615" t="s">
        <v>13</v>
      </c>
      <c r="T615" s="2" t="str">
        <f>CLEAN(TRIM(Working_Sales[[#This Row],[Product Category]]))</f>
        <v>Electronics</v>
      </c>
      <c r="U615" s="6" t="str">
        <f>PROPER(Working_Sales[[#This Row],[Product_Category_Whitespace_Removed]])</f>
        <v>Electronics</v>
      </c>
      <c r="V615" t="s">
        <v>29</v>
      </c>
      <c r="W615" s="2" t="str">
        <f>CLEAN(TRIM(Working_Sales[[#This Row],[Quantity]]))</f>
        <v>3</v>
      </c>
      <c r="X615" s="2">
        <f>INT(Working_Sales[[#This Row],[`]])</f>
        <v>3</v>
      </c>
      <c r="Y615" s="6">
        <f>IFERROR(
   Working_Sales[[#This Row],[Quantity_Converted_To_Integer]],
   Working_Sales[[#This Row],[Total_Amount_Whitespace_Removed]]/Working_Sales[[#This Row],[Price_Per_Unit_Decimal_Separator_Fixed]])</f>
        <v>3</v>
      </c>
      <c r="Z615" t="s">
        <v>23</v>
      </c>
      <c r="AA615" s="2" t="str">
        <f>CLEAN(TRIM(Working_Sales[[#This Row],[Price per Unit]]))</f>
        <v>300</v>
      </c>
      <c r="AB615" s="2">
        <f>INT(
   SUBSTITUTE(Working_Sales[[#This Row],[Price_Per_Unit_Whitespace_Removed]],
   "$",
   ""
   )
)</f>
        <v>300</v>
      </c>
      <c r="AC615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615" s="8">
        <f>IFERROR(
   Working_Sales[[#This Row],[Price_Per_Unit_Decimal_Separator_Fixed]],
   Working_Sales[[#This Row],[Total_Amount_Converted_To_Integer]]/Working_Sales[[#This Row],[Quantity_Converted_To_Integer]]
)</f>
        <v>300</v>
      </c>
      <c r="AE615" t="s">
        <v>128</v>
      </c>
      <c r="AF615" s="2" t="str">
        <f>CLEAN(TRIM(Working_Sales[[#This Row],[Total Amount]]))</f>
        <v>900</v>
      </c>
      <c r="AG615" s="2">
        <f>INT(Working_Sales[[#This Row],[Total_Amount_Whitespace_Removed]])</f>
        <v>900</v>
      </c>
      <c r="AH61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616" spans="1:34" x14ac:dyDescent="0.35">
      <c r="A616" t="s">
        <v>1334</v>
      </c>
      <c r="B616" s="6" t="str">
        <f>CLEAN(TRIM(Working_Sales[[#This Row],[Transaction ID]]))</f>
        <v>80</v>
      </c>
      <c r="C616" t="s">
        <v>1335</v>
      </c>
      <c r="D616" s="2" t="str">
        <f>CLEAN(TRIM(Working_Sales[[#This Row],[Date]]))</f>
        <v>2023-12-10</v>
      </c>
      <c r="E61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45270</v>
      </c>
      <c r="F61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45270</v>
      </c>
      <c r="G61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45270</v>
      </c>
      <c r="H616" t="s">
        <v>2830</v>
      </c>
      <c r="I616" s="2" t="str">
        <f>CLEAN(TRIM(Working_Sales[[#This Row],[Customer ID]]))</f>
        <v>CUST-399</v>
      </c>
      <c r="J61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1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CUST399</v>
      </c>
      <c r="L616" t="s">
        <v>26</v>
      </c>
      <c r="M616" s="4" t="str">
        <f>CLEAN(TRIM(Working_Sales[[#This Row],[Gender]]))</f>
        <v>Female</v>
      </c>
      <c r="N616" s="4" t="str" cm="1">
        <f t="array" ref="N616">_xlfn.SWITCH(
   Working_Sales[[#This Row],[Gender_Whitespace_Removed]],
   "m", "Male",
   "f", "Female",
   Working_Sales[[#This Row],[Gender_Whitespace_Removed]]
)</f>
        <v>Female</v>
      </c>
      <c r="O616" s="6" t="str">
        <f>PROPER(Working_Sales[[#This Row],[Gender_Abbreviation_Expanded]])</f>
        <v>Female</v>
      </c>
      <c r="P616">
        <v>64</v>
      </c>
      <c r="Q616" s="2" t="str">
        <f>CLEAN(TRIM(Working_Sales[[#This Row],[Age]]))</f>
        <v>64</v>
      </c>
      <c r="R616" s="6">
        <f>INT(SUBSTITUTE(Working_Sales[[#This Row],[Age_Whitespace_Removed]],".",","))</f>
        <v>64</v>
      </c>
      <c r="S616" t="s">
        <v>56</v>
      </c>
      <c r="T616" s="2" t="str">
        <f>CLEAN(TRIM(Working_Sales[[#This Row],[Product Category]]))</f>
        <v>Clothing</v>
      </c>
      <c r="U616" s="6" t="str">
        <f>PROPER(Working_Sales[[#This Row],[Product_Category_Whitespace_Removed]])</f>
        <v>Clothing</v>
      </c>
      <c r="V616" t="s">
        <v>37</v>
      </c>
      <c r="W616" s="2" t="str">
        <f>CLEAN(TRIM(Working_Sales[[#This Row],[Quantity]]))</f>
        <v>2</v>
      </c>
      <c r="X616" s="2">
        <f>INT(Working_Sales[[#This Row],[`]])</f>
        <v>2</v>
      </c>
      <c r="Y616" s="6">
        <f>IFERROR(
   Working_Sales[[#This Row],[Quantity_Converted_To_Integer]],
   Working_Sales[[#This Row],[Total_Amount_Whitespace_Removed]]/Working_Sales[[#This Row],[Price_Per_Unit_Decimal_Separator_Fixed]])</f>
        <v>2</v>
      </c>
      <c r="Z616" t="s">
        <v>70</v>
      </c>
      <c r="AA616" s="2" t="str">
        <f>CLEAN(TRIM(Working_Sales[[#This Row],[Price per Unit]]))</f>
        <v>30</v>
      </c>
      <c r="AB616" s="2">
        <f>INT(
   SUBSTITUTE(Working_Sales[[#This Row],[Price_Per_Unit_Whitespace_Removed]],
   "$",
   ""
   )
)</f>
        <v>30</v>
      </c>
      <c r="AC616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616" s="8">
        <f>IFERROR(
   Working_Sales[[#This Row],[Price_Per_Unit_Decimal_Separator_Fixed]],
   Working_Sales[[#This Row],[Total_Amount_Converted_To_Integer]]/Working_Sales[[#This Row],[Quantity_Converted_To_Integer]]
)</f>
        <v>30</v>
      </c>
      <c r="AE616" t="s">
        <v>71</v>
      </c>
      <c r="AF616" s="2" t="str">
        <f>CLEAN(TRIM(Working_Sales[[#This Row],[Total Amount]]))</f>
        <v>60</v>
      </c>
      <c r="AG616" s="2">
        <f>INT(Working_Sales[[#This Row],[Total_Amount_Whitespace_Removed]])</f>
        <v>60</v>
      </c>
      <c r="AH61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617" spans="1:34" x14ac:dyDescent="0.35">
      <c r="A617" t="s">
        <v>65</v>
      </c>
      <c r="B617" s="6" t="str">
        <f>CLEAN(TRIM(Working_Sales[[#This Row],[Transaction ID]]))</f>
        <v>29</v>
      </c>
      <c r="C617" t="s">
        <v>2134</v>
      </c>
      <c r="D617" s="2" t="str">
        <f>CLEAN(TRIM(Working_Sales[[#This Row],[Date]]))</f>
        <v>08/18/2023</v>
      </c>
      <c r="E617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61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45156</v>
      </c>
      <c r="G61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45156</v>
      </c>
      <c r="H617" t="s">
        <v>2831</v>
      </c>
      <c r="I617" s="2" t="str">
        <f>CLEAN(TRIM(Working_Sales[[#This Row],[Customer ID]]))</f>
        <v>CUST400</v>
      </c>
      <c r="J61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1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CUST400</v>
      </c>
      <c r="L617" t="s">
        <v>26</v>
      </c>
      <c r="M617" s="4" t="str">
        <f>CLEAN(TRIM(Working_Sales[[#This Row],[Gender]]))</f>
        <v>Female</v>
      </c>
      <c r="N617" s="4" t="str" cm="1">
        <f t="array" ref="N617">_xlfn.SWITCH(
   Working_Sales[[#This Row],[Gender_Whitespace_Removed]],
   "m", "Male",
   "f", "Female",
   Working_Sales[[#This Row],[Gender_Whitespace_Removed]]
)</f>
        <v>Female</v>
      </c>
      <c r="O617" s="6" t="str">
        <f>PROPER(Working_Sales[[#This Row],[Gender_Abbreviation_Expanded]])</f>
        <v>Female</v>
      </c>
      <c r="P617">
        <v>42</v>
      </c>
      <c r="Q617" s="2" t="str">
        <f>CLEAN(TRIM(Working_Sales[[#This Row],[Age]]))</f>
        <v>42</v>
      </c>
      <c r="R617" s="6">
        <f>INT(SUBSTITUTE(Working_Sales[[#This Row],[Age_Whitespace_Removed]],".",","))</f>
        <v>42</v>
      </c>
      <c r="S617" t="s">
        <v>99</v>
      </c>
      <c r="T617" s="2" t="str">
        <f>CLEAN(TRIM(Working_Sales[[#This Row],[Product Category]]))</f>
        <v>ELECTRONICS</v>
      </c>
      <c r="U617" s="6" t="str">
        <f>PROPER(Working_Sales[[#This Row],[Product_Category_Whitespace_Removed]])</f>
        <v>Electronics</v>
      </c>
      <c r="V617" t="s">
        <v>22</v>
      </c>
      <c r="W617" s="2" t="str">
        <f>CLEAN(TRIM(Working_Sales[[#This Row],[Quantity]]))</f>
        <v>1</v>
      </c>
      <c r="X617" s="2">
        <f>INT(Working_Sales[[#This Row],[`]])</f>
        <v>1</v>
      </c>
      <c r="Y617" s="6">
        <f>IFERROR(
   Working_Sales[[#This Row],[Quantity_Converted_To_Integer]],
   Working_Sales[[#This Row],[Total_Amount_Whitespace_Removed]]/Working_Sales[[#This Row],[Price_Per_Unit_Decimal_Separator_Fixed]])</f>
        <v>1</v>
      </c>
      <c r="Z617" t="s">
        <v>70</v>
      </c>
      <c r="AA617" s="2" t="str">
        <f>CLEAN(TRIM(Working_Sales[[#This Row],[Price per Unit]]))</f>
        <v>30</v>
      </c>
      <c r="AB617" s="2">
        <f>INT(
   SUBSTITUTE(Working_Sales[[#This Row],[Price_Per_Unit_Whitespace_Removed]],
   "$",
   ""
   )
)</f>
        <v>30</v>
      </c>
      <c r="AC617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617" s="8">
        <f>IFERROR(
   Working_Sales[[#This Row],[Price_Per_Unit_Decimal_Separator_Fixed]],
   Working_Sales[[#This Row],[Total_Amount_Converted_To_Integer]]/Working_Sales[[#This Row],[Quantity_Converted_To_Integer]]
)</f>
        <v>30</v>
      </c>
      <c r="AF617" s="2" t="str">
        <f>CLEAN(TRIM(Working_Sales[[#This Row],[Total Amount]]))</f>
        <v/>
      </c>
      <c r="AG617" s="2" t="e">
        <f>INT(Working_Sales[[#This Row],[Total_Amount_Whitespace_Removed]])</f>
        <v>#VALUE!</v>
      </c>
      <c r="AH61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618" spans="1:34" x14ac:dyDescent="0.35">
      <c r="A618" t="s">
        <v>1338</v>
      </c>
      <c r="B618" s="6" t="str">
        <f>CLEAN(TRIM(Working_Sales[[#This Row],[Transaction ID]]))</f>
        <v>255</v>
      </c>
      <c r="C618" t="s">
        <v>1339</v>
      </c>
      <c r="D618" s="2" t="str">
        <f>CLEAN(TRIM(Working_Sales[[#This Row],[Date]]))</f>
        <v>April 08, 2023</v>
      </c>
      <c r="E618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618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61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45024</v>
      </c>
      <c r="H618" t="s">
        <v>2832</v>
      </c>
      <c r="I618" s="2" t="str">
        <f>CLEAN(TRIM(Working_Sales[[#This Row],[Customer ID]]))</f>
        <v>CUST386</v>
      </c>
      <c r="J61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CUST386</v>
      </c>
      <c r="K61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CUST386</v>
      </c>
      <c r="L618" t="s">
        <v>11</v>
      </c>
      <c r="M618" s="4" t="str">
        <f>CLEAN(TRIM(Working_Sales[[#This Row],[Gender]]))</f>
        <v>MALE</v>
      </c>
      <c r="N618" s="4" t="str" cm="1">
        <f t="array" ref="N618">_xlfn.SWITCH(
   Working_Sales[[#This Row],[Gender_Whitespace_Removed]],
   "m", "Male",
   "f", "Female",
   Working_Sales[[#This Row],[Gender_Whitespace_Removed]]
)</f>
        <v>MALE</v>
      </c>
      <c r="O618" s="6" t="str">
        <f>PROPER(Working_Sales[[#This Row],[Gender_Abbreviation_Expanded]])</f>
        <v>Male</v>
      </c>
      <c r="P618">
        <v>48</v>
      </c>
      <c r="Q618" s="2" t="str">
        <f>CLEAN(TRIM(Working_Sales[[#This Row],[Age]]))</f>
        <v>48</v>
      </c>
      <c r="R618" s="6">
        <f>INT(SUBSTITUTE(Working_Sales[[#This Row],[Age_Whitespace_Removed]],".",","))</f>
        <v>48</v>
      </c>
      <c r="S618" t="s">
        <v>56</v>
      </c>
      <c r="T618" s="2" t="str">
        <f>CLEAN(TRIM(Working_Sales[[#This Row],[Product Category]]))</f>
        <v>Clothing</v>
      </c>
      <c r="U618" s="6" t="str">
        <f>PROPER(Working_Sales[[#This Row],[Product_Category_Whitespace_Removed]])</f>
        <v>Clothing</v>
      </c>
      <c r="V618" t="s">
        <v>22</v>
      </c>
      <c r="W618" s="2" t="str">
        <f>CLEAN(TRIM(Working_Sales[[#This Row],[Quantity]]))</f>
        <v>1</v>
      </c>
      <c r="X618" s="2">
        <f>INT(Working_Sales[[#This Row],[`]])</f>
        <v>1</v>
      </c>
      <c r="Y618" s="6">
        <f>IFERROR(
   Working_Sales[[#This Row],[Quantity_Converted_To_Integer]],
   Working_Sales[[#This Row],[Total_Amount_Whitespace_Removed]]/Working_Sales[[#This Row],[Price_Per_Unit_Decimal_Separator_Fixed]])</f>
        <v>1</v>
      </c>
      <c r="Z618" t="s">
        <v>70</v>
      </c>
      <c r="AA618" s="2" t="str">
        <f>CLEAN(TRIM(Working_Sales[[#This Row],[Price per Unit]]))</f>
        <v>30</v>
      </c>
      <c r="AB618" s="2">
        <f>INT(
   SUBSTITUTE(Working_Sales[[#This Row],[Price_Per_Unit_Whitespace_Removed]],
   "$",
   ""
   )
)</f>
        <v>30</v>
      </c>
      <c r="AC618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618" s="8">
        <f>IFERROR(
   Working_Sales[[#This Row],[Price_Per_Unit_Decimal_Separator_Fixed]],
   Working_Sales[[#This Row],[Total_Amount_Converted_To_Integer]]/Working_Sales[[#This Row],[Quantity_Converted_To_Integer]]
)</f>
        <v>30</v>
      </c>
      <c r="AE618" t="s">
        <v>70</v>
      </c>
      <c r="AF618" s="2" t="str">
        <f>CLEAN(TRIM(Working_Sales[[#This Row],[Total Amount]]))</f>
        <v>30</v>
      </c>
      <c r="AG618" s="2">
        <f>INT(Working_Sales[[#This Row],[Total_Amount_Whitespace_Removed]])</f>
        <v>30</v>
      </c>
      <c r="AH61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619" spans="1:34" x14ac:dyDescent="0.35">
      <c r="A619" t="s">
        <v>1341</v>
      </c>
      <c r="B619" s="6" t="str">
        <f>CLEAN(TRIM(Working_Sales[[#This Row],[Transaction ID]]))</f>
        <v>756</v>
      </c>
      <c r="C619" t="s">
        <v>1342</v>
      </c>
      <c r="D619" s="2" t="str">
        <f>CLEAN(TRIM(Working_Sales[[#This Row],[Date]]))</f>
        <v>08/27/2023</v>
      </c>
      <c r="E619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61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45165</v>
      </c>
      <c r="G61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45165</v>
      </c>
      <c r="H619" t="s">
        <v>2833</v>
      </c>
      <c r="I619" s="2" t="str">
        <f>CLEAN(TRIM(Working_Sales[[#This Row],[Customer ID]]))</f>
        <v>CUST234</v>
      </c>
      <c r="J61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CUST234</v>
      </c>
      <c r="K61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CUST234</v>
      </c>
      <c r="L619" t="s">
        <v>26</v>
      </c>
      <c r="M619" s="4" t="str">
        <f>CLEAN(TRIM(Working_Sales[[#This Row],[Gender]]))</f>
        <v>Female</v>
      </c>
      <c r="N619" s="4" t="str" cm="1">
        <f t="array" ref="N619">_xlfn.SWITCH(
   Working_Sales[[#This Row],[Gender_Whitespace_Removed]],
   "m", "Male",
   "f", "Female",
   Working_Sales[[#This Row],[Gender_Whitespace_Removed]]
)</f>
        <v>Female</v>
      </c>
      <c r="O619" s="6" t="str">
        <f>PROPER(Working_Sales[[#This Row],[Gender_Abbreviation_Expanded]])</f>
        <v>Female</v>
      </c>
      <c r="P619">
        <v>62</v>
      </c>
      <c r="Q619" s="2" t="str">
        <f>CLEAN(TRIM(Working_Sales[[#This Row],[Age]]))</f>
        <v>62</v>
      </c>
      <c r="R619" s="6">
        <f>INT(SUBSTITUTE(Working_Sales[[#This Row],[Age_Whitespace_Removed]],".",","))</f>
        <v>62</v>
      </c>
      <c r="S619" t="s">
        <v>99</v>
      </c>
      <c r="T619" s="2" t="str">
        <f>CLEAN(TRIM(Working_Sales[[#This Row],[Product Category]]))</f>
        <v>ELECTRONICS</v>
      </c>
      <c r="U619" s="6" t="str">
        <f>PROPER(Working_Sales[[#This Row],[Product_Category_Whitespace_Removed]])</f>
        <v>Electronics</v>
      </c>
      <c r="V619" t="s">
        <v>14</v>
      </c>
      <c r="W619" s="2" t="str">
        <f>CLEAN(TRIM(Working_Sales[[#This Row],[Quantity]]))</f>
        <v>4</v>
      </c>
      <c r="X619" s="2">
        <f>INT(Working_Sales[[#This Row],[`]])</f>
        <v>4</v>
      </c>
      <c r="Y619" s="6">
        <f>IFERROR(
   Working_Sales[[#This Row],[Quantity_Converted_To_Integer]],
   Working_Sales[[#This Row],[Total_Amount_Whitespace_Removed]]/Working_Sales[[#This Row],[Price_Per_Unit_Decimal_Separator_Fixed]])</f>
        <v>4</v>
      </c>
      <c r="Z619" t="s">
        <v>23</v>
      </c>
      <c r="AA619" s="2" t="str">
        <f>CLEAN(TRIM(Working_Sales[[#This Row],[Price per Unit]]))</f>
        <v>300</v>
      </c>
      <c r="AB619" s="2">
        <f>INT(
   SUBSTITUTE(Working_Sales[[#This Row],[Price_Per_Unit_Whitespace_Removed]],
   "$",
   ""
   )
)</f>
        <v>300</v>
      </c>
      <c r="AC619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619" s="8">
        <f>IFERROR(
   Working_Sales[[#This Row],[Price_Per_Unit_Decimal_Separator_Fixed]],
   Working_Sales[[#This Row],[Total_Amount_Converted_To_Integer]]/Working_Sales[[#This Row],[Quantity_Converted_To_Integer]]
)</f>
        <v>300</v>
      </c>
      <c r="AE619" t="s">
        <v>79</v>
      </c>
      <c r="AF619" s="2" t="str">
        <f>CLEAN(TRIM(Working_Sales[[#This Row],[Total Amount]]))</f>
        <v>1200</v>
      </c>
      <c r="AG619" s="2">
        <f>INT(Working_Sales[[#This Row],[Total_Amount_Whitespace_Removed]])</f>
        <v>1200</v>
      </c>
      <c r="AH61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620" spans="1:34" x14ac:dyDescent="0.35">
      <c r="A620" t="s">
        <v>1343</v>
      </c>
      <c r="B620" s="6" t="str">
        <f>CLEAN(TRIM(Working_Sales[[#This Row],[Transaction ID]]))</f>
        <v>459</v>
      </c>
      <c r="C620" t="s">
        <v>2091</v>
      </c>
      <c r="D620" s="2" t="str">
        <f>CLEAN(TRIM(Working_Sales[[#This Row],[Date]]))</f>
        <v>21/03/2023</v>
      </c>
      <c r="E62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45006</v>
      </c>
      <c r="F62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45006</v>
      </c>
      <c r="G62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45006</v>
      </c>
      <c r="H620" t="s">
        <v>2834</v>
      </c>
      <c r="I620" s="2" t="str">
        <f>CLEAN(TRIM(Working_Sales[[#This Row],[Customer ID]]))</f>
        <v>cust368</v>
      </c>
      <c r="J62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2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CUST368</v>
      </c>
      <c r="L620" t="s">
        <v>34</v>
      </c>
      <c r="M620" s="4" t="str">
        <f>CLEAN(TRIM(Working_Sales[[#This Row],[Gender]]))</f>
        <v>Male</v>
      </c>
      <c r="N620" s="4" t="str" cm="1">
        <f t="array" ref="N620">_xlfn.SWITCH(
   Working_Sales[[#This Row],[Gender_Whitespace_Removed]],
   "m", "Male",
   "f", "Female",
   Working_Sales[[#This Row],[Gender_Whitespace_Removed]]
)</f>
        <v>Male</v>
      </c>
      <c r="O620" s="6" t="str">
        <f>PROPER(Working_Sales[[#This Row],[Gender_Abbreviation_Expanded]])</f>
        <v>Male</v>
      </c>
      <c r="P620" t="s">
        <v>190</v>
      </c>
      <c r="Q620" s="2" t="str">
        <f>CLEAN(TRIM(Working_Sales[[#This Row],[Age]]))</f>
        <v>28.0</v>
      </c>
      <c r="R620" s="6">
        <f>INT(SUBSTITUTE(Working_Sales[[#This Row],[Age_Whitespace_Removed]],".",","))</f>
        <v>28</v>
      </c>
      <c r="S620" t="s">
        <v>28</v>
      </c>
      <c r="T620" s="2" t="str">
        <f>CLEAN(TRIM(Working_Sales[[#This Row],[Product Category]]))</f>
        <v>clothing</v>
      </c>
      <c r="U620" s="6" t="str">
        <f>PROPER(Working_Sales[[#This Row],[Product_Category_Whitespace_Removed]])</f>
        <v>Clothing</v>
      </c>
      <c r="V620" t="s">
        <v>14</v>
      </c>
      <c r="W620" s="2" t="str">
        <f>CLEAN(TRIM(Working_Sales[[#This Row],[Quantity]]))</f>
        <v>4</v>
      </c>
      <c r="X620" s="2">
        <f>INT(Working_Sales[[#This Row],[`]])</f>
        <v>4</v>
      </c>
      <c r="Y620" s="6">
        <f>IFERROR(
   Working_Sales[[#This Row],[Quantity_Converted_To_Integer]],
   Working_Sales[[#This Row],[Total_Amount_Whitespace_Removed]]/Working_Sales[[#This Row],[Price_Per_Unit_Decimal_Separator_Fixed]])</f>
        <v>4</v>
      </c>
      <c r="Z620" t="s">
        <v>23</v>
      </c>
      <c r="AA620" s="2" t="str">
        <f>CLEAN(TRIM(Working_Sales[[#This Row],[Price per Unit]]))</f>
        <v>300</v>
      </c>
      <c r="AB620" s="2">
        <f>INT(
   SUBSTITUTE(Working_Sales[[#This Row],[Price_Per_Unit_Whitespace_Removed]],
   "$",
   ""
   )
)</f>
        <v>300</v>
      </c>
      <c r="AC620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620" s="8">
        <f>IFERROR(
   Working_Sales[[#This Row],[Price_Per_Unit_Decimal_Separator_Fixed]],
   Working_Sales[[#This Row],[Total_Amount_Converted_To_Integer]]/Working_Sales[[#This Row],[Quantity_Converted_To_Integer]]
)</f>
        <v>300</v>
      </c>
      <c r="AE620" t="s">
        <v>79</v>
      </c>
      <c r="AF620" s="2" t="str">
        <f>CLEAN(TRIM(Working_Sales[[#This Row],[Total Amount]]))</f>
        <v>1200</v>
      </c>
      <c r="AG620" s="2">
        <f>INT(Working_Sales[[#This Row],[Total_Amount_Whitespace_Removed]])</f>
        <v>1200</v>
      </c>
      <c r="AH62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621" spans="1:34" x14ac:dyDescent="0.35">
      <c r="A621" t="s">
        <v>1344</v>
      </c>
      <c r="B621" s="6" t="str">
        <f>CLEAN(TRIM(Working_Sales[[#This Row],[Transaction ID]]))</f>
        <v>384</v>
      </c>
      <c r="C621" t="s">
        <v>165</v>
      </c>
      <c r="D621" s="2" t="str">
        <f>CLEAN(TRIM(Working_Sales[[#This Row],[Date]]))</f>
        <v>13/08/2023</v>
      </c>
      <c r="E62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45151</v>
      </c>
      <c r="F62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45151</v>
      </c>
      <c r="G62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45151</v>
      </c>
      <c r="H621" t="s">
        <v>2835</v>
      </c>
      <c r="I621" s="2" t="str">
        <f>CLEAN(TRIM(Working_Sales[[#This Row],[Customer ID]]))</f>
        <v>CUST-140</v>
      </c>
      <c r="J62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2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CUST140</v>
      </c>
      <c r="L621" t="s">
        <v>20</v>
      </c>
      <c r="M621" s="4" t="str">
        <f>CLEAN(TRIM(Working_Sales[[#This Row],[Gender]]))</f>
        <v>male</v>
      </c>
      <c r="N621" s="4" t="str" cm="1">
        <f t="array" ref="N621">_xlfn.SWITCH(
   Working_Sales[[#This Row],[Gender_Whitespace_Removed]],
   "m", "Male",
   "f", "Female",
   Working_Sales[[#This Row],[Gender_Whitespace_Removed]]
)</f>
        <v>male</v>
      </c>
      <c r="O621" s="6" t="str">
        <f>PROPER(Working_Sales[[#This Row],[Gender_Abbreviation_Expanded]])</f>
        <v>Male</v>
      </c>
      <c r="P621">
        <v>55</v>
      </c>
      <c r="Q621" s="2" t="str">
        <f>CLEAN(TRIM(Working_Sales[[#This Row],[Age]]))</f>
        <v>55</v>
      </c>
      <c r="R621" s="6">
        <f>INT(SUBSTITUTE(Working_Sales[[#This Row],[Age_Whitespace_Removed]],".",","))</f>
        <v>55</v>
      </c>
      <c r="S621" t="s">
        <v>89</v>
      </c>
      <c r="T621" s="2" t="str">
        <f>CLEAN(TRIM(Working_Sales[[#This Row],[Product Category]]))</f>
        <v>CLOTHING</v>
      </c>
      <c r="U621" s="6" t="str">
        <f>PROPER(Working_Sales[[#This Row],[Product_Category_Whitespace_Removed]])</f>
        <v>Clothing</v>
      </c>
      <c r="V621" t="s">
        <v>22</v>
      </c>
      <c r="W621" s="2" t="str">
        <f>CLEAN(TRIM(Working_Sales[[#This Row],[Quantity]]))</f>
        <v>1</v>
      </c>
      <c r="X621" s="2">
        <f>INT(Working_Sales[[#This Row],[`]])</f>
        <v>1</v>
      </c>
      <c r="Y621" s="6">
        <f>IFERROR(
   Working_Sales[[#This Row],[Quantity_Converted_To_Integer]],
   Working_Sales[[#This Row],[Total_Amount_Whitespace_Removed]]/Working_Sales[[#This Row],[Price_Per_Unit_Decimal_Separator_Fixed]])</f>
        <v>1</v>
      </c>
      <c r="Z621" t="s">
        <v>162</v>
      </c>
      <c r="AA621" s="2" t="str">
        <f>CLEAN(TRIM(Working_Sales[[#This Row],[Price per Unit]]))</f>
        <v>$500</v>
      </c>
      <c r="AB621" s="2">
        <f>INT(
   SUBSTITUTE(Working_Sales[[#This Row],[Price_Per_Unit_Whitespace_Removed]],
   "$",
   ""
   )
)</f>
        <v>500</v>
      </c>
      <c r="AC621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621" s="8">
        <f>IFERROR(
   Working_Sales[[#This Row],[Price_Per_Unit_Decimal_Separator_Fixed]],
   Working_Sales[[#This Row],[Total_Amount_Converted_To_Integer]]/Working_Sales[[#This Row],[Quantity_Converted_To_Integer]]
)</f>
        <v>500</v>
      </c>
      <c r="AE621" t="s">
        <v>57</v>
      </c>
      <c r="AF621" s="2" t="str">
        <f>CLEAN(TRIM(Working_Sales[[#This Row],[Total Amount]]))</f>
        <v>500</v>
      </c>
      <c r="AG621" s="2">
        <f>INT(Working_Sales[[#This Row],[Total_Amount_Whitespace_Removed]])</f>
        <v>500</v>
      </c>
      <c r="AH62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622" spans="1:34" x14ac:dyDescent="0.35">
      <c r="A622" t="s">
        <v>1345</v>
      </c>
      <c r="B622" s="6" t="str">
        <f>CLEAN(TRIM(Working_Sales[[#This Row],[Transaction ID]]))</f>
        <v>314</v>
      </c>
      <c r="C622" t="s">
        <v>953</v>
      </c>
      <c r="D622" s="2" t="str">
        <f>CLEAN(TRIM(Working_Sales[[#This Row],[Date]]))</f>
        <v>2023-04-08</v>
      </c>
      <c r="E62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45024</v>
      </c>
      <c r="F62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45024</v>
      </c>
      <c r="G62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45024</v>
      </c>
      <c r="H622" t="s">
        <v>2836</v>
      </c>
      <c r="I622" s="2" t="str">
        <f>CLEAN(TRIM(Working_Sales[[#This Row],[Customer ID]]))</f>
        <v>CUST371</v>
      </c>
      <c r="J62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CUST371</v>
      </c>
      <c r="K62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CUST371</v>
      </c>
      <c r="L622" t="s">
        <v>34</v>
      </c>
      <c r="M622" s="4" t="str">
        <f>CLEAN(TRIM(Working_Sales[[#This Row],[Gender]]))</f>
        <v>Male</v>
      </c>
      <c r="N622" s="4" t="str" cm="1">
        <f t="array" ref="N622">_xlfn.SWITCH(
   Working_Sales[[#This Row],[Gender_Whitespace_Removed]],
   "m", "Male",
   "f", "Female",
   Working_Sales[[#This Row],[Gender_Whitespace_Removed]]
)</f>
        <v>Male</v>
      </c>
      <c r="O622" s="6" t="str">
        <f>PROPER(Working_Sales[[#This Row],[Gender_Abbreviation_Expanded]])</f>
        <v>Male</v>
      </c>
      <c r="P622">
        <v>52</v>
      </c>
      <c r="Q622" s="2" t="str">
        <f>CLEAN(TRIM(Working_Sales[[#This Row],[Age]]))</f>
        <v>52</v>
      </c>
      <c r="R622" s="6">
        <f>INT(SUBSTITUTE(Working_Sales[[#This Row],[Age_Whitespace_Removed]],".",","))</f>
        <v>52</v>
      </c>
      <c r="S622" t="s">
        <v>400</v>
      </c>
      <c r="T622" s="2" t="str">
        <f>CLEAN(TRIM(Working_Sales[[#This Row],[Product Category]]))</f>
        <v>Clothing</v>
      </c>
      <c r="U622" s="6" t="str">
        <f>PROPER(Working_Sales[[#This Row],[Product_Category_Whitespace_Removed]])</f>
        <v>Clothing</v>
      </c>
      <c r="V622" t="s">
        <v>14</v>
      </c>
      <c r="W622" s="2" t="str">
        <f>CLEAN(TRIM(Working_Sales[[#This Row],[Quantity]]))</f>
        <v>4</v>
      </c>
      <c r="X622" s="2">
        <f>INT(Working_Sales[[#This Row],[`]])</f>
        <v>4</v>
      </c>
      <c r="Y622" s="6">
        <f>IFERROR(
   Working_Sales[[#This Row],[Quantity_Converted_To_Integer]],
   Working_Sales[[#This Row],[Total_Amount_Whitespace_Removed]]/Working_Sales[[#This Row],[Price_Per_Unit_Decimal_Separator_Fixed]])</f>
        <v>4</v>
      </c>
      <c r="Z622" t="s">
        <v>147</v>
      </c>
      <c r="AA622" s="2" t="str">
        <f>CLEAN(TRIM(Working_Sales[[#This Row],[Price per Unit]]))</f>
        <v>$30</v>
      </c>
      <c r="AB622" s="2">
        <f>INT(
   SUBSTITUTE(Working_Sales[[#This Row],[Price_Per_Unit_Whitespace_Removed]],
   "$",
   ""
   )
)</f>
        <v>30</v>
      </c>
      <c r="AC622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622" s="8">
        <f>IFERROR(
   Working_Sales[[#This Row],[Price_Per_Unit_Decimal_Separator_Fixed]],
   Working_Sales[[#This Row],[Total_Amount_Converted_To_Integer]]/Working_Sales[[#This Row],[Quantity_Converted_To_Integer]]
)</f>
        <v>30</v>
      </c>
      <c r="AE622" t="s">
        <v>44</v>
      </c>
      <c r="AF622" s="2" t="str">
        <f>CLEAN(TRIM(Working_Sales[[#This Row],[Total Amount]]))</f>
        <v>120</v>
      </c>
      <c r="AG622" s="2">
        <f>INT(Working_Sales[[#This Row],[Total_Amount_Whitespace_Removed]])</f>
        <v>120</v>
      </c>
      <c r="AH62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623" spans="1:34" x14ac:dyDescent="0.35">
      <c r="A623" t="s">
        <v>1347</v>
      </c>
      <c r="B623" s="6" t="str">
        <f>CLEAN(TRIM(Working_Sales[[#This Row],[Transaction ID]]))</f>
        <v>85</v>
      </c>
      <c r="C623" t="s">
        <v>1348</v>
      </c>
      <c r="D623" s="2" t="str">
        <f>CLEAN(TRIM(Working_Sales[[#This Row],[Date]]))</f>
        <v>2023-02-06</v>
      </c>
      <c r="E62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44963</v>
      </c>
      <c r="F62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44963</v>
      </c>
      <c r="G62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44963</v>
      </c>
      <c r="H623" t="s">
        <v>2837</v>
      </c>
      <c r="I623" s="2" t="str">
        <f>CLEAN(TRIM(Working_Sales[[#This Row],[Customer ID]]))</f>
        <v>cust401</v>
      </c>
      <c r="J62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2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CUST401</v>
      </c>
      <c r="L623" t="s">
        <v>34</v>
      </c>
      <c r="M623" s="4" t="str">
        <f>CLEAN(TRIM(Working_Sales[[#This Row],[Gender]]))</f>
        <v>Male</v>
      </c>
      <c r="N623" s="4" t="str" cm="1">
        <f t="array" ref="N623">_xlfn.SWITCH(
   Working_Sales[[#This Row],[Gender_Whitespace_Removed]],
   "m", "Male",
   "f", "Female",
   Working_Sales[[#This Row],[Gender_Whitespace_Removed]]
)</f>
        <v>Male</v>
      </c>
      <c r="O623" s="6" t="str">
        <f>PROPER(Working_Sales[[#This Row],[Gender_Abbreviation_Expanded]])</f>
        <v>Male</v>
      </c>
      <c r="P623">
        <v>31</v>
      </c>
      <c r="Q623" s="2" t="str">
        <f>CLEAN(TRIM(Working_Sales[[#This Row],[Age]]))</f>
        <v>31</v>
      </c>
      <c r="R623" s="6">
        <f>INT(SUBSTITUTE(Working_Sales[[#This Row],[Age_Whitespace_Removed]],".",","))</f>
        <v>31</v>
      </c>
      <c r="S623" t="s">
        <v>56</v>
      </c>
      <c r="T623" s="2" t="str">
        <f>CLEAN(TRIM(Working_Sales[[#This Row],[Product Category]]))</f>
        <v>Clothing</v>
      </c>
      <c r="U623" s="6" t="str">
        <f>PROPER(Working_Sales[[#This Row],[Product_Category_Whitespace_Removed]])</f>
        <v>Clothing</v>
      </c>
      <c r="V623" t="s">
        <v>29</v>
      </c>
      <c r="W623" s="2" t="str">
        <f>CLEAN(TRIM(Working_Sales[[#This Row],[Quantity]]))</f>
        <v>3</v>
      </c>
      <c r="X623" s="2">
        <f>INT(Working_Sales[[#This Row],[`]])</f>
        <v>3</v>
      </c>
      <c r="Y623" s="6">
        <f>IFERROR(
   Working_Sales[[#This Row],[Quantity_Converted_To_Integer]],
   Working_Sales[[#This Row],[Total_Amount_Whitespace_Removed]]/Working_Sales[[#This Row],[Price_Per_Unit_Decimal_Separator_Fixed]])</f>
        <v>3</v>
      </c>
      <c r="Z623" t="s">
        <v>15</v>
      </c>
      <c r="AA623" s="2" t="str">
        <f>CLEAN(TRIM(Working_Sales[[#This Row],[Price per Unit]]))</f>
        <v>50</v>
      </c>
      <c r="AB623" s="2">
        <f>INT(
   SUBSTITUTE(Working_Sales[[#This Row],[Price_Per_Unit_Whitespace_Removed]],
   "$",
   ""
   )
)</f>
        <v>50</v>
      </c>
      <c r="AC623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623" s="8">
        <f>IFERROR(
   Working_Sales[[#This Row],[Price_Per_Unit_Decimal_Separator_Fixed]],
   Working_Sales[[#This Row],[Total_Amount_Converted_To_Integer]]/Working_Sales[[#This Row],[Quantity_Converted_To_Integer]]
)</f>
        <v>50</v>
      </c>
      <c r="AE623" t="s">
        <v>130</v>
      </c>
      <c r="AF623" s="2" t="str">
        <f>CLEAN(TRIM(Working_Sales[[#This Row],[Total Amount]]))</f>
        <v>150</v>
      </c>
      <c r="AG623" s="2">
        <f>INT(Working_Sales[[#This Row],[Total_Amount_Whitespace_Removed]])</f>
        <v>150</v>
      </c>
      <c r="AH62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624" spans="1:34" x14ac:dyDescent="0.35">
      <c r="A624" t="s">
        <v>1350</v>
      </c>
      <c r="B624" s="6" t="str">
        <f>CLEAN(TRIM(Working_Sales[[#This Row],[Transaction ID]]))</f>
        <v>575</v>
      </c>
      <c r="C624" t="s">
        <v>1351</v>
      </c>
      <c r="D624" s="2" t="str">
        <f>CLEAN(TRIM(Working_Sales[[#This Row],[Date]]))</f>
        <v>2023-03-28</v>
      </c>
      <c r="E62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45013</v>
      </c>
      <c r="F62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45013</v>
      </c>
      <c r="G62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45013</v>
      </c>
      <c r="H624" t="s">
        <v>2390</v>
      </c>
      <c r="I624" s="2" t="str">
        <f>CLEAN(TRIM(Working_Sales[[#This Row],[Customer ID]]))</f>
        <v>cust075</v>
      </c>
      <c r="J62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2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CUST075</v>
      </c>
      <c r="L624" t="s">
        <v>34</v>
      </c>
      <c r="M624" s="4" t="str">
        <f>CLEAN(TRIM(Working_Sales[[#This Row],[Gender]]))</f>
        <v>Male</v>
      </c>
      <c r="N624" s="4" t="str" cm="1">
        <f t="array" ref="N624">_xlfn.SWITCH(
   Working_Sales[[#This Row],[Gender_Whitespace_Removed]],
   "m", "Male",
   "f", "Female",
   Working_Sales[[#This Row],[Gender_Whitespace_Removed]]
)</f>
        <v>Male</v>
      </c>
      <c r="O624" s="6" t="str">
        <f>PROPER(Working_Sales[[#This Row],[Gender_Abbreviation_Expanded]])</f>
        <v>Male</v>
      </c>
      <c r="P624">
        <v>60</v>
      </c>
      <c r="Q624" s="2" t="str">
        <f>CLEAN(TRIM(Working_Sales[[#This Row],[Age]]))</f>
        <v>60</v>
      </c>
      <c r="R624" s="6">
        <f>INT(SUBSTITUTE(Working_Sales[[#This Row],[Age_Whitespace_Removed]],".",","))</f>
        <v>60</v>
      </c>
      <c r="S624" t="s">
        <v>56</v>
      </c>
      <c r="T624" s="2" t="str">
        <f>CLEAN(TRIM(Working_Sales[[#This Row],[Product Category]]))</f>
        <v>Clothing</v>
      </c>
      <c r="U624" s="6" t="str">
        <f>PROPER(Working_Sales[[#This Row],[Product_Category_Whitespace_Removed]])</f>
        <v>Clothing</v>
      </c>
      <c r="V624" t="s">
        <v>37</v>
      </c>
      <c r="W624" s="2" t="str">
        <f>CLEAN(TRIM(Working_Sales[[#This Row],[Quantity]]))</f>
        <v>2</v>
      </c>
      <c r="X624" s="2">
        <f>INT(Working_Sales[[#This Row],[`]])</f>
        <v>2</v>
      </c>
      <c r="Y624" s="6">
        <f>IFERROR(
   Working_Sales[[#This Row],[Quantity_Converted_To_Integer]],
   Working_Sales[[#This Row],[Total_Amount_Whitespace_Removed]]/Working_Sales[[#This Row],[Price_Per_Unit_Decimal_Separator_Fixed]])</f>
        <v>2</v>
      </c>
      <c r="Z624" t="s">
        <v>15</v>
      </c>
      <c r="AA624" s="2" t="str">
        <f>CLEAN(TRIM(Working_Sales[[#This Row],[Price per Unit]]))</f>
        <v>50</v>
      </c>
      <c r="AB624" s="2">
        <f>INT(
   SUBSTITUTE(Working_Sales[[#This Row],[Price_Per_Unit_Whitespace_Removed]],
   "$",
   ""
   )
)</f>
        <v>50</v>
      </c>
      <c r="AC624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624" s="8">
        <f>IFERROR(
   Working_Sales[[#This Row],[Price_Per_Unit_Decimal_Separator_Fixed]],
   Working_Sales[[#This Row],[Total_Amount_Converted_To_Integer]]/Working_Sales[[#This Row],[Quantity_Converted_To_Integer]]
)</f>
        <v>50</v>
      </c>
      <c r="AE624" t="s">
        <v>38</v>
      </c>
      <c r="AF624" s="2" t="str">
        <f>CLEAN(TRIM(Working_Sales[[#This Row],[Total Amount]]))</f>
        <v>100</v>
      </c>
      <c r="AG624" s="2">
        <f>INT(Working_Sales[[#This Row],[Total_Amount_Whitespace_Removed]])</f>
        <v>100</v>
      </c>
      <c r="AH62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625" spans="1:34" x14ac:dyDescent="0.35">
      <c r="A625" t="s">
        <v>1352</v>
      </c>
      <c r="B625" s="6" t="str">
        <f>CLEAN(TRIM(Working_Sales[[#This Row],[Transaction ID]]))</f>
        <v>137</v>
      </c>
      <c r="C625" t="s">
        <v>1186</v>
      </c>
      <c r="D625" s="2" t="str">
        <f>CLEAN(TRIM(Working_Sales[[#This Row],[Date]]))</f>
        <v>2023-11-18</v>
      </c>
      <c r="E62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45248</v>
      </c>
      <c r="F62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45248</v>
      </c>
      <c r="G62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45248</v>
      </c>
      <c r="H625" t="s">
        <v>2838</v>
      </c>
      <c r="I625" s="2" t="str">
        <f>CLEAN(TRIM(Working_Sales[[#This Row],[Customer ID]]))</f>
        <v>Cust309</v>
      </c>
      <c r="J62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2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CUST309</v>
      </c>
      <c r="L625" t="s">
        <v>34</v>
      </c>
      <c r="M625" s="4" t="str">
        <f>CLEAN(TRIM(Working_Sales[[#This Row],[Gender]]))</f>
        <v>Male</v>
      </c>
      <c r="N625" s="4" t="str" cm="1">
        <f t="array" ref="N625">_xlfn.SWITCH(
   Working_Sales[[#This Row],[Gender_Whitespace_Removed]],
   "m", "Male",
   "f", "Female",
   Working_Sales[[#This Row],[Gender_Whitespace_Removed]]
)</f>
        <v>Male</v>
      </c>
      <c r="O625" s="6" t="str">
        <f>PROPER(Working_Sales[[#This Row],[Gender_Abbreviation_Expanded]])</f>
        <v>Male</v>
      </c>
      <c r="P625">
        <v>46</v>
      </c>
      <c r="Q625" s="2" t="str">
        <f>CLEAN(TRIM(Working_Sales[[#This Row],[Age]]))</f>
        <v>46</v>
      </c>
      <c r="R625" s="6">
        <f>INT(SUBSTITUTE(Working_Sales[[#This Row],[Age_Whitespace_Removed]],".",","))</f>
        <v>46</v>
      </c>
      <c r="S625" t="s">
        <v>69</v>
      </c>
      <c r="T625" s="2" t="str">
        <f>CLEAN(TRIM(Working_Sales[[#This Row],[Product Category]]))</f>
        <v>BEAUTY</v>
      </c>
      <c r="U625" s="6" t="str">
        <f>PROPER(Working_Sales[[#This Row],[Product_Category_Whitespace_Removed]])</f>
        <v>Beauty</v>
      </c>
      <c r="V625" t="s">
        <v>37</v>
      </c>
      <c r="W625" s="2" t="str">
        <f>CLEAN(TRIM(Working_Sales[[#This Row],[Quantity]]))</f>
        <v>2</v>
      </c>
      <c r="X625" s="2">
        <f>INT(Working_Sales[[#This Row],[`]])</f>
        <v>2</v>
      </c>
      <c r="Y625" s="6">
        <f>IFERROR(
   Working_Sales[[#This Row],[Quantity_Converted_To_Integer]],
   Working_Sales[[#This Row],[Total_Amount_Whitespace_Removed]]/Working_Sales[[#This Row],[Price_Per_Unit_Decimal_Separator_Fixed]])</f>
        <v>2</v>
      </c>
      <c r="Z625" t="s">
        <v>57</v>
      </c>
      <c r="AA625" s="2" t="str">
        <f>CLEAN(TRIM(Working_Sales[[#This Row],[Price per Unit]]))</f>
        <v>500</v>
      </c>
      <c r="AB625" s="2">
        <f>INT(
   SUBSTITUTE(Working_Sales[[#This Row],[Price_Per_Unit_Whitespace_Removed]],
   "$",
   ""
   )
)</f>
        <v>500</v>
      </c>
      <c r="AC625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625" s="8">
        <f>IFERROR(
   Working_Sales[[#This Row],[Price_Per_Unit_Decimal_Separator_Fixed]],
   Working_Sales[[#This Row],[Total_Amount_Converted_To_Integer]]/Working_Sales[[#This Row],[Quantity_Converted_To_Integer]]
)</f>
        <v>500</v>
      </c>
      <c r="AE625" t="s">
        <v>163</v>
      </c>
      <c r="AF625" s="2" t="str">
        <f>CLEAN(TRIM(Working_Sales[[#This Row],[Total Amount]]))</f>
        <v>1000</v>
      </c>
      <c r="AG625" s="2">
        <f>INT(Working_Sales[[#This Row],[Total_Amount_Whitespace_Removed]])</f>
        <v>1000</v>
      </c>
      <c r="AH62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626" spans="1:34" x14ac:dyDescent="0.35">
      <c r="A626" t="s">
        <v>1354</v>
      </c>
      <c r="B626" s="6" t="str">
        <f>CLEAN(TRIM(Working_Sales[[#This Row],[Transaction ID]]))</f>
        <v>112</v>
      </c>
      <c r="C626" t="s">
        <v>1355</v>
      </c>
      <c r="D626" s="2" t="str">
        <f>CLEAN(TRIM(Working_Sales[[#This Row],[Date]]))</f>
        <v>2023-12-02</v>
      </c>
      <c r="E62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45262</v>
      </c>
      <c r="F62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45262</v>
      </c>
      <c r="G62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45262</v>
      </c>
      <c r="H626" t="s">
        <v>1238</v>
      </c>
      <c r="I626" s="2" t="str">
        <f>CLEAN(TRIM(Working_Sales[[#This Row],[Customer ID]]))</f>
        <v>CUST402</v>
      </c>
      <c r="J62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CUST402</v>
      </c>
      <c r="K62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CUST402</v>
      </c>
      <c r="L626" t="s">
        <v>34</v>
      </c>
      <c r="M626" s="4" t="str">
        <f>CLEAN(TRIM(Working_Sales[[#This Row],[Gender]]))</f>
        <v>Male</v>
      </c>
      <c r="N626" s="4" t="str" cm="1">
        <f t="array" ref="N626">_xlfn.SWITCH(
   Working_Sales[[#This Row],[Gender_Whitespace_Removed]],
   "m", "Male",
   "f", "Female",
   Working_Sales[[#This Row],[Gender_Whitespace_Removed]]
)</f>
        <v>Male</v>
      </c>
      <c r="O626" s="6" t="str">
        <f>PROPER(Working_Sales[[#This Row],[Gender_Abbreviation_Expanded]])</f>
        <v>Male</v>
      </c>
      <c r="P626">
        <v>37</v>
      </c>
      <c r="Q626" s="2" t="str">
        <f>CLEAN(TRIM(Working_Sales[[#This Row],[Age]]))</f>
        <v>37</v>
      </c>
      <c r="R626" s="6">
        <f>INT(SUBSTITUTE(Working_Sales[[#This Row],[Age_Whitespace_Removed]],".",","))</f>
        <v>37</v>
      </c>
      <c r="S626" t="s">
        <v>56</v>
      </c>
      <c r="T626" s="2" t="str">
        <f>CLEAN(TRIM(Working_Sales[[#This Row],[Product Category]]))</f>
        <v>Clothing</v>
      </c>
      <c r="U626" s="6" t="str">
        <f>PROPER(Working_Sales[[#This Row],[Product_Category_Whitespace_Removed]])</f>
        <v>Clothing</v>
      </c>
      <c r="V626" t="s">
        <v>29</v>
      </c>
      <c r="W626" s="2" t="str">
        <f>CLEAN(TRIM(Working_Sales[[#This Row],[Quantity]]))</f>
        <v>3</v>
      </c>
      <c r="X626" s="2">
        <f>INT(Working_Sales[[#This Row],[`]])</f>
        <v>3</v>
      </c>
      <c r="Y626" s="6">
        <f>IFERROR(
   Working_Sales[[#This Row],[Quantity_Converted_To_Integer]],
   Working_Sales[[#This Row],[Total_Amount_Whitespace_Removed]]/Working_Sales[[#This Row],[Price_Per_Unit_Decimal_Separator_Fixed]])</f>
        <v>3</v>
      </c>
      <c r="Z626" t="s">
        <v>57</v>
      </c>
      <c r="AA626" s="2" t="str">
        <f>CLEAN(TRIM(Working_Sales[[#This Row],[Price per Unit]]))</f>
        <v>500</v>
      </c>
      <c r="AB626" s="2">
        <f>INT(
   SUBSTITUTE(Working_Sales[[#This Row],[Price_Per_Unit_Whitespace_Removed]],
   "$",
   ""
   )
)</f>
        <v>500</v>
      </c>
      <c r="AC626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626" s="8">
        <f>IFERROR(
   Working_Sales[[#This Row],[Price_Per_Unit_Decimal_Separator_Fixed]],
   Working_Sales[[#This Row],[Total_Amount_Converted_To_Integer]]/Working_Sales[[#This Row],[Quantity_Converted_To_Integer]]
)</f>
        <v>500</v>
      </c>
      <c r="AE626" t="s">
        <v>85</v>
      </c>
      <c r="AF626" s="2" t="str">
        <f>CLEAN(TRIM(Working_Sales[[#This Row],[Total Amount]]))</f>
        <v>1500</v>
      </c>
      <c r="AG626" s="2">
        <f>INT(Working_Sales[[#This Row],[Total_Amount_Whitespace_Removed]])</f>
        <v>1500</v>
      </c>
      <c r="AH62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627" spans="1:34" x14ac:dyDescent="0.35">
      <c r="A627" t="s">
        <v>1357</v>
      </c>
      <c r="B627" s="6" t="str">
        <f>CLEAN(TRIM(Working_Sales[[#This Row],[Transaction ID]]))</f>
        <v>195</v>
      </c>
      <c r="C627" t="s">
        <v>892</v>
      </c>
      <c r="D627" s="2" t="str">
        <f>CLEAN(TRIM(Working_Sales[[#This Row],[Date]]))</f>
        <v>2023-02-05</v>
      </c>
      <c r="E62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44962</v>
      </c>
      <c r="F62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44962</v>
      </c>
      <c r="G62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44962</v>
      </c>
      <c r="H627" t="s">
        <v>2839</v>
      </c>
      <c r="I627" s="2" t="str">
        <f>CLEAN(TRIM(Working_Sales[[#This Row],[Customer ID]]))</f>
        <v>CUST403</v>
      </c>
      <c r="J62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2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CUST403</v>
      </c>
      <c r="L627" t="s">
        <v>34</v>
      </c>
      <c r="M627" s="4" t="str">
        <f>CLEAN(TRIM(Working_Sales[[#This Row],[Gender]]))</f>
        <v>Male</v>
      </c>
      <c r="N627" s="4" t="str" cm="1">
        <f t="array" ref="N627">_xlfn.SWITCH(
   Working_Sales[[#This Row],[Gender_Whitespace_Removed]],
   "m", "Male",
   "f", "Female",
   Working_Sales[[#This Row],[Gender_Whitespace_Removed]]
)</f>
        <v>Male</v>
      </c>
      <c r="O627" s="6" t="str">
        <f>PROPER(Working_Sales[[#This Row],[Gender_Abbreviation_Expanded]])</f>
        <v>Male</v>
      </c>
      <c r="P627">
        <v>52</v>
      </c>
      <c r="Q627" s="2" t="str">
        <f>CLEAN(TRIM(Working_Sales[[#This Row],[Age]]))</f>
        <v>52</v>
      </c>
      <c r="R627" s="6">
        <f>INT(SUBSTITUTE(Working_Sales[[#This Row],[Age_Whitespace_Removed]],".",","))</f>
        <v>52</v>
      </c>
      <c r="S627" t="s">
        <v>56</v>
      </c>
      <c r="T627" s="2" t="str">
        <f>CLEAN(TRIM(Working_Sales[[#This Row],[Product Category]]))</f>
        <v>Clothing</v>
      </c>
      <c r="U627" s="6" t="str">
        <f>PROPER(Working_Sales[[#This Row],[Product_Category_Whitespace_Removed]])</f>
        <v>Clothing</v>
      </c>
      <c r="V627" t="s">
        <v>22</v>
      </c>
      <c r="W627" s="2" t="str">
        <f>CLEAN(TRIM(Working_Sales[[#This Row],[Quantity]]))</f>
        <v>1</v>
      </c>
      <c r="X627" s="2">
        <f>INT(Working_Sales[[#This Row],[`]])</f>
        <v>1</v>
      </c>
      <c r="Y627" s="6">
        <f>IFERROR(
   Working_Sales[[#This Row],[Quantity_Converted_To_Integer]],
   Working_Sales[[#This Row],[Total_Amount_Whitespace_Removed]]/Working_Sales[[#This Row],[Price_Per_Unit_Decimal_Separator_Fixed]])</f>
        <v>1</v>
      </c>
      <c r="Z627" t="s">
        <v>70</v>
      </c>
      <c r="AA627" s="2" t="str">
        <f>CLEAN(TRIM(Working_Sales[[#This Row],[Price per Unit]]))</f>
        <v>30</v>
      </c>
      <c r="AB627" s="2">
        <f>INT(
   SUBSTITUTE(Working_Sales[[#This Row],[Price_Per_Unit_Whitespace_Removed]],
   "$",
   ""
   )
)</f>
        <v>30</v>
      </c>
      <c r="AC627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627" s="8">
        <f>IFERROR(
   Working_Sales[[#This Row],[Price_Per_Unit_Decimal_Separator_Fixed]],
   Working_Sales[[#This Row],[Total_Amount_Converted_To_Integer]]/Working_Sales[[#This Row],[Quantity_Converted_To_Integer]]
)</f>
        <v>30</v>
      </c>
      <c r="AE627" t="s">
        <v>70</v>
      </c>
      <c r="AF627" s="2" t="str">
        <f>CLEAN(TRIM(Working_Sales[[#This Row],[Total Amount]]))</f>
        <v>30</v>
      </c>
      <c r="AG627" s="2">
        <f>INT(Working_Sales[[#This Row],[Total_Amount_Whitespace_Removed]])</f>
        <v>30</v>
      </c>
      <c r="AH62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628" spans="1:34" x14ac:dyDescent="0.35">
      <c r="A628" t="s">
        <v>1359</v>
      </c>
      <c r="B628" s="6" t="str">
        <f>CLEAN(TRIM(Working_Sales[[#This Row],[Transaction ID]]))</f>
        <v>179</v>
      </c>
      <c r="C628" t="s">
        <v>1360</v>
      </c>
      <c r="D628" s="2" t="str">
        <f>CLEAN(TRIM(Working_Sales[[#This Row],[Date]]))</f>
        <v>29/09/2023</v>
      </c>
      <c r="E62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45198</v>
      </c>
      <c r="F62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45198</v>
      </c>
      <c r="G62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45198</v>
      </c>
      <c r="H628" t="s">
        <v>1488</v>
      </c>
      <c r="I628" s="2" t="str">
        <f>CLEAN(TRIM(Working_Sales[[#This Row],[Customer ID]]))</f>
        <v>CUST185</v>
      </c>
      <c r="J62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CUST185</v>
      </c>
      <c r="K62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CUST185</v>
      </c>
      <c r="L628" t="s">
        <v>34</v>
      </c>
      <c r="M628" s="4" t="str">
        <f>CLEAN(TRIM(Working_Sales[[#This Row],[Gender]]))</f>
        <v>Male</v>
      </c>
      <c r="N628" s="4" t="str" cm="1">
        <f t="array" ref="N628">_xlfn.SWITCH(
   Working_Sales[[#This Row],[Gender_Whitespace_Removed]],
   "m", "Male",
   "f", "Female",
   Working_Sales[[#This Row],[Gender_Whitespace_Removed]]
)</f>
        <v>Male</v>
      </c>
      <c r="O628" s="6" t="str">
        <f>PROPER(Working_Sales[[#This Row],[Gender_Abbreviation_Expanded]])</f>
        <v>Male</v>
      </c>
      <c r="P628">
        <v>31</v>
      </c>
      <c r="Q628" s="2" t="str">
        <f>CLEAN(TRIM(Working_Sales[[#This Row],[Age]]))</f>
        <v>31</v>
      </c>
      <c r="R628" s="6">
        <f>INT(SUBSTITUTE(Working_Sales[[#This Row],[Age_Whitespace_Removed]],".",","))</f>
        <v>31</v>
      </c>
      <c r="S628" t="s">
        <v>13</v>
      </c>
      <c r="T628" s="2" t="str">
        <f>CLEAN(TRIM(Working_Sales[[#This Row],[Product Category]]))</f>
        <v>Electronics</v>
      </c>
      <c r="U628" s="6" t="str">
        <f>PROPER(Working_Sales[[#This Row],[Product_Category_Whitespace_Removed]])</f>
        <v>Electronics</v>
      </c>
      <c r="V628" t="s">
        <v>22</v>
      </c>
      <c r="W628" s="2" t="str">
        <f>CLEAN(TRIM(Working_Sales[[#This Row],[Quantity]]))</f>
        <v>1</v>
      </c>
      <c r="X628" s="2">
        <f>INT(Working_Sales[[#This Row],[`]])</f>
        <v>1</v>
      </c>
      <c r="Y628" s="6">
        <f>IFERROR(
   Working_Sales[[#This Row],[Quantity_Converted_To_Integer]],
   Working_Sales[[#This Row],[Total_Amount_Whitespace_Removed]]/Working_Sales[[#This Row],[Price_Per_Unit_Decimal_Separator_Fixed]])</f>
        <v>1</v>
      </c>
      <c r="Z628" t="s">
        <v>23</v>
      </c>
      <c r="AA628" s="2" t="str">
        <f>CLEAN(TRIM(Working_Sales[[#This Row],[Price per Unit]]))</f>
        <v>300</v>
      </c>
      <c r="AB628" s="2">
        <f>INT(
   SUBSTITUTE(Working_Sales[[#This Row],[Price_Per_Unit_Whitespace_Removed]],
   "$",
   ""
   )
)</f>
        <v>300</v>
      </c>
      <c r="AC628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628" s="8">
        <f>IFERROR(
   Working_Sales[[#This Row],[Price_Per_Unit_Decimal_Separator_Fixed]],
   Working_Sales[[#This Row],[Total_Amount_Converted_To_Integer]]/Working_Sales[[#This Row],[Quantity_Converted_To_Integer]]
)</f>
        <v>300</v>
      </c>
      <c r="AE628" t="s">
        <v>23</v>
      </c>
      <c r="AF628" s="2" t="str">
        <f>CLEAN(TRIM(Working_Sales[[#This Row],[Total Amount]]))</f>
        <v>300</v>
      </c>
      <c r="AG628" s="2">
        <f>INT(Working_Sales[[#This Row],[Total_Amount_Whitespace_Removed]])</f>
        <v>300</v>
      </c>
      <c r="AH62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629" spans="1:34" x14ac:dyDescent="0.35">
      <c r="A629" t="s">
        <v>1361</v>
      </c>
      <c r="B629" s="6" t="str">
        <f>CLEAN(TRIM(Working_Sales[[#This Row],[Transaction ID]]))</f>
        <v>894</v>
      </c>
      <c r="C629" t="s">
        <v>2135</v>
      </c>
      <c r="D629" s="2" t="str">
        <f>CLEAN(TRIM(Working_Sales[[#This Row],[Date]]))</f>
        <v>September 05, 2023</v>
      </c>
      <c r="E629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629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62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45174</v>
      </c>
      <c r="H629" t="s">
        <v>2840</v>
      </c>
      <c r="I629" s="2" t="str">
        <f>CLEAN(TRIM(Working_Sales[[#This Row],[Customer ID]]))</f>
        <v>cust404</v>
      </c>
      <c r="J62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2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CUST404</v>
      </c>
      <c r="L629" t="s">
        <v>34</v>
      </c>
      <c r="M629" s="4" t="str">
        <f>CLEAN(TRIM(Working_Sales[[#This Row],[Gender]]))</f>
        <v>Male</v>
      </c>
      <c r="N629" s="4" t="str" cm="1">
        <f t="array" ref="N629">_xlfn.SWITCH(
   Working_Sales[[#This Row],[Gender_Whitespace_Removed]],
   "m", "Male",
   "f", "Female",
   Working_Sales[[#This Row],[Gender_Whitespace_Removed]]
)</f>
        <v>Male</v>
      </c>
      <c r="O629" s="6" t="str">
        <f>PROPER(Working_Sales[[#This Row],[Gender_Abbreviation_Expanded]])</f>
        <v>Male</v>
      </c>
      <c r="P629">
        <v>52</v>
      </c>
      <c r="Q629" s="2" t="str">
        <f>CLEAN(TRIM(Working_Sales[[#This Row],[Age]]))</f>
        <v>52</v>
      </c>
      <c r="R629" s="6">
        <f>INT(SUBSTITUTE(Working_Sales[[#This Row],[Age_Whitespace_Removed]],".",","))</f>
        <v>52</v>
      </c>
      <c r="S629" t="s">
        <v>13</v>
      </c>
      <c r="T629" s="2" t="str">
        <f>CLEAN(TRIM(Working_Sales[[#This Row],[Product Category]]))</f>
        <v>Electronics</v>
      </c>
      <c r="U629" s="6" t="str">
        <f>PROPER(Working_Sales[[#This Row],[Product_Category_Whitespace_Removed]])</f>
        <v>Electronics</v>
      </c>
      <c r="V629" t="s">
        <v>22</v>
      </c>
      <c r="W629" s="2" t="str">
        <f>CLEAN(TRIM(Working_Sales[[#This Row],[Quantity]]))</f>
        <v>1</v>
      </c>
      <c r="X629" s="2">
        <f>INT(Working_Sales[[#This Row],[`]])</f>
        <v>1</v>
      </c>
      <c r="Y629" s="6">
        <f>IFERROR(
   Working_Sales[[#This Row],[Quantity_Converted_To_Integer]],
   Working_Sales[[#This Row],[Total_Amount_Whitespace_Removed]]/Working_Sales[[#This Row],[Price_Per_Unit_Decimal_Separator_Fixed]])</f>
        <v>1</v>
      </c>
      <c r="Z629" t="s">
        <v>70</v>
      </c>
      <c r="AA629" s="2" t="str">
        <f>CLEAN(TRIM(Working_Sales[[#This Row],[Price per Unit]]))</f>
        <v>30</v>
      </c>
      <c r="AB629" s="2">
        <f>INT(
   SUBSTITUTE(Working_Sales[[#This Row],[Price_Per_Unit_Whitespace_Removed]],
   "$",
   ""
   )
)</f>
        <v>30</v>
      </c>
      <c r="AC629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629" s="8">
        <f>IFERROR(
   Working_Sales[[#This Row],[Price_Per_Unit_Decimal_Separator_Fixed]],
   Working_Sales[[#This Row],[Total_Amount_Converted_To_Integer]]/Working_Sales[[#This Row],[Quantity_Converted_To_Integer]]
)</f>
        <v>30</v>
      </c>
      <c r="AE629" t="s">
        <v>70</v>
      </c>
      <c r="AF629" s="2" t="str">
        <f>CLEAN(TRIM(Working_Sales[[#This Row],[Total Amount]]))</f>
        <v>30</v>
      </c>
      <c r="AG629" s="2">
        <f>INT(Working_Sales[[#This Row],[Total_Amount_Whitespace_Removed]])</f>
        <v>30</v>
      </c>
      <c r="AH62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630" spans="1:34" x14ac:dyDescent="0.35">
      <c r="A630" t="s">
        <v>1363</v>
      </c>
      <c r="B630" s="6" t="str">
        <f>CLEAN(TRIM(Working_Sales[[#This Row],[Transaction ID]]))</f>
        <v>497</v>
      </c>
      <c r="C630" t="s">
        <v>670</v>
      </c>
      <c r="D630" s="2" t="str">
        <f>CLEAN(TRIM(Working_Sales[[#This Row],[Date]]))</f>
        <v>2023-10-02</v>
      </c>
      <c r="E63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45201</v>
      </c>
      <c r="F63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45201</v>
      </c>
      <c r="G63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45201</v>
      </c>
      <c r="H630" t="s">
        <v>2841</v>
      </c>
      <c r="I630" s="2" t="str">
        <f>CLEAN(TRIM(Working_Sales[[#This Row],[Customer ID]]))</f>
        <v>cust252</v>
      </c>
      <c r="J63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3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CUST252</v>
      </c>
      <c r="L630" t="s">
        <v>11</v>
      </c>
      <c r="M630" s="4" t="str">
        <f>CLEAN(TRIM(Working_Sales[[#This Row],[Gender]]))</f>
        <v>MALE</v>
      </c>
      <c r="N630" s="4" t="str" cm="1">
        <f t="array" ref="N630">_xlfn.SWITCH(
   Working_Sales[[#This Row],[Gender_Whitespace_Removed]],
   "m", "Male",
   "f", "Female",
   Working_Sales[[#This Row],[Gender_Whitespace_Removed]]
)</f>
        <v>MALE</v>
      </c>
      <c r="O630" s="6" t="str">
        <f>PROPER(Working_Sales[[#This Row],[Gender_Abbreviation_Expanded]])</f>
        <v>Male</v>
      </c>
      <c r="P630" t="s">
        <v>624</v>
      </c>
      <c r="Q630" s="2" t="str">
        <f>CLEAN(TRIM(Working_Sales[[#This Row],[Age]]))</f>
        <v>41</v>
      </c>
      <c r="R630" s="6">
        <f>INT(SUBSTITUTE(Working_Sales[[#This Row],[Age_Whitespace_Removed]],".",","))</f>
        <v>41</v>
      </c>
      <c r="S630" t="s">
        <v>56</v>
      </c>
      <c r="T630" s="2" t="str">
        <f>CLEAN(TRIM(Working_Sales[[#This Row],[Product Category]]))</f>
        <v>Clothing</v>
      </c>
      <c r="U630" s="6" t="str">
        <f>PROPER(Working_Sales[[#This Row],[Product_Category_Whitespace_Removed]])</f>
        <v>Clothing</v>
      </c>
      <c r="V630" t="s">
        <v>14</v>
      </c>
      <c r="W630" s="2" t="str">
        <f>CLEAN(TRIM(Working_Sales[[#This Row],[Quantity]]))</f>
        <v>4</v>
      </c>
      <c r="X630" s="2">
        <f>INT(Working_Sales[[#This Row],[`]])</f>
        <v>4</v>
      </c>
      <c r="Y630" s="6">
        <f>IFERROR(
   Working_Sales[[#This Row],[Quantity_Converted_To_Integer]],
   Working_Sales[[#This Row],[Total_Amount_Whitespace_Removed]]/Working_Sales[[#This Row],[Price_Per_Unit_Decimal_Separator_Fixed]])</f>
        <v>4</v>
      </c>
      <c r="Z630" t="s">
        <v>70</v>
      </c>
      <c r="AA630" s="2" t="str">
        <f>CLEAN(TRIM(Working_Sales[[#This Row],[Price per Unit]]))</f>
        <v>30</v>
      </c>
      <c r="AB630" s="2">
        <f>INT(
   SUBSTITUTE(Working_Sales[[#This Row],[Price_Per_Unit_Whitespace_Removed]],
   "$",
   ""
   )
)</f>
        <v>30</v>
      </c>
      <c r="AC630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630" s="8">
        <f>IFERROR(
   Working_Sales[[#This Row],[Price_Per_Unit_Decimal_Separator_Fixed]],
   Working_Sales[[#This Row],[Total_Amount_Converted_To_Integer]]/Working_Sales[[#This Row],[Quantity_Converted_To_Integer]]
)</f>
        <v>30</v>
      </c>
      <c r="AE630" t="s">
        <v>44</v>
      </c>
      <c r="AF630" s="2" t="str">
        <f>CLEAN(TRIM(Working_Sales[[#This Row],[Total Amount]]))</f>
        <v>120</v>
      </c>
      <c r="AG630" s="2">
        <f>INT(Working_Sales[[#This Row],[Total_Amount_Whitespace_Removed]])</f>
        <v>120</v>
      </c>
      <c r="AH63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631" spans="1:34" x14ac:dyDescent="0.35">
      <c r="A631" t="s">
        <v>1365</v>
      </c>
      <c r="B631" s="6" t="str">
        <f>CLEAN(TRIM(Working_Sales[[#This Row],[Transaction ID]]))</f>
        <v>130</v>
      </c>
      <c r="C631" t="s">
        <v>2136</v>
      </c>
      <c r="D631" s="2" t="str">
        <f>CLEAN(TRIM(Working_Sales[[#This Row],[Date]]))</f>
        <v>March 12, 2023</v>
      </c>
      <c r="E631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631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63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44997</v>
      </c>
      <c r="H631" t="s">
        <v>2418</v>
      </c>
      <c r="I631" s="2" t="str">
        <f>CLEAN(TRIM(Working_Sales[[#This Row],[Customer ID]]))</f>
        <v>Cust101</v>
      </c>
      <c r="J63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3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CUST101</v>
      </c>
      <c r="L631" t="s">
        <v>140</v>
      </c>
      <c r="M631" s="4" t="str">
        <f>CLEAN(TRIM(Working_Sales[[#This Row],[Gender]]))</f>
        <v>FEMALE</v>
      </c>
      <c r="N631" s="4" t="str" cm="1">
        <f t="array" ref="N631">_xlfn.SWITCH(
   Working_Sales[[#This Row],[Gender_Whitespace_Removed]],
   "m", "Male",
   "f", "Female",
   Working_Sales[[#This Row],[Gender_Whitespace_Removed]]
)</f>
        <v>FEMALE</v>
      </c>
      <c r="O631" s="6" t="str">
        <f>PROPER(Working_Sales[[#This Row],[Gender_Abbreviation_Expanded]])</f>
        <v>Female</v>
      </c>
      <c r="P631">
        <v>57</v>
      </c>
      <c r="Q631" s="2" t="str">
        <f>CLEAN(TRIM(Working_Sales[[#This Row],[Age]]))</f>
        <v>57</v>
      </c>
      <c r="R631" s="6">
        <f>INT(SUBSTITUTE(Working_Sales[[#This Row],[Age_Whitespace_Removed]],".",","))</f>
        <v>57</v>
      </c>
      <c r="S631" t="s">
        <v>56</v>
      </c>
      <c r="T631" s="2" t="str">
        <f>CLEAN(TRIM(Working_Sales[[#This Row],[Product Category]]))</f>
        <v>Clothing</v>
      </c>
      <c r="U631" s="6" t="str">
        <f>PROPER(Working_Sales[[#This Row],[Product_Category_Whitespace_Removed]])</f>
        <v>Clothing</v>
      </c>
      <c r="V631" t="s">
        <v>22</v>
      </c>
      <c r="W631" s="2" t="str">
        <f>CLEAN(TRIM(Working_Sales[[#This Row],[Quantity]]))</f>
        <v>1</v>
      </c>
      <c r="X631" s="2">
        <f>INT(Working_Sales[[#This Row],[`]])</f>
        <v>1</v>
      </c>
      <c r="Y631" s="6">
        <f>IFERROR(
   Working_Sales[[#This Row],[Quantity_Converted_To_Integer]],
   Working_Sales[[#This Row],[Total_Amount_Whitespace_Removed]]/Working_Sales[[#This Row],[Price_Per_Unit_Decimal_Separator_Fixed]])</f>
        <v>1</v>
      </c>
      <c r="Z631" t="s">
        <v>57</v>
      </c>
      <c r="AA631" s="2" t="str">
        <f>CLEAN(TRIM(Working_Sales[[#This Row],[Price per Unit]]))</f>
        <v>500</v>
      </c>
      <c r="AB631" s="2">
        <f>INT(
   SUBSTITUTE(Working_Sales[[#This Row],[Price_Per_Unit_Whitespace_Removed]],
   "$",
   ""
   )
)</f>
        <v>500</v>
      </c>
      <c r="AC631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631" s="8">
        <f>IFERROR(
   Working_Sales[[#This Row],[Price_Per_Unit_Decimal_Separator_Fixed]],
   Working_Sales[[#This Row],[Total_Amount_Converted_To_Integer]]/Working_Sales[[#This Row],[Quantity_Converted_To_Integer]]
)</f>
        <v>500</v>
      </c>
      <c r="AE631" t="s">
        <v>57</v>
      </c>
      <c r="AF631" s="2" t="str">
        <f>CLEAN(TRIM(Working_Sales[[#This Row],[Total Amount]]))</f>
        <v>500</v>
      </c>
      <c r="AG631" s="2">
        <f>INT(Working_Sales[[#This Row],[Total_Amount_Whitespace_Removed]])</f>
        <v>500</v>
      </c>
      <c r="AH63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632" spans="1:34" x14ac:dyDescent="0.35">
      <c r="A632" t="s">
        <v>1368</v>
      </c>
      <c r="B632" s="6" t="str">
        <f>CLEAN(TRIM(Working_Sales[[#This Row],[Transaction ID]]))</f>
        <v>338</v>
      </c>
      <c r="C632" t="s">
        <v>2137</v>
      </c>
      <c r="D632" s="2" t="str">
        <f>CLEAN(TRIM(Working_Sales[[#This Row],[Date]]))</f>
        <v>07/26/2023</v>
      </c>
      <c r="E632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63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45133</v>
      </c>
      <c r="G63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45133</v>
      </c>
      <c r="H632" t="s">
        <v>2842</v>
      </c>
      <c r="I632" s="2" t="str">
        <f>CLEAN(TRIM(Working_Sales[[#This Row],[Customer ID]]))</f>
        <v>CUST251</v>
      </c>
      <c r="J63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CUST251</v>
      </c>
      <c r="K63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CUST251</v>
      </c>
      <c r="L632" t="s">
        <v>34</v>
      </c>
      <c r="M632" s="4" t="str">
        <f>CLEAN(TRIM(Working_Sales[[#This Row],[Gender]]))</f>
        <v>Male</v>
      </c>
      <c r="N632" s="4" t="str" cm="1">
        <f t="array" ref="N632">_xlfn.SWITCH(
   Working_Sales[[#This Row],[Gender_Whitespace_Removed]],
   "m", "Male",
   "f", "Female",
   Working_Sales[[#This Row],[Gender_Whitespace_Removed]]
)</f>
        <v>Male</v>
      </c>
      <c r="O632" s="6" t="str">
        <f>PROPER(Working_Sales[[#This Row],[Gender_Abbreviation_Expanded]])</f>
        <v>Male</v>
      </c>
      <c r="P632">
        <v>54</v>
      </c>
      <c r="Q632" s="2" t="str">
        <f>CLEAN(TRIM(Working_Sales[[#This Row],[Age]]))</f>
        <v>54</v>
      </c>
      <c r="R632" s="6">
        <f>INT(SUBSTITUTE(Working_Sales[[#This Row],[Age_Whitespace_Removed]],".",","))</f>
        <v>54</v>
      </c>
      <c r="S632" t="s">
        <v>36</v>
      </c>
      <c r="T632" s="2" t="str">
        <f>CLEAN(TRIM(Working_Sales[[#This Row],[Product Category]]))</f>
        <v>Beauty</v>
      </c>
      <c r="U632" s="6" t="str">
        <f>PROPER(Working_Sales[[#This Row],[Product_Category_Whitespace_Removed]])</f>
        <v>Beauty</v>
      </c>
      <c r="V632" t="s">
        <v>37</v>
      </c>
      <c r="W632" s="2" t="str">
        <f>CLEAN(TRIM(Working_Sales[[#This Row],[Quantity]]))</f>
        <v>2</v>
      </c>
      <c r="X632" s="2">
        <f>INT(Working_Sales[[#This Row],[`]])</f>
        <v>2</v>
      </c>
      <c r="Y632" s="6">
        <f>IFERROR(
   Working_Sales[[#This Row],[Quantity_Converted_To_Integer]],
   Working_Sales[[#This Row],[Total_Amount_Whitespace_Removed]]/Working_Sales[[#This Row],[Price_Per_Unit_Decimal_Separator_Fixed]])</f>
        <v>2</v>
      </c>
      <c r="Z632" t="s">
        <v>153</v>
      </c>
      <c r="AA632" s="2" t="str">
        <f>CLEAN(TRIM(Working_Sales[[#This Row],[Price per Unit]]))</f>
        <v>50.00</v>
      </c>
      <c r="AB632" s="2" t="e">
        <f>INT(
   SUBSTITUTE(Working_Sales[[#This Row],[Price_Per_Unit_Whitespace_Removed]],
   "$",
   ""
   )
)</f>
        <v>#VALUE!</v>
      </c>
      <c r="AC632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632" s="8">
        <f>IFERROR(
   Working_Sales[[#This Row],[Price_Per_Unit_Decimal_Separator_Fixed]],
   Working_Sales[[#This Row],[Total_Amount_Converted_To_Integer]]/Working_Sales[[#This Row],[Quantity_Converted_To_Integer]]
)</f>
        <v>50</v>
      </c>
      <c r="AE632" t="s">
        <v>38</v>
      </c>
      <c r="AF632" s="2" t="str">
        <f>CLEAN(TRIM(Working_Sales[[#This Row],[Total Amount]]))</f>
        <v>100</v>
      </c>
      <c r="AG632" s="2">
        <f>INT(Working_Sales[[#This Row],[Total_Amount_Whitespace_Removed]])</f>
        <v>100</v>
      </c>
      <c r="AH63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633" spans="1:34" x14ac:dyDescent="0.35">
      <c r="A633" t="s">
        <v>1370</v>
      </c>
      <c r="B633" s="6" t="str">
        <f>CLEAN(TRIM(Working_Sales[[#This Row],[Transaction ID]]))</f>
        <v>609</v>
      </c>
      <c r="C633" t="s">
        <v>1371</v>
      </c>
      <c r="D633" s="2" t="str">
        <f>CLEAN(TRIM(Working_Sales[[#This Row],[Date]]))</f>
        <v>2023-12-19</v>
      </c>
      <c r="E63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45279</v>
      </c>
      <c r="F63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45279</v>
      </c>
      <c r="G63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45279</v>
      </c>
      <c r="H633" t="s">
        <v>651</v>
      </c>
      <c r="I633" s="2" t="str">
        <f>CLEAN(TRIM(Working_Sales[[#This Row],[Customer ID]]))</f>
        <v>CUST052</v>
      </c>
      <c r="J63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3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CUST052</v>
      </c>
      <c r="L633" t="s">
        <v>140</v>
      </c>
      <c r="M633" s="4" t="str">
        <f>CLEAN(TRIM(Working_Sales[[#This Row],[Gender]]))</f>
        <v>FEMALE</v>
      </c>
      <c r="N633" s="4" t="str" cm="1">
        <f t="array" ref="N633">_xlfn.SWITCH(
   Working_Sales[[#This Row],[Gender_Whitespace_Removed]],
   "m", "Male",
   "f", "Female",
   Working_Sales[[#This Row],[Gender_Whitespace_Removed]]
)</f>
        <v>FEMALE</v>
      </c>
      <c r="O633" s="6" t="str">
        <f>PROPER(Working_Sales[[#This Row],[Gender_Abbreviation_Expanded]])</f>
        <v>Female</v>
      </c>
      <c r="P633">
        <v>47</v>
      </c>
      <c r="Q633" s="2" t="str">
        <f>CLEAN(TRIM(Working_Sales[[#This Row],[Age]]))</f>
        <v>47</v>
      </c>
      <c r="R633" s="6">
        <f>INT(SUBSTITUTE(Working_Sales[[#This Row],[Age_Whitespace_Removed]],".",","))</f>
        <v>47</v>
      </c>
      <c r="S633" t="s">
        <v>56</v>
      </c>
      <c r="T633" s="2" t="str">
        <f>CLEAN(TRIM(Working_Sales[[#This Row],[Product Category]]))</f>
        <v>Clothing</v>
      </c>
      <c r="U633" s="6" t="str">
        <f>PROPER(Working_Sales[[#This Row],[Product_Category_Whitespace_Removed]])</f>
        <v>Clothing</v>
      </c>
      <c r="V633" t="s">
        <v>37</v>
      </c>
      <c r="W633" s="2" t="str">
        <f>CLEAN(TRIM(Working_Sales[[#This Row],[Quantity]]))</f>
        <v>2</v>
      </c>
      <c r="X633" s="2">
        <f>INT(Working_Sales[[#This Row],[`]])</f>
        <v>2</v>
      </c>
      <c r="Y633" s="6">
        <f>IFERROR(
   Working_Sales[[#This Row],[Quantity_Converted_To_Integer]],
   Working_Sales[[#This Row],[Total_Amount_Whitespace_Removed]]/Working_Sales[[#This Row],[Price_Per_Unit_Decimal_Separator_Fixed]])</f>
        <v>2</v>
      </c>
      <c r="Z633" t="s">
        <v>153</v>
      </c>
      <c r="AA633" s="2" t="str">
        <f>CLEAN(TRIM(Working_Sales[[#This Row],[Price per Unit]]))</f>
        <v>50.00</v>
      </c>
      <c r="AB633" s="2" t="e">
        <f>INT(
   SUBSTITUTE(Working_Sales[[#This Row],[Price_Per_Unit_Whitespace_Removed]],
   "$",
   ""
   )
)</f>
        <v>#VALUE!</v>
      </c>
      <c r="AC633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633" s="8">
        <f>IFERROR(
   Working_Sales[[#This Row],[Price_Per_Unit_Decimal_Separator_Fixed]],
   Working_Sales[[#This Row],[Total_Amount_Converted_To_Integer]]/Working_Sales[[#This Row],[Quantity_Converted_To_Integer]]
)</f>
        <v>50</v>
      </c>
      <c r="AE633" t="s">
        <v>38</v>
      </c>
      <c r="AF633" s="2" t="str">
        <f>CLEAN(TRIM(Working_Sales[[#This Row],[Total Amount]]))</f>
        <v>100</v>
      </c>
      <c r="AG633" s="2">
        <f>INT(Working_Sales[[#This Row],[Total_Amount_Whitespace_Removed]])</f>
        <v>100</v>
      </c>
      <c r="AH63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634" spans="1:34" x14ac:dyDescent="0.35">
      <c r="A634" t="s">
        <v>1372</v>
      </c>
      <c r="B634" s="6" t="str">
        <f>CLEAN(TRIM(Working_Sales[[#This Row],[Transaction ID]]))</f>
        <v>125</v>
      </c>
      <c r="C634" t="s">
        <v>1168</v>
      </c>
      <c r="D634" s="2" t="str">
        <f>CLEAN(TRIM(Working_Sales[[#This Row],[Date]]))</f>
        <v>2023-08-08</v>
      </c>
      <c r="E63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45146</v>
      </c>
      <c r="F63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45146</v>
      </c>
      <c r="G63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45146</v>
      </c>
      <c r="H634" t="s">
        <v>2843</v>
      </c>
      <c r="I634" s="2" t="str">
        <f>CLEAN(TRIM(Working_Sales[[#This Row],[Customer ID]]))</f>
        <v>Cust274</v>
      </c>
      <c r="J63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3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CUST274</v>
      </c>
      <c r="L634" t="s">
        <v>34</v>
      </c>
      <c r="M634" s="4" t="str">
        <f>CLEAN(TRIM(Working_Sales[[#This Row],[Gender]]))</f>
        <v>Male</v>
      </c>
      <c r="N634" s="4" t="str" cm="1">
        <f t="array" ref="N634">_xlfn.SWITCH(
   Working_Sales[[#This Row],[Gender_Whitespace_Removed]],
   "m", "Male",
   "f", "Female",
   Working_Sales[[#This Row],[Gender_Whitespace_Removed]]
)</f>
        <v>Male</v>
      </c>
      <c r="O634" s="6" t="str">
        <f>PROPER(Working_Sales[[#This Row],[Gender_Abbreviation_Expanded]])</f>
        <v>Male</v>
      </c>
      <c r="P634">
        <v>48</v>
      </c>
      <c r="Q634" s="2" t="str">
        <f>CLEAN(TRIM(Working_Sales[[#This Row],[Age]]))</f>
        <v>48</v>
      </c>
      <c r="R634" s="6">
        <f>INT(SUBSTITUTE(Working_Sales[[#This Row],[Age_Whitespace_Removed]],".",","))</f>
        <v>48</v>
      </c>
      <c r="S634" t="s">
        <v>56</v>
      </c>
      <c r="T634" s="2" t="str">
        <f>CLEAN(TRIM(Working_Sales[[#This Row],[Product Category]]))</f>
        <v>Clothing</v>
      </c>
      <c r="U634" s="6" t="str">
        <f>PROPER(Working_Sales[[#This Row],[Product_Category_Whitespace_Removed]])</f>
        <v>Clothing</v>
      </c>
      <c r="V634" t="s">
        <v>37</v>
      </c>
      <c r="W634" s="2" t="str">
        <f>CLEAN(TRIM(Working_Sales[[#This Row],[Quantity]]))</f>
        <v>2</v>
      </c>
      <c r="X634" s="2">
        <f>INT(Working_Sales[[#This Row],[`]])</f>
        <v>2</v>
      </c>
      <c r="Y634" s="6">
        <f>IFERROR(
   Working_Sales[[#This Row],[Quantity_Converted_To_Integer]],
   Working_Sales[[#This Row],[Total_Amount_Whitespace_Removed]]/Working_Sales[[#This Row],[Price_Per_Unit_Decimal_Separator_Fixed]])</f>
        <v>2</v>
      </c>
      <c r="Z634" t="s">
        <v>96</v>
      </c>
      <c r="AA634" s="2" t="str">
        <f>CLEAN(TRIM(Working_Sales[[#This Row],[Price per Unit]]))</f>
        <v>$50</v>
      </c>
      <c r="AB634" s="2">
        <f>INT(
   SUBSTITUTE(Working_Sales[[#This Row],[Price_Per_Unit_Whitespace_Removed]],
   "$",
   ""
   )
)</f>
        <v>50</v>
      </c>
      <c r="AC634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634" s="8">
        <f>IFERROR(
   Working_Sales[[#This Row],[Price_Per_Unit_Decimal_Separator_Fixed]],
   Working_Sales[[#This Row],[Total_Amount_Converted_To_Integer]]/Working_Sales[[#This Row],[Quantity_Converted_To_Integer]]
)</f>
        <v>50</v>
      </c>
      <c r="AE634" t="s">
        <v>38</v>
      </c>
      <c r="AF634" s="2" t="str">
        <f>CLEAN(TRIM(Working_Sales[[#This Row],[Total Amount]]))</f>
        <v>100</v>
      </c>
      <c r="AG634" s="2">
        <f>INT(Working_Sales[[#This Row],[Total_Amount_Whitespace_Removed]])</f>
        <v>100</v>
      </c>
      <c r="AH63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635" spans="1:34" x14ac:dyDescent="0.35">
      <c r="A635" t="s">
        <v>1374</v>
      </c>
      <c r="B635" s="6" t="str">
        <f>CLEAN(TRIM(Working_Sales[[#This Row],[Transaction ID]]))</f>
        <v>969</v>
      </c>
      <c r="C635" t="s">
        <v>770</v>
      </c>
      <c r="D635" s="2" t="str">
        <f>CLEAN(TRIM(Working_Sales[[#This Row],[Date]]))</f>
        <v>19/04/2023</v>
      </c>
      <c r="E63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45035</v>
      </c>
      <c r="F63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45035</v>
      </c>
      <c r="G63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45035</v>
      </c>
      <c r="H635" t="s">
        <v>2844</v>
      </c>
      <c r="I635" s="2" t="str">
        <f>CLEAN(TRIM(Working_Sales[[#This Row],[Customer ID]]))</f>
        <v>CUST-092</v>
      </c>
      <c r="J63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3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CUST092</v>
      </c>
      <c r="L635" t="s">
        <v>112</v>
      </c>
      <c r="M635" s="4" t="str">
        <f>CLEAN(TRIM(Working_Sales[[#This Row],[Gender]]))</f>
        <v>female</v>
      </c>
      <c r="N635" s="4" t="str" cm="1">
        <f t="array" ref="N635">_xlfn.SWITCH(
   Working_Sales[[#This Row],[Gender_Whitespace_Removed]],
   "m", "Male",
   "f", "Female",
   Working_Sales[[#This Row],[Gender_Whitespace_Removed]]
)</f>
        <v>female</v>
      </c>
      <c r="O635" s="6" t="str">
        <f>PROPER(Working_Sales[[#This Row],[Gender_Abbreviation_Expanded]])</f>
        <v>Female</v>
      </c>
      <c r="P635">
        <v>40</v>
      </c>
      <c r="Q635" s="2" t="str">
        <f>CLEAN(TRIM(Working_Sales[[#This Row],[Age]]))</f>
        <v>40</v>
      </c>
      <c r="R635" s="6">
        <f>INT(SUBSTITUTE(Working_Sales[[#This Row],[Age_Whitespace_Removed]],".",","))</f>
        <v>40</v>
      </c>
      <c r="S635" t="s">
        <v>56</v>
      </c>
      <c r="T635" s="2" t="str">
        <f>CLEAN(TRIM(Working_Sales[[#This Row],[Product Category]]))</f>
        <v>Clothing</v>
      </c>
      <c r="U635" s="6" t="str">
        <f>PROPER(Working_Sales[[#This Row],[Product_Category_Whitespace_Removed]])</f>
        <v>Clothing</v>
      </c>
      <c r="V635" t="s">
        <v>29</v>
      </c>
      <c r="W635" s="2" t="str">
        <f>CLEAN(TRIM(Working_Sales[[#This Row],[Quantity]]))</f>
        <v>3</v>
      </c>
      <c r="X635" s="2">
        <f>INT(Working_Sales[[#This Row],[`]])</f>
        <v>3</v>
      </c>
      <c r="Y635" s="6">
        <f>IFERROR(
   Working_Sales[[#This Row],[Quantity_Converted_To_Integer]],
   Working_Sales[[#This Row],[Total_Amount_Whitespace_Removed]]/Working_Sales[[#This Row],[Price_Per_Unit_Decimal_Separator_Fixed]])</f>
        <v>3</v>
      </c>
      <c r="Z635" t="s">
        <v>23</v>
      </c>
      <c r="AA635" s="2" t="str">
        <f>CLEAN(TRIM(Working_Sales[[#This Row],[Price per Unit]]))</f>
        <v>300</v>
      </c>
      <c r="AB635" s="2">
        <f>INT(
   SUBSTITUTE(Working_Sales[[#This Row],[Price_Per_Unit_Whitespace_Removed]],
   "$",
   ""
   )
)</f>
        <v>300</v>
      </c>
      <c r="AC635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635" s="8">
        <f>IFERROR(
   Working_Sales[[#This Row],[Price_Per_Unit_Decimal_Separator_Fixed]],
   Working_Sales[[#This Row],[Total_Amount_Converted_To_Integer]]/Working_Sales[[#This Row],[Quantity_Converted_To_Integer]]
)</f>
        <v>300</v>
      </c>
      <c r="AE635" t="s">
        <v>128</v>
      </c>
      <c r="AF635" s="2" t="str">
        <f>CLEAN(TRIM(Working_Sales[[#This Row],[Total Amount]]))</f>
        <v>900</v>
      </c>
      <c r="AG635" s="2">
        <f>INT(Working_Sales[[#This Row],[Total_Amount_Whitespace_Removed]])</f>
        <v>900</v>
      </c>
      <c r="AH63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636" spans="1:34" x14ac:dyDescent="0.35">
      <c r="A636" t="s">
        <v>1375</v>
      </c>
      <c r="B636" s="6" t="str">
        <f>CLEAN(TRIM(Working_Sales[[#This Row],[Transaction ID]]))</f>
        <v>227</v>
      </c>
      <c r="C636" t="s">
        <v>1114</v>
      </c>
      <c r="D636" s="2" t="str">
        <f>CLEAN(TRIM(Working_Sales[[#This Row],[Date]]))</f>
        <v>11-Oct-2023</v>
      </c>
      <c r="E63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45210</v>
      </c>
      <c r="F63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45210</v>
      </c>
      <c r="G63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45210</v>
      </c>
      <c r="H636" t="s">
        <v>2845</v>
      </c>
      <c r="I636" s="2" t="str">
        <f>CLEAN(TRIM(Working_Sales[[#This Row],[Customer ID]]))</f>
        <v>Cust069</v>
      </c>
      <c r="J63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3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CUST069</v>
      </c>
      <c r="L636" t="s">
        <v>268</v>
      </c>
      <c r="M636" s="4" t="str">
        <f>CLEAN(TRIM(Working_Sales[[#This Row],[Gender]]))</f>
        <v>M</v>
      </c>
      <c r="N636" s="4" t="str" cm="1">
        <f t="array" ref="N636">_xlfn.SWITCH(
   Working_Sales[[#This Row],[Gender_Whitespace_Removed]],
   "m", "Male",
   "f", "Female",
   Working_Sales[[#This Row],[Gender_Whitespace_Removed]]
)</f>
        <v>Male</v>
      </c>
      <c r="O636" s="6" t="str">
        <f>PROPER(Working_Sales[[#This Row],[Gender_Abbreviation_Expanded]])</f>
        <v>Male</v>
      </c>
      <c r="P636">
        <v>36</v>
      </c>
      <c r="Q636" s="2" t="str">
        <f>CLEAN(TRIM(Working_Sales[[#This Row],[Age]]))</f>
        <v>36</v>
      </c>
      <c r="R636" s="6">
        <f>INT(SUBSTITUTE(Working_Sales[[#This Row],[Age_Whitespace_Removed]],".",","))</f>
        <v>36</v>
      </c>
      <c r="S636" t="s">
        <v>48</v>
      </c>
      <c r="T636" s="2" t="str">
        <f>CLEAN(TRIM(Working_Sales[[#This Row],[Product Category]]))</f>
        <v>electronics</v>
      </c>
      <c r="U636" s="6" t="str">
        <f>PROPER(Working_Sales[[#This Row],[Product_Category_Whitespace_Removed]])</f>
        <v>Electronics</v>
      </c>
      <c r="V636" t="s">
        <v>37</v>
      </c>
      <c r="W636" s="2" t="str">
        <f>CLEAN(TRIM(Working_Sales[[#This Row],[Quantity]]))</f>
        <v>2</v>
      </c>
      <c r="X636" s="2">
        <f>INT(Working_Sales[[#This Row],[`]])</f>
        <v>2</v>
      </c>
      <c r="Y636" s="6">
        <f>IFERROR(
   Working_Sales[[#This Row],[Quantity_Converted_To_Integer]],
   Working_Sales[[#This Row],[Total_Amount_Whitespace_Removed]]/Working_Sales[[#This Row],[Price_Per_Unit_Decimal_Separator_Fixed]])</f>
        <v>2</v>
      </c>
      <c r="Z636" t="s">
        <v>15</v>
      </c>
      <c r="AA636" s="2" t="str">
        <f>CLEAN(TRIM(Working_Sales[[#This Row],[Price per Unit]]))</f>
        <v>50</v>
      </c>
      <c r="AB636" s="2">
        <f>INT(
   SUBSTITUTE(Working_Sales[[#This Row],[Price_Per_Unit_Whitespace_Removed]],
   "$",
   ""
   )
)</f>
        <v>50</v>
      </c>
      <c r="AC636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636" s="8">
        <f>IFERROR(
   Working_Sales[[#This Row],[Price_Per_Unit_Decimal_Separator_Fixed]],
   Working_Sales[[#This Row],[Total_Amount_Converted_To_Integer]]/Working_Sales[[#This Row],[Quantity_Converted_To_Integer]]
)</f>
        <v>50</v>
      </c>
      <c r="AE636" t="s">
        <v>38</v>
      </c>
      <c r="AF636" s="2" t="str">
        <f>CLEAN(TRIM(Working_Sales[[#This Row],[Total Amount]]))</f>
        <v>100</v>
      </c>
      <c r="AG636" s="2">
        <f>INT(Working_Sales[[#This Row],[Total_Amount_Whitespace_Removed]])</f>
        <v>100</v>
      </c>
      <c r="AH63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637" spans="1:34" x14ac:dyDescent="0.35">
      <c r="A637" t="s">
        <v>1376</v>
      </c>
      <c r="B637" s="6" t="str">
        <f>CLEAN(TRIM(Working_Sales[[#This Row],[Transaction ID]]))</f>
        <v>269</v>
      </c>
      <c r="C637" t="s">
        <v>2138</v>
      </c>
      <c r="D637" s="2" t="str">
        <f>CLEAN(TRIM(Working_Sales[[#This Row],[Date]]))</f>
        <v>01-Feb-2023</v>
      </c>
      <c r="E63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44958</v>
      </c>
      <c r="F63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44958</v>
      </c>
      <c r="G63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44958</v>
      </c>
      <c r="H637" t="s">
        <v>2737</v>
      </c>
      <c r="I637" s="2" t="str">
        <f>CLEAN(TRIM(Working_Sales[[#This Row],[Customer ID]]))</f>
        <v>CUST-352</v>
      </c>
      <c r="J63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3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CUST352</v>
      </c>
      <c r="L637" t="s">
        <v>34</v>
      </c>
      <c r="M637" s="4" t="str">
        <f>CLEAN(TRIM(Working_Sales[[#This Row],[Gender]]))</f>
        <v>Male</v>
      </c>
      <c r="N637" s="4" t="str" cm="1">
        <f t="array" ref="N637">_xlfn.SWITCH(
   Working_Sales[[#This Row],[Gender_Whitespace_Removed]],
   "m", "Male",
   "f", "Female",
   Working_Sales[[#This Row],[Gender_Whitespace_Removed]]
)</f>
        <v>Male</v>
      </c>
      <c r="O637" s="6" t="str">
        <f>PROPER(Working_Sales[[#This Row],[Gender_Abbreviation_Expanded]])</f>
        <v>Male</v>
      </c>
      <c r="P637">
        <v>25</v>
      </c>
      <c r="Q637" s="2" t="str">
        <f>CLEAN(TRIM(Working_Sales[[#This Row],[Age]]))</f>
        <v>25</v>
      </c>
      <c r="R637" s="6">
        <f>INT(SUBSTITUTE(Working_Sales[[#This Row],[Age_Whitespace_Removed]],".",","))</f>
        <v>25</v>
      </c>
      <c r="S637" t="s">
        <v>56</v>
      </c>
      <c r="T637" s="2" t="str">
        <f>CLEAN(TRIM(Working_Sales[[#This Row],[Product Category]]))</f>
        <v>Clothing</v>
      </c>
      <c r="U637" s="6" t="str">
        <f>PROPER(Working_Sales[[#This Row],[Product_Category_Whitespace_Removed]])</f>
        <v>Clothing</v>
      </c>
      <c r="V637" t="s">
        <v>14</v>
      </c>
      <c r="W637" s="2" t="str">
        <f>CLEAN(TRIM(Working_Sales[[#This Row],[Quantity]]))</f>
        <v>4</v>
      </c>
      <c r="X637" s="2">
        <f>INT(Working_Sales[[#This Row],[`]])</f>
        <v>4</v>
      </c>
      <c r="Y637" s="6">
        <f>IFERROR(
   Working_Sales[[#This Row],[Quantity_Converted_To_Integer]],
   Working_Sales[[#This Row],[Total_Amount_Whitespace_Removed]]/Working_Sales[[#This Row],[Price_Per_Unit_Decimal_Separator_Fixed]])</f>
        <v>4</v>
      </c>
      <c r="Z637" t="s">
        <v>57</v>
      </c>
      <c r="AA637" s="2" t="str">
        <f>CLEAN(TRIM(Working_Sales[[#This Row],[Price per Unit]]))</f>
        <v>500</v>
      </c>
      <c r="AB637" s="2">
        <f>INT(
   SUBSTITUTE(Working_Sales[[#This Row],[Price_Per_Unit_Whitespace_Removed]],
   "$",
   ""
   )
)</f>
        <v>500</v>
      </c>
      <c r="AC637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637" s="8">
        <f>IFERROR(
   Working_Sales[[#This Row],[Price_Per_Unit_Decimal_Separator_Fixed]],
   Working_Sales[[#This Row],[Total_Amount_Converted_To_Integer]]/Working_Sales[[#This Row],[Quantity_Converted_To_Integer]]
)</f>
        <v>500</v>
      </c>
      <c r="AE637" t="s">
        <v>232</v>
      </c>
      <c r="AF637" s="2" t="str">
        <f>CLEAN(TRIM(Working_Sales[[#This Row],[Total Amount]]))</f>
        <v>2000</v>
      </c>
      <c r="AG637" s="2">
        <f>INT(Working_Sales[[#This Row],[Total_Amount_Whitespace_Removed]])</f>
        <v>2000</v>
      </c>
      <c r="AH63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638" spans="1:34" x14ac:dyDescent="0.35">
      <c r="A638" t="s">
        <v>1378</v>
      </c>
      <c r="B638" s="6" t="str">
        <f>CLEAN(TRIM(Working_Sales[[#This Row],[Transaction ID]]))</f>
        <v>986</v>
      </c>
      <c r="C638" t="s">
        <v>175</v>
      </c>
      <c r="D638" s="2" t="str">
        <f>CLEAN(TRIM(Working_Sales[[#This Row],[Date]]))</f>
        <v>01/17/2023</v>
      </c>
      <c r="E638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63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44943</v>
      </c>
      <c r="G63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44943</v>
      </c>
      <c r="H638" t="s">
        <v>2748</v>
      </c>
      <c r="I638" s="2" t="str">
        <f>CLEAN(TRIM(Working_Sales[[#This Row],[Customer ID]]))</f>
        <v>cust357</v>
      </c>
      <c r="J63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3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CUST357</v>
      </c>
      <c r="L638" t="s">
        <v>26</v>
      </c>
      <c r="M638" s="4" t="str">
        <f>CLEAN(TRIM(Working_Sales[[#This Row],[Gender]]))</f>
        <v>Female</v>
      </c>
      <c r="N638" s="4" t="str" cm="1">
        <f t="array" ref="N638">_xlfn.SWITCH(
   Working_Sales[[#This Row],[Gender_Whitespace_Removed]],
   "m", "Male",
   "f", "Female",
   Working_Sales[[#This Row],[Gender_Whitespace_Removed]]
)</f>
        <v>Female</v>
      </c>
      <c r="O638" s="6" t="str">
        <f>PROPER(Working_Sales[[#This Row],[Gender_Abbreviation_Expanded]])</f>
        <v>Female</v>
      </c>
      <c r="P638">
        <v>49</v>
      </c>
      <c r="Q638" s="2" t="str">
        <f>CLEAN(TRIM(Working_Sales[[#This Row],[Age]]))</f>
        <v>49</v>
      </c>
      <c r="R638" s="6">
        <f>INT(SUBSTITUTE(Working_Sales[[#This Row],[Age_Whitespace_Removed]],".",","))</f>
        <v>49</v>
      </c>
      <c r="S638" t="s">
        <v>56</v>
      </c>
      <c r="T638" s="2" t="str">
        <f>CLEAN(TRIM(Working_Sales[[#This Row],[Product Category]]))</f>
        <v>Clothing</v>
      </c>
      <c r="U638" s="6" t="str">
        <f>PROPER(Working_Sales[[#This Row],[Product_Category_Whitespace_Removed]])</f>
        <v>Clothing</v>
      </c>
      <c r="V638" t="s">
        <v>37</v>
      </c>
      <c r="W638" s="2" t="str">
        <f>CLEAN(TRIM(Working_Sales[[#This Row],[Quantity]]))</f>
        <v>2</v>
      </c>
      <c r="X638" s="2">
        <f>INT(Working_Sales[[#This Row],[`]])</f>
        <v>2</v>
      </c>
      <c r="Y638" s="6">
        <f>IFERROR(
   Working_Sales[[#This Row],[Quantity_Converted_To_Integer]],
   Working_Sales[[#This Row],[Total_Amount_Whitespace_Removed]]/Working_Sales[[#This Row],[Price_Per_Unit_Decimal_Separator_Fixed]])</f>
        <v>2</v>
      </c>
      <c r="Z638" t="s">
        <v>57</v>
      </c>
      <c r="AA638" s="2" t="str">
        <f>CLEAN(TRIM(Working_Sales[[#This Row],[Price per Unit]]))</f>
        <v>500</v>
      </c>
      <c r="AB638" s="2">
        <f>INT(
   SUBSTITUTE(Working_Sales[[#This Row],[Price_Per_Unit_Whitespace_Removed]],
   "$",
   ""
   )
)</f>
        <v>500</v>
      </c>
      <c r="AC638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638" s="8">
        <f>IFERROR(
   Working_Sales[[#This Row],[Price_Per_Unit_Decimal_Separator_Fixed]],
   Working_Sales[[#This Row],[Total_Amount_Converted_To_Integer]]/Working_Sales[[#This Row],[Quantity_Converted_To_Integer]]
)</f>
        <v>500</v>
      </c>
      <c r="AE638" t="s">
        <v>163</v>
      </c>
      <c r="AF638" s="2" t="str">
        <f>CLEAN(TRIM(Working_Sales[[#This Row],[Total Amount]]))</f>
        <v>1000</v>
      </c>
      <c r="AG638" s="2">
        <f>INT(Working_Sales[[#This Row],[Total_Amount_Whitespace_Removed]])</f>
        <v>1000</v>
      </c>
      <c r="AH63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639" spans="1:34" x14ac:dyDescent="0.35">
      <c r="A639" t="s">
        <v>1379</v>
      </c>
      <c r="B639" s="6" t="str">
        <f>CLEAN(TRIM(Working_Sales[[#This Row],[Transaction ID]]))</f>
        <v>840</v>
      </c>
      <c r="C639" t="s">
        <v>1380</v>
      </c>
      <c r="D639" s="2" t="str">
        <f>CLEAN(TRIM(Working_Sales[[#This Row],[Date]]))</f>
        <v>May 24, 2023</v>
      </c>
      <c r="E639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639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63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45070</v>
      </c>
      <c r="H639" t="s">
        <v>2846</v>
      </c>
      <c r="I639" s="2" t="str">
        <f>CLEAN(TRIM(Working_Sales[[#This Row],[Customer ID]]))</f>
        <v>CUST-405</v>
      </c>
      <c r="J63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3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CUST405</v>
      </c>
      <c r="L639" t="s">
        <v>34</v>
      </c>
      <c r="M639" s="4" t="str">
        <f>CLEAN(TRIM(Working_Sales[[#This Row],[Gender]]))</f>
        <v>Male</v>
      </c>
      <c r="N639" s="4" t="str" cm="1">
        <f t="array" ref="N639">_xlfn.SWITCH(
   Working_Sales[[#This Row],[Gender_Whitespace_Removed]],
   "m", "Male",
   "f", "Female",
   Working_Sales[[#This Row],[Gender_Whitespace_Removed]]
)</f>
        <v>Male</v>
      </c>
      <c r="O639" s="6" t="str">
        <f>PROPER(Working_Sales[[#This Row],[Gender_Abbreviation_Expanded]])</f>
        <v>Male</v>
      </c>
      <c r="P639">
        <v>62</v>
      </c>
      <c r="Q639" s="2" t="str">
        <f>CLEAN(TRIM(Working_Sales[[#This Row],[Age]]))</f>
        <v>62</v>
      </c>
      <c r="R639" s="6">
        <f>INT(SUBSTITUTE(Working_Sales[[#This Row],[Age_Whitespace_Removed]],".",","))</f>
        <v>62</v>
      </c>
      <c r="S639" t="s">
        <v>56</v>
      </c>
      <c r="T639" s="2" t="str">
        <f>CLEAN(TRIM(Working_Sales[[#This Row],[Product Category]]))</f>
        <v>Clothing</v>
      </c>
      <c r="U639" s="6" t="str">
        <f>PROPER(Working_Sales[[#This Row],[Product_Category_Whitespace_Removed]])</f>
        <v>Clothing</v>
      </c>
      <c r="V639" t="s">
        <v>37</v>
      </c>
      <c r="W639" s="2" t="str">
        <f>CLEAN(TRIM(Working_Sales[[#This Row],[Quantity]]))</f>
        <v>2</v>
      </c>
      <c r="X639" s="2">
        <f>INT(Working_Sales[[#This Row],[`]])</f>
        <v>2</v>
      </c>
      <c r="Y639" s="6">
        <f>IFERROR(
   Working_Sales[[#This Row],[Quantity_Converted_To_Integer]],
   Working_Sales[[#This Row],[Total_Amount_Whitespace_Removed]]/Working_Sales[[#This Row],[Price_Per_Unit_Decimal_Separator_Fixed]])</f>
        <v>2</v>
      </c>
      <c r="Z639" t="s">
        <v>30</v>
      </c>
      <c r="AA639" s="2" t="str">
        <f>CLEAN(TRIM(Working_Sales[[#This Row],[Price per Unit]]))</f>
        <v>25</v>
      </c>
      <c r="AB639" s="2">
        <f>INT(
   SUBSTITUTE(Working_Sales[[#This Row],[Price_Per_Unit_Whitespace_Removed]],
   "$",
   ""
   )
)</f>
        <v>25</v>
      </c>
      <c r="AC639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639" s="8">
        <f>IFERROR(
   Working_Sales[[#This Row],[Price_Per_Unit_Decimal_Separator_Fixed]],
   Working_Sales[[#This Row],[Total_Amount_Converted_To_Integer]]/Working_Sales[[#This Row],[Quantity_Converted_To_Integer]]
)</f>
        <v>25</v>
      </c>
      <c r="AE639" t="s">
        <v>15</v>
      </c>
      <c r="AF639" s="2" t="str">
        <f>CLEAN(TRIM(Working_Sales[[#This Row],[Total Amount]]))</f>
        <v>50</v>
      </c>
      <c r="AG639" s="2">
        <f>INT(Working_Sales[[#This Row],[Total_Amount_Whitespace_Removed]])</f>
        <v>50</v>
      </c>
      <c r="AH63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640" spans="1:34" x14ac:dyDescent="0.35">
      <c r="A640" t="s">
        <v>1381</v>
      </c>
      <c r="B640" s="6" t="str">
        <f>CLEAN(TRIM(Working_Sales[[#This Row],[Transaction ID]]))</f>
        <v>104</v>
      </c>
      <c r="C640" t="s">
        <v>2036</v>
      </c>
      <c r="D640" s="2" t="str">
        <f>CLEAN(TRIM(Working_Sales[[#This Row],[Date]]))</f>
        <v>11-Jun-2023</v>
      </c>
      <c r="E64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45088</v>
      </c>
      <c r="F64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45088</v>
      </c>
      <c r="G64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45088</v>
      </c>
      <c r="H640" t="s">
        <v>1401</v>
      </c>
      <c r="I640" s="2" t="str">
        <f>CLEAN(TRIM(Working_Sales[[#This Row],[Customer ID]]))</f>
        <v>CUST406</v>
      </c>
      <c r="J64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CUST406</v>
      </c>
      <c r="K64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CUST406</v>
      </c>
      <c r="L640" t="s">
        <v>112</v>
      </c>
      <c r="M640" s="4" t="str">
        <f>CLEAN(TRIM(Working_Sales[[#This Row],[Gender]]))</f>
        <v>female</v>
      </c>
      <c r="N640" s="4" t="str" cm="1">
        <f t="array" ref="N640">_xlfn.SWITCH(
   Working_Sales[[#This Row],[Gender_Whitespace_Removed]],
   "m", "Male",
   "f", "Female",
   Working_Sales[[#This Row],[Gender_Whitespace_Removed]]
)</f>
        <v>female</v>
      </c>
      <c r="O640" s="6" t="str">
        <f>PROPER(Working_Sales[[#This Row],[Gender_Abbreviation_Expanded]])</f>
        <v>Female</v>
      </c>
      <c r="P640">
        <v>34</v>
      </c>
      <c r="Q640" s="2" t="str">
        <f>CLEAN(TRIM(Working_Sales[[#This Row],[Age]]))</f>
        <v>34</v>
      </c>
      <c r="R640" s="6">
        <f>INT(SUBSTITUTE(Working_Sales[[#This Row],[Age_Whitespace_Removed]],".",","))</f>
        <v>34</v>
      </c>
      <c r="S640" t="s">
        <v>62</v>
      </c>
      <c r="T640" s="2" t="str">
        <f>CLEAN(TRIM(Working_Sales[[#This Row],[Product Category]]))</f>
        <v>beauty</v>
      </c>
      <c r="U640" s="6" t="str">
        <f>PROPER(Working_Sales[[#This Row],[Product_Category_Whitespace_Removed]])</f>
        <v>Beauty</v>
      </c>
      <c r="V640" t="s">
        <v>37</v>
      </c>
      <c r="W640" s="2" t="str">
        <f>CLEAN(TRIM(Working_Sales[[#This Row],[Quantity]]))</f>
        <v>2</v>
      </c>
      <c r="X640" s="2">
        <f>INT(Working_Sales[[#This Row],[`]])</f>
        <v>2</v>
      </c>
      <c r="Y640" s="6">
        <f>IFERROR(
   Working_Sales[[#This Row],[Quantity_Converted_To_Integer]],
   Working_Sales[[#This Row],[Total_Amount_Whitespace_Removed]]/Working_Sales[[#This Row],[Price_Per_Unit_Decimal_Separator_Fixed]])</f>
        <v>2</v>
      </c>
      <c r="Z640" t="s">
        <v>57</v>
      </c>
      <c r="AA640" s="2" t="str">
        <f>CLEAN(TRIM(Working_Sales[[#This Row],[Price per Unit]]))</f>
        <v>500</v>
      </c>
      <c r="AB640" s="2">
        <f>INT(
   SUBSTITUTE(Working_Sales[[#This Row],[Price_Per_Unit_Whitespace_Removed]],
   "$",
   ""
   )
)</f>
        <v>500</v>
      </c>
      <c r="AC640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640" s="8">
        <f>IFERROR(
   Working_Sales[[#This Row],[Price_Per_Unit_Decimal_Separator_Fixed]],
   Working_Sales[[#This Row],[Total_Amount_Converted_To_Integer]]/Working_Sales[[#This Row],[Quantity_Converted_To_Integer]]
)</f>
        <v>500</v>
      </c>
      <c r="AE640" t="s">
        <v>163</v>
      </c>
      <c r="AF640" s="2" t="str">
        <f>CLEAN(TRIM(Working_Sales[[#This Row],[Total Amount]]))</f>
        <v>1000</v>
      </c>
      <c r="AG640" s="2">
        <f>INT(Working_Sales[[#This Row],[Total_Amount_Whitespace_Removed]])</f>
        <v>1000</v>
      </c>
      <c r="AH64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641" spans="1:34" x14ac:dyDescent="0.35">
      <c r="A641" t="s">
        <v>1383</v>
      </c>
      <c r="B641" s="6" t="str">
        <f>CLEAN(TRIM(Working_Sales[[#This Row],[Transaction ID]]))</f>
        <v>594</v>
      </c>
      <c r="C641" t="s">
        <v>1275</v>
      </c>
      <c r="D641" s="2" t="str">
        <f>CLEAN(TRIM(Working_Sales[[#This Row],[Date]]))</f>
        <v>September 01, 2023</v>
      </c>
      <c r="E641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641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64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45170</v>
      </c>
      <c r="H641" t="s">
        <v>2847</v>
      </c>
      <c r="I641" s="2" t="str">
        <f>CLEAN(TRIM(Working_Sales[[#This Row],[Customer ID]]))</f>
        <v>CUST-407</v>
      </c>
      <c r="J64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4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CUST407</v>
      </c>
      <c r="L641" t="s">
        <v>140</v>
      </c>
      <c r="M641" s="4" t="str">
        <f>CLEAN(TRIM(Working_Sales[[#This Row],[Gender]]))</f>
        <v>FEMALE</v>
      </c>
      <c r="N641" s="4" t="str" cm="1">
        <f t="array" ref="N641">_xlfn.SWITCH(
   Working_Sales[[#This Row],[Gender_Whitespace_Removed]],
   "m", "Male",
   "f", "Female",
   Working_Sales[[#This Row],[Gender_Whitespace_Removed]]
)</f>
        <v>FEMALE</v>
      </c>
      <c r="O641" s="6" t="str">
        <f>PROPER(Working_Sales[[#This Row],[Gender_Abbreviation_Expanded]])</f>
        <v>Female</v>
      </c>
      <c r="P641">
        <v>19</v>
      </c>
      <c r="Q641" s="2" t="str">
        <f>CLEAN(TRIM(Working_Sales[[#This Row],[Age]]))</f>
        <v>19</v>
      </c>
      <c r="R641" s="6">
        <f>INT(SUBSTITUTE(Working_Sales[[#This Row],[Age_Whitespace_Removed]],".",","))</f>
        <v>19</v>
      </c>
      <c r="S641" t="s">
        <v>13</v>
      </c>
      <c r="T641" s="2" t="str">
        <f>CLEAN(TRIM(Working_Sales[[#This Row],[Product Category]]))</f>
        <v>Electronics</v>
      </c>
      <c r="U641" s="6" t="str">
        <f>PROPER(Working_Sales[[#This Row],[Product_Category_Whitespace_Removed]])</f>
        <v>Electronics</v>
      </c>
      <c r="V641" t="s">
        <v>37</v>
      </c>
      <c r="W641" s="2" t="str">
        <f>CLEAN(TRIM(Working_Sales[[#This Row],[Quantity]]))</f>
        <v>2</v>
      </c>
      <c r="X641" s="2">
        <f>INT(Working_Sales[[#This Row],[`]])</f>
        <v>2</v>
      </c>
      <c r="Y641" s="6">
        <f>IFERROR(
   Working_Sales[[#This Row],[Quantity_Converted_To_Integer]],
   Working_Sales[[#This Row],[Total_Amount_Whitespace_Removed]]/Working_Sales[[#This Row],[Price_Per_Unit_Decimal_Separator_Fixed]])</f>
        <v>2</v>
      </c>
      <c r="Z641" t="s">
        <v>23</v>
      </c>
      <c r="AA641" s="2" t="str">
        <f>CLEAN(TRIM(Working_Sales[[#This Row],[Price per Unit]]))</f>
        <v>300</v>
      </c>
      <c r="AB641" s="2">
        <f>INT(
   SUBSTITUTE(Working_Sales[[#This Row],[Price_Per_Unit_Whitespace_Removed]],
   "$",
   ""
   )
)</f>
        <v>300</v>
      </c>
      <c r="AC641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641" s="8">
        <f>IFERROR(
   Working_Sales[[#This Row],[Price_Per_Unit_Decimal_Separator_Fixed]],
   Working_Sales[[#This Row],[Total_Amount_Converted_To_Integer]]/Working_Sales[[#This Row],[Quantity_Converted_To_Integer]]
)</f>
        <v>300</v>
      </c>
      <c r="AE641" t="s">
        <v>107</v>
      </c>
      <c r="AF641" s="2" t="str">
        <f>CLEAN(TRIM(Working_Sales[[#This Row],[Total Amount]]))</f>
        <v>600</v>
      </c>
      <c r="AG641" s="2">
        <f>INT(Working_Sales[[#This Row],[Total_Amount_Whitespace_Removed]])</f>
        <v>600</v>
      </c>
      <c r="AH64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600</v>
      </c>
    </row>
    <row r="642" spans="1:34" x14ac:dyDescent="0.35">
      <c r="A642" t="s">
        <v>1384</v>
      </c>
      <c r="B642" s="6" t="str">
        <f>CLEAN(TRIM(Working_Sales[[#This Row],[Transaction ID]]))</f>
        <v>861</v>
      </c>
      <c r="C642" t="s">
        <v>2103</v>
      </c>
      <c r="D642" s="2" t="str">
        <f>CLEAN(TRIM(Working_Sales[[#This Row],[Date]]))</f>
        <v>02/17/2023</v>
      </c>
      <c r="E642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64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44974</v>
      </c>
      <c r="G64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44974</v>
      </c>
      <c r="H642" t="s">
        <v>2848</v>
      </c>
      <c r="I642" s="2" t="str">
        <f>CLEAN(TRIM(Working_Sales[[#This Row],[Customer ID]]))</f>
        <v>CUST-099</v>
      </c>
      <c r="J64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4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CUST099</v>
      </c>
      <c r="L642" t="s">
        <v>112</v>
      </c>
      <c r="M642" s="4" t="str">
        <f>CLEAN(TRIM(Working_Sales[[#This Row],[Gender]]))</f>
        <v>female</v>
      </c>
      <c r="N642" s="4" t="str" cm="1">
        <f t="array" ref="N642">_xlfn.SWITCH(
   Working_Sales[[#This Row],[Gender_Whitespace_Removed]],
   "m", "Male",
   "f", "Female",
   Working_Sales[[#This Row],[Gender_Whitespace_Removed]]
)</f>
        <v>female</v>
      </c>
      <c r="O642" s="6" t="str">
        <f>PROPER(Working_Sales[[#This Row],[Gender_Abbreviation_Expanded]])</f>
        <v>Female</v>
      </c>
      <c r="P642">
        <v>41</v>
      </c>
      <c r="Q642" s="2" t="str">
        <f>CLEAN(TRIM(Working_Sales[[#This Row],[Age]]))</f>
        <v>41</v>
      </c>
      <c r="R642" s="6">
        <f>INT(SUBSTITUTE(Working_Sales[[#This Row],[Age_Whitespace_Removed]],".",","))</f>
        <v>41</v>
      </c>
      <c r="S642" t="s">
        <v>56</v>
      </c>
      <c r="T642" s="2" t="str">
        <f>CLEAN(TRIM(Working_Sales[[#This Row],[Product Category]]))</f>
        <v>Clothing</v>
      </c>
      <c r="U642" s="6" t="str">
        <f>PROPER(Working_Sales[[#This Row],[Product_Category_Whitespace_Removed]])</f>
        <v>Clothing</v>
      </c>
      <c r="V642" t="s">
        <v>29</v>
      </c>
      <c r="W642" s="2" t="str">
        <f>CLEAN(TRIM(Working_Sales[[#This Row],[Quantity]]))</f>
        <v>3</v>
      </c>
      <c r="X642" s="2">
        <f>INT(Working_Sales[[#This Row],[`]])</f>
        <v>3</v>
      </c>
      <c r="Y642" s="6">
        <f>IFERROR(
   Working_Sales[[#This Row],[Quantity_Converted_To_Integer]],
   Working_Sales[[#This Row],[Total_Amount_Whitespace_Removed]]/Working_Sales[[#This Row],[Price_Per_Unit_Decimal_Separator_Fixed]])</f>
        <v>3</v>
      </c>
      <c r="Z642" t="s">
        <v>43</v>
      </c>
      <c r="AA642" s="2" t="str">
        <f>CLEAN(TRIM(Working_Sales[[#This Row],[Price per Unit]]))</f>
        <v>30.00</v>
      </c>
      <c r="AB642" s="2" t="e">
        <f>INT(
   SUBSTITUTE(Working_Sales[[#This Row],[Price_Per_Unit_Whitespace_Removed]],
   "$",
   ""
   )
)</f>
        <v>#VALUE!</v>
      </c>
      <c r="AC642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642" s="8">
        <f>IFERROR(
   Working_Sales[[#This Row],[Price_Per_Unit_Decimal_Separator_Fixed]],
   Working_Sales[[#This Row],[Total_Amount_Converted_To_Integer]]/Working_Sales[[#This Row],[Quantity_Converted_To_Integer]]
)</f>
        <v>30</v>
      </c>
      <c r="AE642" t="s">
        <v>191</v>
      </c>
      <c r="AF642" s="2" t="str">
        <f>CLEAN(TRIM(Working_Sales[[#This Row],[Total Amount]]))</f>
        <v>90</v>
      </c>
      <c r="AG642" s="2">
        <f>INT(Working_Sales[[#This Row],[Total_Amount_Whitespace_Removed]])</f>
        <v>90</v>
      </c>
      <c r="AH64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643" spans="1:34" x14ac:dyDescent="0.35">
      <c r="A643" t="s">
        <v>1385</v>
      </c>
      <c r="B643" s="6" t="str">
        <f>CLEAN(TRIM(Working_Sales[[#This Row],[Transaction ID]]))</f>
        <v>663</v>
      </c>
      <c r="C643" t="s">
        <v>1386</v>
      </c>
      <c r="D643" s="2" t="str">
        <f>CLEAN(TRIM(Working_Sales[[#This Row],[Date]]))</f>
        <v>March 20, 2023</v>
      </c>
      <c r="E643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643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64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45005</v>
      </c>
      <c r="H643" t="s">
        <v>2849</v>
      </c>
      <c r="I643" s="2" t="str">
        <f>CLEAN(TRIM(Working_Sales[[#This Row],[Customer ID]]))</f>
        <v>Cust135</v>
      </c>
      <c r="J64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4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CUST135</v>
      </c>
      <c r="L643" t="s">
        <v>11</v>
      </c>
      <c r="M643" s="4" t="str">
        <f>CLEAN(TRIM(Working_Sales[[#This Row],[Gender]]))</f>
        <v>MALE</v>
      </c>
      <c r="N643" s="4" t="str" cm="1">
        <f t="array" ref="N643">_xlfn.SWITCH(
   Working_Sales[[#This Row],[Gender_Whitespace_Removed]],
   "m", "Male",
   "f", "Female",
   Working_Sales[[#This Row],[Gender_Whitespace_Removed]]
)</f>
        <v>MALE</v>
      </c>
      <c r="O643" s="6" t="str">
        <f>PROPER(Working_Sales[[#This Row],[Gender_Abbreviation_Expanded]])</f>
        <v>Male</v>
      </c>
      <c r="P643" t="s">
        <v>1387</v>
      </c>
      <c r="Q643" s="2" t="str">
        <f>CLEAN(TRIM(Working_Sales[[#This Row],[Age]]))</f>
        <v>23.0</v>
      </c>
      <c r="R643" s="6">
        <f>INT(SUBSTITUTE(Working_Sales[[#This Row],[Age_Whitespace_Removed]],".",","))</f>
        <v>23</v>
      </c>
      <c r="S643" t="s">
        <v>28</v>
      </c>
      <c r="T643" s="2" t="str">
        <f>CLEAN(TRIM(Working_Sales[[#This Row],[Product Category]]))</f>
        <v>clothing</v>
      </c>
      <c r="U643" s="6" t="str">
        <f>PROPER(Working_Sales[[#This Row],[Product_Category_Whitespace_Removed]])</f>
        <v>Clothing</v>
      </c>
      <c r="W643" s="2" t="str">
        <f>CLEAN(TRIM(Working_Sales[[#This Row],[Quantity]]))</f>
        <v/>
      </c>
      <c r="X643" s="2" t="e">
        <f>INT(Working_Sales[[#This Row],[`]])</f>
        <v>#VALUE!</v>
      </c>
      <c r="Y643" s="6">
        <f>IFERROR(
   Working_Sales[[#This Row],[Quantity_Converted_To_Integer]],
   Working_Sales[[#This Row],[Total_Amount_Whitespace_Removed]]/Working_Sales[[#This Row],[Price_Per_Unit_Decimal_Separator_Fixed]])</f>
        <v>4</v>
      </c>
      <c r="Z643" t="s">
        <v>23</v>
      </c>
      <c r="AA643" s="2" t="str">
        <f>CLEAN(TRIM(Working_Sales[[#This Row],[Price per Unit]]))</f>
        <v>300</v>
      </c>
      <c r="AB643" s="2">
        <f>INT(
   SUBSTITUTE(Working_Sales[[#This Row],[Price_Per_Unit_Whitespace_Removed]],
   "$",
   ""
   )
)</f>
        <v>300</v>
      </c>
      <c r="AC643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643" s="8">
        <f>IFERROR(
   Working_Sales[[#This Row],[Price_Per_Unit_Decimal_Separator_Fixed]],
   Working_Sales[[#This Row],[Total_Amount_Converted_To_Integer]]/Working_Sales[[#This Row],[Quantity_Converted_To_Integer]]
)</f>
        <v>300</v>
      </c>
      <c r="AE643" t="s">
        <v>79</v>
      </c>
      <c r="AF643" s="2" t="str">
        <f>CLEAN(TRIM(Working_Sales[[#This Row],[Total Amount]]))</f>
        <v>1200</v>
      </c>
      <c r="AG643" s="2">
        <f>INT(Working_Sales[[#This Row],[Total_Amount_Whitespace_Removed]])</f>
        <v>1200</v>
      </c>
      <c r="AH64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644" spans="1:34" x14ac:dyDescent="0.35">
      <c r="A644" t="s">
        <v>1388</v>
      </c>
      <c r="B644" s="6" t="str">
        <f>CLEAN(TRIM(Working_Sales[[#This Row],[Transaction ID]]))</f>
        <v>228</v>
      </c>
      <c r="C644" t="s">
        <v>992</v>
      </c>
      <c r="D644" s="2" t="str">
        <f>CLEAN(TRIM(Working_Sales[[#This Row],[Date]]))</f>
        <v>04/28/2023</v>
      </c>
      <c r="E644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64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45044</v>
      </c>
      <c r="G64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45044</v>
      </c>
      <c r="H644" t="s">
        <v>2850</v>
      </c>
      <c r="I644" s="2" t="str">
        <f>CLEAN(TRIM(Working_Sales[[#This Row],[Customer ID]]))</f>
        <v>cust408</v>
      </c>
      <c r="J64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4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CUST408</v>
      </c>
      <c r="L644" t="s">
        <v>140</v>
      </c>
      <c r="M644" s="4" t="str">
        <f>CLEAN(TRIM(Working_Sales[[#This Row],[Gender]]))</f>
        <v>FEMALE</v>
      </c>
      <c r="N644" s="4" t="str" cm="1">
        <f t="array" ref="N644">_xlfn.SWITCH(
   Working_Sales[[#This Row],[Gender_Whitespace_Removed]],
   "m", "Male",
   "f", "Female",
   Working_Sales[[#This Row],[Gender_Whitespace_Removed]]
)</f>
        <v>FEMALE</v>
      </c>
      <c r="O644" s="6" t="str">
        <f>PROPER(Working_Sales[[#This Row],[Gender_Abbreviation_Expanded]])</f>
        <v>Female</v>
      </c>
      <c r="P644">
        <v>59</v>
      </c>
      <c r="Q644" s="2" t="str">
        <f>CLEAN(TRIM(Working_Sales[[#This Row],[Age]]))</f>
        <v>59</v>
      </c>
      <c r="R644" s="6">
        <f>INT(SUBSTITUTE(Working_Sales[[#This Row],[Age_Whitespace_Removed]],".",","))</f>
        <v>59</v>
      </c>
      <c r="S644" t="s">
        <v>13</v>
      </c>
      <c r="T644" s="2" t="str">
        <f>CLEAN(TRIM(Working_Sales[[#This Row],[Product Category]]))</f>
        <v>Electronics</v>
      </c>
      <c r="U644" s="6" t="str">
        <f>PROPER(Working_Sales[[#This Row],[Product_Category_Whitespace_Removed]])</f>
        <v>Electronics</v>
      </c>
      <c r="V644" t="s">
        <v>37</v>
      </c>
      <c r="W644" s="2" t="str">
        <f>CLEAN(TRIM(Working_Sales[[#This Row],[Quantity]]))</f>
        <v>2</v>
      </c>
      <c r="X644" s="2">
        <f>INT(Working_Sales[[#This Row],[`]])</f>
        <v>2</v>
      </c>
      <c r="Y644" s="6">
        <f>IFERROR(
   Working_Sales[[#This Row],[Quantity_Converted_To_Integer]],
   Working_Sales[[#This Row],[Total_Amount_Whitespace_Removed]]/Working_Sales[[#This Row],[Price_Per_Unit_Decimal_Separator_Fixed]])</f>
        <v>2</v>
      </c>
      <c r="Z644" t="s">
        <v>70</v>
      </c>
      <c r="AA644" s="2" t="str">
        <f>CLEAN(TRIM(Working_Sales[[#This Row],[Price per Unit]]))</f>
        <v>30</v>
      </c>
      <c r="AB644" s="2">
        <f>INT(
   SUBSTITUTE(Working_Sales[[#This Row],[Price_Per_Unit_Whitespace_Removed]],
   "$",
   ""
   )
)</f>
        <v>30</v>
      </c>
      <c r="AC644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644" s="8">
        <f>IFERROR(
   Working_Sales[[#This Row],[Price_Per_Unit_Decimal_Separator_Fixed]],
   Working_Sales[[#This Row],[Total_Amount_Converted_To_Integer]]/Working_Sales[[#This Row],[Quantity_Converted_To_Integer]]
)</f>
        <v>30</v>
      </c>
      <c r="AE644" t="s">
        <v>71</v>
      </c>
      <c r="AF644" s="2" t="str">
        <f>CLEAN(TRIM(Working_Sales[[#This Row],[Total Amount]]))</f>
        <v>60</v>
      </c>
      <c r="AG644" s="2">
        <f>INT(Working_Sales[[#This Row],[Total_Amount_Whitespace_Removed]])</f>
        <v>60</v>
      </c>
      <c r="AH64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645" spans="1:34" x14ac:dyDescent="0.35">
      <c r="A645" t="s">
        <v>1389</v>
      </c>
      <c r="B645" s="6" t="str">
        <f>CLEAN(TRIM(Working_Sales[[#This Row],[Transaction ID]]))</f>
        <v>939</v>
      </c>
      <c r="C645" t="s">
        <v>193</v>
      </c>
      <c r="D645" s="2" t="str">
        <f>CLEAN(TRIM(Working_Sales[[#This Row],[Date]]))</f>
        <v>12/18/2023</v>
      </c>
      <c r="E645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64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45278</v>
      </c>
      <c r="G64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45278</v>
      </c>
      <c r="H645" t="s">
        <v>2851</v>
      </c>
      <c r="I645" s="2" t="str">
        <f>CLEAN(TRIM(Working_Sales[[#This Row],[Customer ID]]))</f>
        <v>CUST409</v>
      </c>
      <c r="J64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CUST409</v>
      </c>
      <c r="K64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CUST409</v>
      </c>
      <c r="L645" t="s">
        <v>46</v>
      </c>
      <c r="M645" s="4" t="str">
        <f>CLEAN(TRIM(Working_Sales[[#This Row],[Gender]]))</f>
        <v>F</v>
      </c>
      <c r="N645" s="4" t="str" cm="1">
        <f t="array" ref="N645">_xlfn.SWITCH(
   Working_Sales[[#This Row],[Gender_Whitespace_Removed]],
   "m", "Male",
   "f", "Female",
   Working_Sales[[#This Row],[Gender_Whitespace_Removed]]
)</f>
        <v>Female</v>
      </c>
      <c r="O645" s="6" t="str">
        <f>PROPER(Working_Sales[[#This Row],[Gender_Abbreviation_Expanded]])</f>
        <v>Female</v>
      </c>
      <c r="P645">
        <v>46</v>
      </c>
      <c r="Q645" s="2" t="str">
        <f>CLEAN(TRIM(Working_Sales[[#This Row],[Age]]))</f>
        <v>46</v>
      </c>
      <c r="R645" s="6">
        <f>INT(SUBSTITUTE(Working_Sales[[#This Row],[Age_Whitespace_Removed]],".",","))</f>
        <v>46</v>
      </c>
      <c r="S645" t="s">
        <v>13</v>
      </c>
      <c r="T645" s="2" t="str">
        <f>CLEAN(TRIM(Working_Sales[[#This Row],[Product Category]]))</f>
        <v>Electronics</v>
      </c>
      <c r="U645" s="6" t="str">
        <f>PROPER(Working_Sales[[#This Row],[Product_Category_Whitespace_Removed]])</f>
        <v>Electronics</v>
      </c>
      <c r="V645" t="s">
        <v>22</v>
      </c>
      <c r="W645" s="2" t="str">
        <f>CLEAN(TRIM(Working_Sales[[#This Row],[Quantity]]))</f>
        <v>1</v>
      </c>
      <c r="X645" s="2">
        <f>INT(Working_Sales[[#This Row],[`]])</f>
        <v>1</v>
      </c>
      <c r="Y645" s="6">
        <f>IFERROR(
   Working_Sales[[#This Row],[Quantity_Converted_To_Integer]],
   Working_Sales[[#This Row],[Total_Amount_Whitespace_Removed]]/Working_Sales[[#This Row],[Price_Per_Unit_Decimal_Separator_Fixed]])</f>
        <v>1</v>
      </c>
      <c r="Z645" t="s">
        <v>186</v>
      </c>
      <c r="AA645" s="2" t="str">
        <f>CLEAN(TRIM(Working_Sales[[#This Row],[Price per Unit]]))</f>
        <v>$300</v>
      </c>
      <c r="AB645" s="2">
        <f>INT(
   SUBSTITUTE(Working_Sales[[#This Row],[Price_Per_Unit_Whitespace_Removed]],
   "$",
   ""
   )
)</f>
        <v>300</v>
      </c>
      <c r="AC645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645" s="8">
        <f>IFERROR(
   Working_Sales[[#This Row],[Price_Per_Unit_Decimal_Separator_Fixed]],
   Working_Sales[[#This Row],[Total_Amount_Converted_To_Integer]]/Working_Sales[[#This Row],[Quantity_Converted_To_Integer]]
)</f>
        <v>300</v>
      </c>
      <c r="AE645" t="s">
        <v>23</v>
      </c>
      <c r="AF645" s="2" t="str">
        <f>CLEAN(TRIM(Working_Sales[[#This Row],[Total Amount]]))</f>
        <v>300</v>
      </c>
      <c r="AG645" s="2">
        <f>INT(Working_Sales[[#This Row],[Total_Amount_Whitespace_Removed]])</f>
        <v>300</v>
      </c>
      <c r="AH64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646" spans="1:34" x14ac:dyDescent="0.35">
      <c r="A646" t="s">
        <v>1390</v>
      </c>
      <c r="B646" s="6" t="str">
        <f>CLEAN(TRIM(Working_Sales[[#This Row],[Transaction ID]]))</f>
        <v>302</v>
      </c>
      <c r="C646" t="s">
        <v>1391</v>
      </c>
      <c r="D646" s="2" t="str">
        <f>CLEAN(TRIM(Working_Sales[[#This Row],[Date]]))</f>
        <v>14/07/2023</v>
      </c>
      <c r="E64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45121</v>
      </c>
      <c r="F64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45121</v>
      </c>
      <c r="G64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45121</v>
      </c>
      <c r="H646" t="s">
        <v>304</v>
      </c>
      <c r="I646" s="2" t="str">
        <f>CLEAN(TRIM(Working_Sales[[#This Row],[Customer ID]]))</f>
        <v>CUST410</v>
      </c>
      <c r="J64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CUST410</v>
      </c>
      <c r="K64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CUST410</v>
      </c>
      <c r="L646" t="s">
        <v>34</v>
      </c>
      <c r="M646" s="4" t="str">
        <f>CLEAN(TRIM(Working_Sales[[#This Row],[Gender]]))</f>
        <v>Male</v>
      </c>
      <c r="N646" s="4" t="str" cm="1">
        <f t="array" ref="N646">_xlfn.SWITCH(
   Working_Sales[[#This Row],[Gender_Whitespace_Removed]],
   "m", "Male",
   "f", "Female",
   Working_Sales[[#This Row],[Gender_Whitespace_Removed]]
)</f>
        <v>Male</v>
      </c>
      <c r="O646" s="6" t="str">
        <f>PROPER(Working_Sales[[#This Row],[Gender_Abbreviation_Expanded]])</f>
        <v>Male</v>
      </c>
      <c r="P646" t="s">
        <v>726</v>
      </c>
      <c r="Q646" s="2" t="str">
        <f>CLEAN(TRIM(Working_Sales[[#This Row],[Age]]))</f>
        <v>57</v>
      </c>
      <c r="R646" s="6">
        <f>INT(SUBSTITUTE(Working_Sales[[#This Row],[Age_Whitespace_Removed]],".",","))</f>
        <v>57</v>
      </c>
      <c r="S646" t="s">
        <v>62</v>
      </c>
      <c r="T646" s="2" t="str">
        <f>CLEAN(TRIM(Working_Sales[[#This Row],[Product Category]]))</f>
        <v>beauty</v>
      </c>
      <c r="U646" s="6" t="str">
        <f>PROPER(Working_Sales[[#This Row],[Product_Category_Whitespace_Removed]])</f>
        <v>Beauty</v>
      </c>
      <c r="V646" t="s">
        <v>37</v>
      </c>
      <c r="W646" s="2" t="str">
        <f>CLEAN(TRIM(Working_Sales[[#This Row],[Quantity]]))</f>
        <v>2</v>
      </c>
      <c r="X646" s="2">
        <f>INT(Working_Sales[[#This Row],[`]])</f>
        <v>2</v>
      </c>
      <c r="Y646" s="6">
        <f>IFERROR(
   Working_Sales[[#This Row],[Quantity_Converted_To_Integer]],
   Working_Sales[[#This Row],[Total_Amount_Whitespace_Removed]]/Working_Sales[[#This Row],[Price_Per_Unit_Decimal_Separator_Fixed]])</f>
        <v>2</v>
      </c>
      <c r="Z646" t="s">
        <v>186</v>
      </c>
      <c r="AA646" s="2" t="str">
        <f>CLEAN(TRIM(Working_Sales[[#This Row],[Price per Unit]]))</f>
        <v>$300</v>
      </c>
      <c r="AB646" s="2">
        <f>INT(
   SUBSTITUTE(Working_Sales[[#This Row],[Price_Per_Unit_Whitespace_Removed]],
   "$",
   ""
   )
)</f>
        <v>300</v>
      </c>
      <c r="AC646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646" s="8">
        <f>IFERROR(
   Working_Sales[[#This Row],[Price_Per_Unit_Decimal_Separator_Fixed]],
   Working_Sales[[#This Row],[Total_Amount_Converted_To_Integer]]/Working_Sales[[#This Row],[Quantity_Converted_To_Integer]]
)</f>
        <v>300</v>
      </c>
      <c r="AE646" t="s">
        <v>107</v>
      </c>
      <c r="AF646" s="2" t="str">
        <f>CLEAN(TRIM(Working_Sales[[#This Row],[Total Amount]]))</f>
        <v>600</v>
      </c>
      <c r="AG646" s="2">
        <f>INT(Working_Sales[[#This Row],[Total_Amount_Whitespace_Removed]])</f>
        <v>600</v>
      </c>
      <c r="AH64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600</v>
      </c>
    </row>
    <row r="647" spans="1:34" x14ac:dyDescent="0.35">
      <c r="A647" t="s">
        <v>1393</v>
      </c>
      <c r="B647" s="6" t="str">
        <f>CLEAN(TRIM(Working_Sales[[#This Row],[Transaction ID]]))</f>
        <v>276</v>
      </c>
      <c r="C647" t="s">
        <v>670</v>
      </c>
      <c r="D647" s="2" t="str">
        <f>CLEAN(TRIM(Working_Sales[[#This Row],[Date]]))</f>
        <v>2023-10-02</v>
      </c>
      <c r="E64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45201</v>
      </c>
      <c r="F64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45201</v>
      </c>
      <c r="G64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45201</v>
      </c>
      <c r="H647" t="s">
        <v>2819</v>
      </c>
      <c r="I647" s="2" t="str">
        <f>CLEAN(TRIM(Working_Sales[[#This Row],[Customer ID]]))</f>
        <v>CUST391</v>
      </c>
      <c r="J64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CUST391</v>
      </c>
      <c r="K64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CUST391</v>
      </c>
      <c r="L647" t="s">
        <v>26</v>
      </c>
      <c r="M647" s="4" t="str">
        <f>CLEAN(TRIM(Working_Sales[[#This Row],[Gender]]))</f>
        <v>Female</v>
      </c>
      <c r="N647" s="4" t="str" cm="1">
        <f t="array" ref="N647">_xlfn.SWITCH(
   Working_Sales[[#This Row],[Gender_Whitespace_Removed]],
   "m", "Male",
   "f", "Female",
   Working_Sales[[#This Row],[Gender_Whitespace_Removed]]
)</f>
        <v>Female</v>
      </c>
      <c r="O647" s="6" t="str">
        <f>PROPER(Working_Sales[[#This Row],[Gender_Abbreviation_Expanded]])</f>
        <v>Female</v>
      </c>
      <c r="P647">
        <v>21</v>
      </c>
      <c r="Q647" s="2" t="str">
        <f>CLEAN(TRIM(Working_Sales[[#This Row],[Age]]))</f>
        <v>21</v>
      </c>
      <c r="R647" s="6">
        <f>INT(SUBSTITUTE(Working_Sales[[#This Row],[Age_Whitespace_Removed]],".",","))</f>
        <v>21</v>
      </c>
      <c r="S647" t="s">
        <v>36</v>
      </c>
      <c r="T647" s="2" t="str">
        <f>CLEAN(TRIM(Working_Sales[[#This Row],[Product Category]]))</f>
        <v>Beauty</v>
      </c>
      <c r="U647" s="6" t="str">
        <f>PROPER(Working_Sales[[#This Row],[Product_Category_Whitespace_Removed]])</f>
        <v>Beauty</v>
      </c>
      <c r="V647" t="s">
        <v>14</v>
      </c>
      <c r="W647" s="2" t="str">
        <f>CLEAN(TRIM(Working_Sales[[#This Row],[Quantity]]))</f>
        <v>4</v>
      </c>
      <c r="X647" s="2">
        <f>INT(Working_Sales[[#This Row],[`]])</f>
        <v>4</v>
      </c>
      <c r="Y647" s="6">
        <f>IFERROR(
   Working_Sales[[#This Row],[Quantity_Converted_To_Integer]],
   Working_Sales[[#This Row],[Total_Amount_Whitespace_Removed]]/Working_Sales[[#This Row],[Price_Per_Unit_Decimal_Separator_Fixed]])</f>
        <v>4</v>
      </c>
      <c r="Z647" t="s">
        <v>30</v>
      </c>
      <c r="AA647" s="2" t="str">
        <f>CLEAN(TRIM(Working_Sales[[#This Row],[Price per Unit]]))</f>
        <v>25</v>
      </c>
      <c r="AB647" s="2">
        <f>INT(
   SUBSTITUTE(Working_Sales[[#This Row],[Price_Per_Unit_Whitespace_Removed]],
   "$",
   ""
   )
)</f>
        <v>25</v>
      </c>
      <c r="AC647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647" s="8">
        <f>IFERROR(
   Working_Sales[[#This Row],[Price_Per_Unit_Decimal_Separator_Fixed]],
   Working_Sales[[#This Row],[Total_Amount_Converted_To_Integer]]/Working_Sales[[#This Row],[Quantity_Converted_To_Integer]]
)</f>
        <v>25</v>
      </c>
      <c r="AE647" t="s">
        <v>38</v>
      </c>
      <c r="AF647" s="2" t="str">
        <f>CLEAN(TRIM(Working_Sales[[#This Row],[Total Amount]]))</f>
        <v>100</v>
      </c>
      <c r="AG647" s="2">
        <f>INT(Working_Sales[[#This Row],[Total_Amount_Whitespace_Removed]])</f>
        <v>100</v>
      </c>
      <c r="AH64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648" spans="1:34" x14ac:dyDescent="0.35">
      <c r="A648" t="s">
        <v>1395</v>
      </c>
      <c r="B648" s="6" t="str">
        <f>CLEAN(TRIM(Working_Sales[[#This Row],[Transaction ID]]))</f>
        <v>127</v>
      </c>
      <c r="C648" t="s">
        <v>1396</v>
      </c>
      <c r="D648" s="2" t="str">
        <f>CLEAN(TRIM(Working_Sales[[#This Row],[Date]]))</f>
        <v>2023-07-24</v>
      </c>
      <c r="E64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45131</v>
      </c>
      <c r="F64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45131</v>
      </c>
      <c r="G64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45131</v>
      </c>
      <c r="H648" t="s">
        <v>2852</v>
      </c>
      <c r="I648" s="2" t="str">
        <f>CLEAN(TRIM(Working_Sales[[#This Row],[Customer ID]]))</f>
        <v>CUST303</v>
      </c>
      <c r="J64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CUST303</v>
      </c>
      <c r="K64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CUST303</v>
      </c>
      <c r="L648" t="s">
        <v>26</v>
      </c>
      <c r="M648" s="4" t="str">
        <f>CLEAN(TRIM(Working_Sales[[#This Row],[Gender]]))</f>
        <v>Female</v>
      </c>
      <c r="N648" s="4" t="str" cm="1">
        <f t="array" ref="N648">_xlfn.SWITCH(
   Working_Sales[[#This Row],[Gender_Whitespace_Removed]],
   "m", "Male",
   "f", "Female",
   Working_Sales[[#This Row],[Gender_Whitespace_Removed]]
)</f>
        <v>Female</v>
      </c>
      <c r="O648" s="6" t="str">
        <f>PROPER(Working_Sales[[#This Row],[Gender_Abbreviation_Expanded]])</f>
        <v>Female</v>
      </c>
      <c r="P648" t="s">
        <v>1398</v>
      </c>
      <c r="Q648" s="2" t="str">
        <f>CLEAN(TRIM(Working_Sales[[#This Row],[Age]]))</f>
        <v>33.0</v>
      </c>
      <c r="R648" s="6">
        <f>INT(SUBSTITUTE(Working_Sales[[#This Row],[Age_Whitespace_Removed]],".",","))</f>
        <v>33</v>
      </c>
      <c r="S648" t="s">
        <v>89</v>
      </c>
      <c r="T648" s="2" t="str">
        <f>CLEAN(TRIM(Working_Sales[[#This Row],[Product Category]]))</f>
        <v>CLOTHING</v>
      </c>
      <c r="U648" s="6" t="str">
        <f>PROPER(Working_Sales[[#This Row],[Product_Category_Whitespace_Removed]])</f>
        <v>Clothing</v>
      </c>
      <c r="V648" t="s">
        <v>37</v>
      </c>
      <c r="W648" s="2" t="str">
        <f>CLEAN(TRIM(Working_Sales[[#This Row],[Quantity]]))</f>
        <v>2</v>
      </c>
      <c r="X648" s="2">
        <f>INT(Working_Sales[[#This Row],[`]])</f>
        <v>2</v>
      </c>
      <c r="Y648" s="6">
        <f>IFERROR(
   Working_Sales[[#This Row],[Quantity_Converted_To_Integer]],
   Working_Sales[[#This Row],[Total_Amount_Whitespace_Removed]]/Working_Sales[[#This Row],[Price_Per_Unit_Decimal_Separator_Fixed]])</f>
        <v>2</v>
      </c>
      <c r="Z648" t="s">
        <v>30</v>
      </c>
      <c r="AA648" s="2" t="str">
        <f>CLEAN(TRIM(Working_Sales[[#This Row],[Price per Unit]]))</f>
        <v>25</v>
      </c>
      <c r="AB648" s="2">
        <f>INT(
   SUBSTITUTE(Working_Sales[[#This Row],[Price_Per_Unit_Whitespace_Removed]],
   "$",
   ""
   )
)</f>
        <v>25</v>
      </c>
      <c r="AC648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648" s="8">
        <f>IFERROR(
   Working_Sales[[#This Row],[Price_Per_Unit_Decimal_Separator_Fixed]],
   Working_Sales[[#This Row],[Total_Amount_Converted_To_Integer]]/Working_Sales[[#This Row],[Quantity_Converted_To_Integer]]
)</f>
        <v>25</v>
      </c>
      <c r="AE648" t="s">
        <v>15</v>
      </c>
      <c r="AF648" s="2" t="str">
        <f>CLEAN(TRIM(Working_Sales[[#This Row],[Total Amount]]))</f>
        <v>50</v>
      </c>
      <c r="AG648" s="2">
        <f>INT(Working_Sales[[#This Row],[Total_Amount_Whitespace_Removed]])</f>
        <v>50</v>
      </c>
      <c r="AH64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649" spans="1:34" x14ac:dyDescent="0.35">
      <c r="A649" t="s">
        <v>1399</v>
      </c>
      <c r="B649" s="6" t="str">
        <f>CLEAN(TRIM(Working_Sales[[#This Row],[Transaction ID]]))</f>
        <v>406</v>
      </c>
      <c r="C649" t="s">
        <v>1400</v>
      </c>
      <c r="D649" s="2" t="str">
        <f>CLEAN(TRIM(Working_Sales[[#This Row],[Date]]))</f>
        <v>2023-04-18</v>
      </c>
      <c r="E64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45034</v>
      </c>
      <c r="F64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45034</v>
      </c>
      <c r="G64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45034</v>
      </c>
      <c r="H649" t="s">
        <v>2853</v>
      </c>
      <c r="I649" s="2" t="str">
        <f>CLEAN(TRIM(Working_Sales[[#This Row],[Customer ID]]))</f>
        <v>CUST-411</v>
      </c>
      <c r="J64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4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CUST411</v>
      </c>
      <c r="L649" t="s">
        <v>46</v>
      </c>
      <c r="M649" s="4" t="str">
        <f>CLEAN(TRIM(Working_Sales[[#This Row],[Gender]]))</f>
        <v>F</v>
      </c>
      <c r="N649" s="4" t="str" cm="1">
        <f t="array" ref="N649">_xlfn.SWITCH(
   Working_Sales[[#This Row],[Gender_Whitespace_Removed]],
   "m", "Male",
   "f", "Female",
   Working_Sales[[#This Row],[Gender_Whitespace_Removed]]
)</f>
        <v>Female</v>
      </c>
      <c r="O649" s="6" t="str">
        <f>PROPER(Working_Sales[[#This Row],[Gender_Abbreviation_Expanded]])</f>
        <v>Female</v>
      </c>
      <c r="P649" t="s">
        <v>1402</v>
      </c>
      <c r="Q649" s="2" t="str">
        <f>CLEAN(TRIM(Working_Sales[[#This Row],[Age]]))</f>
        <v>22.0</v>
      </c>
      <c r="R649" s="6">
        <f>INT(SUBSTITUTE(Working_Sales[[#This Row],[Age_Whitespace_Removed]],".",","))</f>
        <v>22</v>
      </c>
      <c r="S649" t="s">
        <v>69</v>
      </c>
      <c r="T649" s="2" t="str">
        <f>CLEAN(TRIM(Working_Sales[[#This Row],[Product Category]]))</f>
        <v>BEAUTY</v>
      </c>
      <c r="U649" s="6" t="str">
        <f>PROPER(Working_Sales[[#This Row],[Product_Category_Whitespace_Removed]])</f>
        <v>Beauty</v>
      </c>
      <c r="V649" t="s">
        <v>14</v>
      </c>
      <c r="W649" s="2" t="str">
        <f>CLEAN(TRIM(Working_Sales[[#This Row],[Quantity]]))</f>
        <v>4</v>
      </c>
      <c r="X649" s="2">
        <f>INT(Working_Sales[[#This Row],[`]])</f>
        <v>4</v>
      </c>
      <c r="Y649" s="6">
        <f>IFERROR(
   Working_Sales[[#This Row],[Quantity_Converted_To_Integer]],
   Working_Sales[[#This Row],[Total_Amount_Whitespace_Removed]]/Working_Sales[[#This Row],[Price_Per_Unit_Decimal_Separator_Fixed]])</f>
        <v>4</v>
      </c>
      <c r="Z649" t="s">
        <v>30</v>
      </c>
      <c r="AA649" s="2" t="str">
        <f>CLEAN(TRIM(Working_Sales[[#This Row],[Price per Unit]]))</f>
        <v>25</v>
      </c>
      <c r="AB649" s="2">
        <f>INT(
   SUBSTITUTE(Working_Sales[[#This Row],[Price_Per_Unit_Whitespace_Removed]],
   "$",
   ""
   )
)</f>
        <v>25</v>
      </c>
      <c r="AC649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649" s="8">
        <f>IFERROR(
   Working_Sales[[#This Row],[Price_Per_Unit_Decimal_Separator_Fixed]],
   Working_Sales[[#This Row],[Total_Amount_Converted_To_Integer]]/Working_Sales[[#This Row],[Quantity_Converted_To_Integer]]
)</f>
        <v>25</v>
      </c>
      <c r="AE649" t="s">
        <v>38</v>
      </c>
      <c r="AF649" s="2" t="str">
        <f>CLEAN(TRIM(Working_Sales[[#This Row],[Total Amount]]))</f>
        <v>100</v>
      </c>
      <c r="AG649" s="2">
        <f>INT(Working_Sales[[#This Row],[Total_Amount_Whitespace_Removed]])</f>
        <v>100</v>
      </c>
      <c r="AH64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650" spans="1:34" x14ac:dyDescent="0.35">
      <c r="A650" t="s">
        <v>1403</v>
      </c>
      <c r="B650" s="6" t="str">
        <f>CLEAN(TRIM(Working_Sales[[#This Row],[Transaction ID]]))</f>
        <v>898</v>
      </c>
      <c r="C650" t="s">
        <v>1404</v>
      </c>
      <c r="D650" s="2" t="str">
        <f>CLEAN(TRIM(Working_Sales[[#This Row],[Date]]))</f>
        <v>2023-11-02</v>
      </c>
      <c r="E65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45232</v>
      </c>
      <c r="F65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45232</v>
      </c>
      <c r="G65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45232</v>
      </c>
      <c r="H650" t="s">
        <v>2854</v>
      </c>
      <c r="I650" s="2" t="str">
        <f>CLEAN(TRIM(Working_Sales[[#This Row],[Customer ID]]))</f>
        <v>cust412</v>
      </c>
      <c r="J65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5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CUST412</v>
      </c>
      <c r="L650" t="s">
        <v>26</v>
      </c>
      <c r="M650" s="4" t="str">
        <f>CLEAN(TRIM(Working_Sales[[#This Row],[Gender]]))</f>
        <v>Female</v>
      </c>
      <c r="N650" s="4" t="str" cm="1">
        <f t="array" ref="N650">_xlfn.SWITCH(
   Working_Sales[[#This Row],[Gender_Whitespace_Removed]],
   "m", "Male",
   "f", "Female",
   Working_Sales[[#This Row],[Gender_Whitespace_Removed]]
)</f>
        <v>Female</v>
      </c>
      <c r="O650" s="6" t="str">
        <f>PROPER(Working_Sales[[#This Row],[Gender_Abbreviation_Expanded]])</f>
        <v>Female</v>
      </c>
      <c r="P650">
        <v>42</v>
      </c>
      <c r="Q650" s="2" t="str">
        <f>CLEAN(TRIM(Working_Sales[[#This Row],[Age]]))</f>
        <v>42</v>
      </c>
      <c r="R650" s="6">
        <f>INT(SUBSTITUTE(Working_Sales[[#This Row],[Age_Whitespace_Removed]],".",","))</f>
        <v>42</v>
      </c>
      <c r="S650" t="s">
        <v>56</v>
      </c>
      <c r="T650" s="2" t="str">
        <f>CLEAN(TRIM(Working_Sales[[#This Row],[Product Category]]))</f>
        <v>Clothing</v>
      </c>
      <c r="U650" s="6" t="str">
        <f>PROPER(Working_Sales[[#This Row],[Product_Category_Whitespace_Removed]])</f>
        <v>Clothing</v>
      </c>
      <c r="V650" t="s">
        <v>29</v>
      </c>
      <c r="W650" s="2" t="str">
        <f>CLEAN(TRIM(Working_Sales[[#This Row],[Quantity]]))</f>
        <v>3</v>
      </c>
      <c r="X650" s="2">
        <f>INT(Working_Sales[[#This Row],[`]])</f>
        <v>3</v>
      </c>
      <c r="Y650" s="6">
        <f>IFERROR(
   Working_Sales[[#This Row],[Quantity_Converted_To_Integer]],
   Working_Sales[[#This Row],[Total_Amount_Whitespace_Removed]]/Working_Sales[[#This Row],[Price_Per_Unit_Decimal_Separator_Fixed]])</f>
        <v>3</v>
      </c>
      <c r="Z650" t="s">
        <v>70</v>
      </c>
      <c r="AA650" s="2" t="str">
        <f>CLEAN(TRIM(Working_Sales[[#This Row],[Price per Unit]]))</f>
        <v>30</v>
      </c>
      <c r="AB650" s="2">
        <f>INT(
   SUBSTITUTE(Working_Sales[[#This Row],[Price_Per_Unit_Whitespace_Removed]],
   "$",
   ""
   )
)</f>
        <v>30</v>
      </c>
      <c r="AC650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650" s="8">
        <f>IFERROR(
   Working_Sales[[#This Row],[Price_Per_Unit_Decimal_Separator_Fixed]],
   Working_Sales[[#This Row],[Total_Amount_Converted_To_Integer]]/Working_Sales[[#This Row],[Quantity_Converted_To_Integer]]
)</f>
        <v>30</v>
      </c>
      <c r="AE650" t="s">
        <v>191</v>
      </c>
      <c r="AF650" s="2" t="str">
        <f>CLEAN(TRIM(Working_Sales[[#This Row],[Total Amount]]))</f>
        <v>90</v>
      </c>
      <c r="AG650" s="2">
        <f>INT(Working_Sales[[#This Row],[Total_Amount_Whitespace_Removed]])</f>
        <v>90</v>
      </c>
      <c r="AH65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651" spans="1:34" x14ac:dyDescent="0.35">
      <c r="A651" t="s">
        <v>281</v>
      </c>
      <c r="B651" s="6" t="str">
        <f>CLEAN(TRIM(Working_Sales[[#This Row],[Transaction ID]]))</f>
        <v>37</v>
      </c>
      <c r="C651" t="s">
        <v>1084</v>
      </c>
      <c r="D651" s="2" t="str">
        <f>CLEAN(TRIM(Working_Sales[[#This Row],[Date]]))</f>
        <v>05/23/2023</v>
      </c>
      <c r="E651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65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45069</v>
      </c>
      <c r="G65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45069</v>
      </c>
      <c r="H651" t="s">
        <v>2855</v>
      </c>
      <c r="I651" s="2" t="str">
        <f>CLEAN(TRIM(Working_Sales[[#This Row],[Customer ID]]))</f>
        <v>Cust413</v>
      </c>
      <c r="J65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5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CUST413</v>
      </c>
      <c r="L651" t="s">
        <v>26</v>
      </c>
      <c r="M651" s="4" t="str">
        <f>CLEAN(TRIM(Working_Sales[[#This Row],[Gender]]))</f>
        <v>Female</v>
      </c>
      <c r="N651" s="4" t="str" cm="1">
        <f t="array" ref="N651">_xlfn.SWITCH(
   Working_Sales[[#This Row],[Gender_Whitespace_Removed]],
   "m", "Male",
   "f", "Female",
   Working_Sales[[#This Row],[Gender_Whitespace_Removed]]
)</f>
        <v>Female</v>
      </c>
      <c r="O651" s="6" t="str">
        <f>PROPER(Working_Sales[[#This Row],[Gender_Abbreviation_Expanded]])</f>
        <v>Female</v>
      </c>
      <c r="P651">
        <v>18</v>
      </c>
      <c r="Q651" s="2" t="str">
        <f>CLEAN(TRIM(Working_Sales[[#This Row],[Age]]))</f>
        <v>18</v>
      </c>
      <c r="R651" s="6">
        <f>INT(SUBSTITUTE(Working_Sales[[#This Row],[Age_Whitespace_Removed]],".",","))</f>
        <v>18</v>
      </c>
      <c r="S651" t="s">
        <v>69</v>
      </c>
      <c r="T651" s="2" t="str">
        <f>CLEAN(TRIM(Working_Sales[[#This Row],[Product Category]]))</f>
        <v>BEAUTY</v>
      </c>
      <c r="U651" s="6" t="str">
        <f>PROPER(Working_Sales[[#This Row],[Product_Category_Whitespace_Removed]])</f>
        <v>Beauty</v>
      </c>
      <c r="V651" t="s">
        <v>29</v>
      </c>
      <c r="W651" s="2" t="str">
        <f>CLEAN(TRIM(Working_Sales[[#This Row],[Quantity]]))</f>
        <v>3</v>
      </c>
      <c r="X651" s="2">
        <f>INT(Working_Sales[[#This Row],[`]])</f>
        <v>3</v>
      </c>
      <c r="Y651" s="6">
        <f>IFERROR(
   Working_Sales[[#This Row],[Quantity_Converted_To_Integer]],
   Working_Sales[[#This Row],[Total_Amount_Whitespace_Removed]]/Working_Sales[[#This Row],[Price_Per_Unit_Decimal_Separator_Fixed]])</f>
        <v>3</v>
      </c>
      <c r="Z651" t="s">
        <v>30</v>
      </c>
      <c r="AA651" s="2" t="str">
        <f>CLEAN(TRIM(Working_Sales[[#This Row],[Price per Unit]]))</f>
        <v>25</v>
      </c>
      <c r="AB651" s="2">
        <f>INT(
   SUBSTITUTE(Working_Sales[[#This Row],[Price_Per_Unit_Whitespace_Removed]],
   "$",
   ""
   )
)</f>
        <v>25</v>
      </c>
      <c r="AC651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651" s="8">
        <f>IFERROR(
   Working_Sales[[#This Row],[Price_Per_Unit_Decimal_Separator_Fixed]],
   Working_Sales[[#This Row],[Total_Amount_Converted_To_Integer]]/Working_Sales[[#This Row],[Quantity_Converted_To_Integer]]
)</f>
        <v>25</v>
      </c>
      <c r="AE651" t="s">
        <v>31</v>
      </c>
      <c r="AF651" s="2" t="str">
        <f>CLEAN(TRIM(Working_Sales[[#This Row],[Total Amount]]))</f>
        <v>75</v>
      </c>
      <c r="AG651" s="2">
        <f>INT(Working_Sales[[#This Row],[Total_Amount_Whitespace_Removed]])</f>
        <v>75</v>
      </c>
      <c r="AH65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652" spans="1:34" x14ac:dyDescent="0.35">
      <c r="A652" t="s">
        <v>1406</v>
      </c>
      <c r="B652" s="6" t="str">
        <f>CLEAN(TRIM(Working_Sales[[#This Row],[Transaction ID]]))</f>
        <v>140</v>
      </c>
      <c r="C652" t="s">
        <v>252</v>
      </c>
      <c r="D652" s="2" t="str">
        <f>CLEAN(TRIM(Working_Sales[[#This Row],[Date]]))</f>
        <v>2023-08-05</v>
      </c>
      <c r="E65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45143</v>
      </c>
      <c r="F65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45143</v>
      </c>
      <c r="G65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45143</v>
      </c>
      <c r="H652" t="s">
        <v>2856</v>
      </c>
      <c r="I652" s="2" t="str">
        <f>CLEAN(TRIM(Working_Sales[[#This Row],[Customer ID]]))</f>
        <v>Cust212</v>
      </c>
      <c r="J65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5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CUST212</v>
      </c>
      <c r="L652" t="s">
        <v>34</v>
      </c>
      <c r="M652" s="4" t="str">
        <f>CLEAN(TRIM(Working_Sales[[#This Row],[Gender]]))</f>
        <v>Male</v>
      </c>
      <c r="N652" s="4" t="str" cm="1">
        <f t="array" ref="N652">_xlfn.SWITCH(
   Working_Sales[[#This Row],[Gender_Whitespace_Removed]],
   "m", "Male",
   "f", "Female",
   Working_Sales[[#This Row],[Gender_Whitespace_Removed]]
)</f>
        <v>Male</v>
      </c>
      <c r="O652" s="6" t="str">
        <f>PROPER(Working_Sales[[#This Row],[Gender_Abbreviation_Expanded]])</f>
        <v>Male</v>
      </c>
      <c r="P652">
        <v>38</v>
      </c>
      <c r="Q652" s="2" t="str">
        <f>CLEAN(TRIM(Working_Sales[[#This Row],[Age]]))</f>
        <v>38</v>
      </c>
      <c r="R652" s="6">
        <f>INT(SUBSTITUTE(Working_Sales[[#This Row],[Age_Whitespace_Removed]],".",","))</f>
        <v>38</v>
      </c>
      <c r="S652" t="s">
        <v>13</v>
      </c>
      <c r="T652" s="2" t="str">
        <f>CLEAN(TRIM(Working_Sales[[#This Row],[Product Category]]))</f>
        <v>Electronics</v>
      </c>
      <c r="U652" s="6" t="str">
        <f>PROPER(Working_Sales[[#This Row],[Product_Category_Whitespace_Removed]])</f>
        <v>Electronics</v>
      </c>
      <c r="W652" s="2" t="str">
        <f>CLEAN(TRIM(Working_Sales[[#This Row],[Quantity]]))</f>
        <v/>
      </c>
      <c r="X652" s="2" t="e">
        <f>INT(Working_Sales[[#This Row],[`]])</f>
        <v>#VALUE!</v>
      </c>
      <c r="Y652" s="6">
        <f>IFERROR(
   Working_Sales[[#This Row],[Quantity_Converted_To_Integer]],
   Working_Sales[[#This Row],[Total_Amount_Whitespace_Removed]]/Working_Sales[[#This Row],[Price_Per_Unit_Decimal_Separator_Fixed]])</f>
        <v>1</v>
      </c>
      <c r="Z652" t="s">
        <v>70</v>
      </c>
      <c r="AA652" s="2" t="str">
        <f>CLEAN(TRIM(Working_Sales[[#This Row],[Price per Unit]]))</f>
        <v>30</v>
      </c>
      <c r="AB652" s="2">
        <f>INT(
   SUBSTITUTE(Working_Sales[[#This Row],[Price_Per_Unit_Whitespace_Removed]],
   "$",
   ""
   )
)</f>
        <v>30</v>
      </c>
      <c r="AC652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652" s="8">
        <f>IFERROR(
   Working_Sales[[#This Row],[Price_Per_Unit_Decimal_Separator_Fixed]],
   Working_Sales[[#This Row],[Total_Amount_Converted_To_Integer]]/Working_Sales[[#This Row],[Quantity_Converted_To_Integer]]
)</f>
        <v>30</v>
      </c>
      <c r="AE652" t="s">
        <v>70</v>
      </c>
      <c r="AF652" s="2" t="str">
        <f>CLEAN(TRIM(Working_Sales[[#This Row],[Total Amount]]))</f>
        <v>30</v>
      </c>
      <c r="AG652" s="2">
        <f>INT(Working_Sales[[#This Row],[Total_Amount_Whitespace_Removed]])</f>
        <v>30</v>
      </c>
      <c r="AH65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653" spans="1:34" x14ac:dyDescent="0.35">
      <c r="A653" t="s">
        <v>1408</v>
      </c>
      <c r="B653" s="6" t="str">
        <f>CLEAN(TRIM(Working_Sales[[#This Row],[Transaction ID]]))</f>
        <v>304</v>
      </c>
      <c r="C653" t="s">
        <v>1019</v>
      </c>
      <c r="D653" s="2" t="str">
        <f>CLEAN(TRIM(Working_Sales[[#This Row],[Date]]))</f>
        <v>19/07/2023</v>
      </c>
      <c r="E65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45126</v>
      </c>
      <c r="F65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45126</v>
      </c>
      <c r="G65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45126</v>
      </c>
      <c r="H653" t="s">
        <v>2857</v>
      </c>
      <c r="I653" s="2" t="str">
        <f>CLEAN(TRIM(Working_Sales[[#This Row],[Customer ID]]))</f>
        <v>cust327</v>
      </c>
      <c r="J65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5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CUST327</v>
      </c>
      <c r="L653" t="s">
        <v>112</v>
      </c>
      <c r="M653" s="4" t="str">
        <f>CLEAN(TRIM(Working_Sales[[#This Row],[Gender]]))</f>
        <v>female</v>
      </c>
      <c r="N653" s="4" t="str" cm="1">
        <f t="array" ref="N653">_xlfn.SWITCH(
   Working_Sales[[#This Row],[Gender_Whitespace_Removed]],
   "m", "Male",
   "f", "Female",
   Working_Sales[[#This Row],[Gender_Whitespace_Removed]]
)</f>
        <v>female</v>
      </c>
      <c r="O653" s="6" t="str">
        <f>PROPER(Working_Sales[[#This Row],[Gender_Abbreviation_Expanded]])</f>
        <v>Female</v>
      </c>
      <c r="P653">
        <v>37</v>
      </c>
      <c r="Q653" s="2" t="str">
        <f>CLEAN(TRIM(Working_Sales[[#This Row],[Age]]))</f>
        <v>37</v>
      </c>
      <c r="R653" s="6">
        <f>INT(SUBSTITUTE(Working_Sales[[#This Row],[Age_Whitespace_Removed]],".",","))</f>
        <v>37</v>
      </c>
      <c r="S653" t="s">
        <v>109</v>
      </c>
      <c r="T653" s="2" t="str">
        <f>CLEAN(TRIM(Working_Sales[[#This Row],[Product Category]]))</f>
        <v>Electronics</v>
      </c>
      <c r="U653" s="6" t="str">
        <f>PROPER(Working_Sales[[#This Row],[Product_Category_Whitespace_Removed]])</f>
        <v>Electronics</v>
      </c>
      <c r="V653" t="s">
        <v>37</v>
      </c>
      <c r="W653" s="2" t="str">
        <f>CLEAN(TRIM(Working_Sales[[#This Row],[Quantity]]))</f>
        <v>2</v>
      </c>
      <c r="X653" s="2">
        <f>INT(Working_Sales[[#This Row],[`]])</f>
        <v>2</v>
      </c>
      <c r="Y653" s="6">
        <f>IFERROR(
   Working_Sales[[#This Row],[Quantity_Converted_To_Integer]],
   Working_Sales[[#This Row],[Total_Amount_Whitespace_Removed]]/Working_Sales[[#This Row],[Price_Per_Unit_Decimal_Separator_Fixed]])</f>
        <v>2</v>
      </c>
      <c r="Z653" t="s">
        <v>100</v>
      </c>
      <c r="AA653" s="2" t="str">
        <f>CLEAN(TRIM(Working_Sales[[#This Row],[Price per Unit]]))</f>
        <v>30</v>
      </c>
      <c r="AB653" s="2">
        <f>INT(
   SUBSTITUTE(Working_Sales[[#This Row],[Price_Per_Unit_Whitespace_Removed]],
   "$",
   ""
   )
)</f>
        <v>30</v>
      </c>
      <c r="AC653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653" s="8">
        <f>IFERROR(
   Working_Sales[[#This Row],[Price_Per_Unit_Decimal_Separator_Fixed]],
   Working_Sales[[#This Row],[Total_Amount_Converted_To_Integer]]/Working_Sales[[#This Row],[Quantity_Converted_To_Integer]]
)</f>
        <v>30</v>
      </c>
      <c r="AE653" t="s">
        <v>71</v>
      </c>
      <c r="AF653" s="2" t="str">
        <f>CLEAN(TRIM(Working_Sales[[#This Row],[Total Amount]]))</f>
        <v>60</v>
      </c>
      <c r="AG653" s="2">
        <f>INT(Working_Sales[[#This Row],[Total_Amount_Whitespace_Removed]])</f>
        <v>60</v>
      </c>
      <c r="AH65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654" spans="1:34" x14ac:dyDescent="0.35">
      <c r="A654" t="s">
        <v>1409</v>
      </c>
      <c r="B654" s="6" t="str">
        <f>CLEAN(TRIM(Working_Sales[[#This Row],[Transaction ID]]))</f>
        <v>534</v>
      </c>
      <c r="C654" t="s">
        <v>81</v>
      </c>
      <c r="D654" s="2" t="str">
        <f>CLEAN(TRIM(Working_Sales[[#This Row],[Date]]))</f>
        <v>2023-06-10</v>
      </c>
      <c r="E65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45087</v>
      </c>
      <c r="F65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45087</v>
      </c>
      <c r="G65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45087</v>
      </c>
      <c r="H654" t="s">
        <v>2439</v>
      </c>
      <c r="I654" s="2" t="str">
        <f>CLEAN(TRIM(Working_Sales[[#This Row],[Customer ID]]))</f>
        <v>Cust126</v>
      </c>
      <c r="J65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5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CUST126</v>
      </c>
      <c r="L654" t="s">
        <v>11</v>
      </c>
      <c r="M654" s="4" t="str">
        <f>CLEAN(TRIM(Working_Sales[[#This Row],[Gender]]))</f>
        <v>MALE</v>
      </c>
      <c r="N654" s="4" t="str" cm="1">
        <f t="array" ref="N654">_xlfn.SWITCH(
   Working_Sales[[#This Row],[Gender_Whitespace_Removed]],
   "m", "Male",
   "f", "Female",
   Working_Sales[[#This Row],[Gender_Whitespace_Removed]]
)</f>
        <v>MALE</v>
      </c>
      <c r="O654" s="6" t="str">
        <f>PROPER(Working_Sales[[#This Row],[Gender_Abbreviation_Expanded]])</f>
        <v>Male</v>
      </c>
      <c r="P654">
        <v>45</v>
      </c>
      <c r="Q654" s="2" t="str">
        <f>CLEAN(TRIM(Working_Sales[[#This Row],[Age]]))</f>
        <v>45</v>
      </c>
      <c r="R654" s="6">
        <f>INT(SUBSTITUTE(Working_Sales[[#This Row],[Age_Whitespace_Removed]],".",","))</f>
        <v>45</v>
      </c>
      <c r="S654" t="s">
        <v>56</v>
      </c>
      <c r="T654" s="2" t="str">
        <f>CLEAN(TRIM(Working_Sales[[#This Row],[Product Category]]))</f>
        <v>Clothing</v>
      </c>
      <c r="U654" s="6" t="str">
        <f>PROPER(Working_Sales[[#This Row],[Product_Category_Whitespace_Removed]])</f>
        <v>Clothing</v>
      </c>
      <c r="V654" t="s">
        <v>37</v>
      </c>
      <c r="W654" s="2" t="str">
        <f>CLEAN(TRIM(Working_Sales[[#This Row],[Quantity]]))</f>
        <v>2</v>
      </c>
      <c r="X654" s="2">
        <f>INT(Working_Sales[[#This Row],[`]])</f>
        <v>2</v>
      </c>
      <c r="Y654" s="6">
        <f>IFERROR(
   Working_Sales[[#This Row],[Quantity_Converted_To_Integer]],
   Working_Sales[[#This Row],[Total_Amount_Whitespace_Removed]]/Working_Sales[[#This Row],[Price_Per_Unit_Decimal_Separator_Fixed]])</f>
        <v>2</v>
      </c>
      <c r="Z654" t="s">
        <v>57</v>
      </c>
      <c r="AA654" s="2" t="str">
        <f>CLEAN(TRIM(Working_Sales[[#This Row],[Price per Unit]]))</f>
        <v>500</v>
      </c>
      <c r="AB654" s="2">
        <f>INT(
   SUBSTITUTE(Working_Sales[[#This Row],[Price_Per_Unit_Whitespace_Removed]],
   "$",
   ""
   )
)</f>
        <v>500</v>
      </c>
      <c r="AC654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654" s="8">
        <f>IFERROR(
   Working_Sales[[#This Row],[Price_Per_Unit_Decimal_Separator_Fixed]],
   Working_Sales[[#This Row],[Total_Amount_Converted_To_Integer]]/Working_Sales[[#This Row],[Quantity_Converted_To_Integer]]
)</f>
        <v>500</v>
      </c>
      <c r="AE654" t="s">
        <v>163</v>
      </c>
      <c r="AF654" s="2" t="str">
        <f>CLEAN(TRIM(Working_Sales[[#This Row],[Total Amount]]))</f>
        <v>1000</v>
      </c>
      <c r="AG654" s="2">
        <f>INT(Working_Sales[[#This Row],[Total_Amount_Whitespace_Removed]])</f>
        <v>1000</v>
      </c>
      <c r="AH65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655" spans="1:34" x14ac:dyDescent="0.35">
      <c r="A655" t="s">
        <v>1410</v>
      </c>
      <c r="B655" s="6" t="str">
        <f>CLEAN(TRIM(Working_Sales[[#This Row],[Transaction ID]]))</f>
        <v>546</v>
      </c>
      <c r="C655" t="s">
        <v>1114</v>
      </c>
      <c r="D655" s="2" t="str">
        <f>CLEAN(TRIM(Working_Sales[[#This Row],[Date]]))</f>
        <v>11-Oct-2023</v>
      </c>
      <c r="E65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45210</v>
      </c>
      <c r="F65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45210</v>
      </c>
      <c r="G65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45210</v>
      </c>
      <c r="H655" t="s">
        <v>2859</v>
      </c>
      <c r="I655" s="2" t="str">
        <f>CLEAN(TRIM(Working_Sales[[#This Row],[Customer ID]]))</f>
        <v>CUST054</v>
      </c>
      <c r="J65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CUST054</v>
      </c>
      <c r="K65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CUST054</v>
      </c>
      <c r="L655" t="s">
        <v>112</v>
      </c>
      <c r="M655" s="4" t="str">
        <f>CLEAN(TRIM(Working_Sales[[#This Row],[Gender]]))</f>
        <v>female</v>
      </c>
      <c r="N655" s="4" t="str" cm="1">
        <f t="array" ref="N655">_xlfn.SWITCH(
   Working_Sales[[#This Row],[Gender_Whitespace_Removed]],
   "m", "Male",
   "f", "Female",
   Working_Sales[[#This Row],[Gender_Whitespace_Removed]]
)</f>
        <v>female</v>
      </c>
      <c r="O655" s="6" t="str">
        <f>PROPER(Working_Sales[[#This Row],[Gender_Abbreviation_Expanded]])</f>
        <v>Female</v>
      </c>
      <c r="P655">
        <v>36</v>
      </c>
      <c r="Q655" s="2" t="str">
        <f>CLEAN(TRIM(Working_Sales[[#This Row],[Age]]))</f>
        <v>36</v>
      </c>
      <c r="R655" s="6">
        <f>INT(SUBSTITUTE(Working_Sales[[#This Row],[Age_Whitespace_Removed]],".",","))</f>
        <v>36</v>
      </c>
      <c r="S655" t="s">
        <v>48</v>
      </c>
      <c r="T655" s="2" t="str">
        <f>CLEAN(TRIM(Working_Sales[[#This Row],[Product Category]]))</f>
        <v>electronics</v>
      </c>
      <c r="U655" s="6" t="str">
        <f>PROPER(Working_Sales[[#This Row],[Product_Category_Whitespace_Removed]])</f>
        <v>Electronics</v>
      </c>
      <c r="V655" t="s">
        <v>14</v>
      </c>
      <c r="W655" s="2" t="str">
        <f>CLEAN(TRIM(Working_Sales[[#This Row],[Quantity]]))</f>
        <v>4</v>
      </c>
      <c r="X655" s="2">
        <f>INT(Working_Sales[[#This Row],[`]])</f>
        <v>4</v>
      </c>
      <c r="Y655" s="6">
        <f>IFERROR(
   Working_Sales[[#This Row],[Quantity_Converted_To_Integer]],
   Working_Sales[[#This Row],[Total_Amount_Whitespace_Removed]]/Working_Sales[[#This Row],[Price_Per_Unit_Decimal_Separator_Fixed]])</f>
        <v>4</v>
      </c>
      <c r="Z655" t="s">
        <v>75</v>
      </c>
      <c r="AA655" s="2" t="str">
        <f>CLEAN(TRIM(Working_Sales[[#This Row],[Price per Unit]]))</f>
        <v>50</v>
      </c>
      <c r="AB655" s="2">
        <f>INT(
   SUBSTITUTE(Working_Sales[[#This Row],[Price_Per_Unit_Whitespace_Removed]],
   "$",
   ""
   )
)</f>
        <v>50</v>
      </c>
      <c r="AC655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655" s="8">
        <f>IFERROR(
   Working_Sales[[#This Row],[Price_Per_Unit_Decimal_Separator_Fixed]],
   Working_Sales[[#This Row],[Total_Amount_Converted_To_Integer]]/Working_Sales[[#This Row],[Quantity_Converted_To_Integer]]
)</f>
        <v>50</v>
      </c>
      <c r="AE655" t="s">
        <v>16</v>
      </c>
      <c r="AF655" s="2" t="str">
        <f>CLEAN(TRIM(Working_Sales[[#This Row],[Total Amount]]))</f>
        <v>200</v>
      </c>
      <c r="AG655" s="2">
        <f>INT(Working_Sales[[#This Row],[Total_Amount_Whitespace_Removed]])</f>
        <v>200</v>
      </c>
      <c r="AH65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656" spans="1:34" x14ac:dyDescent="0.35">
      <c r="A656" t="s">
        <v>1411</v>
      </c>
      <c r="B656" s="6" t="str">
        <f>CLEAN(TRIM(Working_Sales[[#This Row],[Transaction ID]]))</f>
        <v>213</v>
      </c>
      <c r="C656" t="s">
        <v>1412</v>
      </c>
      <c r="D656" s="2" t="str">
        <f>CLEAN(TRIM(Working_Sales[[#This Row],[Date]]))</f>
        <v>24/07/2023</v>
      </c>
      <c r="E65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45131</v>
      </c>
      <c r="F65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45131</v>
      </c>
      <c r="G65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45131</v>
      </c>
      <c r="H656" t="s">
        <v>2197</v>
      </c>
      <c r="I656" s="2" t="str">
        <f>CLEAN(TRIM(Working_Sales[[#This Row],[Customer ID]]))</f>
        <v>CUST325</v>
      </c>
      <c r="J65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CUST325</v>
      </c>
      <c r="K65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CUST325</v>
      </c>
      <c r="L656" t="s">
        <v>268</v>
      </c>
      <c r="M656" s="4" t="str">
        <f>CLEAN(TRIM(Working_Sales[[#This Row],[Gender]]))</f>
        <v>M</v>
      </c>
      <c r="N656" s="4" t="str" cm="1">
        <f t="array" ref="N656">_xlfn.SWITCH(
   Working_Sales[[#This Row],[Gender_Whitespace_Removed]],
   "m", "Male",
   "f", "Female",
   Working_Sales[[#This Row],[Gender_Whitespace_Removed]]
)</f>
        <v>Male</v>
      </c>
      <c r="O656" s="6" t="str">
        <f>PROPER(Working_Sales[[#This Row],[Gender_Abbreviation_Expanded]])</f>
        <v>Male</v>
      </c>
      <c r="P656">
        <v>27</v>
      </c>
      <c r="Q656" s="2" t="str">
        <f>CLEAN(TRIM(Working_Sales[[#This Row],[Age]]))</f>
        <v>27</v>
      </c>
      <c r="R656" s="6">
        <f>INT(SUBSTITUTE(Working_Sales[[#This Row],[Age_Whitespace_Removed]],".",","))</f>
        <v>27</v>
      </c>
      <c r="S656" t="s">
        <v>69</v>
      </c>
      <c r="T656" s="2" t="str">
        <f>CLEAN(TRIM(Working_Sales[[#This Row],[Product Category]]))</f>
        <v>BEAUTY</v>
      </c>
      <c r="U656" s="6" t="str">
        <f>PROPER(Working_Sales[[#This Row],[Product_Category_Whitespace_Removed]])</f>
        <v>Beauty</v>
      </c>
      <c r="V656" t="s">
        <v>29</v>
      </c>
      <c r="W656" s="2" t="str">
        <f>CLEAN(TRIM(Working_Sales[[#This Row],[Quantity]]))</f>
        <v>3</v>
      </c>
      <c r="X656" s="2">
        <f>INT(Working_Sales[[#This Row],[`]])</f>
        <v>3</v>
      </c>
      <c r="Y656" s="6">
        <f>IFERROR(
   Working_Sales[[#This Row],[Quantity_Converted_To_Integer]],
   Working_Sales[[#This Row],[Total_Amount_Whitespace_Removed]]/Working_Sales[[#This Row],[Price_Per_Unit_Decimal_Separator_Fixed]])</f>
        <v>3</v>
      </c>
      <c r="Z656" t="s">
        <v>57</v>
      </c>
      <c r="AA656" s="2" t="str">
        <f>CLEAN(TRIM(Working_Sales[[#This Row],[Price per Unit]]))</f>
        <v>500</v>
      </c>
      <c r="AB656" s="2">
        <f>INT(
   SUBSTITUTE(Working_Sales[[#This Row],[Price_Per_Unit_Whitespace_Removed]],
   "$",
   ""
   )
)</f>
        <v>500</v>
      </c>
      <c r="AC656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656" s="8">
        <f>IFERROR(
   Working_Sales[[#This Row],[Price_Per_Unit_Decimal_Separator_Fixed]],
   Working_Sales[[#This Row],[Total_Amount_Converted_To_Integer]]/Working_Sales[[#This Row],[Quantity_Converted_To_Integer]]
)</f>
        <v>500</v>
      </c>
      <c r="AE656" t="s">
        <v>85</v>
      </c>
      <c r="AF656" s="2" t="str">
        <f>CLEAN(TRIM(Working_Sales[[#This Row],[Total Amount]]))</f>
        <v>1500</v>
      </c>
      <c r="AG656" s="2">
        <f>INT(Working_Sales[[#This Row],[Total_Amount_Whitespace_Removed]])</f>
        <v>1500</v>
      </c>
      <c r="AH65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657" spans="1:34" x14ac:dyDescent="0.35">
      <c r="A657" t="s">
        <v>1413</v>
      </c>
      <c r="B657" s="6" t="str">
        <f>CLEAN(TRIM(Working_Sales[[#This Row],[Transaction ID]]))</f>
        <v>469</v>
      </c>
      <c r="C657" t="s">
        <v>2008</v>
      </c>
      <c r="D657" s="2" t="str">
        <f>CLEAN(TRIM(Working_Sales[[#This Row],[Date]]))</f>
        <v>08-May-2023</v>
      </c>
      <c r="E65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45054</v>
      </c>
      <c r="F65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45054</v>
      </c>
      <c r="G65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45054</v>
      </c>
      <c r="H657" t="s">
        <v>2803</v>
      </c>
      <c r="I657" s="2" t="str">
        <f>CLEAN(TRIM(Working_Sales[[#This Row],[Customer ID]]))</f>
        <v>CUST384</v>
      </c>
      <c r="J65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CUST384</v>
      </c>
      <c r="K65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CUST384</v>
      </c>
      <c r="L657" t="s">
        <v>11</v>
      </c>
      <c r="M657" s="4" t="str">
        <f>CLEAN(TRIM(Working_Sales[[#This Row],[Gender]]))</f>
        <v>MALE</v>
      </c>
      <c r="N657" s="4" t="str" cm="1">
        <f t="array" ref="N657">_xlfn.SWITCH(
   Working_Sales[[#This Row],[Gender_Whitespace_Removed]],
   "m", "Male",
   "f", "Female",
   Working_Sales[[#This Row],[Gender_Whitespace_Removed]]
)</f>
        <v>MALE</v>
      </c>
      <c r="O657" s="6" t="str">
        <f>PROPER(Working_Sales[[#This Row],[Gender_Abbreviation_Expanded]])</f>
        <v>Male</v>
      </c>
      <c r="P657" t="s">
        <v>1414</v>
      </c>
      <c r="Q657" s="2" t="str">
        <f>CLEAN(TRIM(Working_Sales[[#This Row],[Age]]))</f>
        <v>18</v>
      </c>
      <c r="R657" s="6">
        <f>INT(SUBSTITUTE(Working_Sales[[#This Row],[Age_Whitespace_Removed]],".",","))</f>
        <v>18</v>
      </c>
      <c r="S657" t="s">
        <v>42</v>
      </c>
      <c r="T657" s="2" t="str">
        <f>CLEAN(TRIM(Working_Sales[[#This Row],[Product Category]]))</f>
        <v>Beauty</v>
      </c>
      <c r="U657" s="6" t="str">
        <f>PROPER(Working_Sales[[#This Row],[Product_Category_Whitespace_Removed]])</f>
        <v>Beauty</v>
      </c>
      <c r="V657" t="s">
        <v>29</v>
      </c>
      <c r="W657" s="2" t="str">
        <f>CLEAN(TRIM(Working_Sales[[#This Row],[Quantity]]))</f>
        <v>3</v>
      </c>
      <c r="X657" s="2">
        <f>INT(Working_Sales[[#This Row],[`]])</f>
        <v>3</v>
      </c>
      <c r="Y657" s="6">
        <f>IFERROR(
   Working_Sales[[#This Row],[Quantity_Converted_To_Integer]],
   Working_Sales[[#This Row],[Total_Amount_Whitespace_Removed]]/Working_Sales[[#This Row],[Price_Per_Unit_Decimal_Separator_Fixed]])</f>
        <v>3</v>
      </c>
      <c r="Z657" t="s">
        <v>30</v>
      </c>
      <c r="AA657" s="2" t="str">
        <f>CLEAN(TRIM(Working_Sales[[#This Row],[Price per Unit]]))</f>
        <v>25</v>
      </c>
      <c r="AB657" s="2">
        <f>INT(
   SUBSTITUTE(Working_Sales[[#This Row],[Price_Per_Unit_Whitespace_Removed]],
   "$",
   ""
   )
)</f>
        <v>25</v>
      </c>
      <c r="AC657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657" s="8">
        <f>IFERROR(
   Working_Sales[[#This Row],[Price_Per_Unit_Decimal_Separator_Fixed]],
   Working_Sales[[#This Row],[Total_Amount_Converted_To_Integer]]/Working_Sales[[#This Row],[Quantity_Converted_To_Integer]]
)</f>
        <v>25</v>
      </c>
      <c r="AE657" t="s">
        <v>31</v>
      </c>
      <c r="AF657" s="2" t="str">
        <f>CLEAN(TRIM(Working_Sales[[#This Row],[Total Amount]]))</f>
        <v>75</v>
      </c>
      <c r="AG657" s="2">
        <f>INT(Working_Sales[[#This Row],[Total_Amount_Whitespace_Removed]])</f>
        <v>75</v>
      </c>
      <c r="AH65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658" spans="1:34" x14ac:dyDescent="0.35">
      <c r="A658" t="s">
        <v>1415</v>
      </c>
      <c r="B658" s="6" t="str">
        <f>CLEAN(TRIM(Working_Sales[[#This Row],[Transaction ID]]))</f>
        <v>199</v>
      </c>
      <c r="C658" t="s">
        <v>1416</v>
      </c>
      <c r="D658" s="2" t="str">
        <f>CLEAN(TRIM(Working_Sales[[#This Row],[Date]]))</f>
        <v>December 04, 2023</v>
      </c>
      <c r="E658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658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65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45264</v>
      </c>
      <c r="H658" t="s">
        <v>2860</v>
      </c>
      <c r="I658" s="2" t="str">
        <f>CLEAN(TRIM(Working_Sales[[#This Row],[Customer ID]]))</f>
        <v>cust414</v>
      </c>
      <c r="J65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5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CUST414</v>
      </c>
      <c r="L658" t="s">
        <v>34</v>
      </c>
      <c r="M658" s="4" t="str">
        <f>CLEAN(TRIM(Working_Sales[[#This Row],[Gender]]))</f>
        <v>Male</v>
      </c>
      <c r="N658" s="4" t="str" cm="1">
        <f t="array" ref="N658">_xlfn.SWITCH(
   Working_Sales[[#This Row],[Gender_Whitespace_Removed]],
   "m", "Male",
   "f", "Female",
   Working_Sales[[#This Row],[Gender_Whitespace_Removed]]
)</f>
        <v>Male</v>
      </c>
      <c r="O658" s="6" t="str">
        <f>PROPER(Working_Sales[[#This Row],[Gender_Abbreviation_Expanded]])</f>
        <v>Male</v>
      </c>
      <c r="P658">
        <v>45</v>
      </c>
      <c r="Q658" s="2" t="str">
        <f>CLEAN(TRIM(Working_Sales[[#This Row],[Age]]))</f>
        <v>45</v>
      </c>
      <c r="R658" s="6">
        <f>INT(SUBSTITUTE(Working_Sales[[#This Row],[Age_Whitespace_Removed]],".",","))</f>
        <v>45</v>
      </c>
      <c r="S658" t="s">
        <v>69</v>
      </c>
      <c r="T658" s="2" t="str">
        <f>CLEAN(TRIM(Working_Sales[[#This Row],[Product Category]]))</f>
        <v>BEAUTY</v>
      </c>
      <c r="U658" s="6" t="str">
        <f>PROPER(Working_Sales[[#This Row],[Product_Category_Whitespace_Removed]])</f>
        <v>Beauty</v>
      </c>
      <c r="V658" t="s">
        <v>29</v>
      </c>
      <c r="W658" s="2" t="str">
        <f>CLEAN(TRIM(Working_Sales[[#This Row],[Quantity]]))</f>
        <v>3</v>
      </c>
      <c r="X658" s="2">
        <f>INT(Working_Sales[[#This Row],[`]])</f>
        <v>3</v>
      </c>
      <c r="Y658" s="6">
        <f>IFERROR(
   Working_Sales[[#This Row],[Quantity_Converted_To_Integer]],
   Working_Sales[[#This Row],[Total_Amount_Whitespace_Removed]]/Working_Sales[[#This Row],[Price_Per_Unit_Decimal_Separator_Fixed]])</f>
        <v>3</v>
      </c>
      <c r="Z658" t="s">
        <v>57</v>
      </c>
      <c r="AA658" s="2" t="str">
        <f>CLEAN(TRIM(Working_Sales[[#This Row],[Price per Unit]]))</f>
        <v>500</v>
      </c>
      <c r="AB658" s="2">
        <f>INT(
   SUBSTITUTE(Working_Sales[[#This Row],[Price_Per_Unit_Whitespace_Removed]],
   "$",
   ""
   )
)</f>
        <v>500</v>
      </c>
      <c r="AC658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658" s="8">
        <f>IFERROR(
   Working_Sales[[#This Row],[Price_Per_Unit_Decimal_Separator_Fixed]],
   Working_Sales[[#This Row],[Total_Amount_Converted_To_Integer]]/Working_Sales[[#This Row],[Quantity_Converted_To_Integer]]
)</f>
        <v>500</v>
      </c>
      <c r="AE658" t="s">
        <v>85</v>
      </c>
      <c r="AF658" s="2" t="str">
        <f>CLEAN(TRIM(Working_Sales[[#This Row],[Total Amount]]))</f>
        <v>1500</v>
      </c>
      <c r="AG658" s="2">
        <f>INT(Working_Sales[[#This Row],[Total_Amount_Whitespace_Removed]])</f>
        <v>1500</v>
      </c>
      <c r="AH65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659" spans="1:34" x14ac:dyDescent="0.35">
      <c r="A659" t="s">
        <v>1417</v>
      </c>
      <c r="B659" s="6" t="str">
        <f>CLEAN(TRIM(Working_Sales[[#This Row],[Transaction ID]]))</f>
        <v>528</v>
      </c>
      <c r="C659" t="s">
        <v>1418</v>
      </c>
      <c r="D659" s="2" t="str">
        <f>CLEAN(TRIM(Working_Sales[[#This Row],[Date]]))</f>
        <v>2023-07-06</v>
      </c>
      <c r="E65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45113</v>
      </c>
      <c r="F65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45113</v>
      </c>
      <c r="G65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45113</v>
      </c>
      <c r="H659" t="s">
        <v>1965</v>
      </c>
      <c r="I659" s="2" t="str">
        <f>CLEAN(TRIM(Working_Sales[[#This Row],[Customer ID]]))</f>
        <v>CUST168</v>
      </c>
      <c r="J65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CUST168</v>
      </c>
      <c r="K65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CUST168</v>
      </c>
      <c r="L659" t="s">
        <v>26</v>
      </c>
      <c r="M659" s="4" t="str">
        <f>CLEAN(TRIM(Working_Sales[[#This Row],[Gender]]))</f>
        <v>Female</v>
      </c>
      <c r="N659" s="4" t="str" cm="1">
        <f t="array" ref="N659">_xlfn.SWITCH(
   Working_Sales[[#This Row],[Gender_Whitespace_Removed]],
   "m", "Male",
   "f", "Female",
   Working_Sales[[#This Row],[Gender_Whitespace_Removed]]
)</f>
        <v>Female</v>
      </c>
      <c r="O659" s="6" t="str">
        <f>PROPER(Working_Sales[[#This Row],[Gender_Abbreviation_Expanded]])</f>
        <v>Female</v>
      </c>
      <c r="P659">
        <v>36</v>
      </c>
      <c r="Q659" s="2" t="str">
        <f>CLEAN(TRIM(Working_Sales[[#This Row],[Age]]))</f>
        <v>36</v>
      </c>
      <c r="R659" s="6">
        <f>INT(SUBSTITUTE(Working_Sales[[#This Row],[Age_Whitespace_Removed]],".",","))</f>
        <v>36</v>
      </c>
      <c r="S659" t="s">
        <v>56</v>
      </c>
      <c r="T659" s="2" t="str">
        <f>CLEAN(TRIM(Working_Sales[[#This Row],[Product Category]]))</f>
        <v>Clothing</v>
      </c>
      <c r="U659" s="6" t="str">
        <f>PROPER(Working_Sales[[#This Row],[Product_Category_Whitespace_Removed]])</f>
        <v>Clothing</v>
      </c>
      <c r="V659" t="s">
        <v>37</v>
      </c>
      <c r="W659" s="2" t="str">
        <f>CLEAN(TRIM(Working_Sales[[#This Row],[Quantity]]))</f>
        <v>2</v>
      </c>
      <c r="X659" s="2">
        <f>INT(Working_Sales[[#This Row],[`]])</f>
        <v>2</v>
      </c>
      <c r="Y659" s="6">
        <f>IFERROR(
   Working_Sales[[#This Row],[Quantity_Converted_To_Integer]],
   Working_Sales[[#This Row],[Total_Amount_Whitespace_Removed]]/Working_Sales[[#This Row],[Price_Per_Unit_Decimal_Separator_Fixed]])</f>
        <v>2</v>
      </c>
      <c r="Z659" t="s">
        <v>70</v>
      </c>
      <c r="AA659" s="2" t="str">
        <f>CLEAN(TRIM(Working_Sales[[#This Row],[Price per Unit]]))</f>
        <v>30</v>
      </c>
      <c r="AB659" s="2">
        <f>INT(
   SUBSTITUTE(Working_Sales[[#This Row],[Price_Per_Unit_Whitespace_Removed]],
   "$",
   ""
   )
)</f>
        <v>30</v>
      </c>
      <c r="AC659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659" s="8">
        <f>IFERROR(
   Working_Sales[[#This Row],[Price_Per_Unit_Decimal_Separator_Fixed]],
   Working_Sales[[#This Row],[Total_Amount_Converted_To_Integer]]/Working_Sales[[#This Row],[Quantity_Converted_To_Integer]]
)</f>
        <v>30</v>
      </c>
      <c r="AE659" t="s">
        <v>71</v>
      </c>
      <c r="AF659" s="2" t="str">
        <f>CLEAN(TRIM(Working_Sales[[#This Row],[Total Amount]]))</f>
        <v>60</v>
      </c>
      <c r="AG659" s="2">
        <f>INT(Working_Sales[[#This Row],[Total_Amount_Whitespace_Removed]])</f>
        <v>60</v>
      </c>
      <c r="AH65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660" spans="1:34" x14ac:dyDescent="0.35">
      <c r="A660" t="s">
        <v>1419</v>
      </c>
      <c r="B660" s="6" t="str">
        <f>CLEAN(TRIM(Working_Sales[[#This Row],[Transaction ID]]))</f>
        <v>800</v>
      </c>
      <c r="C660" t="s">
        <v>327</v>
      </c>
      <c r="D660" s="2" t="str">
        <f>CLEAN(TRIM(Working_Sales[[#This Row],[Date]]))</f>
        <v>02/24/2023</v>
      </c>
      <c r="E660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66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44981</v>
      </c>
      <c r="G66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44981</v>
      </c>
      <c r="H660" t="s">
        <v>2861</v>
      </c>
      <c r="I660" s="2" t="str">
        <f>CLEAN(TRIM(Working_Sales[[#This Row],[Customer ID]]))</f>
        <v>CUST024</v>
      </c>
      <c r="J66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CUST024</v>
      </c>
      <c r="K66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CUST024</v>
      </c>
      <c r="L660" t="s">
        <v>34</v>
      </c>
      <c r="M660" s="4" t="str">
        <f>CLEAN(TRIM(Working_Sales[[#This Row],[Gender]]))</f>
        <v>Male</v>
      </c>
      <c r="N660" s="4" t="str" cm="1">
        <f t="array" ref="N660">_xlfn.SWITCH(
   Working_Sales[[#This Row],[Gender_Whitespace_Removed]],
   "m", "Male",
   "f", "Female",
   Working_Sales[[#This Row],[Gender_Whitespace_Removed]]
)</f>
        <v>Male</v>
      </c>
      <c r="O660" s="6" t="str">
        <f>PROPER(Working_Sales[[#This Row],[Gender_Abbreviation_Expanded]])</f>
        <v>Male</v>
      </c>
      <c r="P660">
        <v>32</v>
      </c>
      <c r="Q660" s="2" t="str">
        <f>CLEAN(TRIM(Working_Sales[[#This Row],[Age]]))</f>
        <v>32</v>
      </c>
      <c r="R660" s="6">
        <f>INT(SUBSTITUTE(Working_Sales[[#This Row],[Age_Whitespace_Removed]],".",","))</f>
        <v>32</v>
      </c>
      <c r="S660" t="s">
        <v>56</v>
      </c>
      <c r="T660" s="2" t="str">
        <f>CLEAN(TRIM(Working_Sales[[#This Row],[Product Category]]))</f>
        <v>Clothing</v>
      </c>
      <c r="U660" s="6" t="str">
        <f>PROPER(Working_Sales[[#This Row],[Product_Category_Whitespace_Removed]])</f>
        <v>Clothing</v>
      </c>
      <c r="V660" t="s">
        <v>14</v>
      </c>
      <c r="W660" s="2" t="str">
        <f>CLEAN(TRIM(Working_Sales[[#This Row],[Quantity]]))</f>
        <v>4</v>
      </c>
      <c r="X660" s="2">
        <f>INT(Working_Sales[[#This Row],[`]])</f>
        <v>4</v>
      </c>
      <c r="Y660" s="6">
        <f>IFERROR(
   Working_Sales[[#This Row],[Quantity_Converted_To_Integer]],
   Working_Sales[[#This Row],[Total_Amount_Whitespace_Removed]]/Working_Sales[[#This Row],[Price_Per_Unit_Decimal_Separator_Fixed]])</f>
        <v>4</v>
      </c>
      <c r="Z660" t="s">
        <v>186</v>
      </c>
      <c r="AA660" s="2" t="str">
        <f>CLEAN(TRIM(Working_Sales[[#This Row],[Price per Unit]]))</f>
        <v>$300</v>
      </c>
      <c r="AB660" s="2">
        <f>INT(
   SUBSTITUTE(Working_Sales[[#This Row],[Price_Per_Unit_Whitespace_Removed]],
   "$",
   ""
   )
)</f>
        <v>300</v>
      </c>
      <c r="AC660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660" s="8">
        <f>IFERROR(
   Working_Sales[[#This Row],[Price_Per_Unit_Decimal_Separator_Fixed]],
   Working_Sales[[#This Row],[Total_Amount_Converted_To_Integer]]/Working_Sales[[#This Row],[Quantity_Converted_To_Integer]]
)</f>
        <v>300</v>
      </c>
      <c r="AE660" t="s">
        <v>79</v>
      </c>
      <c r="AF660" s="2" t="str">
        <f>CLEAN(TRIM(Working_Sales[[#This Row],[Total Amount]]))</f>
        <v>1200</v>
      </c>
      <c r="AG660" s="2">
        <f>INT(Working_Sales[[#This Row],[Total_Amount_Whitespace_Removed]])</f>
        <v>1200</v>
      </c>
      <c r="AH66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661" spans="1:34" x14ac:dyDescent="0.35">
      <c r="A661" t="s">
        <v>1420</v>
      </c>
      <c r="B661" s="6" t="str">
        <f>CLEAN(TRIM(Working_Sales[[#This Row],[Transaction ID]]))</f>
        <v>242</v>
      </c>
      <c r="C661" t="s">
        <v>2131</v>
      </c>
      <c r="D661" s="2" t="str">
        <f>CLEAN(TRIM(Working_Sales[[#This Row],[Date]]))</f>
        <v>02-May-2023</v>
      </c>
      <c r="E66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45048</v>
      </c>
      <c r="F66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45048</v>
      </c>
      <c r="G66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45048</v>
      </c>
      <c r="H661" t="s">
        <v>1185</v>
      </c>
      <c r="I661" s="2" t="str">
        <f>CLEAN(TRIM(Working_Sales[[#This Row],[Customer ID]]))</f>
        <v>CUST246</v>
      </c>
      <c r="J66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6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CUST246</v>
      </c>
      <c r="L661" t="s">
        <v>34</v>
      </c>
      <c r="M661" s="4" t="str">
        <f>CLEAN(TRIM(Working_Sales[[#This Row],[Gender]]))</f>
        <v>Male</v>
      </c>
      <c r="N661" s="4" t="str" cm="1">
        <f t="array" ref="N661">_xlfn.SWITCH(
   Working_Sales[[#This Row],[Gender_Whitespace_Removed]],
   "m", "Male",
   "f", "Female",
   Working_Sales[[#This Row],[Gender_Whitespace_Removed]]
)</f>
        <v>Male</v>
      </c>
      <c r="O661" s="6" t="str">
        <f>PROPER(Working_Sales[[#This Row],[Gender_Abbreviation_Expanded]])</f>
        <v>Male</v>
      </c>
      <c r="P661" t="s">
        <v>475</v>
      </c>
      <c r="Q661" s="2" t="str">
        <f>CLEAN(TRIM(Working_Sales[[#This Row],[Age]]))</f>
        <v>21.0</v>
      </c>
      <c r="R661" s="6">
        <f>INT(SUBSTITUTE(Working_Sales[[#This Row],[Age_Whitespace_Removed]],".",","))</f>
        <v>21</v>
      </c>
      <c r="S661" t="s">
        <v>89</v>
      </c>
      <c r="T661" s="2" t="str">
        <f>CLEAN(TRIM(Working_Sales[[#This Row],[Product Category]]))</f>
        <v>CLOTHING</v>
      </c>
      <c r="U661" s="6" t="str">
        <f>PROPER(Working_Sales[[#This Row],[Product_Category_Whitespace_Removed]])</f>
        <v>Clothing</v>
      </c>
      <c r="W661" s="2" t="str">
        <f>CLEAN(TRIM(Working_Sales[[#This Row],[Quantity]]))</f>
        <v/>
      </c>
      <c r="X661" s="2" t="e">
        <f>INT(Working_Sales[[#This Row],[`]])</f>
        <v>#VALUE!</v>
      </c>
      <c r="Y661" s="6">
        <f>IFERROR(
   Working_Sales[[#This Row],[Quantity_Converted_To_Integer]],
   Working_Sales[[#This Row],[Total_Amount_Whitespace_Removed]]/Working_Sales[[#This Row],[Price_Per_Unit_Decimal_Separator_Fixed]])</f>
        <v>1</v>
      </c>
      <c r="Z661" t="s">
        <v>171</v>
      </c>
      <c r="AA661" s="2" t="str">
        <f>CLEAN(TRIM(Working_Sales[[#This Row],[Price per Unit]]))</f>
        <v>25</v>
      </c>
      <c r="AB661" s="2">
        <f>INT(
   SUBSTITUTE(Working_Sales[[#This Row],[Price_Per_Unit_Whitespace_Removed]],
   "$",
   ""
   )
)</f>
        <v>25</v>
      </c>
      <c r="AC661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661" s="8">
        <f>IFERROR(
   Working_Sales[[#This Row],[Price_Per_Unit_Decimal_Separator_Fixed]],
   Working_Sales[[#This Row],[Total_Amount_Converted_To_Integer]]/Working_Sales[[#This Row],[Quantity_Converted_To_Integer]]
)</f>
        <v>25</v>
      </c>
      <c r="AE661" t="s">
        <v>30</v>
      </c>
      <c r="AF661" s="2" t="str">
        <f>CLEAN(TRIM(Working_Sales[[#This Row],[Total Amount]]))</f>
        <v>25</v>
      </c>
      <c r="AG661" s="2">
        <f>INT(Working_Sales[[#This Row],[Total_Amount_Whitespace_Removed]])</f>
        <v>25</v>
      </c>
      <c r="AH66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662" spans="1:34" x14ac:dyDescent="0.35">
      <c r="A662" t="s">
        <v>1422</v>
      </c>
      <c r="B662" s="6" t="str">
        <f>CLEAN(TRIM(Working_Sales[[#This Row],[Transaction ID]]))</f>
        <v>343</v>
      </c>
      <c r="C662" t="s">
        <v>570</v>
      </c>
      <c r="D662" s="2" t="str">
        <f>CLEAN(TRIM(Working_Sales[[#This Row],[Date]]))</f>
        <v>2023-11-01</v>
      </c>
      <c r="E66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45231</v>
      </c>
      <c r="F66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45231</v>
      </c>
      <c r="G66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45231</v>
      </c>
      <c r="H662" t="s">
        <v>2862</v>
      </c>
      <c r="I662" s="2" t="str">
        <f>CLEAN(TRIM(Working_Sales[[#This Row],[Customer ID]]))</f>
        <v>CUST415</v>
      </c>
      <c r="J66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CUST415</v>
      </c>
      <c r="K66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CUST415</v>
      </c>
      <c r="L662" t="s">
        <v>268</v>
      </c>
      <c r="M662" s="4" t="str">
        <f>CLEAN(TRIM(Working_Sales[[#This Row],[Gender]]))</f>
        <v>M</v>
      </c>
      <c r="N662" s="4" t="str" cm="1">
        <f t="array" ref="N662">_xlfn.SWITCH(
   Working_Sales[[#This Row],[Gender_Whitespace_Removed]],
   "m", "Male",
   "f", "Female",
   Working_Sales[[#This Row],[Gender_Whitespace_Removed]]
)</f>
        <v>Male</v>
      </c>
      <c r="O662" s="6" t="str">
        <f>PROPER(Working_Sales[[#This Row],[Gender_Abbreviation_Expanded]])</f>
        <v>Male</v>
      </c>
      <c r="P662">
        <v>21</v>
      </c>
      <c r="Q662" s="2" t="str">
        <f>CLEAN(TRIM(Working_Sales[[#This Row],[Age]]))</f>
        <v>21</v>
      </c>
      <c r="R662" s="6">
        <f>INT(SUBSTITUTE(Working_Sales[[#This Row],[Age_Whitespace_Removed]],".",","))</f>
        <v>21</v>
      </c>
      <c r="S662" t="s">
        <v>13</v>
      </c>
      <c r="T662" s="2" t="str">
        <f>CLEAN(TRIM(Working_Sales[[#This Row],[Product Category]]))</f>
        <v>Electronics</v>
      </c>
      <c r="U662" s="6" t="str">
        <f>PROPER(Working_Sales[[#This Row],[Product_Category_Whitespace_Removed]])</f>
        <v>Electronics</v>
      </c>
      <c r="V662" t="s">
        <v>37</v>
      </c>
      <c r="W662" s="2" t="str">
        <f>CLEAN(TRIM(Working_Sales[[#This Row],[Quantity]]))</f>
        <v>2</v>
      </c>
      <c r="X662" s="2">
        <f>INT(Working_Sales[[#This Row],[`]])</f>
        <v>2</v>
      </c>
      <c r="Y662" s="6">
        <f>IFERROR(
   Working_Sales[[#This Row],[Quantity_Converted_To_Integer]],
   Working_Sales[[#This Row],[Total_Amount_Whitespace_Removed]]/Working_Sales[[#This Row],[Price_Per_Unit_Decimal_Separator_Fixed]])</f>
        <v>2</v>
      </c>
      <c r="Z662" t="s">
        <v>30</v>
      </c>
      <c r="AA662" s="2" t="str">
        <f>CLEAN(TRIM(Working_Sales[[#This Row],[Price per Unit]]))</f>
        <v>25</v>
      </c>
      <c r="AB662" s="2">
        <f>INT(
   SUBSTITUTE(Working_Sales[[#This Row],[Price_Per_Unit_Whitespace_Removed]],
   "$",
   ""
   )
)</f>
        <v>25</v>
      </c>
      <c r="AC662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662" s="8">
        <f>IFERROR(
   Working_Sales[[#This Row],[Price_Per_Unit_Decimal_Separator_Fixed]],
   Working_Sales[[#This Row],[Total_Amount_Converted_To_Integer]]/Working_Sales[[#This Row],[Quantity_Converted_To_Integer]]
)</f>
        <v>25</v>
      </c>
      <c r="AE662" t="s">
        <v>15</v>
      </c>
      <c r="AF662" s="2" t="str">
        <f>CLEAN(TRIM(Working_Sales[[#This Row],[Total Amount]]))</f>
        <v>50</v>
      </c>
      <c r="AG662" s="2">
        <f>INT(Working_Sales[[#This Row],[Total_Amount_Whitespace_Removed]])</f>
        <v>50</v>
      </c>
      <c r="AH66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663" spans="1:34" x14ac:dyDescent="0.35">
      <c r="A663" t="s">
        <v>1423</v>
      </c>
      <c r="B663" s="6" t="str">
        <f>CLEAN(TRIM(Working_Sales[[#This Row],[Transaction ID]]))</f>
        <v>550</v>
      </c>
      <c r="C663" t="s">
        <v>798</v>
      </c>
      <c r="D663" s="2" t="str">
        <f>CLEAN(TRIM(Working_Sales[[#This Row],[Date]]))</f>
        <v>2023-12-07</v>
      </c>
      <c r="E66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45267</v>
      </c>
      <c r="F66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45267</v>
      </c>
      <c r="G66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45267</v>
      </c>
      <c r="H663" t="s">
        <v>2863</v>
      </c>
      <c r="I663" s="2" t="str">
        <f>CLEAN(TRIM(Working_Sales[[#This Row],[Customer ID]]))</f>
        <v>CUST063</v>
      </c>
      <c r="J66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CUST063</v>
      </c>
      <c r="K66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CUST063</v>
      </c>
      <c r="L663" t="s">
        <v>34</v>
      </c>
      <c r="M663" s="4" t="str">
        <f>CLEAN(TRIM(Working_Sales[[#This Row],[Gender]]))</f>
        <v>Male</v>
      </c>
      <c r="N663" s="4" t="str" cm="1">
        <f t="array" ref="N663">_xlfn.SWITCH(
   Working_Sales[[#This Row],[Gender_Whitespace_Removed]],
   "m", "Male",
   "f", "Female",
   Working_Sales[[#This Row],[Gender_Whitespace_Removed]]
)</f>
        <v>Male</v>
      </c>
      <c r="O663" s="6" t="str">
        <f>PROPER(Working_Sales[[#This Row],[Gender_Abbreviation_Expanded]])</f>
        <v>Male</v>
      </c>
      <c r="P663">
        <v>40</v>
      </c>
      <c r="Q663" s="2" t="str">
        <f>CLEAN(TRIM(Working_Sales[[#This Row],[Age]]))</f>
        <v>40</v>
      </c>
      <c r="R663" s="6">
        <f>INT(SUBSTITUTE(Working_Sales[[#This Row],[Age_Whitespace_Removed]],".",","))</f>
        <v>40</v>
      </c>
      <c r="S663" t="s">
        <v>56</v>
      </c>
      <c r="T663" s="2" t="str">
        <f>CLEAN(TRIM(Working_Sales[[#This Row],[Product Category]]))</f>
        <v>Clothing</v>
      </c>
      <c r="U663" s="6" t="str">
        <f>PROPER(Working_Sales[[#This Row],[Product_Category_Whitespace_Removed]])</f>
        <v>Clothing</v>
      </c>
      <c r="V663" t="s">
        <v>29</v>
      </c>
      <c r="W663" s="2" t="str">
        <f>CLEAN(TRIM(Working_Sales[[#This Row],[Quantity]]))</f>
        <v>3</v>
      </c>
      <c r="X663" s="2">
        <f>INT(Working_Sales[[#This Row],[`]])</f>
        <v>3</v>
      </c>
      <c r="Y663" s="6">
        <f>IFERROR(
   Working_Sales[[#This Row],[Quantity_Converted_To_Integer]],
   Working_Sales[[#This Row],[Total_Amount_Whitespace_Removed]]/Working_Sales[[#This Row],[Price_Per_Unit_Decimal_Separator_Fixed]])</f>
        <v>3</v>
      </c>
      <c r="Z663" t="s">
        <v>23</v>
      </c>
      <c r="AA663" s="2" t="str">
        <f>CLEAN(TRIM(Working_Sales[[#This Row],[Price per Unit]]))</f>
        <v>300</v>
      </c>
      <c r="AB663" s="2">
        <f>INT(
   SUBSTITUTE(Working_Sales[[#This Row],[Price_Per_Unit_Whitespace_Removed]],
   "$",
   ""
   )
)</f>
        <v>300</v>
      </c>
      <c r="AC663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663" s="8">
        <f>IFERROR(
   Working_Sales[[#This Row],[Price_Per_Unit_Decimal_Separator_Fixed]],
   Working_Sales[[#This Row],[Total_Amount_Converted_To_Integer]]/Working_Sales[[#This Row],[Quantity_Converted_To_Integer]]
)</f>
        <v>300</v>
      </c>
      <c r="AE663" t="s">
        <v>128</v>
      </c>
      <c r="AF663" s="2" t="str">
        <f>CLEAN(TRIM(Working_Sales[[#This Row],[Total Amount]]))</f>
        <v>900</v>
      </c>
      <c r="AG663" s="2">
        <f>INT(Working_Sales[[#This Row],[Total_Amount_Whitespace_Removed]])</f>
        <v>900</v>
      </c>
      <c r="AH66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664" spans="1:34" x14ac:dyDescent="0.35">
      <c r="A664" t="s">
        <v>1424</v>
      </c>
      <c r="B664" s="6" t="str">
        <f>CLEAN(TRIM(Working_Sales[[#This Row],[Transaction ID]]))</f>
        <v>387</v>
      </c>
      <c r="C664" t="s">
        <v>1425</v>
      </c>
      <c r="D664" s="2" t="str">
        <f>CLEAN(TRIM(Working_Sales[[#This Row],[Date]]))</f>
        <v>2023-06-04</v>
      </c>
      <c r="E66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45081</v>
      </c>
      <c r="F66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45081</v>
      </c>
      <c r="G66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45081</v>
      </c>
      <c r="H664" t="s">
        <v>2864</v>
      </c>
      <c r="I664" s="2" t="str">
        <f>CLEAN(TRIM(Working_Sales[[#This Row],[Customer ID]]))</f>
        <v>Cust219</v>
      </c>
      <c r="J66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6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CUST219</v>
      </c>
      <c r="L664" t="s">
        <v>34</v>
      </c>
      <c r="M664" s="4" t="str">
        <f>CLEAN(TRIM(Working_Sales[[#This Row],[Gender]]))</f>
        <v>Male</v>
      </c>
      <c r="N664" s="4" t="str" cm="1">
        <f t="array" ref="N664">_xlfn.SWITCH(
   Working_Sales[[#This Row],[Gender_Whitespace_Removed]],
   "m", "Male",
   "f", "Female",
   Working_Sales[[#This Row],[Gender_Whitespace_Removed]]
)</f>
        <v>Male</v>
      </c>
      <c r="O664" s="6" t="str">
        <f>PROPER(Working_Sales[[#This Row],[Gender_Abbreviation_Expanded]])</f>
        <v>Male</v>
      </c>
      <c r="P664">
        <v>44</v>
      </c>
      <c r="Q664" s="2" t="str">
        <f>CLEAN(TRIM(Working_Sales[[#This Row],[Age]]))</f>
        <v>44</v>
      </c>
      <c r="R664" s="6">
        <f>INT(SUBSTITUTE(Working_Sales[[#This Row],[Age_Whitespace_Removed]],".",","))</f>
        <v>44</v>
      </c>
      <c r="S664" t="s">
        <v>42</v>
      </c>
      <c r="T664" s="2" t="str">
        <f>CLEAN(TRIM(Working_Sales[[#This Row],[Product Category]]))</f>
        <v>Beauty</v>
      </c>
      <c r="U664" s="6" t="str">
        <f>PROPER(Working_Sales[[#This Row],[Product_Category_Whitespace_Removed]])</f>
        <v>Beauty</v>
      </c>
      <c r="V664" t="s">
        <v>22</v>
      </c>
      <c r="W664" s="2" t="str">
        <f>CLEAN(TRIM(Working_Sales[[#This Row],[Quantity]]))</f>
        <v>1</v>
      </c>
      <c r="X664" s="2">
        <f>INT(Working_Sales[[#This Row],[`]])</f>
        <v>1</v>
      </c>
      <c r="Y664" s="6">
        <f>IFERROR(
   Working_Sales[[#This Row],[Quantity_Converted_To_Integer]],
   Working_Sales[[#This Row],[Total_Amount_Whitespace_Removed]]/Working_Sales[[#This Row],[Price_Per_Unit_Decimal_Separator_Fixed]])</f>
        <v>1</v>
      </c>
      <c r="Z664" t="s">
        <v>70</v>
      </c>
      <c r="AA664" s="2" t="str">
        <f>CLEAN(TRIM(Working_Sales[[#This Row],[Price per Unit]]))</f>
        <v>30</v>
      </c>
      <c r="AB664" s="2">
        <f>INT(
   SUBSTITUTE(Working_Sales[[#This Row],[Price_Per_Unit_Whitespace_Removed]],
   "$",
   ""
   )
)</f>
        <v>30</v>
      </c>
      <c r="AC664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664" s="8">
        <f>IFERROR(
   Working_Sales[[#This Row],[Price_Per_Unit_Decimal_Separator_Fixed]],
   Working_Sales[[#This Row],[Total_Amount_Converted_To_Integer]]/Working_Sales[[#This Row],[Quantity_Converted_To_Integer]]
)</f>
        <v>30</v>
      </c>
      <c r="AE664" t="s">
        <v>70</v>
      </c>
      <c r="AF664" s="2" t="str">
        <f>CLEAN(TRIM(Working_Sales[[#This Row],[Total Amount]]))</f>
        <v>30</v>
      </c>
      <c r="AG664" s="2">
        <f>INT(Working_Sales[[#This Row],[Total_Amount_Whitespace_Removed]])</f>
        <v>30</v>
      </c>
      <c r="AH66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665" spans="1:34" x14ac:dyDescent="0.35">
      <c r="A665" t="s">
        <v>1426</v>
      </c>
      <c r="B665" s="6" t="str">
        <f>CLEAN(TRIM(Working_Sales[[#This Row],[Transaction ID]]))</f>
        <v>867</v>
      </c>
      <c r="C665" t="s">
        <v>241</v>
      </c>
      <c r="D665" s="2" t="str">
        <f>CLEAN(TRIM(Working_Sales[[#This Row],[Date]]))</f>
        <v>2023-06-06</v>
      </c>
      <c r="E66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45083</v>
      </c>
      <c r="F66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45083</v>
      </c>
      <c r="G66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45083</v>
      </c>
      <c r="H665" t="s">
        <v>2559</v>
      </c>
      <c r="I665" s="2" t="str">
        <f>CLEAN(TRIM(Working_Sales[[#This Row],[Customer ID]]))</f>
        <v>CUST230</v>
      </c>
      <c r="J66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CUST230</v>
      </c>
      <c r="K66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CUST230</v>
      </c>
      <c r="L665" t="s">
        <v>268</v>
      </c>
      <c r="M665" s="4" t="str">
        <f>CLEAN(TRIM(Working_Sales[[#This Row],[Gender]]))</f>
        <v>M</v>
      </c>
      <c r="N665" s="4" t="str" cm="1">
        <f t="array" ref="N665">_xlfn.SWITCH(
   Working_Sales[[#This Row],[Gender_Whitespace_Removed]],
   "m", "Male",
   "f", "Female",
   Working_Sales[[#This Row],[Gender_Whitespace_Removed]]
)</f>
        <v>Male</v>
      </c>
      <c r="O665" s="6" t="str">
        <f>PROPER(Working_Sales[[#This Row],[Gender_Abbreviation_Expanded]])</f>
        <v>Male</v>
      </c>
      <c r="P665">
        <v>21</v>
      </c>
      <c r="Q665" s="2" t="str">
        <f>CLEAN(TRIM(Working_Sales[[#This Row],[Age]]))</f>
        <v>21</v>
      </c>
      <c r="R665" s="6">
        <f>INT(SUBSTITUTE(Working_Sales[[#This Row],[Age_Whitespace_Removed]],".",","))</f>
        <v>21</v>
      </c>
      <c r="S665" t="s">
        <v>99</v>
      </c>
      <c r="T665" s="2" t="str">
        <f>CLEAN(TRIM(Working_Sales[[#This Row],[Product Category]]))</f>
        <v>ELECTRONICS</v>
      </c>
      <c r="U665" s="6" t="str">
        <f>PROPER(Working_Sales[[#This Row],[Product_Category_Whitespace_Removed]])</f>
        <v>Electronics</v>
      </c>
      <c r="V665" t="s">
        <v>22</v>
      </c>
      <c r="W665" s="2" t="str">
        <f>CLEAN(TRIM(Working_Sales[[#This Row],[Quantity]]))</f>
        <v>1</v>
      </c>
      <c r="X665" s="2">
        <f>INT(Working_Sales[[#This Row],[`]])</f>
        <v>1</v>
      </c>
      <c r="Y665" s="6">
        <f>IFERROR(
   Working_Sales[[#This Row],[Quantity_Converted_To_Integer]],
   Working_Sales[[#This Row],[Total_Amount_Whitespace_Removed]]/Working_Sales[[#This Row],[Price_Per_Unit_Decimal_Separator_Fixed]])</f>
        <v>1</v>
      </c>
      <c r="Z665" t="s">
        <v>57</v>
      </c>
      <c r="AA665" s="2" t="str">
        <f>CLEAN(TRIM(Working_Sales[[#This Row],[Price per Unit]]))</f>
        <v>500</v>
      </c>
      <c r="AB665" s="2">
        <f>INT(
   SUBSTITUTE(Working_Sales[[#This Row],[Price_Per_Unit_Whitespace_Removed]],
   "$",
   ""
   )
)</f>
        <v>500</v>
      </c>
      <c r="AC665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665" s="8">
        <f>IFERROR(
   Working_Sales[[#This Row],[Price_Per_Unit_Decimal_Separator_Fixed]],
   Working_Sales[[#This Row],[Total_Amount_Converted_To_Integer]]/Working_Sales[[#This Row],[Quantity_Converted_To_Integer]]
)</f>
        <v>500</v>
      </c>
      <c r="AE665" t="s">
        <v>57</v>
      </c>
      <c r="AF665" s="2" t="str">
        <f>CLEAN(TRIM(Working_Sales[[#This Row],[Total Amount]]))</f>
        <v>500</v>
      </c>
      <c r="AG665" s="2">
        <f>INT(Working_Sales[[#This Row],[Total_Amount_Whitespace_Removed]])</f>
        <v>500</v>
      </c>
      <c r="AH66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666" spans="1:34" x14ac:dyDescent="0.35">
      <c r="A666" t="s">
        <v>1427</v>
      </c>
      <c r="B666" s="6" t="str">
        <f>CLEAN(TRIM(Working_Sales[[#This Row],[Transaction ID]]))</f>
        <v>207</v>
      </c>
      <c r="C666" t="s">
        <v>770</v>
      </c>
      <c r="D666" s="2" t="str">
        <f>CLEAN(TRIM(Working_Sales[[#This Row],[Date]]))</f>
        <v>19/04/2023</v>
      </c>
      <c r="E66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45035</v>
      </c>
      <c r="F66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45035</v>
      </c>
      <c r="G66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45035</v>
      </c>
      <c r="H666" t="s">
        <v>2865</v>
      </c>
      <c r="I666" s="2" t="str">
        <f>CLEAN(TRIM(Working_Sales[[#This Row],[Customer ID]]))</f>
        <v>CUST-143</v>
      </c>
      <c r="J66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6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CUST143</v>
      </c>
      <c r="L666" t="s">
        <v>26</v>
      </c>
      <c r="M666" s="4" t="str">
        <f>CLEAN(TRIM(Working_Sales[[#This Row],[Gender]]))</f>
        <v>Female</v>
      </c>
      <c r="N666" s="4" t="str" cm="1">
        <f t="array" ref="N666">_xlfn.SWITCH(
   Working_Sales[[#This Row],[Gender_Whitespace_Removed]],
   "m", "Male",
   "f", "Female",
   Working_Sales[[#This Row],[Gender_Whitespace_Removed]]
)</f>
        <v>Female</v>
      </c>
      <c r="O666" s="6" t="str">
        <f>PROPER(Working_Sales[[#This Row],[Gender_Abbreviation_Expanded]])</f>
        <v>Female</v>
      </c>
      <c r="P666">
        <v>42</v>
      </c>
      <c r="Q666" s="2" t="str">
        <f>CLEAN(TRIM(Working_Sales[[#This Row],[Age]]))</f>
        <v>42</v>
      </c>
      <c r="R666" s="6">
        <f>INT(SUBSTITUTE(Working_Sales[[#This Row],[Age_Whitespace_Removed]],".",","))</f>
        <v>42</v>
      </c>
      <c r="S666" t="s">
        <v>36</v>
      </c>
      <c r="T666" s="2" t="str">
        <f>CLEAN(TRIM(Working_Sales[[#This Row],[Product Category]]))</f>
        <v>Beauty</v>
      </c>
      <c r="U666" s="6" t="str">
        <f>PROPER(Working_Sales[[#This Row],[Product_Category_Whitespace_Removed]])</f>
        <v>Beauty</v>
      </c>
      <c r="V666" t="s">
        <v>37</v>
      </c>
      <c r="W666" s="2" t="str">
        <f>CLEAN(TRIM(Working_Sales[[#This Row],[Quantity]]))</f>
        <v>2</v>
      </c>
      <c r="X666" s="2">
        <f>INT(Working_Sales[[#This Row],[`]])</f>
        <v>2</v>
      </c>
      <c r="Y666" s="6">
        <f>IFERROR(
   Working_Sales[[#This Row],[Quantity_Converted_To_Integer]],
   Working_Sales[[#This Row],[Total_Amount_Whitespace_Removed]]/Working_Sales[[#This Row],[Price_Per_Unit_Decimal_Separator_Fixed]])</f>
        <v>2</v>
      </c>
      <c r="AA666" s="2" t="str">
        <f>CLEAN(TRIM(Working_Sales[[#This Row],[Price per Unit]]))</f>
        <v/>
      </c>
      <c r="AB666" s="2" t="e">
        <f>INT(
   SUBSTITUTE(Working_Sales[[#This Row],[Price_Per_Unit_Whitespace_Removed]],
   "$",
   ""
   )
)</f>
        <v>#VALUE!</v>
      </c>
      <c r="AC666" s="2" t="e">
        <f>INT(
   IFERROR(
      Working_Sales[[#This Row],[Price_Per_Unit_Dollar_Sign_Removed]],
      SUBSTITUTE(
         Working_Sales[[#This Row],[Price_Per_Unit_Whitespace_Removed]],
        ".",
         ","
      )
   )
)</f>
        <v>#VALUE!</v>
      </c>
      <c r="AD666" s="8">
        <f>IFERROR(
   Working_Sales[[#This Row],[Price_Per_Unit_Decimal_Separator_Fixed]],
   Working_Sales[[#This Row],[Total_Amount_Converted_To_Integer]]/Working_Sales[[#This Row],[Quantity_Converted_To_Integer]]
)</f>
        <v>25</v>
      </c>
      <c r="AE666" t="s">
        <v>15</v>
      </c>
      <c r="AF666" s="2" t="str">
        <f>CLEAN(TRIM(Working_Sales[[#This Row],[Total Amount]]))</f>
        <v>50</v>
      </c>
      <c r="AG666" s="2">
        <f>INT(Working_Sales[[#This Row],[Total_Amount_Whitespace_Removed]])</f>
        <v>50</v>
      </c>
      <c r="AH66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667" spans="1:34" x14ac:dyDescent="0.35">
      <c r="A667" t="s">
        <v>1429</v>
      </c>
      <c r="B667" s="6" t="str">
        <f>CLEAN(TRIM(Working_Sales[[#This Row],[Transaction ID]]))</f>
        <v>296</v>
      </c>
      <c r="C667" t="s">
        <v>2080</v>
      </c>
      <c r="D667" s="2" t="str">
        <f>CLEAN(TRIM(Working_Sales[[#This Row],[Date]]))</f>
        <v>06-Sep-2023</v>
      </c>
      <c r="E66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45175</v>
      </c>
      <c r="F66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45175</v>
      </c>
      <c r="G66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45175</v>
      </c>
      <c r="H667" t="s">
        <v>2866</v>
      </c>
      <c r="I667" s="2" t="str">
        <f>CLEAN(TRIM(Working_Sales[[#This Row],[Customer ID]]))</f>
        <v>CUST377</v>
      </c>
      <c r="J66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CUST377</v>
      </c>
      <c r="K66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CUST377</v>
      </c>
      <c r="L667" t="s">
        <v>46</v>
      </c>
      <c r="M667" s="4" t="str">
        <f>CLEAN(TRIM(Working_Sales[[#This Row],[Gender]]))</f>
        <v>F</v>
      </c>
      <c r="N667" s="4" t="str" cm="1">
        <f t="array" ref="N667">_xlfn.SWITCH(
   Working_Sales[[#This Row],[Gender_Whitespace_Removed]],
   "m", "Male",
   "f", "Female",
   Working_Sales[[#This Row],[Gender_Whitespace_Removed]]
)</f>
        <v>Female</v>
      </c>
      <c r="O667" s="6" t="str">
        <f>PROPER(Working_Sales[[#This Row],[Gender_Abbreviation_Expanded]])</f>
        <v>Female</v>
      </c>
      <c r="P667">
        <v>22</v>
      </c>
      <c r="Q667" s="2" t="str">
        <f>CLEAN(TRIM(Working_Sales[[#This Row],[Age]]))</f>
        <v>22</v>
      </c>
      <c r="R667" s="6">
        <f>INT(SUBSTITUTE(Working_Sales[[#This Row],[Age_Whitespace_Removed]],".",","))</f>
        <v>22</v>
      </c>
      <c r="S667" t="s">
        <v>56</v>
      </c>
      <c r="T667" s="2" t="str">
        <f>CLEAN(TRIM(Working_Sales[[#This Row],[Product Category]]))</f>
        <v>Clothing</v>
      </c>
      <c r="U667" s="6" t="str">
        <f>PROPER(Working_Sales[[#This Row],[Product_Category_Whitespace_Removed]])</f>
        <v>Clothing</v>
      </c>
      <c r="V667" t="s">
        <v>14</v>
      </c>
      <c r="W667" s="2" t="str">
        <f>CLEAN(TRIM(Working_Sales[[#This Row],[Quantity]]))</f>
        <v>4</v>
      </c>
      <c r="X667" s="2">
        <f>INT(Working_Sales[[#This Row],[`]])</f>
        <v>4</v>
      </c>
      <c r="Y667" s="6">
        <f>IFERROR(
   Working_Sales[[#This Row],[Quantity_Converted_To_Integer]],
   Working_Sales[[#This Row],[Total_Amount_Whitespace_Removed]]/Working_Sales[[#This Row],[Price_Per_Unit_Decimal_Separator_Fixed]])</f>
        <v>4</v>
      </c>
      <c r="Z667" t="s">
        <v>23</v>
      </c>
      <c r="AA667" s="2" t="str">
        <f>CLEAN(TRIM(Working_Sales[[#This Row],[Price per Unit]]))</f>
        <v>300</v>
      </c>
      <c r="AB667" s="2">
        <f>INT(
   SUBSTITUTE(Working_Sales[[#This Row],[Price_Per_Unit_Whitespace_Removed]],
   "$",
   ""
   )
)</f>
        <v>300</v>
      </c>
      <c r="AC667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667" s="8">
        <f>IFERROR(
   Working_Sales[[#This Row],[Price_Per_Unit_Decimal_Separator_Fixed]],
   Working_Sales[[#This Row],[Total_Amount_Converted_To_Integer]]/Working_Sales[[#This Row],[Quantity_Converted_To_Integer]]
)</f>
        <v>300</v>
      </c>
      <c r="AE667" t="s">
        <v>79</v>
      </c>
      <c r="AF667" s="2" t="str">
        <f>CLEAN(TRIM(Working_Sales[[#This Row],[Total Amount]]))</f>
        <v>1200</v>
      </c>
      <c r="AG667" s="2">
        <f>INT(Working_Sales[[#This Row],[Total_Amount_Whitespace_Removed]])</f>
        <v>1200</v>
      </c>
      <c r="AH66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668" spans="1:34" x14ac:dyDescent="0.35">
      <c r="A668" t="s">
        <v>1431</v>
      </c>
      <c r="B668" s="6" t="str">
        <f>CLEAN(TRIM(Working_Sales[[#This Row],[Transaction ID]]))</f>
        <v>777</v>
      </c>
      <c r="C668" t="s">
        <v>1432</v>
      </c>
      <c r="D668" s="2" t="str">
        <f>CLEAN(TRIM(Working_Sales[[#This Row],[Date]]))</f>
        <v>December 20, 2023</v>
      </c>
      <c r="E668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668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66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45280</v>
      </c>
      <c r="H668" t="s">
        <v>2867</v>
      </c>
      <c r="I668" s="2" t="str">
        <f>CLEAN(TRIM(Working_Sales[[#This Row],[Customer ID]]))</f>
        <v>CUST-416</v>
      </c>
      <c r="J66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6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CUST416</v>
      </c>
      <c r="L668" t="s">
        <v>20</v>
      </c>
      <c r="M668" s="4" t="str">
        <f>CLEAN(TRIM(Working_Sales[[#This Row],[Gender]]))</f>
        <v>male</v>
      </c>
      <c r="N668" s="4" t="str" cm="1">
        <f t="array" ref="N668">_xlfn.SWITCH(
   Working_Sales[[#This Row],[Gender_Whitespace_Removed]],
   "m", "Male",
   "f", "Female",
   Working_Sales[[#This Row],[Gender_Whitespace_Removed]]
)</f>
        <v>male</v>
      </c>
      <c r="O668" s="6" t="str">
        <f>PROPER(Working_Sales[[#This Row],[Gender_Abbreviation_Expanded]])</f>
        <v>Male</v>
      </c>
      <c r="P668">
        <v>48</v>
      </c>
      <c r="Q668" s="2" t="str">
        <f>CLEAN(TRIM(Working_Sales[[#This Row],[Age]]))</f>
        <v>48</v>
      </c>
      <c r="R668" s="6">
        <f>INT(SUBSTITUTE(Working_Sales[[#This Row],[Age_Whitespace_Removed]],".",","))</f>
        <v>48</v>
      </c>
      <c r="S668" t="s">
        <v>13</v>
      </c>
      <c r="T668" s="2" t="str">
        <f>CLEAN(TRIM(Working_Sales[[#This Row],[Product Category]]))</f>
        <v>Electronics</v>
      </c>
      <c r="U668" s="6" t="str">
        <f>PROPER(Working_Sales[[#This Row],[Product_Category_Whitespace_Removed]])</f>
        <v>Electronics</v>
      </c>
      <c r="V668" t="s">
        <v>29</v>
      </c>
      <c r="W668" s="2" t="str">
        <f>CLEAN(TRIM(Working_Sales[[#This Row],[Quantity]]))</f>
        <v>3</v>
      </c>
      <c r="X668" s="2">
        <f>INT(Working_Sales[[#This Row],[`]])</f>
        <v>3</v>
      </c>
      <c r="Y668" s="6">
        <f>IFERROR(
   Working_Sales[[#This Row],[Quantity_Converted_To_Integer]],
   Working_Sales[[#This Row],[Total_Amount_Whitespace_Removed]]/Working_Sales[[#This Row],[Price_Per_Unit_Decimal_Separator_Fixed]])</f>
        <v>3</v>
      </c>
      <c r="Z668" t="s">
        <v>15</v>
      </c>
      <c r="AA668" s="2" t="str">
        <f>CLEAN(TRIM(Working_Sales[[#This Row],[Price per Unit]]))</f>
        <v>50</v>
      </c>
      <c r="AB668" s="2">
        <f>INT(
   SUBSTITUTE(Working_Sales[[#This Row],[Price_Per_Unit_Whitespace_Removed]],
   "$",
   ""
   )
)</f>
        <v>50</v>
      </c>
      <c r="AC668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668" s="8">
        <f>IFERROR(
   Working_Sales[[#This Row],[Price_Per_Unit_Decimal_Separator_Fixed]],
   Working_Sales[[#This Row],[Total_Amount_Converted_To_Integer]]/Working_Sales[[#This Row],[Quantity_Converted_To_Integer]]
)</f>
        <v>50</v>
      </c>
      <c r="AE668" t="s">
        <v>130</v>
      </c>
      <c r="AF668" s="2" t="str">
        <f>CLEAN(TRIM(Working_Sales[[#This Row],[Total Amount]]))</f>
        <v>150</v>
      </c>
      <c r="AG668" s="2">
        <f>INT(Working_Sales[[#This Row],[Total_Amount_Whitespace_Removed]])</f>
        <v>150</v>
      </c>
      <c r="AH66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669" spans="1:34" x14ac:dyDescent="0.35">
      <c r="A669" t="s">
        <v>1433</v>
      </c>
      <c r="B669" s="6" t="str">
        <f>CLEAN(TRIM(Working_Sales[[#This Row],[Transaction ID]]))</f>
        <v>74</v>
      </c>
      <c r="C669" t="s">
        <v>1434</v>
      </c>
      <c r="D669" s="2" t="str">
        <f>CLEAN(TRIM(Working_Sales[[#This Row],[Date]]))</f>
        <v>2023-11-22</v>
      </c>
      <c r="E66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45252</v>
      </c>
      <c r="F66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45252</v>
      </c>
      <c r="G66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45252</v>
      </c>
      <c r="H669" t="s">
        <v>2558</v>
      </c>
      <c r="I669" s="2" t="str">
        <f>CLEAN(TRIM(Working_Sales[[#This Row],[Customer ID]]))</f>
        <v>Cust229</v>
      </c>
      <c r="J66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6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CUST229</v>
      </c>
      <c r="L669" t="s">
        <v>26</v>
      </c>
      <c r="M669" s="4" t="str">
        <f>CLEAN(TRIM(Working_Sales[[#This Row],[Gender]]))</f>
        <v>Female</v>
      </c>
      <c r="N669" s="4" t="str" cm="1">
        <f t="array" ref="N669">_xlfn.SWITCH(
   Working_Sales[[#This Row],[Gender_Whitespace_Removed]],
   "m", "Male",
   "f", "Female",
   Working_Sales[[#This Row],[Gender_Whitespace_Removed]]
)</f>
        <v>Female</v>
      </c>
      <c r="O669" s="6" t="str">
        <f>PROPER(Working_Sales[[#This Row],[Gender_Abbreviation_Expanded]])</f>
        <v>Female</v>
      </c>
      <c r="P669">
        <v>18</v>
      </c>
      <c r="Q669" s="2" t="str">
        <f>CLEAN(TRIM(Working_Sales[[#This Row],[Age]]))</f>
        <v>18</v>
      </c>
      <c r="R669" s="6">
        <f>INT(SUBSTITUTE(Working_Sales[[#This Row],[Age_Whitespace_Removed]],".",","))</f>
        <v>18</v>
      </c>
      <c r="S669" t="s">
        <v>62</v>
      </c>
      <c r="T669" s="2" t="str">
        <f>CLEAN(TRIM(Working_Sales[[#This Row],[Product Category]]))</f>
        <v>beauty</v>
      </c>
      <c r="U669" s="6" t="str">
        <f>PROPER(Working_Sales[[#This Row],[Product_Category_Whitespace_Removed]])</f>
        <v>Beauty</v>
      </c>
      <c r="V669" t="s">
        <v>14</v>
      </c>
      <c r="W669" s="2" t="str">
        <f>CLEAN(TRIM(Working_Sales[[#This Row],[Quantity]]))</f>
        <v>4</v>
      </c>
      <c r="X669" s="2">
        <f>INT(Working_Sales[[#This Row],[`]])</f>
        <v>4</v>
      </c>
      <c r="Y669" s="6">
        <f>IFERROR(
   Working_Sales[[#This Row],[Quantity_Converted_To_Integer]],
   Working_Sales[[#This Row],[Total_Amount_Whitespace_Removed]]/Working_Sales[[#This Row],[Price_Per_Unit_Decimal_Separator_Fixed]])</f>
        <v>4</v>
      </c>
      <c r="Z669" t="s">
        <v>57</v>
      </c>
      <c r="AA669" s="2" t="str">
        <f>CLEAN(TRIM(Working_Sales[[#This Row],[Price per Unit]]))</f>
        <v>500</v>
      </c>
      <c r="AB669" s="2">
        <f>INT(
   SUBSTITUTE(Working_Sales[[#This Row],[Price_Per_Unit_Whitespace_Removed]],
   "$",
   ""
   )
)</f>
        <v>500</v>
      </c>
      <c r="AC669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669" s="8">
        <f>IFERROR(
   Working_Sales[[#This Row],[Price_Per_Unit_Decimal_Separator_Fixed]],
   Working_Sales[[#This Row],[Total_Amount_Converted_To_Integer]]/Working_Sales[[#This Row],[Quantity_Converted_To_Integer]]
)</f>
        <v>500</v>
      </c>
      <c r="AE669" t="s">
        <v>232</v>
      </c>
      <c r="AF669" s="2" t="str">
        <f>CLEAN(TRIM(Working_Sales[[#This Row],[Total Amount]]))</f>
        <v>2000</v>
      </c>
      <c r="AG669" s="2">
        <f>INT(Working_Sales[[#This Row],[Total_Amount_Whitespace_Removed]])</f>
        <v>2000</v>
      </c>
      <c r="AH66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670" spans="1:34" x14ac:dyDescent="0.35">
      <c r="A670" t="s">
        <v>1436</v>
      </c>
      <c r="B670" s="6" t="str">
        <f>CLEAN(TRIM(Working_Sales[[#This Row],[Transaction ID]]))</f>
        <v>752</v>
      </c>
      <c r="C670" t="s">
        <v>1209</v>
      </c>
      <c r="D670" s="2" t="str">
        <f>CLEAN(TRIM(Working_Sales[[#This Row],[Date]]))</f>
        <v>December 09, 2023</v>
      </c>
      <c r="E670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670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67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45269</v>
      </c>
      <c r="H670" t="s">
        <v>1520</v>
      </c>
      <c r="I670" s="2" t="str">
        <f>CLEAN(TRIM(Working_Sales[[#This Row],[Customer ID]]))</f>
        <v>CUST417</v>
      </c>
      <c r="J67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CUST417</v>
      </c>
      <c r="K67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CUST417</v>
      </c>
      <c r="L670" t="s">
        <v>268</v>
      </c>
      <c r="M670" s="4" t="str">
        <f>CLEAN(TRIM(Working_Sales[[#This Row],[Gender]]))</f>
        <v>M</v>
      </c>
      <c r="N670" s="4" t="str" cm="1">
        <f t="array" ref="N670">_xlfn.SWITCH(
   Working_Sales[[#This Row],[Gender_Whitespace_Removed]],
   "m", "Male",
   "f", "Female",
   Working_Sales[[#This Row],[Gender_Whitespace_Removed]]
)</f>
        <v>Male</v>
      </c>
      <c r="O670" s="6" t="str">
        <f>PROPER(Working_Sales[[#This Row],[Gender_Abbreviation_Expanded]])</f>
        <v>Male</v>
      </c>
      <c r="P670">
        <v>29</v>
      </c>
      <c r="Q670" s="2" t="str">
        <f>CLEAN(TRIM(Working_Sales[[#This Row],[Age]]))</f>
        <v>29</v>
      </c>
      <c r="R670" s="6">
        <f>INT(SUBSTITUTE(Working_Sales[[#This Row],[Age_Whitespace_Removed]],".",","))</f>
        <v>29</v>
      </c>
      <c r="S670" t="s">
        <v>28</v>
      </c>
      <c r="T670" s="2" t="str">
        <f>CLEAN(TRIM(Working_Sales[[#This Row],[Product Category]]))</f>
        <v>clothing</v>
      </c>
      <c r="U670" s="6" t="str">
        <f>PROPER(Working_Sales[[#This Row],[Product_Category_Whitespace_Removed]])</f>
        <v>Clothing</v>
      </c>
      <c r="V670" t="s">
        <v>37</v>
      </c>
      <c r="W670" s="2" t="str">
        <f>CLEAN(TRIM(Working_Sales[[#This Row],[Quantity]]))</f>
        <v>2</v>
      </c>
      <c r="X670" s="2">
        <f>INT(Working_Sales[[#This Row],[`]])</f>
        <v>2</v>
      </c>
      <c r="Y670" s="6">
        <f>IFERROR(
   Working_Sales[[#This Row],[Quantity_Converted_To_Integer]],
   Working_Sales[[#This Row],[Total_Amount_Whitespace_Removed]]/Working_Sales[[#This Row],[Price_Per_Unit_Decimal_Separator_Fixed]])</f>
        <v>2</v>
      </c>
      <c r="Z670" t="s">
        <v>15</v>
      </c>
      <c r="AA670" s="2" t="str">
        <f>CLEAN(TRIM(Working_Sales[[#This Row],[Price per Unit]]))</f>
        <v>50</v>
      </c>
      <c r="AB670" s="2">
        <f>INT(
   SUBSTITUTE(Working_Sales[[#This Row],[Price_Per_Unit_Whitespace_Removed]],
   "$",
   ""
   )
)</f>
        <v>50</v>
      </c>
      <c r="AC670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670" s="8">
        <f>IFERROR(
   Working_Sales[[#This Row],[Price_Per_Unit_Decimal_Separator_Fixed]],
   Working_Sales[[#This Row],[Total_Amount_Converted_To_Integer]]/Working_Sales[[#This Row],[Quantity_Converted_To_Integer]]
)</f>
        <v>50</v>
      </c>
      <c r="AE670" t="s">
        <v>38</v>
      </c>
      <c r="AF670" s="2" t="str">
        <f>CLEAN(TRIM(Working_Sales[[#This Row],[Total Amount]]))</f>
        <v>100</v>
      </c>
      <c r="AG670" s="2">
        <f>INT(Working_Sales[[#This Row],[Total_Amount_Whitespace_Removed]])</f>
        <v>100</v>
      </c>
      <c r="AH67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671" spans="1:34" x14ac:dyDescent="0.35">
      <c r="A671" t="s">
        <v>1437</v>
      </c>
      <c r="B671" s="6" t="str">
        <f>CLEAN(TRIM(Working_Sales[[#This Row],[Transaction ID]]))</f>
        <v>105</v>
      </c>
      <c r="C671" t="s">
        <v>1279</v>
      </c>
      <c r="D671" s="2" t="str">
        <f>CLEAN(TRIM(Working_Sales[[#This Row],[Date]]))</f>
        <v>2023-07-25</v>
      </c>
      <c r="E67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45132</v>
      </c>
      <c r="F67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45132</v>
      </c>
      <c r="G67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45132</v>
      </c>
      <c r="H671" t="s">
        <v>2868</v>
      </c>
      <c r="I671" s="2" t="str">
        <f>CLEAN(TRIM(Working_Sales[[#This Row],[Customer ID]]))</f>
        <v>Cust160</v>
      </c>
      <c r="J67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7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CUST160</v>
      </c>
      <c r="L671" t="s">
        <v>26</v>
      </c>
      <c r="M671" s="4" t="str">
        <f>CLEAN(TRIM(Working_Sales[[#This Row],[Gender]]))</f>
        <v>Female</v>
      </c>
      <c r="N671" s="4" t="str" cm="1">
        <f t="array" ref="N671">_xlfn.SWITCH(
   Working_Sales[[#This Row],[Gender_Whitespace_Removed]],
   "m", "Male",
   "f", "Female",
   Working_Sales[[#This Row],[Gender_Whitespace_Removed]]
)</f>
        <v>Female</v>
      </c>
      <c r="O671" s="6" t="str">
        <f>PROPER(Working_Sales[[#This Row],[Gender_Abbreviation_Expanded]])</f>
        <v>Female</v>
      </c>
      <c r="P671">
        <v>22</v>
      </c>
      <c r="Q671" s="2" t="str">
        <f>CLEAN(TRIM(Working_Sales[[#This Row],[Age]]))</f>
        <v>22</v>
      </c>
      <c r="R671" s="6">
        <f>INT(SUBSTITUTE(Working_Sales[[#This Row],[Age_Whitespace_Removed]],".",","))</f>
        <v>22</v>
      </c>
      <c r="S671" t="s">
        <v>13</v>
      </c>
      <c r="T671" s="2" t="str">
        <f>CLEAN(TRIM(Working_Sales[[#This Row],[Product Category]]))</f>
        <v>Electronics</v>
      </c>
      <c r="U671" s="6" t="str">
        <f>PROPER(Working_Sales[[#This Row],[Product_Category_Whitespace_Removed]])</f>
        <v>Electronics</v>
      </c>
      <c r="V671" t="s">
        <v>22</v>
      </c>
      <c r="W671" s="2" t="str">
        <f>CLEAN(TRIM(Working_Sales[[#This Row],[Quantity]]))</f>
        <v>1</v>
      </c>
      <c r="X671" s="2">
        <f>INT(Working_Sales[[#This Row],[`]])</f>
        <v>1</v>
      </c>
      <c r="Y671" s="6">
        <f>IFERROR(
   Working_Sales[[#This Row],[Quantity_Converted_To_Integer]],
   Working_Sales[[#This Row],[Total_Amount_Whitespace_Removed]]/Working_Sales[[#This Row],[Price_Per_Unit_Decimal_Separator_Fixed]])</f>
        <v>1</v>
      </c>
      <c r="Z671" t="s">
        <v>84</v>
      </c>
      <c r="AA671" s="2" t="str">
        <f>CLEAN(TRIM(Working_Sales[[#This Row],[Price per Unit]]))</f>
        <v>500.00</v>
      </c>
      <c r="AB671" s="2" t="e">
        <f>INT(
   SUBSTITUTE(Working_Sales[[#This Row],[Price_Per_Unit_Whitespace_Removed]],
   "$",
   ""
   )
)</f>
        <v>#VALUE!</v>
      </c>
      <c r="AC671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671" s="8">
        <f>IFERROR(
   Working_Sales[[#This Row],[Price_Per_Unit_Decimal_Separator_Fixed]],
   Working_Sales[[#This Row],[Total_Amount_Converted_To_Integer]]/Working_Sales[[#This Row],[Quantity_Converted_To_Integer]]
)</f>
        <v>500</v>
      </c>
      <c r="AE671" t="s">
        <v>57</v>
      </c>
      <c r="AF671" s="2" t="str">
        <f>CLEAN(TRIM(Working_Sales[[#This Row],[Total Amount]]))</f>
        <v>500</v>
      </c>
      <c r="AG671" s="2">
        <f>INT(Working_Sales[[#This Row],[Total_Amount_Whitespace_Removed]])</f>
        <v>500</v>
      </c>
      <c r="AH67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672" spans="1:34" x14ac:dyDescent="0.35">
      <c r="A672" t="s">
        <v>1438</v>
      </c>
      <c r="B672" s="6" t="str">
        <f>CLEAN(TRIM(Working_Sales[[#This Row],[Transaction ID]]))</f>
        <v>695</v>
      </c>
      <c r="C672" t="s">
        <v>1497</v>
      </c>
      <c r="D672" s="2" t="str">
        <f>CLEAN(TRIM(Working_Sales[[#This Row],[Date]]))</f>
        <v>August 12, 2023</v>
      </c>
      <c r="E672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672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67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45150</v>
      </c>
      <c r="H672" t="s">
        <v>2869</v>
      </c>
      <c r="I672" s="2" t="str">
        <f>CLEAN(TRIM(Working_Sales[[#This Row],[Customer ID]]))</f>
        <v>CUST243</v>
      </c>
      <c r="J67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CUST243</v>
      </c>
      <c r="K67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CUST243</v>
      </c>
      <c r="L672" t="s">
        <v>26</v>
      </c>
      <c r="M672" s="4" t="str">
        <f>CLEAN(TRIM(Working_Sales[[#This Row],[Gender]]))</f>
        <v>Female</v>
      </c>
      <c r="N672" s="4" t="str" cm="1">
        <f t="array" ref="N672">_xlfn.SWITCH(
   Working_Sales[[#This Row],[Gender_Whitespace_Removed]],
   "m", "Male",
   "f", "Female",
   Working_Sales[[#This Row],[Gender_Whitespace_Removed]]
)</f>
        <v>Female</v>
      </c>
      <c r="O672" s="6" t="str">
        <f>PROPER(Working_Sales[[#This Row],[Gender_Abbreviation_Expanded]])</f>
        <v>Female</v>
      </c>
      <c r="P672">
        <v>22</v>
      </c>
      <c r="Q672" s="2" t="str">
        <f>CLEAN(TRIM(Working_Sales[[#This Row],[Age]]))</f>
        <v>22</v>
      </c>
      <c r="R672" s="6">
        <f>INT(SUBSTITUTE(Working_Sales[[#This Row],[Age_Whitespace_Removed]],".",","))</f>
        <v>22</v>
      </c>
      <c r="S672" t="s">
        <v>48</v>
      </c>
      <c r="T672" s="2" t="str">
        <f>CLEAN(TRIM(Working_Sales[[#This Row],[Product Category]]))</f>
        <v>electronics</v>
      </c>
      <c r="U672" s="6" t="str">
        <f>PROPER(Working_Sales[[#This Row],[Product_Category_Whitespace_Removed]])</f>
        <v>Electronics</v>
      </c>
      <c r="V672" t="s">
        <v>29</v>
      </c>
      <c r="W672" s="2" t="str">
        <f>CLEAN(TRIM(Working_Sales[[#This Row],[Quantity]]))</f>
        <v>3</v>
      </c>
      <c r="X672" s="2">
        <f>INT(Working_Sales[[#This Row],[`]])</f>
        <v>3</v>
      </c>
      <c r="Y672" s="6">
        <f>IFERROR(
   Working_Sales[[#This Row],[Quantity_Converted_To_Integer]],
   Working_Sales[[#This Row],[Total_Amount_Whitespace_Removed]]/Working_Sales[[#This Row],[Price_Per_Unit_Decimal_Separator_Fixed]])</f>
        <v>3</v>
      </c>
      <c r="Z672" t="s">
        <v>15</v>
      </c>
      <c r="AA672" s="2" t="str">
        <f>CLEAN(TRIM(Working_Sales[[#This Row],[Price per Unit]]))</f>
        <v>50</v>
      </c>
      <c r="AB672" s="2">
        <f>INT(
   SUBSTITUTE(Working_Sales[[#This Row],[Price_Per_Unit_Whitespace_Removed]],
   "$",
   ""
   )
)</f>
        <v>50</v>
      </c>
      <c r="AC672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672" s="8">
        <f>IFERROR(
   Working_Sales[[#This Row],[Price_Per_Unit_Decimal_Separator_Fixed]],
   Working_Sales[[#This Row],[Total_Amount_Converted_To_Integer]]/Working_Sales[[#This Row],[Quantity_Converted_To_Integer]]
)</f>
        <v>50</v>
      </c>
      <c r="AE672" t="s">
        <v>130</v>
      </c>
      <c r="AF672" s="2" t="str">
        <f>CLEAN(TRIM(Working_Sales[[#This Row],[Total Amount]]))</f>
        <v>150</v>
      </c>
      <c r="AG672" s="2">
        <f>INT(Working_Sales[[#This Row],[Total_Amount_Whitespace_Removed]])</f>
        <v>150</v>
      </c>
      <c r="AH67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673" spans="1:34" x14ac:dyDescent="0.35">
      <c r="A673" t="s">
        <v>1439</v>
      </c>
      <c r="B673" s="6" t="str">
        <f>CLEAN(TRIM(Working_Sales[[#This Row],[Transaction ID]]))</f>
        <v>716</v>
      </c>
      <c r="C673" t="s">
        <v>1168</v>
      </c>
      <c r="D673" s="2" t="str">
        <f>CLEAN(TRIM(Working_Sales[[#This Row],[Date]]))</f>
        <v>2023-08-08</v>
      </c>
      <c r="E67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45146</v>
      </c>
      <c r="F67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45146</v>
      </c>
      <c r="G67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45146</v>
      </c>
      <c r="H673" t="s">
        <v>2870</v>
      </c>
      <c r="I673" s="2" t="str">
        <f>CLEAN(TRIM(Working_Sales[[#This Row],[Customer ID]]))</f>
        <v>CUST285</v>
      </c>
      <c r="J67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CUST285</v>
      </c>
      <c r="K67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CUST285</v>
      </c>
      <c r="L673" t="s">
        <v>26</v>
      </c>
      <c r="M673" s="4" t="str">
        <f>CLEAN(TRIM(Working_Sales[[#This Row],[Gender]]))</f>
        <v>Female</v>
      </c>
      <c r="N673" s="4" t="str" cm="1">
        <f t="array" ref="N673">_xlfn.SWITCH(
   Working_Sales[[#This Row],[Gender_Whitespace_Removed]],
   "m", "Male",
   "f", "Female",
   Working_Sales[[#This Row],[Gender_Whitespace_Removed]]
)</f>
        <v>Female</v>
      </c>
      <c r="O673" s="6" t="str">
        <f>PROPER(Working_Sales[[#This Row],[Gender_Abbreviation_Expanded]])</f>
        <v>Female</v>
      </c>
      <c r="P673">
        <v>60</v>
      </c>
      <c r="Q673" s="2" t="str">
        <f>CLEAN(TRIM(Working_Sales[[#This Row],[Age]]))</f>
        <v>60</v>
      </c>
      <c r="R673" s="6">
        <f>INT(SUBSTITUTE(Working_Sales[[#This Row],[Age_Whitespace_Removed]],".",","))</f>
        <v>60</v>
      </c>
      <c r="S673" t="s">
        <v>56</v>
      </c>
      <c r="T673" s="2" t="str">
        <f>CLEAN(TRIM(Working_Sales[[#This Row],[Product Category]]))</f>
        <v>Clothing</v>
      </c>
      <c r="U673" s="6" t="str">
        <f>PROPER(Working_Sales[[#This Row],[Product_Category_Whitespace_Removed]])</f>
        <v>Clothing</v>
      </c>
      <c r="V673" t="s">
        <v>14</v>
      </c>
      <c r="W673" s="2" t="str">
        <f>CLEAN(TRIM(Working_Sales[[#This Row],[Quantity]]))</f>
        <v>4</v>
      </c>
      <c r="X673" s="2">
        <f>INT(Working_Sales[[#This Row],[`]])</f>
        <v>4</v>
      </c>
      <c r="Y673" s="6">
        <f>IFERROR(
   Working_Sales[[#This Row],[Quantity_Converted_To_Integer]],
   Working_Sales[[#This Row],[Total_Amount_Whitespace_Removed]]/Working_Sales[[#This Row],[Price_Per_Unit_Decimal_Separator_Fixed]])</f>
        <v>4</v>
      </c>
      <c r="Z673" t="s">
        <v>23</v>
      </c>
      <c r="AA673" s="2" t="str">
        <f>CLEAN(TRIM(Working_Sales[[#This Row],[Price per Unit]]))</f>
        <v>300</v>
      </c>
      <c r="AB673" s="2">
        <f>INT(
   SUBSTITUTE(Working_Sales[[#This Row],[Price_Per_Unit_Whitespace_Removed]],
   "$",
   ""
   )
)</f>
        <v>300</v>
      </c>
      <c r="AC673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673" s="8">
        <f>IFERROR(
   Working_Sales[[#This Row],[Price_Per_Unit_Decimal_Separator_Fixed]],
   Working_Sales[[#This Row],[Total_Amount_Converted_To_Integer]]/Working_Sales[[#This Row],[Quantity_Converted_To_Integer]]
)</f>
        <v>300</v>
      </c>
      <c r="AE673" t="s">
        <v>79</v>
      </c>
      <c r="AF673" s="2" t="str">
        <f>CLEAN(TRIM(Working_Sales[[#This Row],[Total Amount]]))</f>
        <v>1200</v>
      </c>
      <c r="AG673" s="2">
        <f>INT(Working_Sales[[#This Row],[Total_Amount_Whitespace_Removed]])</f>
        <v>1200</v>
      </c>
      <c r="AH67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674" spans="1:34" x14ac:dyDescent="0.35">
      <c r="A674" t="s">
        <v>1440</v>
      </c>
      <c r="B674" s="6" t="str">
        <f>CLEAN(TRIM(Working_Sales[[#This Row],[Transaction ID]]))</f>
        <v>973</v>
      </c>
      <c r="C674" t="s">
        <v>2139</v>
      </c>
      <c r="D674" s="2" t="str">
        <f>CLEAN(TRIM(Working_Sales[[#This Row],[Date]]))</f>
        <v>03/22/2023</v>
      </c>
      <c r="E674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67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45007</v>
      </c>
      <c r="G67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45007</v>
      </c>
      <c r="H674" t="s">
        <v>2871</v>
      </c>
      <c r="I674" s="2" t="str">
        <f>CLEAN(TRIM(Working_Sales[[#This Row],[Customer ID]]))</f>
        <v>CUST418</v>
      </c>
      <c r="J67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CUST418</v>
      </c>
      <c r="K67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CUST418</v>
      </c>
      <c r="L674" t="s">
        <v>34</v>
      </c>
      <c r="M674" s="4" t="str">
        <f>CLEAN(TRIM(Working_Sales[[#This Row],[Gender]]))</f>
        <v>Male</v>
      </c>
      <c r="N674" s="4" t="str" cm="1">
        <f t="array" ref="N674">_xlfn.SWITCH(
   Working_Sales[[#This Row],[Gender_Whitespace_Removed]],
   "m", "Male",
   "f", "Female",
   Working_Sales[[#This Row],[Gender_Whitespace_Removed]]
)</f>
        <v>Male</v>
      </c>
      <c r="O674" s="6" t="str">
        <f>PROPER(Working_Sales[[#This Row],[Gender_Abbreviation_Expanded]])</f>
        <v>Male</v>
      </c>
      <c r="P674">
        <v>60</v>
      </c>
      <c r="Q674" s="2" t="str">
        <f>CLEAN(TRIM(Working_Sales[[#This Row],[Age]]))</f>
        <v>60</v>
      </c>
      <c r="R674" s="6">
        <f>INT(SUBSTITUTE(Working_Sales[[#This Row],[Age_Whitespace_Removed]],".",","))</f>
        <v>60</v>
      </c>
      <c r="S674" t="s">
        <v>400</v>
      </c>
      <c r="T674" s="2" t="str">
        <f>CLEAN(TRIM(Working_Sales[[#This Row],[Product Category]]))</f>
        <v>Clothing</v>
      </c>
      <c r="U674" s="6" t="str">
        <f>PROPER(Working_Sales[[#This Row],[Product_Category_Whitespace_Removed]])</f>
        <v>Clothing</v>
      </c>
      <c r="W674" s="2" t="str">
        <f>CLEAN(TRIM(Working_Sales[[#This Row],[Quantity]]))</f>
        <v/>
      </c>
      <c r="X674" s="2" t="e">
        <f>INT(Working_Sales[[#This Row],[`]])</f>
        <v>#VALUE!</v>
      </c>
      <c r="Y674" s="6">
        <f>IFERROR(
   Working_Sales[[#This Row],[Quantity_Converted_To_Integer]],
   Working_Sales[[#This Row],[Total_Amount_Whitespace_Removed]]/Working_Sales[[#This Row],[Price_Per_Unit_Decimal_Separator_Fixed]])</f>
        <v>1</v>
      </c>
      <c r="Z674" t="s">
        <v>15</v>
      </c>
      <c r="AA674" s="2" t="str">
        <f>CLEAN(TRIM(Working_Sales[[#This Row],[Price per Unit]]))</f>
        <v>50</v>
      </c>
      <c r="AB674" s="2">
        <f>INT(
   SUBSTITUTE(Working_Sales[[#This Row],[Price_Per_Unit_Whitespace_Removed]],
   "$",
   ""
   )
)</f>
        <v>50</v>
      </c>
      <c r="AC674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674" s="8">
        <f>IFERROR(
   Working_Sales[[#This Row],[Price_Per_Unit_Decimal_Separator_Fixed]],
   Working_Sales[[#This Row],[Total_Amount_Converted_To_Integer]]/Working_Sales[[#This Row],[Quantity_Converted_To_Integer]]
)</f>
        <v>50</v>
      </c>
      <c r="AE674" t="s">
        <v>15</v>
      </c>
      <c r="AF674" s="2" t="str">
        <f>CLEAN(TRIM(Working_Sales[[#This Row],[Total Amount]]))</f>
        <v>50</v>
      </c>
      <c r="AG674" s="2">
        <f>INT(Working_Sales[[#This Row],[Total_Amount_Whitespace_Removed]])</f>
        <v>50</v>
      </c>
      <c r="AH67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675" spans="1:34" x14ac:dyDescent="0.35">
      <c r="A675" t="s">
        <v>1442</v>
      </c>
      <c r="B675" s="6" t="str">
        <f>CLEAN(TRIM(Working_Sales[[#This Row],[Transaction ID]]))</f>
        <v>17</v>
      </c>
      <c r="C675" t="s">
        <v>1443</v>
      </c>
      <c r="D675" s="2" t="str">
        <f>CLEAN(TRIM(Working_Sales[[#This Row],[Date]]))</f>
        <v>2023-04-22</v>
      </c>
      <c r="E67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45038</v>
      </c>
      <c r="F67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45038</v>
      </c>
      <c r="G67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45038</v>
      </c>
      <c r="H675" t="s">
        <v>2872</v>
      </c>
      <c r="I675" s="2" t="str">
        <f>CLEAN(TRIM(Working_Sales[[#This Row],[Customer ID]]))</f>
        <v>cust173</v>
      </c>
      <c r="J67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7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CUST173</v>
      </c>
      <c r="L675" t="s">
        <v>26</v>
      </c>
      <c r="M675" s="4" t="str">
        <f>CLEAN(TRIM(Working_Sales[[#This Row],[Gender]]))</f>
        <v>Female</v>
      </c>
      <c r="N675" s="4" t="str" cm="1">
        <f t="array" ref="N675">_xlfn.SWITCH(
   Working_Sales[[#This Row],[Gender_Whitespace_Removed]],
   "m", "Male",
   "f", "Female",
   Working_Sales[[#This Row],[Gender_Whitespace_Removed]]
)</f>
        <v>Female</v>
      </c>
      <c r="O675" s="6" t="str">
        <f>PROPER(Working_Sales[[#This Row],[Gender_Abbreviation_Expanded]])</f>
        <v>Female</v>
      </c>
      <c r="P675">
        <v>27</v>
      </c>
      <c r="Q675" s="2" t="str">
        <f>CLEAN(TRIM(Working_Sales[[#This Row],[Age]]))</f>
        <v>27</v>
      </c>
      <c r="R675" s="6">
        <f>INT(SUBSTITUTE(Working_Sales[[#This Row],[Age_Whitespace_Removed]],".",","))</f>
        <v>27</v>
      </c>
      <c r="S675" t="s">
        <v>56</v>
      </c>
      <c r="T675" s="2" t="str">
        <f>CLEAN(TRIM(Working_Sales[[#This Row],[Product Category]]))</f>
        <v>Clothing</v>
      </c>
      <c r="U675" s="6" t="str">
        <f>PROPER(Working_Sales[[#This Row],[Product_Category_Whitespace_Removed]])</f>
        <v>Clothing</v>
      </c>
      <c r="V675" t="s">
        <v>14</v>
      </c>
      <c r="W675" s="2" t="str">
        <f>CLEAN(TRIM(Working_Sales[[#This Row],[Quantity]]))</f>
        <v>4</v>
      </c>
      <c r="X675" s="2">
        <f>INT(Working_Sales[[#This Row],[`]])</f>
        <v>4</v>
      </c>
      <c r="Y675" s="6">
        <f>IFERROR(
   Working_Sales[[#This Row],[Quantity_Converted_To_Integer]],
   Working_Sales[[#This Row],[Total_Amount_Whitespace_Removed]]/Working_Sales[[#This Row],[Price_Per_Unit_Decimal_Separator_Fixed]])</f>
        <v>4</v>
      </c>
      <c r="Z675" t="s">
        <v>30</v>
      </c>
      <c r="AA675" s="2" t="str">
        <f>CLEAN(TRIM(Working_Sales[[#This Row],[Price per Unit]]))</f>
        <v>25</v>
      </c>
      <c r="AB675" s="2">
        <f>INT(
   SUBSTITUTE(Working_Sales[[#This Row],[Price_Per_Unit_Whitespace_Removed]],
   "$",
   ""
   )
)</f>
        <v>25</v>
      </c>
      <c r="AC675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675" s="8">
        <f>IFERROR(
   Working_Sales[[#This Row],[Price_Per_Unit_Decimal_Separator_Fixed]],
   Working_Sales[[#This Row],[Total_Amount_Converted_To_Integer]]/Working_Sales[[#This Row],[Quantity_Converted_To_Integer]]
)</f>
        <v>25</v>
      </c>
      <c r="AE675" t="s">
        <v>38</v>
      </c>
      <c r="AF675" s="2" t="str">
        <f>CLEAN(TRIM(Working_Sales[[#This Row],[Total Amount]]))</f>
        <v>100</v>
      </c>
      <c r="AG675" s="2">
        <f>INT(Working_Sales[[#This Row],[Total_Amount_Whitespace_Removed]])</f>
        <v>100</v>
      </c>
      <c r="AH67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676" spans="1:34" x14ac:dyDescent="0.35">
      <c r="A676" t="s">
        <v>1445</v>
      </c>
      <c r="B676" s="6" t="str">
        <f>CLEAN(TRIM(Working_Sales[[#This Row],[Transaction ID]]))</f>
        <v>440</v>
      </c>
      <c r="C676" t="s">
        <v>1982</v>
      </c>
      <c r="D676" s="2" t="str">
        <f>CLEAN(TRIM(Working_Sales[[#This Row],[Date]]))</f>
        <v>10/26/2023</v>
      </c>
      <c r="E676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67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45225</v>
      </c>
      <c r="G67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45225</v>
      </c>
      <c r="H676" t="s">
        <v>1312</v>
      </c>
      <c r="I676" s="2" t="str">
        <f>CLEAN(TRIM(Working_Sales[[#This Row],[Customer ID]]))</f>
        <v>CUST371</v>
      </c>
      <c r="J67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CUST371</v>
      </c>
      <c r="K67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CUST371</v>
      </c>
      <c r="L676" t="s">
        <v>11</v>
      </c>
      <c r="M676" s="4" t="str">
        <f>CLEAN(TRIM(Working_Sales[[#This Row],[Gender]]))</f>
        <v>MALE</v>
      </c>
      <c r="N676" s="4" t="str" cm="1">
        <f t="array" ref="N676">_xlfn.SWITCH(
   Working_Sales[[#This Row],[Gender_Whitespace_Removed]],
   "m", "Male",
   "f", "Female",
   Working_Sales[[#This Row],[Gender_Whitespace_Removed]]
)</f>
        <v>MALE</v>
      </c>
      <c r="O676" s="6" t="str">
        <f>PROPER(Working_Sales[[#This Row],[Gender_Abbreviation_Expanded]])</f>
        <v>Male</v>
      </c>
      <c r="P676" t="s">
        <v>377</v>
      </c>
      <c r="Q676" s="2" t="str">
        <f>CLEAN(TRIM(Working_Sales[[#This Row],[Age]]))</f>
        <v>64.0</v>
      </c>
      <c r="R676" s="6">
        <f>INT(SUBSTITUTE(Working_Sales[[#This Row],[Age_Whitespace_Removed]],".",","))</f>
        <v>64</v>
      </c>
      <c r="S676" t="s">
        <v>400</v>
      </c>
      <c r="T676" s="2" t="str">
        <f>CLEAN(TRIM(Working_Sales[[#This Row],[Product Category]]))</f>
        <v>Clothing</v>
      </c>
      <c r="U676" s="6" t="str">
        <f>PROPER(Working_Sales[[#This Row],[Product_Category_Whitespace_Removed]])</f>
        <v>Clothing</v>
      </c>
      <c r="V676" t="s">
        <v>37</v>
      </c>
      <c r="W676" s="2" t="str">
        <f>CLEAN(TRIM(Working_Sales[[#This Row],[Quantity]]))</f>
        <v>2</v>
      </c>
      <c r="X676" s="2">
        <f>INT(Working_Sales[[#This Row],[`]])</f>
        <v>2</v>
      </c>
      <c r="Y676" s="6">
        <f>IFERROR(
   Working_Sales[[#This Row],[Quantity_Converted_To_Integer]],
   Working_Sales[[#This Row],[Total_Amount_Whitespace_Removed]]/Working_Sales[[#This Row],[Price_Per_Unit_Decimal_Separator_Fixed]])</f>
        <v>2</v>
      </c>
      <c r="Z676" t="s">
        <v>23</v>
      </c>
      <c r="AA676" s="2" t="str">
        <f>CLEAN(TRIM(Working_Sales[[#This Row],[Price per Unit]]))</f>
        <v>300</v>
      </c>
      <c r="AB676" s="2">
        <f>INT(
   SUBSTITUTE(Working_Sales[[#This Row],[Price_Per_Unit_Whitespace_Removed]],
   "$",
   ""
   )
)</f>
        <v>300</v>
      </c>
      <c r="AC676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676" s="8">
        <f>IFERROR(
   Working_Sales[[#This Row],[Price_Per_Unit_Decimal_Separator_Fixed]],
   Working_Sales[[#This Row],[Total_Amount_Converted_To_Integer]]/Working_Sales[[#This Row],[Quantity_Converted_To_Integer]]
)</f>
        <v>300</v>
      </c>
      <c r="AE676" t="s">
        <v>107</v>
      </c>
      <c r="AF676" s="2" t="str">
        <f>CLEAN(TRIM(Working_Sales[[#This Row],[Total Amount]]))</f>
        <v>600</v>
      </c>
      <c r="AG676" s="2">
        <f>INT(Working_Sales[[#This Row],[Total_Amount_Whitespace_Removed]])</f>
        <v>600</v>
      </c>
      <c r="AH67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600</v>
      </c>
    </row>
    <row r="677" spans="1:34" x14ac:dyDescent="0.35">
      <c r="A677" t="s">
        <v>1446</v>
      </c>
      <c r="B677" s="6" t="str">
        <f>CLEAN(TRIM(Working_Sales[[#This Row],[Transaction ID]]))</f>
        <v>92</v>
      </c>
      <c r="C677" t="s">
        <v>1304</v>
      </c>
      <c r="D677" s="2" t="str">
        <f>CLEAN(TRIM(Working_Sales[[#This Row],[Date]]))</f>
        <v>25/08/2023</v>
      </c>
      <c r="E67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45163</v>
      </c>
      <c r="F67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45163</v>
      </c>
      <c r="G67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45163</v>
      </c>
      <c r="H677" t="s">
        <v>2873</v>
      </c>
      <c r="I677" s="2" t="str">
        <f>CLEAN(TRIM(Working_Sales[[#This Row],[Customer ID]]))</f>
        <v>Cust112</v>
      </c>
      <c r="J67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7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CUST112</v>
      </c>
      <c r="L677" t="s">
        <v>26</v>
      </c>
      <c r="M677" s="4" t="str">
        <f>CLEAN(TRIM(Working_Sales[[#This Row],[Gender]]))</f>
        <v>Female</v>
      </c>
      <c r="N677" s="4" t="str" cm="1">
        <f t="array" ref="N677">_xlfn.SWITCH(
   Working_Sales[[#This Row],[Gender_Whitespace_Removed]],
   "m", "Male",
   "f", "Female",
   Working_Sales[[#This Row],[Gender_Whitespace_Removed]]
)</f>
        <v>Female</v>
      </c>
      <c r="O677" s="6" t="str">
        <f>PROPER(Working_Sales[[#This Row],[Gender_Abbreviation_Expanded]])</f>
        <v>Female</v>
      </c>
      <c r="P677">
        <v>51</v>
      </c>
      <c r="Q677" s="2" t="str">
        <f>CLEAN(TRIM(Working_Sales[[#This Row],[Age]]))</f>
        <v>51</v>
      </c>
      <c r="R677" s="6">
        <f>INT(SUBSTITUTE(Working_Sales[[#This Row],[Age_Whitespace_Removed]],".",","))</f>
        <v>51</v>
      </c>
      <c r="S677" t="s">
        <v>99</v>
      </c>
      <c r="T677" s="2" t="str">
        <f>CLEAN(TRIM(Working_Sales[[#This Row],[Product Category]]))</f>
        <v>ELECTRONICS</v>
      </c>
      <c r="U677" s="6" t="str">
        <f>PROPER(Working_Sales[[#This Row],[Product_Category_Whitespace_Removed]])</f>
        <v>Electronics</v>
      </c>
      <c r="V677" t="s">
        <v>14</v>
      </c>
      <c r="W677" s="2" t="str">
        <f>CLEAN(TRIM(Working_Sales[[#This Row],[Quantity]]))</f>
        <v>4</v>
      </c>
      <c r="X677" s="2">
        <f>INT(Working_Sales[[#This Row],[`]])</f>
        <v>4</v>
      </c>
      <c r="Y677" s="6">
        <f>IFERROR(
   Working_Sales[[#This Row],[Quantity_Converted_To_Integer]],
   Working_Sales[[#This Row],[Total_Amount_Whitespace_Removed]]/Working_Sales[[#This Row],[Price_Per_Unit_Decimal_Separator_Fixed]])</f>
        <v>4</v>
      </c>
      <c r="Z677" t="s">
        <v>70</v>
      </c>
      <c r="AA677" s="2" t="str">
        <f>CLEAN(TRIM(Working_Sales[[#This Row],[Price per Unit]]))</f>
        <v>30</v>
      </c>
      <c r="AB677" s="2">
        <f>INT(
   SUBSTITUTE(Working_Sales[[#This Row],[Price_Per_Unit_Whitespace_Removed]],
   "$",
   ""
   )
)</f>
        <v>30</v>
      </c>
      <c r="AC677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677" s="8">
        <f>IFERROR(
   Working_Sales[[#This Row],[Price_Per_Unit_Decimal_Separator_Fixed]],
   Working_Sales[[#This Row],[Total_Amount_Converted_To_Integer]]/Working_Sales[[#This Row],[Quantity_Converted_To_Integer]]
)</f>
        <v>30</v>
      </c>
      <c r="AE677" t="s">
        <v>44</v>
      </c>
      <c r="AF677" s="2" t="str">
        <f>CLEAN(TRIM(Working_Sales[[#This Row],[Total Amount]]))</f>
        <v>120</v>
      </c>
      <c r="AG677" s="2">
        <f>INT(Working_Sales[[#This Row],[Total_Amount_Whitespace_Removed]])</f>
        <v>120</v>
      </c>
      <c r="AH67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678" spans="1:34" x14ac:dyDescent="0.35">
      <c r="A678" t="s">
        <v>1448</v>
      </c>
      <c r="B678" s="6" t="str">
        <f>CLEAN(TRIM(Working_Sales[[#This Row],[Transaction ID]]))</f>
        <v>89</v>
      </c>
      <c r="C678" t="s">
        <v>653</v>
      </c>
      <c r="D678" s="2" t="str">
        <f>CLEAN(TRIM(Working_Sales[[#This Row],[Date]]))</f>
        <v>2023-10-01</v>
      </c>
      <c r="E67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45200</v>
      </c>
      <c r="F67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45200</v>
      </c>
      <c r="G67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45200</v>
      </c>
      <c r="H678" t="s">
        <v>2874</v>
      </c>
      <c r="I678" s="2" t="str">
        <f>CLEAN(TRIM(Working_Sales[[#This Row],[Customer ID]]))</f>
        <v>cust329</v>
      </c>
      <c r="J67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7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CUST329</v>
      </c>
      <c r="L678" t="s">
        <v>26</v>
      </c>
      <c r="M678" s="4" t="str">
        <f>CLEAN(TRIM(Working_Sales[[#This Row],[Gender]]))</f>
        <v>Female</v>
      </c>
      <c r="N678" s="4" t="str" cm="1">
        <f t="array" ref="N678">_xlfn.SWITCH(
   Working_Sales[[#This Row],[Gender_Whitespace_Removed]],
   "m", "Male",
   "f", "Female",
   Working_Sales[[#This Row],[Gender_Whitespace_Removed]]
)</f>
        <v>Female</v>
      </c>
      <c r="O678" s="6" t="str">
        <f>PROPER(Working_Sales[[#This Row],[Gender_Abbreviation_Expanded]])</f>
        <v>Female</v>
      </c>
      <c r="P678">
        <v>55</v>
      </c>
      <c r="Q678" s="2" t="str">
        <f>CLEAN(TRIM(Working_Sales[[#This Row],[Age]]))</f>
        <v>55</v>
      </c>
      <c r="R678" s="6">
        <f>INT(SUBSTITUTE(Working_Sales[[#This Row],[Age_Whitespace_Removed]],".",","))</f>
        <v>55</v>
      </c>
      <c r="S678" t="s">
        <v>13</v>
      </c>
      <c r="T678" s="2" t="str">
        <f>CLEAN(TRIM(Working_Sales[[#This Row],[Product Category]]))</f>
        <v>Electronics</v>
      </c>
      <c r="U678" s="6" t="str">
        <f>PROPER(Working_Sales[[#This Row],[Product_Category_Whitespace_Removed]])</f>
        <v>Electronics</v>
      </c>
      <c r="V678" t="s">
        <v>14</v>
      </c>
      <c r="W678" s="2" t="str">
        <f>CLEAN(TRIM(Working_Sales[[#This Row],[Quantity]]))</f>
        <v>4</v>
      </c>
      <c r="X678" s="2">
        <f>INT(Working_Sales[[#This Row],[`]])</f>
        <v>4</v>
      </c>
      <c r="Y678" s="6">
        <f>IFERROR(
   Working_Sales[[#This Row],[Quantity_Converted_To_Integer]],
   Working_Sales[[#This Row],[Total_Amount_Whitespace_Removed]]/Working_Sales[[#This Row],[Price_Per_Unit_Decimal_Separator_Fixed]])</f>
        <v>4</v>
      </c>
      <c r="Z678" t="s">
        <v>57</v>
      </c>
      <c r="AA678" s="2" t="str">
        <f>CLEAN(TRIM(Working_Sales[[#This Row],[Price per Unit]]))</f>
        <v>500</v>
      </c>
      <c r="AB678" s="2">
        <f>INT(
   SUBSTITUTE(Working_Sales[[#This Row],[Price_Per_Unit_Whitespace_Removed]],
   "$",
   ""
   )
)</f>
        <v>500</v>
      </c>
      <c r="AC678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678" s="8">
        <f>IFERROR(
   Working_Sales[[#This Row],[Price_Per_Unit_Decimal_Separator_Fixed]],
   Working_Sales[[#This Row],[Total_Amount_Converted_To_Integer]]/Working_Sales[[#This Row],[Quantity_Converted_To_Integer]]
)</f>
        <v>500</v>
      </c>
      <c r="AE678" t="s">
        <v>232</v>
      </c>
      <c r="AF678" s="2" t="str">
        <f>CLEAN(TRIM(Working_Sales[[#This Row],[Total Amount]]))</f>
        <v>2000</v>
      </c>
      <c r="AG678" s="2">
        <f>INT(Working_Sales[[#This Row],[Total_Amount_Whitespace_Removed]])</f>
        <v>2000</v>
      </c>
      <c r="AH67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679" spans="1:34" x14ac:dyDescent="0.35">
      <c r="A679" t="s">
        <v>1450</v>
      </c>
      <c r="B679" s="6" t="str">
        <f>CLEAN(TRIM(Working_Sales[[#This Row],[Transaction ID]]))</f>
        <v>451</v>
      </c>
      <c r="C679" t="s">
        <v>2140</v>
      </c>
      <c r="D679" s="2" t="str">
        <f>CLEAN(TRIM(Working_Sales[[#This Row],[Date]]))</f>
        <v>12/16/2023</v>
      </c>
      <c r="E679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67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45276</v>
      </c>
      <c r="G67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45276</v>
      </c>
      <c r="H679" t="s">
        <v>1935</v>
      </c>
      <c r="I679" s="2" t="str">
        <f>CLEAN(TRIM(Working_Sales[[#This Row],[Customer ID]]))</f>
        <v>CUST184</v>
      </c>
      <c r="J67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7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CUST184</v>
      </c>
      <c r="L679" t="s">
        <v>26</v>
      </c>
      <c r="M679" s="4" t="str">
        <f>CLEAN(TRIM(Working_Sales[[#This Row],[Gender]]))</f>
        <v>Female</v>
      </c>
      <c r="N679" s="4" t="str" cm="1">
        <f t="array" ref="N679">_xlfn.SWITCH(
   Working_Sales[[#This Row],[Gender_Whitespace_Removed]],
   "m", "Male",
   "f", "Female",
   Working_Sales[[#This Row],[Gender_Whitespace_Removed]]
)</f>
        <v>Female</v>
      </c>
      <c r="O679" s="6" t="str">
        <f>PROPER(Working_Sales[[#This Row],[Gender_Abbreviation_Expanded]])</f>
        <v>Female</v>
      </c>
      <c r="P679">
        <v>45</v>
      </c>
      <c r="Q679" s="2" t="str">
        <f>CLEAN(TRIM(Working_Sales[[#This Row],[Age]]))</f>
        <v>45</v>
      </c>
      <c r="R679" s="6">
        <f>INT(SUBSTITUTE(Working_Sales[[#This Row],[Age_Whitespace_Removed]],".",","))</f>
        <v>45</v>
      </c>
      <c r="S679" t="s">
        <v>13</v>
      </c>
      <c r="T679" s="2" t="str">
        <f>CLEAN(TRIM(Working_Sales[[#This Row],[Product Category]]))</f>
        <v>Electronics</v>
      </c>
      <c r="U679" s="6" t="str">
        <f>PROPER(Working_Sales[[#This Row],[Product_Category_Whitespace_Removed]])</f>
        <v>Electronics</v>
      </c>
      <c r="V679" t="s">
        <v>22</v>
      </c>
      <c r="W679" s="2" t="str">
        <f>CLEAN(TRIM(Working_Sales[[#This Row],[Quantity]]))</f>
        <v>1</v>
      </c>
      <c r="X679" s="2">
        <f>INT(Working_Sales[[#This Row],[`]])</f>
        <v>1</v>
      </c>
      <c r="Y679" s="6">
        <f>IFERROR(
   Working_Sales[[#This Row],[Quantity_Converted_To_Integer]],
   Working_Sales[[#This Row],[Total_Amount_Whitespace_Removed]]/Working_Sales[[#This Row],[Price_Per_Unit_Decimal_Separator_Fixed]])</f>
        <v>1</v>
      </c>
      <c r="Z679" t="s">
        <v>70</v>
      </c>
      <c r="AA679" s="2" t="str">
        <f>CLEAN(TRIM(Working_Sales[[#This Row],[Price per Unit]]))</f>
        <v>30</v>
      </c>
      <c r="AB679" s="2">
        <f>INT(
   SUBSTITUTE(Working_Sales[[#This Row],[Price_Per_Unit_Whitespace_Removed]],
   "$",
   ""
   )
)</f>
        <v>30</v>
      </c>
      <c r="AC679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679" s="8">
        <f>IFERROR(
   Working_Sales[[#This Row],[Price_Per_Unit_Decimal_Separator_Fixed]],
   Working_Sales[[#This Row],[Total_Amount_Converted_To_Integer]]/Working_Sales[[#This Row],[Quantity_Converted_To_Integer]]
)</f>
        <v>30</v>
      </c>
      <c r="AE679" t="s">
        <v>70</v>
      </c>
      <c r="AF679" s="2" t="str">
        <f>CLEAN(TRIM(Working_Sales[[#This Row],[Total Amount]]))</f>
        <v>30</v>
      </c>
      <c r="AG679" s="2">
        <f>INT(Working_Sales[[#This Row],[Total_Amount_Whitespace_Removed]])</f>
        <v>30</v>
      </c>
      <c r="AH67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680" spans="1:34" x14ac:dyDescent="0.35">
      <c r="A680" t="s">
        <v>1452</v>
      </c>
      <c r="B680" s="6" t="str">
        <f>CLEAN(TRIM(Working_Sales[[#This Row],[Transaction ID]]))</f>
        <v>239</v>
      </c>
      <c r="C680" t="s">
        <v>606</v>
      </c>
      <c r="D680" s="2" t="str">
        <f>CLEAN(TRIM(Working_Sales[[#This Row],[Date]]))</f>
        <v>19/06/2023</v>
      </c>
      <c r="E68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45096</v>
      </c>
      <c r="F68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45096</v>
      </c>
      <c r="G68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45096</v>
      </c>
      <c r="H680" t="s">
        <v>2876</v>
      </c>
      <c r="I680" s="2" t="str">
        <f>CLEAN(TRIM(Working_Sales[[#This Row],[Customer ID]]))</f>
        <v>cust420</v>
      </c>
      <c r="J68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8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CUST420</v>
      </c>
      <c r="L680" t="s">
        <v>20</v>
      </c>
      <c r="M680" s="4" t="str">
        <f>CLEAN(TRIM(Working_Sales[[#This Row],[Gender]]))</f>
        <v>male</v>
      </c>
      <c r="N680" s="4" t="str" cm="1">
        <f t="array" ref="N680">_xlfn.SWITCH(
   Working_Sales[[#This Row],[Gender_Whitespace_Removed]],
   "m", "Male",
   "f", "Female",
   Working_Sales[[#This Row],[Gender_Whitespace_Removed]]
)</f>
        <v>male</v>
      </c>
      <c r="O680" s="6" t="str">
        <f>PROPER(Working_Sales[[#This Row],[Gender_Abbreviation_Expanded]])</f>
        <v>Male</v>
      </c>
      <c r="P680">
        <v>38</v>
      </c>
      <c r="Q680" s="2" t="str">
        <f>CLEAN(TRIM(Working_Sales[[#This Row],[Age]]))</f>
        <v>38</v>
      </c>
      <c r="R680" s="6">
        <f>INT(SUBSTITUTE(Working_Sales[[#This Row],[Age_Whitespace_Removed]],".",","))</f>
        <v>38</v>
      </c>
      <c r="S680" t="s">
        <v>109</v>
      </c>
      <c r="T680" s="2" t="str">
        <f>CLEAN(TRIM(Working_Sales[[#This Row],[Product Category]]))</f>
        <v>Electronics</v>
      </c>
      <c r="U680" s="6" t="str">
        <f>PROPER(Working_Sales[[#This Row],[Product_Category_Whitespace_Removed]])</f>
        <v>Electronics</v>
      </c>
      <c r="V680" t="s">
        <v>29</v>
      </c>
      <c r="W680" s="2" t="str">
        <f>CLEAN(TRIM(Working_Sales[[#This Row],[Quantity]]))</f>
        <v>3</v>
      </c>
      <c r="X680" s="2">
        <f>INT(Working_Sales[[#This Row],[`]])</f>
        <v>3</v>
      </c>
      <c r="Y680" s="6">
        <f>IFERROR(
   Working_Sales[[#This Row],[Quantity_Converted_To_Integer]],
   Working_Sales[[#This Row],[Total_Amount_Whitespace_Removed]]/Working_Sales[[#This Row],[Price_Per_Unit_Decimal_Separator_Fixed]])</f>
        <v>3</v>
      </c>
      <c r="Z680" t="s">
        <v>162</v>
      </c>
      <c r="AA680" s="2" t="str">
        <f>CLEAN(TRIM(Working_Sales[[#This Row],[Price per Unit]]))</f>
        <v>$500</v>
      </c>
      <c r="AB680" s="2">
        <f>INT(
   SUBSTITUTE(Working_Sales[[#This Row],[Price_Per_Unit_Whitespace_Removed]],
   "$",
   ""
   )
)</f>
        <v>500</v>
      </c>
      <c r="AC680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680" s="8">
        <f>IFERROR(
   Working_Sales[[#This Row],[Price_Per_Unit_Decimal_Separator_Fixed]],
   Working_Sales[[#This Row],[Total_Amount_Converted_To_Integer]]/Working_Sales[[#This Row],[Quantity_Converted_To_Integer]]
)</f>
        <v>500</v>
      </c>
      <c r="AE680" t="s">
        <v>85</v>
      </c>
      <c r="AF680" s="2" t="str">
        <f>CLEAN(TRIM(Working_Sales[[#This Row],[Total Amount]]))</f>
        <v>1500</v>
      </c>
      <c r="AG680" s="2">
        <f>INT(Working_Sales[[#This Row],[Total_Amount_Whitespace_Removed]])</f>
        <v>1500</v>
      </c>
      <c r="AH68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681" spans="1:34" x14ac:dyDescent="0.35">
      <c r="A681" t="s">
        <v>1454</v>
      </c>
      <c r="B681" s="6" t="str">
        <f>CLEAN(TRIM(Working_Sales[[#This Row],[Transaction ID]]))</f>
        <v>830</v>
      </c>
      <c r="C681" t="s">
        <v>1741</v>
      </c>
      <c r="D681" s="2" t="str">
        <f>CLEAN(TRIM(Working_Sales[[#This Row],[Date]]))</f>
        <v>06/22/2023</v>
      </c>
      <c r="E681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68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45099</v>
      </c>
      <c r="G68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45099</v>
      </c>
      <c r="H681" t="s">
        <v>2322</v>
      </c>
      <c r="I681" s="2" t="str">
        <f>CLEAN(TRIM(Working_Sales[[#This Row],[Customer ID]]))</f>
        <v>CUST076</v>
      </c>
      <c r="J68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CUST076</v>
      </c>
      <c r="K68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CUST076</v>
      </c>
      <c r="L681" t="s">
        <v>26</v>
      </c>
      <c r="M681" s="4" t="str">
        <f>CLEAN(TRIM(Working_Sales[[#This Row],[Gender]]))</f>
        <v>Female</v>
      </c>
      <c r="N681" s="4" t="str" cm="1">
        <f t="array" ref="N681">_xlfn.SWITCH(
   Working_Sales[[#This Row],[Gender_Whitespace_Removed]],
   "m", "Male",
   "f", "Female",
   Working_Sales[[#This Row],[Gender_Whitespace_Removed]]
)</f>
        <v>Female</v>
      </c>
      <c r="O681" s="6" t="str">
        <f>PROPER(Working_Sales[[#This Row],[Gender_Abbreviation_Expanded]])</f>
        <v>Female</v>
      </c>
      <c r="P681">
        <v>64</v>
      </c>
      <c r="Q681" s="2" t="str">
        <f>CLEAN(TRIM(Working_Sales[[#This Row],[Age]]))</f>
        <v>64</v>
      </c>
      <c r="R681" s="6">
        <f>INT(SUBSTITUTE(Working_Sales[[#This Row],[Age_Whitespace_Removed]],".",","))</f>
        <v>64</v>
      </c>
      <c r="S681" t="s">
        <v>89</v>
      </c>
      <c r="T681" s="2" t="str">
        <f>CLEAN(TRIM(Working_Sales[[#This Row],[Product Category]]))</f>
        <v>CLOTHING</v>
      </c>
      <c r="U681" s="6" t="str">
        <f>PROPER(Working_Sales[[#This Row],[Product_Category_Whitespace_Removed]])</f>
        <v>Clothing</v>
      </c>
      <c r="V681" t="s">
        <v>29</v>
      </c>
      <c r="W681" s="2" t="str">
        <f>CLEAN(TRIM(Working_Sales[[#This Row],[Quantity]]))</f>
        <v>3</v>
      </c>
      <c r="X681" s="2">
        <f>INT(Working_Sales[[#This Row],[`]])</f>
        <v>3</v>
      </c>
      <c r="Y681" s="6">
        <f>IFERROR(
   Working_Sales[[#This Row],[Quantity_Converted_To_Integer]],
   Working_Sales[[#This Row],[Total_Amount_Whitespace_Removed]]/Working_Sales[[#This Row],[Price_Per_Unit_Decimal_Separator_Fixed]])</f>
        <v>3</v>
      </c>
      <c r="Z681" t="s">
        <v>15</v>
      </c>
      <c r="AA681" s="2" t="str">
        <f>CLEAN(TRIM(Working_Sales[[#This Row],[Price per Unit]]))</f>
        <v>50</v>
      </c>
      <c r="AB681" s="2">
        <f>INT(
   SUBSTITUTE(Working_Sales[[#This Row],[Price_Per_Unit_Whitespace_Removed]],
   "$",
   ""
   )
)</f>
        <v>50</v>
      </c>
      <c r="AC681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681" s="8">
        <f>IFERROR(
   Working_Sales[[#This Row],[Price_Per_Unit_Decimal_Separator_Fixed]],
   Working_Sales[[#This Row],[Total_Amount_Converted_To_Integer]]/Working_Sales[[#This Row],[Quantity_Converted_To_Integer]]
)</f>
        <v>50</v>
      </c>
      <c r="AE681" t="s">
        <v>130</v>
      </c>
      <c r="AF681" s="2" t="str">
        <f>CLEAN(TRIM(Working_Sales[[#This Row],[Total Amount]]))</f>
        <v>150</v>
      </c>
      <c r="AG681" s="2">
        <f>INT(Working_Sales[[#This Row],[Total_Amount_Whitespace_Removed]])</f>
        <v>150</v>
      </c>
      <c r="AH68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682" spans="1:34" x14ac:dyDescent="0.35">
      <c r="A682" t="s">
        <v>1455</v>
      </c>
      <c r="B682" s="6" t="str">
        <f>CLEAN(TRIM(Working_Sales[[#This Row],[Transaction ID]]))</f>
        <v>247</v>
      </c>
      <c r="C682" t="s">
        <v>691</v>
      </c>
      <c r="D682" s="2" t="str">
        <f>CLEAN(TRIM(Working_Sales[[#This Row],[Date]]))</f>
        <v>2023-10-04</v>
      </c>
      <c r="E68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45203</v>
      </c>
      <c r="F68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45203</v>
      </c>
      <c r="G68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45203</v>
      </c>
      <c r="H682" t="s">
        <v>2877</v>
      </c>
      <c r="I682" s="2" t="str">
        <f>CLEAN(TRIM(Working_Sales[[#This Row],[Customer ID]]))</f>
        <v>CUST348</v>
      </c>
      <c r="J68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CUST348</v>
      </c>
      <c r="K68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CUST348</v>
      </c>
      <c r="L682" t="s">
        <v>20</v>
      </c>
      <c r="M682" s="4" t="str">
        <f>CLEAN(TRIM(Working_Sales[[#This Row],[Gender]]))</f>
        <v>male</v>
      </c>
      <c r="N682" s="4" t="str" cm="1">
        <f t="array" ref="N682">_xlfn.SWITCH(
   Working_Sales[[#This Row],[Gender_Whitespace_Removed]],
   "m", "Male",
   "f", "Female",
   Working_Sales[[#This Row],[Gender_Whitespace_Removed]]
)</f>
        <v>male</v>
      </c>
      <c r="O682" s="6" t="str">
        <f>PROPER(Working_Sales[[#This Row],[Gender_Abbreviation_Expanded]])</f>
        <v>Male</v>
      </c>
      <c r="P682">
        <v>41</v>
      </c>
      <c r="Q682" s="2" t="str">
        <f>CLEAN(TRIM(Working_Sales[[#This Row],[Age]]))</f>
        <v>41</v>
      </c>
      <c r="R682" s="6">
        <f>INT(SUBSTITUTE(Working_Sales[[#This Row],[Age_Whitespace_Removed]],".",","))</f>
        <v>41</v>
      </c>
      <c r="S682" t="s">
        <v>13</v>
      </c>
      <c r="T682" s="2" t="str">
        <f>CLEAN(TRIM(Working_Sales[[#This Row],[Product Category]]))</f>
        <v>Electronics</v>
      </c>
      <c r="U682" s="6" t="str">
        <f>PROPER(Working_Sales[[#This Row],[Product_Category_Whitespace_Removed]])</f>
        <v>Electronics</v>
      </c>
      <c r="V682" t="s">
        <v>37</v>
      </c>
      <c r="W682" s="2" t="str">
        <f>CLEAN(TRIM(Working_Sales[[#This Row],[Quantity]]))</f>
        <v>2</v>
      </c>
      <c r="X682" s="2">
        <f>INT(Working_Sales[[#This Row],[`]])</f>
        <v>2</v>
      </c>
      <c r="Y682" s="6">
        <f>IFERROR(
   Working_Sales[[#This Row],[Quantity_Converted_To_Integer]],
   Working_Sales[[#This Row],[Total_Amount_Whitespace_Removed]]/Working_Sales[[#This Row],[Price_Per_Unit_Decimal_Separator_Fixed]])</f>
        <v>2</v>
      </c>
      <c r="Z682" t="s">
        <v>70</v>
      </c>
      <c r="AA682" s="2" t="str">
        <f>CLEAN(TRIM(Working_Sales[[#This Row],[Price per Unit]]))</f>
        <v>30</v>
      </c>
      <c r="AB682" s="2">
        <f>INT(
   SUBSTITUTE(Working_Sales[[#This Row],[Price_Per_Unit_Whitespace_Removed]],
   "$",
   ""
   )
)</f>
        <v>30</v>
      </c>
      <c r="AC682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682" s="8">
        <f>IFERROR(
   Working_Sales[[#This Row],[Price_Per_Unit_Decimal_Separator_Fixed]],
   Working_Sales[[#This Row],[Total_Amount_Converted_To_Integer]]/Working_Sales[[#This Row],[Quantity_Converted_To_Integer]]
)</f>
        <v>30</v>
      </c>
      <c r="AE682" t="s">
        <v>71</v>
      </c>
      <c r="AF682" s="2" t="str">
        <f>CLEAN(TRIM(Working_Sales[[#This Row],[Total Amount]]))</f>
        <v>60</v>
      </c>
      <c r="AG682" s="2">
        <f>INT(Working_Sales[[#This Row],[Total_Amount_Whitespace_Removed]])</f>
        <v>60</v>
      </c>
      <c r="AH68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683" spans="1:34" x14ac:dyDescent="0.35">
      <c r="A683" t="s">
        <v>1457</v>
      </c>
      <c r="B683" s="6" t="str">
        <f>CLEAN(TRIM(Working_Sales[[#This Row],[Transaction ID]]))</f>
        <v>720</v>
      </c>
      <c r="C683" t="s">
        <v>1458</v>
      </c>
      <c r="D683" s="2" t="str">
        <f>CLEAN(TRIM(Working_Sales[[#This Row],[Date]]))</f>
        <v>2023-01-26</v>
      </c>
      <c r="E68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44952</v>
      </c>
      <c r="F68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44952</v>
      </c>
      <c r="G68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44952</v>
      </c>
      <c r="H683" t="s">
        <v>2878</v>
      </c>
      <c r="I683" s="2" t="str">
        <f>CLEAN(TRIM(Working_Sales[[#This Row],[Customer ID]]))</f>
        <v>CUST421</v>
      </c>
      <c r="J68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8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CUST421</v>
      </c>
      <c r="L683" t="s">
        <v>26</v>
      </c>
      <c r="M683" s="4" t="str">
        <f>CLEAN(TRIM(Working_Sales[[#This Row],[Gender]]))</f>
        <v>Female</v>
      </c>
      <c r="N683" s="4" t="str" cm="1">
        <f t="array" ref="N683">_xlfn.SWITCH(
   Working_Sales[[#This Row],[Gender_Whitespace_Removed]],
   "m", "Male",
   "f", "Female",
   Working_Sales[[#This Row],[Gender_Whitespace_Removed]]
)</f>
        <v>Female</v>
      </c>
      <c r="O683" s="6" t="str">
        <f>PROPER(Working_Sales[[#This Row],[Gender_Abbreviation_Expanded]])</f>
        <v>Female</v>
      </c>
      <c r="P683">
        <v>56</v>
      </c>
      <c r="Q683" s="2" t="str">
        <f>CLEAN(TRIM(Working_Sales[[#This Row],[Age]]))</f>
        <v>56</v>
      </c>
      <c r="R683" s="6">
        <f>INT(SUBSTITUTE(Working_Sales[[#This Row],[Age_Whitespace_Removed]],".",","))</f>
        <v>56</v>
      </c>
      <c r="S683" t="s">
        <v>69</v>
      </c>
      <c r="T683" s="2" t="str">
        <f>CLEAN(TRIM(Working_Sales[[#This Row],[Product Category]]))</f>
        <v>BEAUTY</v>
      </c>
      <c r="U683" s="6" t="str">
        <f>PROPER(Working_Sales[[#This Row],[Product_Category_Whitespace_Removed]])</f>
        <v>Beauty</v>
      </c>
      <c r="V683" t="s">
        <v>29</v>
      </c>
      <c r="W683" s="2" t="str">
        <f>CLEAN(TRIM(Working_Sales[[#This Row],[Quantity]]))</f>
        <v>3</v>
      </c>
      <c r="X683" s="2">
        <f>INT(Working_Sales[[#This Row],[`]])</f>
        <v>3</v>
      </c>
      <c r="Y683" s="6">
        <f>IFERROR(
   Working_Sales[[#This Row],[Quantity_Converted_To_Integer]],
   Working_Sales[[#This Row],[Total_Amount_Whitespace_Removed]]/Working_Sales[[#This Row],[Price_Per_Unit_Decimal_Separator_Fixed]])</f>
        <v>3</v>
      </c>
      <c r="Z683" t="s">
        <v>84</v>
      </c>
      <c r="AA683" s="2" t="str">
        <f>CLEAN(TRIM(Working_Sales[[#This Row],[Price per Unit]]))</f>
        <v>500.00</v>
      </c>
      <c r="AB683" s="2" t="e">
        <f>INT(
   SUBSTITUTE(Working_Sales[[#This Row],[Price_Per_Unit_Whitespace_Removed]],
   "$",
   ""
   )
)</f>
        <v>#VALUE!</v>
      </c>
      <c r="AC683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683" s="8">
        <f>IFERROR(
   Working_Sales[[#This Row],[Price_Per_Unit_Decimal_Separator_Fixed]],
   Working_Sales[[#This Row],[Total_Amount_Converted_To_Integer]]/Working_Sales[[#This Row],[Quantity_Converted_To_Integer]]
)</f>
        <v>500</v>
      </c>
      <c r="AE683" t="s">
        <v>85</v>
      </c>
      <c r="AF683" s="2" t="str">
        <f>CLEAN(TRIM(Working_Sales[[#This Row],[Total Amount]]))</f>
        <v>1500</v>
      </c>
      <c r="AG683" s="2">
        <f>INT(Working_Sales[[#This Row],[Total_Amount_Whitespace_Removed]])</f>
        <v>1500</v>
      </c>
      <c r="AH68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684" spans="1:34" x14ac:dyDescent="0.35">
      <c r="A684" t="s">
        <v>1459</v>
      </c>
      <c r="B684" s="6" t="str">
        <f>CLEAN(TRIM(Working_Sales[[#This Row],[Transaction ID]]))</f>
        <v>158</v>
      </c>
      <c r="C684" t="s">
        <v>1460</v>
      </c>
      <c r="D684" s="2" t="str">
        <f>CLEAN(TRIM(Working_Sales[[#This Row],[Date]]))</f>
        <v>27/02/2023</v>
      </c>
      <c r="E68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44984</v>
      </c>
      <c r="F68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44984</v>
      </c>
      <c r="G68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44984</v>
      </c>
      <c r="H684" t="s">
        <v>2879</v>
      </c>
      <c r="I684" s="2" t="str">
        <f>CLEAN(TRIM(Working_Sales[[#This Row],[Customer ID]]))</f>
        <v>CUST407</v>
      </c>
      <c r="J68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8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CUST407</v>
      </c>
      <c r="L684" t="s">
        <v>26</v>
      </c>
      <c r="M684" s="4" t="str">
        <f>CLEAN(TRIM(Working_Sales[[#This Row],[Gender]]))</f>
        <v>Female</v>
      </c>
      <c r="N684" s="4" t="str" cm="1">
        <f t="array" ref="N684">_xlfn.SWITCH(
   Working_Sales[[#This Row],[Gender_Whitespace_Removed]],
   "m", "Male",
   "f", "Female",
   Working_Sales[[#This Row],[Gender_Whitespace_Removed]]
)</f>
        <v>Female</v>
      </c>
      <c r="O684" s="6" t="str">
        <f>PROPER(Working_Sales[[#This Row],[Gender_Abbreviation_Expanded]])</f>
        <v>Female</v>
      </c>
      <c r="P684">
        <v>44</v>
      </c>
      <c r="Q684" s="2" t="str">
        <f>CLEAN(TRIM(Working_Sales[[#This Row],[Age]]))</f>
        <v>44</v>
      </c>
      <c r="R684" s="6">
        <f>INT(SUBSTITUTE(Working_Sales[[#This Row],[Age_Whitespace_Removed]],".",","))</f>
        <v>44</v>
      </c>
      <c r="S684" t="s">
        <v>13</v>
      </c>
      <c r="T684" s="2" t="str">
        <f>CLEAN(TRIM(Working_Sales[[#This Row],[Product Category]]))</f>
        <v>Electronics</v>
      </c>
      <c r="U684" s="6" t="str">
        <f>PROPER(Working_Sales[[#This Row],[Product_Category_Whitespace_Removed]])</f>
        <v>Electronics</v>
      </c>
      <c r="V684" t="s">
        <v>37</v>
      </c>
      <c r="W684" s="2" t="str">
        <f>CLEAN(TRIM(Working_Sales[[#This Row],[Quantity]]))</f>
        <v>2</v>
      </c>
      <c r="X684" s="2">
        <f>INT(Working_Sales[[#This Row],[`]])</f>
        <v>2</v>
      </c>
      <c r="Y684" s="6">
        <f>IFERROR(
   Working_Sales[[#This Row],[Quantity_Converted_To_Integer]],
   Working_Sales[[#This Row],[Total_Amount_Whitespace_Removed]]/Working_Sales[[#This Row],[Price_Per_Unit_Decimal_Separator_Fixed]])</f>
        <v>2</v>
      </c>
      <c r="Z684" t="s">
        <v>180</v>
      </c>
      <c r="AA684" s="2" t="str">
        <f>CLEAN(TRIM(Working_Sales[[#This Row],[Price per Unit]]))</f>
        <v>300</v>
      </c>
      <c r="AB684" s="2">
        <f>INT(
   SUBSTITUTE(Working_Sales[[#This Row],[Price_Per_Unit_Whitespace_Removed]],
   "$",
   ""
   )
)</f>
        <v>300</v>
      </c>
      <c r="AC684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684" s="8">
        <f>IFERROR(
   Working_Sales[[#This Row],[Price_Per_Unit_Decimal_Separator_Fixed]],
   Working_Sales[[#This Row],[Total_Amount_Converted_To_Integer]]/Working_Sales[[#This Row],[Quantity_Converted_To_Integer]]
)</f>
        <v>300</v>
      </c>
      <c r="AE684" t="s">
        <v>107</v>
      </c>
      <c r="AF684" s="2" t="str">
        <f>CLEAN(TRIM(Working_Sales[[#This Row],[Total Amount]]))</f>
        <v>600</v>
      </c>
      <c r="AG684" s="2">
        <f>INT(Working_Sales[[#This Row],[Total_Amount_Whitespace_Removed]])</f>
        <v>600</v>
      </c>
      <c r="AH68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600</v>
      </c>
    </row>
    <row r="685" spans="1:34" x14ac:dyDescent="0.35">
      <c r="A685" t="s">
        <v>1462</v>
      </c>
      <c r="B685" s="6" t="str">
        <f>CLEAN(TRIM(Working_Sales[[#This Row],[Transaction ID]]))</f>
        <v>480</v>
      </c>
      <c r="C685" t="s">
        <v>2141</v>
      </c>
      <c r="D685" s="2" t="str">
        <f>CLEAN(TRIM(Working_Sales[[#This Row],[Date]]))</f>
        <v>06/29/2023</v>
      </c>
      <c r="E685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68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45106</v>
      </c>
      <c r="G68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45106</v>
      </c>
      <c r="H685" t="s">
        <v>2880</v>
      </c>
      <c r="I685" s="2" t="str">
        <f>CLEAN(TRIM(Working_Sales[[#This Row],[Customer ID]]))</f>
        <v>cust422</v>
      </c>
      <c r="J68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8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CUST422</v>
      </c>
      <c r="L685" t="s">
        <v>46</v>
      </c>
      <c r="M685" s="4" t="str">
        <f>CLEAN(TRIM(Working_Sales[[#This Row],[Gender]]))</f>
        <v>F</v>
      </c>
      <c r="N685" s="4" t="str" cm="1">
        <f t="array" ref="N685">_xlfn.SWITCH(
   Working_Sales[[#This Row],[Gender_Whitespace_Removed]],
   "m", "Male",
   "f", "Female",
   Working_Sales[[#This Row],[Gender_Whitespace_Removed]]
)</f>
        <v>Female</v>
      </c>
      <c r="O685" s="6" t="str">
        <f>PROPER(Working_Sales[[#This Row],[Gender_Abbreviation_Expanded]])</f>
        <v>Female</v>
      </c>
      <c r="P685">
        <v>42</v>
      </c>
      <c r="Q685" s="2" t="str">
        <f>CLEAN(TRIM(Working_Sales[[#This Row],[Age]]))</f>
        <v>42</v>
      </c>
      <c r="R685" s="6">
        <f>INT(SUBSTITUTE(Working_Sales[[#This Row],[Age_Whitespace_Removed]],".",","))</f>
        <v>42</v>
      </c>
      <c r="S685" t="s">
        <v>36</v>
      </c>
      <c r="T685" s="2" t="str">
        <f>CLEAN(TRIM(Working_Sales[[#This Row],[Product Category]]))</f>
        <v>Beauty</v>
      </c>
      <c r="U685" s="6" t="str">
        <f>PROPER(Working_Sales[[#This Row],[Product_Category_Whitespace_Removed]])</f>
        <v>Beauty</v>
      </c>
      <c r="V685" t="s">
        <v>14</v>
      </c>
      <c r="W685" s="2" t="str">
        <f>CLEAN(TRIM(Working_Sales[[#This Row],[Quantity]]))</f>
        <v>4</v>
      </c>
      <c r="X685" s="2">
        <f>INT(Working_Sales[[#This Row],[`]])</f>
        <v>4</v>
      </c>
      <c r="Y685" s="6">
        <f>IFERROR(
   Working_Sales[[#This Row],[Quantity_Converted_To_Integer]],
   Working_Sales[[#This Row],[Total_Amount_Whitespace_Removed]]/Working_Sales[[#This Row],[Price_Per_Unit_Decimal_Separator_Fixed]])</f>
        <v>4</v>
      </c>
      <c r="Z685" t="s">
        <v>84</v>
      </c>
      <c r="AA685" s="2" t="str">
        <f>CLEAN(TRIM(Working_Sales[[#This Row],[Price per Unit]]))</f>
        <v>500.00</v>
      </c>
      <c r="AB685" s="2" t="e">
        <f>INT(
   SUBSTITUTE(Working_Sales[[#This Row],[Price_Per_Unit_Whitespace_Removed]],
   "$",
   ""
   )
)</f>
        <v>#VALUE!</v>
      </c>
      <c r="AC685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685" s="8">
        <f>IFERROR(
   Working_Sales[[#This Row],[Price_Per_Unit_Decimal_Separator_Fixed]],
   Working_Sales[[#This Row],[Total_Amount_Converted_To_Integer]]/Working_Sales[[#This Row],[Quantity_Converted_To_Integer]]
)</f>
        <v>500</v>
      </c>
      <c r="AE685" t="s">
        <v>232</v>
      </c>
      <c r="AF685" s="2" t="str">
        <f>CLEAN(TRIM(Working_Sales[[#This Row],[Total Amount]]))</f>
        <v>2000</v>
      </c>
      <c r="AG685" s="2">
        <f>INT(Working_Sales[[#This Row],[Total_Amount_Whitespace_Removed]])</f>
        <v>2000</v>
      </c>
      <c r="AH68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686" spans="1:34" x14ac:dyDescent="0.35">
      <c r="A686" t="s">
        <v>1463</v>
      </c>
      <c r="B686" s="6" t="str">
        <f>CLEAN(TRIM(Working_Sales[[#This Row],[Transaction ID]]))</f>
        <v>646</v>
      </c>
      <c r="C686" t="s">
        <v>2142</v>
      </c>
      <c r="D686" s="2" t="str">
        <f>CLEAN(TRIM(Working_Sales[[#This Row],[Date]]))</f>
        <v>03-May-2023</v>
      </c>
      <c r="E68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45049</v>
      </c>
      <c r="F68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45049</v>
      </c>
      <c r="G68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45049</v>
      </c>
      <c r="H686" t="s">
        <v>2881</v>
      </c>
      <c r="I686" s="2" t="str">
        <f>CLEAN(TRIM(Working_Sales[[#This Row],[Customer ID]]))</f>
        <v>Cust109</v>
      </c>
      <c r="J68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8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CUST109</v>
      </c>
      <c r="L686" t="s">
        <v>268</v>
      </c>
      <c r="M686" s="4" t="str">
        <f>CLEAN(TRIM(Working_Sales[[#This Row],[Gender]]))</f>
        <v>M</v>
      </c>
      <c r="N686" s="4" t="str" cm="1">
        <f t="array" ref="N686">_xlfn.SWITCH(
   Working_Sales[[#This Row],[Gender_Whitespace_Removed]],
   "m", "Male",
   "f", "Female",
   Working_Sales[[#This Row],[Gender_Whitespace_Removed]]
)</f>
        <v>Male</v>
      </c>
      <c r="O686" s="6" t="str">
        <f>PROPER(Working_Sales[[#This Row],[Gender_Abbreviation_Expanded]])</f>
        <v>Male</v>
      </c>
      <c r="P686">
        <v>38</v>
      </c>
      <c r="Q686" s="2" t="str">
        <f>CLEAN(TRIM(Working_Sales[[#This Row],[Age]]))</f>
        <v>38</v>
      </c>
      <c r="R686" s="6">
        <f>INT(SUBSTITUTE(Working_Sales[[#This Row],[Age_Whitespace_Removed]],".",","))</f>
        <v>38</v>
      </c>
      <c r="S686" t="s">
        <v>56</v>
      </c>
      <c r="T686" s="2" t="str">
        <f>CLEAN(TRIM(Working_Sales[[#This Row],[Product Category]]))</f>
        <v>Clothing</v>
      </c>
      <c r="U686" s="6" t="str">
        <f>PROPER(Working_Sales[[#This Row],[Product_Category_Whitespace_Removed]])</f>
        <v>Clothing</v>
      </c>
      <c r="V686" t="s">
        <v>29</v>
      </c>
      <c r="W686" s="2" t="str">
        <f>CLEAN(TRIM(Working_Sales[[#This Row],[Quantity]]))</f>
        <v>3</v>
      </c>
      <c r="X686" s="2">
        <f>INT(Working_Sales[[#This Row],[`]])</f>
        <v>3</v>
      </c>
      <c r="Y686" s="6">
        <f>IFERROR(
   Working_Sales[[#This Row],[Quantity_Converted_To_Integer]],
   Working_Sales[[#This Row],[Total_Amount_Whitespace_Removed]]/Working_Sales[[#This Row],[Price_Per_Unit_Decimal_Separator_Fixed]])</f>
        <v>3</v>
      </c>
      <c r="Z686" t="s">
        <v>70</v>
      </c>
      <c r="AA686" s="2" t="str">
        <f>CLEAN(TRIM(Working_Sales[[#This Row],[Price per Unit]]))</f>
        <v>30</v>
      </c>
      <c r="AB686" s="2">
        <f>INT(
   SUBSTITUTE(Working_Sales[[#This Row],[Price_Per_Unit_Whitespace_Removed]],
   "$",
   ""
   )
)</f>
        <v>30</v>
      </c>
      <c r="AC686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686" s="8">
        <f>IFERROR(
   Working_Sales[[#This Row],[Price_Per_Unit_Decimal_Separator_Fixed]],
   Working_Sales[[#This Row],[Total_Amount_Converted_To_Integer]]/Working_Sales[[#This Row],[Quantity_Converted_To_Integer]]
)</f>
        <v>30</v>
      </c>
      <c r="AE686" t="s">
        <v>191</v>
      </c>
      <c r="AF686" s="2" t="str">
        <f>CLEAN(TRIM(Working_Sales[[#This Row],[Total Amount]]))</f>
        <v>90</v>
      </c>
      <c r="AG686" s="2">
        <f>INT(Working_Sales[[#This Row],[Total_Amount_Whitespace_Removed]])</f>
        <v>90</v>
      </c>
      <c r="AH68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687" spans="1:34" x14ac:dyDescent="0.35">
      <c r="A687" t="s">
        <v>1464</v>
      </c>
      <c r="B687" s="6" t="str">
        <f>CLEAN(TRIM(Working_Sales[[#This Row],[Transaction ID]]))</f>
        <v>853</v>
      </c>
      <c r="C687" t="s">
        <v>1465</v>
      </c>
      <c r="D687" s="2" t="str">
        <f>CLEAN(TRIM(Working_Sales[[#This Row],[Date]]))</f>
        <v>2023-05-04</v>
      </c>
      <c r="E68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45050</v>
      </c>
      <c r="F68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45050</v>
      </c>
      <c r="G68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45050</v>
      </c>
      <c r="H687" t="s">
        <v>103</v>
      </c>
      <c r="I687" s="2" t="str">
        <f>CLEAN(TRIM(Working_Sales[[#This Row],[Customer ID]]))</f>
        <v>CUST-423</v>
      </c>
      <c r="J68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8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CUST423</v>
      </c>
      <c r="L687" t="s">
        <v>34</v>
      </c>
      <c r="M687" s="4" t="str">
        <f>CLEAN(TRIM(Working_Sales[[#This Row],[Gender]]))</f>
        <v>Male</v>
      </c>
      <c r="N687" s="4" t="str" cm="1">
        <f t="array" ref="N687">_xlfn.SWITCH(
   Working_Sales[[#This Row],[Gender_Whitespace_Removed]],
   "m", "Male",
   "f", "Female",
   Working_Sales[[#This Row],[Gender_Whitespace_Removed]]
)</f>
        <v>Male</v>
      </c>
      <c r="O687" s="6" t="str">
        <f>PROPER(Working_Sales[[#This Row],[Gender_Abbreviation_Expanded]])</f>
        <v>Male</v>
      </c>
      <c r="P687">
        <v>21</v>
      </c>
      <c r="Q687" s="2" t="str">
        <f>CLEAN(TRIM(Working_Sales[[#This Row],[Age]]))</f>
        <v>21</v>
      </c>
      <c r="R687" s="6">
        <f>INT(SUBSTITUTE(Working_Sales[[#This Row],[Age_Whitespace_Removed]],".",","))</f>
        <v>21</v>
      </c>
      <c r="S687" t="s">
        <v>434</v>
      </c>
      <c r="T687" s="2" t="str">
        <f>CLEAN(TRIM(Working_Sales[[#This Row],[Product Category]]))</f>
        <v>Beauty</v>
      </c>
      <c r="U687" s="6" t="str">
        <f>PROPER(Working_Sales[[#This Row],[Product_Category_Whitespace_Removed]])</f>
        <v>Beauty</v>
      </c>
      <c r="V687" t="s">
        <v>37</v>
      </c>
      <c r="W687" s="2" t="str">
        <f>CLEAN(TRIM(Working_Sales[[#This Row],[Quantity]]))</f>
        <v>2</v>
      </c>
      <c r="X687" s="2">
        <f>INT(Working_Sales[[#This Row],[`]])</f>
        <v>2</v>
      </c>
      <c r="Y687" s="6">
        <f>IFERROR(
   Working_Sales[[#This Row],[Quantity_Converted_To_Integer]],
   Working_Sales[[#This Row],[Total_Amount_Whitespace_Removed]]/Working_Sales[[#This Row],[Price_Per_Unit_Decimal_Separator_Fixed]])</f>
        <v>2</v>
      </c>
      <c r="Z687" t="s">
        <v>162</v>
      </c>
      <c r="AA687" s="2" t="str">
        <f>CLEAN(TRIM(Working_Sales[[#This Row],[Price per Unit]]))</f>
        <v>$500</v>
      </c>
      <c r="AB687" s="2">
        <f>INT(
   SUBSTITUTE(Working_Sales[[#This Row],[Price_Per_Unit_Whitespace_Removed]],
   "$",
   ""
   )
)</f>
        <v>500</v>
      </c>
      <c r="AC687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687" s="8">
        <f>IFERROR(
   Working_Sales[[#This Row],[Price_Per_Unit_Decimal_Separator_Fixed]],
   Working_Sales[[#This Row],[Total_Amount_Converted_To_Integer]]/Working_Sales[[#This Row],[Quantity_Converted_To_Integer]]
)</f>
        <v>500</v>
      </c>
      <c r="AE687" t="s">
        <v>163</v>
      </c>
      <c r="AF687" s="2" t="str">
        <f>CLEAN(TRIM(Working_Sales[[#This Row],[Total Amount]]))</f>
        <v>1000</v>
      </c>
      <c r="AG687" s="2">
        <f>INT(Working_Sales[[#This Row],[Total_Amount_Whitespace_Removed]])</f>
        <v>1000</v>
      </c>
      <c r="AH68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688" spans="1:34" x14ac:dyDescent="0.35">
      <c r="A688" t="s">
        <v>1466</v>
      </c>
      <c r="B688" s="6" t="str">
        <f>CLEAN(TRIM(Working_Sales[[#This Row],[Transaction ID]]))</f>
        <v>829</v>
      </c>
      <c r="C688" t="s">
        <v>1391</v>
      </c>
      <c r="D688" s="2" t="str">
        <f>CLEAN(TRIM(Working_Sales[[#This Row],[Date]]))</f>
        <v>14/07/2023</v>
      </c>
      <c r="E68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45121</v>
      </c>
      <c r="F68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45121</v>
      </c>
      <c r="G68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45121</v>
      </c>
      <c r="H688" t="s">
        <v>2882</v>
      </c>
      <c r="I688" s="2" t="str">
        <f>CLEAN(TRIM(Working_Sales[[#This Row],[Customer ID]]))</f>
        <v>CUST236</v>
      </c>
      <c r="J68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CUST236</v>
      </c>
      <c r="K68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CUST236</v>
      </c>
      <c r="L688" t="s">
        <v>20</v>
      </c>
      <c r="M688" s="4" t="str">
        <f>CLEAN(TRIM(Working_Sales[[#This Row],[Gender]]))</f>
        <v>male</v>
      </c>
      <c r="N688" s="4" t="str" cm="1">
        <f t="array" ref="N688">_xlfn.SWITCH(
   Working_Sales[[#This Row],[Gender_Whitespace_Removed]],
   "m", "Male",
   "f", "Female",
   Working_Sales[[#This Row],[Gender_Whitespace_Removed]]
)</f>
        <v>male</v>
      </c>
      <c r="O688" s="6" t="str">
        <f>PROPER(Working_Sales[[#This Row],[Gender_Abbreviation_Expanded]])</f>
        <v>Male</v>
      </c>
      <c r="P688">
        <v>61</v>
      </c>
      <c r="Q688" s="2" t="str">
        <f>CLEAN(TRIM(Working_Sales[[#This Row],[Age]]))</f>
        <v>61</v>
      </c>
      <c r="R688" s="6">
        <f>INT(SUBSTITUTE(Working_Sales[[#This Row],[Age_Whitespace_Removed]],".",","))</f>
        <v>61</v>
      </c>
      <c r="S688" t="s">
        <v>42</v>
      </c>
      <c r="T688" s="2" t="str">
        <f>CLEAN(TRIM(Working_Sales[[#This Row],[Product Category]]))</f>
        <v>Beauty</v>
      </c>
      <c r="U688" s="6" t="str">
        <f>PROPER(Working_Sales[[#This Row],[Product_Category_Whitespace_Removed]])</f>
        <v>Beauty</v>
      </c>
      <c r="V688" t="s">
        <v>29</v>
      </c>
      <c r="W688" s="2" t="str">
        <f>CLEAN(TRIM(Working_Sales[[#This Row],[Quantity]]))</f>
        <v>3</v>
      </c>
      <c r="X688" s="2">
        <f>INT(Working_Sales[[#This Row],[`]])</f>
        <v>3</v>
      </c>
      <c r="Y688" s="6">
        <f>IFERROR(
   Working_Sales[[#This Row],[Quantity_Converted_To_Integer]],
   Working_Sales[[#This Row],[Total_Amount_Whitespace_Removed]]/Working_Sales[[#This Row],[Price_Per_Unit_Decimal_Separator_Fixed]])</f>
        <v>3</v>
      </c>
      <c r="Z688" t="s">
        <v>70</v>
      </c>
      <c r="AA688" s="2" t="str">
        <f>CLEAN(TRIM(Working_Sales[[#This Row],[Price per Unit]]))</f>
        <v>30</v>
      </c>
      <c r="AB688" s="2">
        <f>INT(
   SUBSTITUTE(Working_Sales[[#This Row],[Price_Per_Unit_Whitespace_Removed]],
   "$",
   ""
   )
)</f>
        <v>30</v>
      </c>
      <c r="AC688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688" s="8">
        <f>IFERROR(
   Working_Sales[[#This Row],[Price_Per_Unit_Decimal_Separator_Fixed]],
   Working_Sales[[#This Row],[Total_Amount_Converted_To_Integer]]/Working_Sales[[#This Row],[Quantity_Converted_To_Integer]]
)</f>
        <v>30</v>
      </c>
      <c r="AE688" t="s">
        <v>191</v>
      </c>
      <c r="AF688" s="2" t="str">
        <f>CLEAN(TRIM(Working_Sales[[#This Row],[Total Amount]]))</f>
        <v>90</v>
      </c>
      <c r="AG688" s="2">
        <f>INT(Working_Sales[[#This Row],[Total_Amount_Whitespace_Removed]])</f>
        <v>90</v>
      </c>
      <c r="AH68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689" spans="1:34" x14ac:dyDescent="0.35">
      <c r="A689" t="s">
        <v>366</v>
      </c>
      <c r="B689" s="6" t="str">
        <f>CLEAN(TRIM(Working_Sales[[#This Row],[Transaction ID]]))</f>
        <v>19</v>
      </c>
      <c r="C689" t="s">
        <v>2023</v>
      </c>
      <c r="D689" s="2" t="str">
        <f>CLEAN(TRIM(Working_Sales[[#This Row],[Date]]))</f>
        <v>09/16/2023</v>
      </c>
      <c r="E689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68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45185</v>
      </c>
      <c r="G68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45185</v>
      </c>
      <c r="H689" t="s">
        <v>2883</v>
      </c>
      <c r="I689" s="2" t="str">
        <f>CLEAN(TRIM(Working_Sales[[#This Row],[Customer ID]]))</f>
        <v>CUST424</v>
      </c>
      <c r="J68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CUST424</v>
      </c>
      <c r="K68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CUST424</v>
      </c>
      <c r="L689" t="s">
        <v>140</v>
      </c>
      <c r="M689" s="4" t="str">
        <f>CLEAN(TRIM(Working_Sales[[#This Row],[Gender]]))</f>
        <v>FEMALE</v>
      </c>
      <c r="N689" s="4" t="str" cm="1">
        <f t="array" ref="N689">_xlfn.SWITCH(
   Working_Sales[[#This Row],[Gender_Whitespace_Removed]],
   "m", "Male",
   "f", "Female",
   Working_Sales[[#This Row],[Gender_Whitespace_Removed]]
)</f>
        <v>FEMALE</v>
      </c>
      <c r="O689" s="6" t="str">
        <f>PROPER(Working_Sales[[#This Row],[Gender_Abbreviation_Expanded]])</f>
        <v>Female</v>
      </c>
      <c r="P689">
        <v>62</v>
      </c>
      <c r="Q689" s="2" t="str">
        <f>CLEAN(TRIM(Working_Sales[[#This Row],[Age]]))</f>
        <v>62</v>
      </c>
      <c r="R689" s="6">
        <f>INT(SUBSTITUTE(Working_Sales[[#This Row],[Age_Whitespace_Removed]],".",","))</f>
        <v>62</v>
      </c>
      <c r="S689" t="s">
        <v>124</v>
      </c>
      <c r="T689" s="2" t="str">
        <f>CLEAN(TRIM(Working_Sales[[#This Row],[Product Category]]))</f>
        <v>Clothing</v>
      </c>
      <c r="U689" s="6" t="str">
        <f>PROPER(Working_Sales[[#This Row],[Product_Category_Whitespace_Removed]])</f>
        <v>Clothing</v>
      </c>
      <c r="V689" t="s">
        <v>37</v>
      </c>
      <c r="W689" s="2" t="str">
        <f>CLEAN(TRIM(Working_Sales[[#This Row],[Quantity]]))</f>
        <v>2</v>
      </c>
      <c r="X689" s="2">
        <f>INT(Working_Sales[[#This Row],[`]])</f>
        <v>2</v>
      </c>
      <c r="Y689" s="6">
        <f>IFERROR(
   Working_Sales[[#This Row],[Quantity_Converted_To_Integer]],
   Working_Sales[[#This Row],[Total_Amount_Whitespace_Removed]]/Working_Sales[[#This Row],[Price_Per_Unit_Decimal_Separator_Fixed]])</f>
        <v>2</v>
      </c>
      <c r="Z689" t="s">
        <v>371</v>
      </c>
      <c r="AA689" s="2" t="str">
        <f>CLEAN(TRIM(Working_Sales[[#This Row],[Price per Unit]]))</f>
        <v>25.00</v>
      </c>
      <c r="AB689" s="2" t="e">
        <f>INT(
   SUBSTITUTE(Working_Sales[[#This Row],[Price_Per_Unit_Whitespace_Removed]],
   "$",
   ""
   )
)</f>
        <v>#VALUE!</v>
      </c>
      <c r="AC689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689" s="8">
        <f>IFERROR(
   Working_Sales[[#This Row],[Price_Per_Unit_Decimal_Separator_Fixed]],
   Working_Sales[[#This Row],[Total_Amount_Converted_To_Integer]]/Working_Sales[[#This Row],[Quantity_Converted_To_Integer]]
)</f>
        <v>25</v>
      </c>
      <c r="AE689" t="s">
        <v>15</v>
      </c>
      <c r="AF689" s="2" t="str">
        <f>CLEAN(TRIM(Working_Sales[[#This Row],[Total Amount]]))</f>
        <v>50</v>
      </c>
      <c r="AG689" s="2">
        <f>INT(Working_Sales[[#This Row],[Total_Amount_Whitespace_Removed]])</f>
        <v>50</v>
      </c>
      <c r="AH68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690" spans="1:34" x14ac:dyDescent="0.35">
      <c r="A690" t="s">
        <v>1468</v>
      </c>
      <c r="B690" s="6" t="str">
        <f>CLEAN(TRIM(Working_Sales[[#This Row],[Transaction ID]]))</f>
        <v>831</v>
      </c>
      <c r="C690" t="s">
        <v>54</v>
      </c>
      <c r="D690" s="2" t="str">
        <f>CLEAN(TRIM(Working_Sales[[#This Row],[Date]]))</f>
        <v>01/15/2023</v>
      </c>
      <c r="E690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69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44941</v>
      </c>
      <c r="G69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44941</v>
      </c>
      <c r="H690" t="s">
        <v>2884</v>
      </c>
      <c r="I690" s="2" t="str">
        <f>CLEAN(TRIM(Working_Sales[[#This Row],[Customer ID]]))</f>
        <v>CUST215</v>
      </c>
      <c r="J69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CUST215</v>
      </c>
      <c r="K69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CUST215</v>
      </c>
      <c r="L690" t="s">
        <v>34</v>
      </c>
      <c r="M690" s="4" t="str">
        <f>CLEAN(TRIM(Working_Sales[[#This Row],[Gender]]))</f>
        <v>Male</v>
      </c>
      <c r="N690" s="4" t="str" cm="1">
        <f t="array" ref="N690">_xlfn.SWITCH(
   Working_Sales[[#This Row],[Gender_Whitespace_Removed]],
   "m", "Male",
   "f", "Female",
   Working_Sales[[#This Row],[Gender_Whitespace_Removed]]
)</f>
        <v>Male</v>
      </c>
      <c r="O690" s="6" t="str">
        <f>PROPER(Working_Sales[[#This Row],[Gender_Abbreviation_Expanded]])</f>
        <v>Male</v>
      </c>
      <c r="P690">
        <v>27</v>
      </c>
      <c r="Q690" s="2" t="str">
        <f>CLEAN(TRIM(Working_Sales[[#This Row],[Age]]))</f>
        <v>27</v>
      </c>
      <c r="R690" s="6">
        <f>INT(SUBSTITUTE(Working_Sales[[#This Row],[Age_Whitespace_Removed]],".",","))</f>
        <v>27</v>
      </c>
      <c r="S690" t="s">
        <v>109</v>
      </c>
      <c r="T690" s="2" t="str">
        <f>CLEAN(TRIM(Working_Sales[[#This Row],[Product Category]]))</f>
        <v>Electronics</v>
      </c>
      <c r="U690" s="6" t="str">
        <f>PROPER(Working_Sales[[#This Row],[Product_Category_Whitespace_Removed]])</f>
        <v>Electronics</v>
      </c>
      <c r="V690" t="s">
        <v>14</v>
      </c>
      <c r="W690" s="2" t="str">
        <f>CLEAN(TRIM(Working_Sales[[#This Row],[Quantity]]))</f>
        <v>4</v>
      </c>
      <c r="X690" s="2">
        <f>INT(Working_Sales[[#This Row],[`]])</f>
        <v>4</v>
      </c>
      <c r="Y690" s="6">
        <f>IFERROR(
   Working_Sales[[#This Row],[Quantity_Converted_To_Integer]],
   Working_Sales[[#This Row],[Total_Amount_Whitespace_Removed]]/Working_Sales[[#This Row],[Price_Per_Unit_Decimal_Separator_Fixed]])</f>
        <v>4</v>
      </c>
      <c r="Z690" t="s">
        <v>30</v>
      </c>
      <c r="AA690" s="2" t="str">
        <f>CLEAN(TRIM(Working_Sales[[#This Row],[Price per Unit]]))</f>
        <v>25</v>
      </c>
      <c r="AB690" s="2">
        <f>INT(
   SUBSTITUTE(Working_Sales[[#This Row],[Price_Per_Unit_Whitespace_Removed]],
   "$",
   ""
   )
)</f>
        <v>25</v>
      </c>
      <c r="AC690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690" s="8">
        <f>IFERROR(
   Working_Sales[[#This Row],[Price_Per_Unit_Decimal_Separator_Fixed]],
   Working_Sales[[#This Row],[Total_Amount_Converted_To_Integer]]/Working_Sales[[#This Row],[Quantity_Converted_To_Integer]]
)</f>
        <v>25</v>
      </c>
      <c r="AE690" t="s">
        <v>38</v>
      </c>
      <c r="AF690" s="2" t="str">
        <f>CLEAN(TRIM(Working_Sales[[#This Row],[Total Amount]]))</f>
        <v>100</v>
      </c>
      <c r="AG690" s="2">
        <f>INT(Working_Sales[[#This Row],[Total_Amount_Whitespace_Removed]])</f>
        <v>100</v>
      </c>
      <c r="AH69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691" spans="1:34" x14ac:dyDescent="0.35">
      <c r="A691" t="s">
        <v>1469</v>
      </c>
      <c r="B691" s="6" t="str">
        <f>CLEAN(TRIM(Working_Sales[[#This Row],[Transaction ID]]))</f>
        <v>122</v>
      </c>
      <c r="C691" t="s">
        <v>590</v>
      </c>
      <c r="D691" s="2" t="str">
        <f>CLEAN(TRIM(Working_Sales[[#This Row],[Date]]))</f>
        <v>03-Oct-2023</v>
      </c>
      <c r="E69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45202</v>
      </c>
      <c r="F69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45202</v>
      </c>
      <c r="G69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45202</v>
      </c>
      <c r="H691" t="s">
        <v>2885</v>
      </c>
      <c r="I691" s="2" t="str">
        <f>CLEAN(TRIM(Working_Sales[[#This Row],[Customer ID]]))</f>
        <v>CUST356</v>
      </c>
      <c r="J69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CUST356</v>
      </c>
      <c r="K69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CUST356</v>
      </c>
      <c r="L691" t="s">
        <v>34</v>
      </c>
      <c r="M691" s="4" t="str">
        <f>CLEAN(TRIM(Working_Sales[[#This Row],[Gender]]))</f>
        <v>Male</v>
      </c>
      <c r="N691" s="4" t="str" cm="1">
        <f t="array" ref="N691">_xlfn.SWITCH(
   Working_Sales[[#This Row],[Gender_Whitespace_Removed]],
   "m", "Male",
   "f", "Female",
   Working_Sales[[#This Row],[Gender_Whitespace_Removed]]
)</f>
        <v>Male</v>
      </c>
      <c r="O691" s="6" t="str">
        <f>PROPER(Working_Sales[[#This Row],[Gender_Abbreviation_Expanded]])</f>
        <v>Male</v>
      </c>
      <c r="P691">
        <v>64</v>
      </c>
      <c r="Q691" s="2" t="str">
        <f>CLEAN(TRIM(Working_Sales[[#This Row],[Age]]))</f>
        <v>64</v>
      </c>
      <c r="R691" s="6">
        <f>INT(SUBSTITUTE(Working_Sales[[#This Row],[Age_Whitespace_Removed]],".",","))</f>
        <v>64</v>
      </c>
      <c r="S691" t="s">
        <v>99</v>
      </c>
      <c r="T691" s="2" t="str">
        <f>CLEAN(TRIM(Working_Sales[[#This Row],[Product Category]]))</f>
        <v>ELECTRONICS</v>
      </c>
      <c r="U691" s="6" t="str">
        <f>PROPER(Working_Sales[[#This Row],[Product_Category_Whitespace_Removed]])</f>
        <v>Electronics</v>
      </c>
      <c r="V691" t="s">
        <v>14</v>
      </c>
      <c r="W691" s="2" t="str">
        <f>CLEAN(TRIM(Working_Sales[[#This Row],[Quantity]]))</f>
        <v>4</v>
      </c>
      <c r="X691" s="2">
        <f>INT(Working_Sales[[#This Row],[`]])</f>
        <v>4</v>
      </c>
      <c r="Y691" s="6">
        <f>IFERROR(
   Working_Sales[[#This Row],[Quantity_Converted_To_Integer]],
   Working_Sales[[#This Row],[Total_Amount_Whitespace_Removed]]/Working_Sales[[#This Row],[Price_Per_Unit_Decimal_Separator_Fixed]])</f>
        <v>4</v>
      </c>
      <c r="Z691" t="s">
        <v>70</v>
      </c>
      <c r="AA691" s="2" t="str">
        <f>CLEAN(TRIM(Working_Sales[[#This Row],[Price per Unit]]))</f>
        <v>30</v>
      </c>
      <c r="AB691" s="2">
        <f>INT(
   SUBSTITUTE(Working_Sales[[#This Row],[Price_Per_Unit_Whitespace_Removed]],
   "$",
   ""
   )
)</f>
        <v>30</v>
      </c>
      <c r="AC691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691" s="8">
        <f>IFERROR(
   Working_Sales[[#This Row],[Price_Per_Unit_Decimal_Separator_Fixed]],
   Working_Sales[[#This Row],[Total_Amount_Converted_To_Integer]]/Working_Sales[[#This Row],[Quantity_Converted_To_Integer]]
)</f>
        <v>30</v>
      </c>
      <c r="AE691" t="s">
        <v>44</v>
      </c>
      <c r="AF691" s="2" t="str">
        <f>CLEAN(TRIM(Working_Sales[[#This Row],[Total Amount]]))</f>
        <v>120</v>
      </c>
      <c r="AG691" s="2">
        <f>INT(Working_Sales[[#This Row],[Total_Amount_Whitespace_Removed]])</f>
        <v>120</v>
      </c>
      <c r="AH69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692" spans="1:34" x14ac:dyDescent="0.35">
      <c r="A692" t="s">
        <v>1470</v>
      </c>
      <c r="B692" s="6" t="str">
        <f>CLEAN(TRIM(Working_Sales[[#This Row],[Transaction ID]]))</f>
        <v>843</v>
      </c>
      <c r="C692" t="s">
        <v>1282</v>
      </c>
      <c r="D692" s="2" t="str">
        <f>CLEAN(TRIM(Working_Sales[[#This Row],[Date]]))</f>
        <v>22/05/2023</v>
      </c>
      <c r="E69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45068</v>
      </c>
      <c r="F69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45068</v>
      </c>
      <c r="G69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45068</v>
      </c>
      <c r="H692" t="s">
        <v>2886</v>
      </c>
      <c r="I692" s="2" t="str">
        <f>CLEAN(TRIM(Working_Sales[[#This Row],[Customer ID]]))</f>
        <v>Cust425</v>
      </c>
      <c r="J69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9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CUST425</v>
      </c>
      <c r="L692" t="s">
        <v>34</v>
      </c>
      <c r="M692" s="4" t="str">
        <f>CLEAN(TRIM(Working_Sales[[#This Row],[Gender]]))</f>
        <v>Male</v>
      </c>
      <c r="N692" s="4" t="str" cm="1">
        <f t="array" ref="N692">_xlfn.SWITCH(
   Working_Sales[[#This Row],[Gender_Whitespace_Removed]],
   "m", "Male",
   "f", "Female",
   Working_Sales[[#This Row],[Gender_Whitespace_Removed]]
)</f>
        <v>Male</v>
      </c>
      <c r="O692" s="6" t="str">
        <f>PROPER(Working_Sales[[#This Row],[Gender_Abbreviation_Expanded]])</f>
        <v>Male</v>
      </c>
      <c r="P692">
        <v>21</v>
      </c>
      <c r="Q692" s="2" t="str">
        <f>CLEAN(TRIM(Working_Sales[[#This Row],[Age]]))</f>
        <v>21</v>
      </c>
      <c r="R692" s="6">
        <f>INT(SUBSTITUTE(Working_Sales[[#This Row],[Age_Whitespace_Removed]],".",","))</f>
        <v>21</v>
      </c>
      <c r="S692" t="s">
        <v>69</v>
      </c>
      <c r="T692" s="2" t="str">
        <f>CLEAN(TRIM(Working_Sales[[#This Row],[Product Category]]))</f>
        <v>BEAUTY</v>
      </c>
      <c r="U692" s="6" t="str">
        <f>PROPER(Working_Sales[[#This Row],[Product_Category_Whitespace_Removed]])</f>
        <v>Beauty</v>
      </c>
      <c r="V692" t="s">
        <v>29</v>
      </c>
      <c r="W692" s="2" t="str">
        <f>CLEAN(TRIM(Working_Sales[[#This Row],[Quantity]]))</f>
        <v>3</v>
      </c>
      <c r="X692" s="2">
        <f>INT(Working_Sales[[#This Row],[`]])</f>
        <v>3</v>
      </c>
      <c r="Y692" s="6">
        <f>IFERROR(
   Working_Sales[[#This Row],[Quantity_Converted_To_Integer]],
   Working_Sales[[#This Row],[Total_Amount_Whitespace_Removed]]/Working_Sales[[#This Row],[Price_Per_Unit_Decimal_Separator_Fixed]])</f>
        <v>3</v>
      </c>
      <c r="Z692" t="s">
        <v>57</v>
      </c>
      <c r="AA692" s="2" t="str">
        <f>CLEAN(TRIM(Working_Sales[[#This Row],[Price per Unit]]))</f>
        <v>500</v>
      </c>
      <c r="AB692" s="2">
        <f>INT(
   SUBSTITUTE(Working_Sales[[#This Row],[Price_Per_Unit_Whitespace_Removed]],
   "$",
   ""
   )
)</f>
        <v>500</v>
      </c>
      <c r="AC692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692" s="8">
        <f>IFERROR(
   Working_Sales[[#This Row],[Price_Per_Unit_Decimal_Separator_Fixed]],
   Working_Sales[[#This Row],[Total_Amount_Converted_To_Integer]]/Working_Sales[[#This Row],[Quantity_Converted_To_Integer]]
)</f>
        <v>500</v>
      </c>
      <c r="AE692" t="s">
        <v>85</v>
      </c>
      <c r="AF692" s="2" t="str">
        <f>CLEAN(TRIM(Working_Sales[[#This Row],[Total Amount]]))</f>
        <v>1500</v>
      </c>
      <c r="AG692" s="2">
        <f>INT(Working_Sales[[#This Row],[Total_Amount_Whitespace_Removed]])</f>
        <v>1500</v>
      </c>
      <c r="AH69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693" spans="1:34" x14ac:dyDescent="0.35">
      <c r="A693" t="s">
        <v>1472</v>
      </c>
      <c r="B693" s="6" t="str">
        <f>CLEAN(TRIM(Working_Sales[[#This Row],[Transaction ID]]))</f>
        <v>881</v>
      </c>
      <c r="C693" t="s">
        <v>1473</v>
      </c>
      <c r="D693" s="2" t="str">
        <f>CLEAN(TRIM(Working_Sales[[#This Row],[Date]]))</f>
        <v>2023-05-19</v>
      </c>
      <c r="E69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45065</v>
      </c>
      <c r="F69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45065</v>
      </c>
      <c r="G69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45065</v>
      </c>
      <c r="H693" t="s">
        <v>2887</v>
      </c>
      <c r="I693" s="2" t="str">
        <f>CLEAN(TRIM(Working_Sales[[#This Row],[Customer ID]]))</f>
        <v>CUST426</v>
      </c>
      <c r="J69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CUST426</v>
      </c>
      <c r="K69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CUST426</v>
      </c>
      <c r="L693" t="s">
        <v>34</v>
      </c>
      <c r="M693" s="4" t="str">
        <f>CLEAN(TRIM(Working_Sales[[#This Row],[Gender]]))</f>
        <v>Male</v>
      </c>
      <c r="N693" s="4" t="str" cm="1">
        <f t="array" ref="N693">_xlfn.SWITCH(
   Working_Sales[[#This Row],[Gender_Whitespace_Removed]],
   "m", "Male",
   "f", "Female",
   Working_Sales[[#This Row],[Gender_Whitespace_Removed]]
)</f>
        <v>Male</v>
      </c>
      <c r="O693" s="6" t="str">
        <f>PROPER(Working_Sales[[#This Row],[Gender_Abbreviation_Expanded]])</f>
        <v>Male</v>
      </c>
      <c r="P693">
        <v>22</v>
      </c>
      <c r="Q693" s="2" t="str">
        <f>CLEAN(TRIM(Working_Sales[[#This Row],[Age]]))</f>
        <v>22</v>
      </c>
      <c r="R693" s="6">
        <f>INT(SUBSTITUTE(Working_Sales[[#This Row],[Age_Whitespace_Removed]],".",","))</f>
        <v>22</v>
      </c>
      <c r="S693" t="s">
        <v>13</v>
      </c>
      <c r="T693" s="2" t="str">
        <f>CLEAN(TRIM(Working_Sales[[#This Row],[Product Category]]))</f>
        <v>Electronics</v>
      </c>
      <c r="U693" s="6" t="str">
        <f>PROPER(Working_Sales[[#This Row],[Product_Category_Whitespace_Removed]])</f>
        <v>Electronics</v>
      </c>
      <c r="V693" t="s">
        <v>22</v>
      </c>
      <c r="W693" s="2" t="str">
        <f>CLEAN(TRIM(Working_Sales[[#This Row],[Quantity]]))</f>
        <v>1</v>
      </c>
      <c r="X693" s="2">
        <f>INT(Working_Sales[[#This Row],[`]])</f>
        <v>1</v>
      </c>
      <c r="Y693" s="6">
        <f>IFERROR(
   Working_Sales[[#This Row],[Quantity_Converted_To_Integer]],
   Working_Sales[[#This Row],[Total_Amount_Whitespace_Removed]]/Working_Sales[[#This Row],[Price_Per_Unit_Decimal_Separator_Fixed]])</f>
        <v>1</v>
      </c>
      <c r="AA693" s="2" t="str">
        <f>CLEAN(TRIM(Working_Sales[[#This Row],[Price per Unit]]))</f>
        <v/>
      </c>
      <c r="AB693" s="2" t="e">
        <f>INT(
   SUBSTITUTE(Working_Sales[[#This Row],[Price_Per_Unit_Whitespace_Removed]],
   "$",
   ""
   )
)</f>
        <v>#VALUE!</v>
      </c>
      <c r="AC693" s="2" t="e">
        <f>INT(
   IFERROR(
      Working_Sales[[#This Row],[Price_Per_Unit_Dollar_Sign_Removed]],
      SUBSTITUTE(
         Working_Sales[[#This Row],[Price_Per_Unit_Whitespace_Removed]],
        ".",
         ","
      )
   )
)</f>
        <v>#VALUE!</v>
      </c>
      <c r="AD693" s="8">
        <f>IFERROR(
   Working_Sales[[#This Row],[Price_Per_Unit_Decimal_Separator_Fixed]],
   Working_Sales[[#This Row],[Total_Amount_Converted_To_Integer]]/Working_Sales[[#This Row],[Quantity_Converted_To_Integer]]
)</f>
        <v>300</v>
      </c>
      <c r="AE693" t="s">
        <v>23</v>
      </c>
      <c r="AF693" s="2" t="str">
        <f>CLEAN(TRIM(Working_Sales[[#This Row],[Total Amount]]))</f>
        <v>300</v>
      </c>
      <c r="AG693" s="2">
        <f>INT(Working_Sales[[#This Row],[Total_Amount_Whitespace_Removed]])</f>
        <v>300</v>
      </c>
      <c r="AH69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694" spans="1:34" x14ac:dyDescent="0.35">
      <c r="A694" t="s">
        <v>1474</v>
      </c>
      <c r="B694" s="6" t="str">
        <f>CLEAN(TRIM(Working_Sales[[#This Row],[Transaction ID]]))</f>
        <v>275</v>
      </c>
      <c r="C694" t="s">
        <v>953</v>
      </c>
      <c r="D694" s="2" t="str">
        <f>CLEAN(TRIM(Working_Sales[[#This Row],[Date]]))</f>
        <v>2023-04-08</v>
      </c>
      <c r="E69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45024</v>
      </c>
      <c r="F69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45024</v>
      </c>
      <c r="G69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45024</v>
      </c>
      <c r="H694" t="s">
        <v>2888</v>
      </c>
      <c r="I694" s="2" t="str">
        <f>CLEAN(TRIM(Working_Sales[[#This Row],[Customer ID]]))</f>
        <v>CUST427</v>
      </c>
      <c r="J69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CUST427</v>
      </c>
      <c r="K69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CUST427</v>
      </c>
      <c r="L694" t="s">
        <v>34</v>
      </c>
      <c r="M694" s="4" t="str">
        <f>CLEAN(TRIM(Working_Sales[[#This Row],[Gender]]))</f>
        <v>Male</v>
      </c>
      <c r="N694" s="4" t="str" cm="1">
        <f t="array" ref="N694">_xlfn.SWITCH(
   Working_Sales[[#This Row],[Gender_Whitespace_Removed]],
   "m", "Male",
   "f", "Female",
   Working_Sales[[#This Row],[Gender_Whitespace_Removed]]
)</f>
        <v>Male</v>
      </c>
      <c r="O694" s="6" t="str">
        <f>PROPER(Working_Sales[[#This Row],[Gender_Abbreviation_Expanded]])</f>
        <v>Male</v>
      </c>
      <c r="P694">
        <v>43</v>
      </c>
      <c r="Q694" s="2" t="str">
        <f>CLEAN(TRIM(Working_Sales[[#This Row],[Age]]))</f>
        <v>43</v>
      </c>
      <c r="R694" s="6">
        <f>INT(SUBSTITUTE(Working_Sales[[#This Row],[Age_Whitespace_Removed]],".",","))</f>
        <v>43</v>
      </c>
      <c r="S694" t="s">
        <v>89</v>
      </c>
      <c r="T694" s="2" t="str">
        <f>CLEAN(TRIM(Working_Sales[[#This Row],[Product Category]]))</f>
        <v>CLOTHING</v>
      </c>
      <c r="U694" s="6" t="str">
        <f>PROPER(Working_Sales[[#This Row],[Product_Category_Whitespace_Removed]])</f>
        <v>Clothing</v>
      </c>
      <c r="V694" t="s">
        <v>37</v>
      </c>
      <c r="W694" s="2" t="str">
        <f>CLEAN(TRIM(Working_Sales[[#This Row],[Quantity]]))</f>
        <v>2</v>
      </c>
      <c r="X694" s="2">
        <f>INT(Working_Sales[[#This Row],[`]])</f>
        <v>2</v>
      </c>
      <c r="Y694" s="6">
        <f>IFERROR(
   Working_Sales[[#This Row],[Quantity_Converted_To_Integer]],
   Working_Sales[[#This Row],[Total_Amount_Whitespace_Removed]]/Working_Sales[[#This Row],[Price_Per_Unit_Decimal_Separator_Fixed]])</f>
        <v>2</v>
      </c>
      <c r="Z694" t="s">
        <v>57</v>
      </c>
      <c r="AA694" s="2" t="str">
        <f>CLEAN(TRIM(Working_Sales[[#This Row],[Price per Unit]]))</f>
        <v>500</v>
      </c>
      <c r="AB694" s="2">
        <f>INT(
   SUBSTITUTE(Working_Sales[[#This Row],[Price_Per_Unit_Whitespace_Removed]],
   "$",
   ""
   )
)</f>
        <v>500</v>
      </c>
      <c r="AC694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694" s="8">
        <f>IFERROR(
   Working_Sales[[#This Row],[Price_Per_Unit_Decimal_Separator_Fixed]],
   Working_Sales[[#This Row],[Total_Amount_Converted_To_Integer]]/Working_Sales[[#This Row],[Quantity_Converted_To_Integer]]
)</f>
        <v>500</v>
      </c>
      <c r="AE694" t="s">
        <v>163</v>
      </c>
      <c r="AF694" s="2" t="str">
        <f>CLEAN(TRIM(Working_Sales[[#This Row],[Total Amount]]))</f>
        <v>1000</v>
      </c>
      <c r="AG694" s="2">
        <f>INT(Working_Sales[[#This Row],[Total_Amount_Whitespace_Removed]])</f>
        <v>1000</v>
      </c>
      <c r="AH69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695" spans="1:34" x14ac:dyDescent="0.35">
      <c r="A695" t="s">
        <v>1476</v>
      </c>
      <c r="B695" s="6" t="str">
        <f>CLEAN(TRIM(Working_Sales[[#This Row],[Transaction ID]]))</f>
        <v>434</v>
      </c>
      <c r="C695" t="s">
        <v>1477</v>
      </c>
      <c r="D695" s="2" t="str">
        <f>CLEAN(TRIM(Working_Sales[[#This Row],[Date]]))</f>
        <v>February 08, 2023</v>
      </c>
      <c r="E695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695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69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44965</v>
      </c>
      <c r="H695" t="s">
        <v>2889</v>
      </c>
      <c r="I695" s="2" t="str">
        <f>CLEAN(TRIM(Working_Sales[[#This Row],[Customer ID]]))</f>
        <v>cust263</v>
      </c>
      <c r="J69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9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CUST263</v>
      </c>
      <c r="L695" t="s">
        <v>26</v>
      </c>
      <c r="M695" s="4" t="str">
        <f>CLEAN(TRIM(Working_Sales[[#This Row],[Gender]]))</f>
        <v>Female</v>
      </c>
      <c r="N695" s="4" t="str" cm="1">
        <f t="array" ref="N695">_xlfn.SWITCH(
   Working_Sales[[#This Row],[Gender_Whitespace_Removed]],
   "m", "Male",
   "f", "Female",
   Working_Sales[[#This Row],[Gender_Whitespace_Removed]]
)</f>
        <v>Female</v>
      </c>
      <c r="O695" s="6" t="str">
        <f>PROPER(Working_Sales[[#This Row],[Gender_Abbreviation_Expanded]])</f>
        <v>Female</v>
      </c>
      <c r="P695">
        <v>43</v>
      </c>
      <c r="Q695" s="2" t="str">
        <f>CLEAN(TRIM(Working_Sales[[#This Row],[Age]]))</f>
        <v>43</v>
      </c>
      <c r="R695" s="6">
        <f>INT(SUBSTITUTE(Working_Sales[[#This Row],[Age_Whitespace_Removed]],".",","))</f>
        <v>43</v>
      </c>
      <c r="S695" t="s">
        <v>13</v>
      </c>
      <c r="T695" s="2" t="str">
        <f>CLEAN(TRIM(Working_Sales[[#This Row],[Product Category]]))</f>
        <v>Electronics</v>
      </c>
      <c r="U695" s="6" t="str">
        <f>PROPER(Working_Sales[[#This Row],[Product_Category_Whitespace_Removed]])</f>
        <v>Electronics</v>
      </c>
      <c r="V695" t="s">
        <v>37</v>
      </c>
      <c r="W695" s="2" t="str">
        <f>CLEAN(TRIM(Working_Sales[[#This Row],[Quantity]]))</f>
        <v>2</v>
      </c>
      <c r="X695" s="2">
        <f>INT(Working_Sales[[#This Row],[`]])</f>
        <v>2</v>
      </c>
      <c r="Y695" s="6">
        <f>IFERROR(
   Working_Sales[[#This Row],[Quantity_Converted_To_Integer]],
   Working_Sales[[#This Row],[Total_Amount_Whitespace_Removed]]/Working_Sales[[#This Row],[Price_Per_Unit_Decimal_Separator_Fixed]])</f>
        <v>2</v>
      </c>
      <c r="Z695" t="s">
        <v>30</v>
      </c>
      <c r="AA695" s="2" t="str">
        <f>CLEAN(TRIM(Working_Sales[[#This Row],[Price per Unit]]))</f>
        <v>25</v>
      </c>
      <c r="AB695" s="2">
        <f>INT(
   SUBSTITUTE(Working_Sales[[#This Row],[Price_Per_Unit_Whitespace_Removed]],
   "$",
   ""
   )
)</f>
        <v>25</v>
      </c>
      <c r="AC695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695" s="8">
        <f>IFERROR(
   Working_Sales[[#This Row],[Price_Per_Unit_Decimal_Separator_Fixed]],
   Working_Sales[[#This Row],[Total_Amount_Converted_To_Integer]]/Working_Sales[[#This Row],[Quantity_Converted_To_Integer]]
)</f>
        <v>25</v>
      </c>
      <c r="AE695" t="s">
        <v>15</v>
      </c>
      <c r="AF695" s="2" t="str">
        <f>CLEAN(TRIM(Working_Sales[[#This Row],[Total Amount]]))</f>
        <v>50</v>
      </c>
      <c r="AG695" s="2">
        <f>INT(Working_Sales[[#This Row],[Total_Amount_Whitespace_Removed]])</f>
        <v>50</v>
      </c>
      <c r="AH69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696" spans="1:34" x14ac:dyDescent="0.35">
      <c r="A696" t="s">
        <v>1479</v>
      </c>
      <c r="B696" s="6" t="str">
        <f>CLEAN(TRIM(Working_Sales[[#This Row],[Transaction ID]]))</f>
        <v>312</v>
      </c>
      <c r="C696" t="s">
        <v>1480</v>
      </c>
      <c r="D696" s="2" t="str">
        <f>CLEAN(TRIM(Working_Sales[[#This Row],[Date]]))</f>
        <v>2023-09-07</v>
      </c>
      <c r="E69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45176</v>
      </c>
      <c r="F69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45176</v>
      </c>
      <c r="G69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45176</v>
      </c>
      <c r="H696" t="s">
        <v>2763</v>
      </c>
      <c r="I696" s="2" t="str">
        <f>CLEAN(TRIM(Working_Sales[[#This Row],[Customer ID]]))</f>
        <v>Cust366</v>
      </c>
      <c r="J69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9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CUST366</v>
      </c>
      <c r="L696" t="s">
        <v>34</v>
      </c>
      <c r="M696" s="4" t="str">
        <f>CLEAN(TRIM(Working_Sales[[#This Row],[Gender]]))</f>
        <v>Male</v>
      </c>
      <c r="N696" s="4" t="str" cm="1">
        <f t="array" ref="N696">_xlfn.SWITCH(
   Working_Sales[[#This Row],[Gender_Whitespace_Removed]],
   "m", "Male",
   "f", "Female",
   Working_Sales[[#This Row],[Gender_Whitespace_Removed]]
)</f>
        <v>Male</v>
      </c>
      <c r="O696" s="6" t="str">
        <f>PROPER(Working_Sales[[#This Row],[Gender_Abbreviation_Expanded]])</f>
        <v>Male</v>
      </c>
      <c r="P696">
        <v>41</v>
      </c>
      <c r="Q696" s="2" t="str">
        <f>CLEAN(TRIM(Working_Sales[[#This Row],[Age]]))</f>
        <v>41</v>
      </c>
      <c r="R696" s="6">
        <f>INT(SUBSTITUTE(Working_Sales[[#This Row],[Age_Whitespace_Removed]],".",","))</f>
        <v>41</v>
      </c>
      <c r="S696" t="s">
        <v>56</v>
      </c>
      <c r="T696" s="2" t="str">
        <f>CLEAN(TRIM(Working_Sales[[#This Row],[Product Category]]))</f>
        <v>Clothing</v>
      </c>
      <c r="U696" s="6" t="str">
        <f>PROPER(Working_Sales[[#This Row],[Product_Category_Whitespace_Removed]])</f>
        <v>Clothing</v>
      </c>
      <c r="V696" t="s">
        <v>14</v>
      </c>
      <c r="W696" s="2" t="str">
        <f>CLEAN(TRIM(Working_Sales[[#This Row],[Quantity]]))</f>
        <v>4</v>
      </c>
      <c r="X696" s="2">
        <f>INT(Working_Sales[[#This Row],[`]])</f>
        <v>4</v>
      </c>
      <c r="Y696" s="6">
        <f>IFERROR(
   Working_Sales[[#This Row],[Quantity_Converted_To_Integer]],
   Working_Sales[[#This Row],[Total_Amount_Whitespace_Removed]]/Working_Sales[[#This Row],[Price_Per_Unit_Decimal_Separator_Fixed]])</f>
        <v>4</v>
      </c>
      <c r="Z696" t="s">
        <v>70</v>
      </c>
      <c r="AA696" s="2" t="str">
        <f>CLEAN(TRIM(Working_Sales[[#This Row],[Price per Unit]]))</f>
        <v>30</v>
      </c>
      <c r="AB696" s="2">
        <f>INT(
   SUBSTITUTE(Working_Sales[[#This Row],[Price_Per_Unit_Whitespace_Removed]],
   "$",
   ""
   )
)</f>
        <v>30</v>
      </c>
      <c r="AC696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696" s="8">
        <f>IFERROR(
   Working_Sales[[#This Row],[Price_Per_Unit_Decimal_Separator_Fixed]],
   Working_Sales[[#This Row],[Total_Amount_Converted_To_Integer]]/Working_Sales[[#This Row],[Quantity_Converted_To_Integer]]
)</f>
        <v>30</v>
      </c>
      <c r="AE696" t="s">
        <v>44</v>
      </c>
      <c r="AF696" s="2" t="str">
        <f>CLEAN(TRIM(Working_Sales[[#This Row],[Total Amount]]))</f>
        <v>120</v>
      </c>
      <c r="AG696" s="2">
        <f>INT(Working_Sales[[#This Row],[Total_Amount_Whitespace_Removed]])</f>
        <v>120</v>
      </c>
      <c r="AH69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697" spans="1:34" x14ac:dyDescent="0.35">
      <c r="A697" t="s">
        <v>1482</v>
      </c>
      <c r="B697" s="6" t="str">
        <f>CLEAN(TRIM(Working_Sales[[#This Row],[Transaction ID]]))</f>
        <v>868</v>
      </c>
      <c r="C697" t="s">
        <v>1235</v>
      </c>
      <c r="D697" s="2" t="str">
        <f>CLEAN(TRIM(Working_Sales[[#This Row],[Date]]))</f>
        <v>2023-12-06</v>
      </c>
      <c r="E69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45266</v>
      </c>
      <c r="F69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45266</v>
      </c>
      <c r="G69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45266</v>
      </c>
      <c r="H697" t="s">
        <v>2392</v>
      </c>
      <c r="I697" s="2" t="str">
        <f>CLEAN(TRIM(Working_Sales[[#This Row],[Customer ID]]))</f>
        <v>cust077</v>
      </c>
      <c r="J69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9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CUST077</v>
      </c>
      <c r="L697" t="s">
        <v>112</v>
      </c>
      <c r="M697" s="4" t="str">
        <f>CLEAN(TRIM(Working_Sales[[#This Row],[Gender]]))</f>
        <v>female</v>
      </c>
      <c r="N697" s="4" t="str" cm="1">
        <f t="array" ref="N697">_xlfn.SWITCH(
   Working_Sales[[#This Row],[Gender_Whitespace_Removed]],
   "m", "Male",
   "f", "Female",
   Working_Sales[[#This Row],[Gender_Whitespace_Removed]]
)</f>
        <v>female</v>
      </c>
      <c r="O697" s="6" t="str">
        <f>PROPER(Working_Sales[[#This Row],[Gender_Abbreviation_Expanded]])</f>
        <v>Female</v>
      </c>
      <c r="P697">
        <v>25</v>
      </c>
      <c r="Q697" s="2" t="str">
        <f>CLEAN(TRIM(Working_Sales[[#This Row],[Age]]))</f>
        <v>25</v>
      </c>
      <c r="R697" s="6">
        <f>INT(SUBSTITUTE(Working_Sales[[#This Row],[Age_Whitespace_Removed]],".",","))</f>
        <v>25</v>
      </c>
      <c r="S697" t="s">
        <v>13</v>
      </c>
      <c r="T697" s="2" t="str">
        <f>CLEAN(TRIM(Working_Sales[[#This Row],[Product Category]]))</f>
        <v>Electronics</v>
      </c>
      <c r="U697" s="6" t="str">
        <f>PROPER(Working_Sales[[#This Row],[Product_Category_Whitespace_Removed]])</f>
        <v>Electronics</v>
      </c>
      <c r="V697" t="s">
        <v>22</v>
      </c>
      <c r="W697" s="2" t="str">
        <f>CLEAN(TRIM(Working_Sales[[#This Row],[Quantity]]))</f>
        <v>1</v>
      </c>
      <c r="X697" s="2">
        <f>INT(Working_Sales[[#This Row],[`]])</f>
        <v>1</v>
      </c>
      <c r="Y697" s="6">
        <f>IFERROR(
   Working_Sales[[#This Row],[Quantity_Converted_To_Integer]],
   Working_Sales[[#This Row],[Total_Amount_Whitespace_Removed]]/Working_Sales[[#This Row],[Price_Per_Unit_Decimal_Separator_Fixed]])</f>
        <v>1</v>
      </c>
      <c r="Z697" t="s">
        <v>23</v>
      </c>
      <c r="AA697" s="2" t="str">
        <f>CLEAN(TRIM(Working_Sales[[#This Row],[Price per Unit]]))</f>
        <v>300</v>
      </c>
      <c r="AB697" s="2">
        <f>INT(
   SUBSTITUTE(Working_Sales[[#This Row],[Price_Per_Unit_Whitespace_Removed]],
   "$",
   ""
   )
)</f>
        <v>300</v>
      </c>
      <c r="AC697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697" s="8">
        <f>IFERROR(
   Working_Sales[[#This Row],[Price_Per_Unit_Decimal_Separator_Fixed]],
   Working_Sales[[#This Row],[Total_Amount_Converted_To_Integer]]/Working_Sales[[#This Row],[Quantity_Converted_To_Integer]]
)</f>
        <v>300</v>
      </c>
      <c r="AE697" t="s">
        <v>23</v>
      </c>
      <c r="AF697" s="2" t="str">
        <f>CLEAN(TRIM(Working_Sales[[#This Row],[Total Amount]]))</f>
        <v>300</v>
      </c>
      <c r="AG697" s="2">
        <f>INT(Working_Sales[[#This Row],[Total_Amount_Whitespace_Removed]])</f>
        <v>300</v>
      </c>
      <c r="AH69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698" spans="1:34" x14ac:dyDescent="0.35">
      <c r="A698" t="s">
        <v>1483</v>
      </c>
      <c r="B698" s="6" t="str">
        <f>CLEAN(TRIM(Working_Sales[[#This Row],[Transaction ID]]))</f>
        <v>927</v>
      </c>
      <c r="C698" t="s">
        <v>741</v>
      </c>
      <c r="D698" s="2" t="str">
        <f>CLEAN(TRIM(Working_Sales[[#This Row],[Date]]))</f>
        <v>24/06/2023</v>
      </c>
      <c r="E69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45101</v>
      </c>
      <c r="F69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45101</v>
      </c>
      <c r="G69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45101</v>
      </c>
      <c r="H698" t="s">
        <v>2891</v>
      </c>
      <c r="I698" s="2" t="str">
        <f>CLEAN(TRIM(Working_Sales[[#This Row],[Customer ID]]))</f>
        <v>CUST411</v>
      </c>
      <c r="J69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9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CUST411</v>
      </c>
      <c r="L698" t="s">
        <v>34</v>
      </c>
      <c r="M698" s="4" t="str">
        <f>CLEAN(TRIM(Working_Sales[[#This Row],[Gender]]))</f>
        <v>Male</v>
      </c>
      <c r="N698" s="4" t="str" cm="1">
        <f t="array" ref="N698">_xlfn.SWITCH(
   Working_Sales[[#This Row],[Gender_Whitespace_Removed]],
   "m", "Male",
   "f", "Female",
   Working_Sales[[#This Row],[Gender_Whitespace_Removed]]
)</f>
        <v>Male</v>
      </c>
      <c r="O698" s="6" t="str">
        <f>PROPER(Working_Sales[[#This Row],[Gender_Abbreviation_Expanded]])</f>
        <v>Male</v>
      </c>
      <c r="P698">
        <v>43</v>
      </c>
      <c r="Q698" s="2" t="str">
        <f>CLEAN(TRIM(Working_Sales[[#This Row],[Age]]))</f>
        <v>43</v>
      </c>
      <c r="R698" s="6">
        <f>INT(SUBSTITUTE(Working_Sales[[#This Row],[Age_Whitespace_Removed]],".",","))</f>
        <v>43</v>
      </c>
      <c r="S698" t="s">
        <v>109</v>
      </c>
      <c r="T698" s="2" t="str">
        <f>CLEAN(TRIM(Working_Sales[[#This Row],[Product Category]]))</f>
        <v>Electronics</v>
      </c>
      <c r="U698" s="6" t="str">
        <f>PROPER(Working_Sales[[#This Row],[Product_Category_Whitespace_Removed]])</f>
        <v>Electronics</v>
      </c>
      <c r="V698" t="s">
        <v>14</v>
      </c>
      <c r="W698" s="2" t="str">
        <f>CLEAN(TRIM(Working_Sales[[#This Row],[Quantity]]))</f>
        <v>4</v>
      </c>
      <c r="X698" s="2">
        <f>INT(Working_Sales[[#This Row],[`]])</f>
        <v>4</v>
      </c>
      <c r="Y698" s="6">
        <f>IFERROR(
   Working_Sales[[#This Row],[Quantity_Converted_To_Integer]],
   Working_Sales[[#This Row],[Total_Amount_Whitespace_Removed]]/Working_Sales[[#This Row],[Price_Per_Unit_Decimal_Separator_Fixed]])</f>
        <v>4</v>
      </c>
      <c r="Z698" t="s">
        <v>57</v>
      </c>
      <c r="AA698" s="2" t="str">
        <f>CLEAN(TRIM(Working_Sales[[#This Row],[Price per Unit]]))</f>
        <v>500</v>
      </c>
      <c r="AB698" s="2">
        <f>INT(
   SUBSTITUTE(Working_Sales[[#This Row],[Price_Per_Unit_Whitespace_Removed]],
   "$",
   ""
   )
)</f>
        <v>500</v>
      </c>
      <c r="AC698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698" s="8">
        <f>IFERROR(
   Working_Sales[[#This Row],[Price_Per_Unit_Decimal_Separator_Fixed]],
   Working_Sales[[#This Row],[Total_Amount_Converted_To_Integer]]/Working_Sales[[#This Row],[Quantity_Converted_To_Integer]]
)</f>
        <v>500</v>
      </c>
      <c r="AE698" t="s">
        <v>232</v>
      </c>
      <c r="AF698" s="2" t="str">
        <f>CLEAN(TRIM(Working_Sales[[#This Row],[Total Amount]]))</f>
        <v>2000</v>
      </c>
      <c r="AG698" s="2">
        <f>INT(Working_Sales[[#This Row],[Total_Amount_Whitespace_Removed]])</f>
        <v>2000</v>
      </c>
      <c r="AH69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699" spans="1:34" x14ac:dyDescent="0.35">
      <c r="A699" t="s">
        <v>1484</v>
      </c>
      <c r="B699" s="6" t="str">
        <f>CLEAN(TRIM(Working_Sales[[#This Row],[Transaction ID]]))</f>
        <v>547</v>
      </c>
      <c r="C699" t="s">
        <v>1485</v>
      </c>
      <c r="D699" s="2" t="str">
        <f>CLEAN(TRIM(Working_Sales[[#This Row],[Date]]))</f>
        <v>March 07, 2023</v>
      </c>
      <c r="E699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699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69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44992</v>
      </c>
      <c r="H699" t="s">
        <v>2892</v>
      </c>
      <c r="I699" s="2" t="str">
        <f>CLEAN(TRIM(Working_Sales[[#This Row],[Customer ID]]))</f>
        <v>CUST397</v>
      </c>
      <c r="J69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69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CUST397</v>
      </c>
      <c r="L699" t="s">
        <v>34</v>
      </c>
      <c r="M699" s="4" t="str">
        <f>CLEAN(TRIM(Working_Sales[[#This Row],[Gender]]))</f>
        <v>Male</v>
      </c>
      <c r="N699" s="4" t="str" cm="1">
        <f t="array" ref="N699">_xlfn.SWITCH(
   Working_Sales[[#This Row],[Gender_Whitespace_Removed]],
   "m", "Male",
   "f", "Female",
   Working_Sales[[#This Row],[Gender_Whitespace_Removed]]
)</f>
        <v>Male</v>
      </c>
      <c r="O699" s="6" t="str">
        <f>PROPER(Working_Sales[[#This Row],[Gender_Abbreviation_Expanded]])</f>
        <v>Male</v>
      </c>
      <c r="P699">
        <v>63</v>
      </c>
      <c r="Q699" s="2" t="str">
        <f>CLEAN(TRIM(Working_Sales[[#This Row],[Age]]))</f>
        <v>63</v>
      </c>
      <c r="R699" s="6">
        <f>INT(SUBSTITUTE(Working_Sales[[#This Row],[Age_Whitespace_Removed]],".",","))</f>
        <v>63</v>
      </c>
      <c r="S699" t="s">
        <v>89</v>
      </c>
      <c r="T699" s="2" t="str">
        <f>CLEAN(TRIM(Working_Sales[[#This Row],[Product Category]]))</f>
        <v>CLOTHING</v>
      </c>
      <c r="U699" s="6" t="str">
        <f>PROPER(Working_Sales[[#This Row],[Product_Category_Whitespace_Removed]])</f>
        <v>Clothing</v>
      </c>
      <c r="V699" t="s">
        <v>14</v>
      </c>
      <c r="W699" s="2" t="str">
        <f>CLEAN(TRIM(Working_Sales[[#This Row],[Quantity]]))</f>
        <v>4</v>
      </c>
      <c r="X699" s="2">
        <f>INT(Working_Sales[[#This Row],[`]])</f>
        <v>4</v>
      </c>
      <c r="Y699" s="6">
        <f>IFERROR(
   Working_Sales[[#This Row],[Quantity_Converted_To_Integer]],
   Working_Sales[[#This Row],[Total_Amount_Whitespace_Removed]]/Working_Sales[[#This Row],[Price_Per_Unit_Decimal_Separator_Fixed]])</f>
        <v>4</v>
      </c>
      <c r="Z699" t="s">
        <v>57</v>
      </c>
      <c r="AA699" s="2" t="str">
        <f>CLEAN(TRIM(Working_Sales[[#This Row],[Price per Unit]]))</f>
        <v>500</v>
      </c>
      <c r="AB699" s="2">
        <f>INT(
   SUBSTITUTE(Working_Sales[[#This Row],[Price_Per_Unit_Whitespace_Removed]],
   "$",
   ""
   )
)</f>
        <v>500</v>
      </c>
      <c r="AC699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699" s="8">
        <f>IFERROR(
   Working_Sales[[#This Row],[Price_Per_Unit_Decimal_Separator_Fixed]],
   Working_Sales[[#This Row],[Total_Amount_Converted_To_Integer]]/Working_Sales[[#This Row],[Quantity_Converted_To_Integer]]
)</f>
        <v>500</v>
      </c>
      <c r="AE699" t="s">
        <v>232</v>
      </c>
      <c r="AF699" s="2" t="str">
        <f>CLEAN(TRIM(Working_Sales[[#This Row],[Total Amount]]))</f>
        <v>2000</v>
      </c>
      <c r="AG699" s="2">
        <f>INT(Working_Sales[[#This Row],[Total_Amount_Whitespace_Removed]])</f>
        <v>2000</v>
      </c>
      <c r="AH69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700" spans="1:34" x14ac:dyDescent="0.35">
      <c r="A700" t="s">
        <v>1486</v>
      </c>
      <c r="B700" s="6" t="str">
        <f>CLEAN(TRIM(Working_Sales[[#This Row],[Transaction ID]]))</f>
        <v>182</v>
      </c>
      <c r="C700" t="s">
        <v>518</v>
      </c>
      <c r="D700" s="2" t="str">
        <f>CLEAN(TRIM(Working_Sales[[#This Row],[Date]]))</f>
        <v>06/15/2023</v>
      </c>
      <c r="E700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70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45092</v>
      </c>
      <c r="G70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45092</v>
      </c>
      <c r="H700" t="s">
        <v>2893</v>
      </c>
      <c r="I700" s="2" t="str">
        <f>CLEAN(TRIM(Working_Sales[[#This Row],[Customer ID]]))</f>
        <v>cust428</v>
      </c>
      <c r="J70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0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CUST428</v>
      </c>
      <c r="L700" t="s">
        <v>11</v>
      </c>
      <c r="M700" s="4" t="str">
        <f>CLEAN(TRIM(Working_Sales[[#This Row],[Gender]]))</f>
        <v>MALE</v>
      </c>
      <c r="N700" s="4" t="str" cm="1">
        <f t="array" ref="N700">_xlfn.SWITCH(
   Working_Sales[[#This Row],[Gender_Whitespace_Removed]],
   "m", "Male",
   "f", "Female",
   Working_Sales[[#This Row],[Gender_Whitespace_Removed]]
)</f>
        <v>MALE</v>
      </c>
      <c r="O700" s="6" t="str">
        <f>PROPER(Working_Sales[[#This Row],[Gender_Abbreviation_Expanded]])</f>
        <v>Male</v>
      </c>
      <c r="P700">
        <v>62</v>
      </c>
      <c r="Q700" s="2" t="str">
        <f>CLEAN(TRIM(Working_Sales[[#This Row],[Age]]))</f>
        <v>62</v>
      </c>
      <c r="R700" s="6">
        <f>INT(SUBSTITUTE(Working_Sales[[#This Row],[Age_Whitespace_Removed]],".",","))</f>
        <v>62</v>
      </c>
      <c r="S700" t="s">
        <v>36</v>
      </c>
      <c r="T700" s="2" t="str">
        <f>CLEAN(TRIM(Working_Sales[[#This Row],[Product Category]]))</f>
        <v>Beauty</v>
      </c>
      <c r="U700" s="6" t="str">
        <f>PROPER(Working_Sales[[#This Row],[Product_Category_Whitespace_Removed]])</f>
        <v>Beauty</v>
      </c>
      <c r="V700" t="s">
        <v>14</v>
      </c>
      <c r="W700" s="2" t="str">
        <f>CLEAN(TRIM(Working_Sales[[#This Row],[Quantity]]))</f>
        <v>4</v>
      </c>
      <c r="X700" s="2">
        <f>INT(Working_Sales[[#This Row],[`]])</f>
        <v>4</v>
      </c>
      <c r="Y700" s="6">
        <f>IFERROR(
   Working_Sales[[#This Row],[Quantity_Converted_To_Integer]],
   Working_Sales[[#This Row],[Total_Amount_Whitespace_Removed]]/Working_Sales[[#This Row],[Price_Per_Unit_Decimal_Separator_Fixed]])</f>
        <v>4</v>
      </c>
      <c r="Z700" t="s">
        <v>70</v>
      </c>
      <c r="AA700" s="2" t="str">
        <f>CLEAN(TRIM(Working_Sales[[#This Row],[Price per Unit]]))</f>
        <v>30</v>
      </c>
      <c r="AB700" s="2">
        <f>INT(
   SUBSTITUTE(Working_Sales[[#This Row],[Price_Per_Unit_Whitespace_Removed]],
   "$",
   ""
   )
)</f>
        <v>30</v>
      </c>
      <c r="AC700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700" s="8">
        <f>IFERROR(
   Working_Sales[[#This Row],[Price_Per_Unit_Decimal_Separator_Fixed]],
   Working_Sales[[#This Row],[Total_Amount_Converted_To_Integer]]/Working_Sales[[#This Row],[Quantity_Converted_To_Integer]]
)</f>
        <v>30</v>
      </c>
      <c r="AE700" t="s">
        <v>44</v>
      </c>
      <c r="AF700" s="2" t="str">
        <f>CLEAN(TRIM(Working_Sales[[#This Row],[Total Amount]]))</f>
        <v>120</v>
      </c>
      <c r="AG700" s="2">
        <f>INT(Working_Sales[[#This Row],[Total_Amount_Whitespace_Removed]])</f>
        <v>120</v>
      </c>
      <c r="AH70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701" spans="1:34" x14ac:dyDescent="0.35">
      <c r="A701" t="s">
        <v>1487</v>
      </c>
      <c r="B701" s="6" t="str">
        <f>CLEAN(TRIM(Working_Sales[[#This Row],[Transaction ID]]))</f>
        <v>185</v>
      </c>
      <c r="C701" t="s">
        <v>1460</v>
      </c>
      <c r="D701" s="2" t="str">
        <f>CLEAN(TRIM(Working_Sales[[#This Row],[Date]]))</f>
        <v>27/02/2023</v>
      </c>
      <c r="E70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44984</v>
      </c>
      <c r="F70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44984</v>
      </c>
      <c r="G70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44984</v>
      </c>
      <c r="H701" t="s">
        <v>2894</v>
      </c>
      <c r="I701" s="2" t="str">
        <f>CLEAN(TRIM(Working_Sales[[#This Row],[Customer ID]]))</f>
        <v>CUST197</v>
      </c>
      <c r="J70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CUST197</v>
      </c>
      <c r="K70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CUST197</v>
      </c>
      <c r="L701" t="s">
        <v>34</v>
      </c>
      <c r="M701" s="4" t="str">
        <f>CLEAN(TRIM(Working_Sales[[#This Row],[Gender]]))</f>
        <v>Male</v>
      </c>
      <c r="N701" s="4" t="str" cm="1">
        <f t="array" ref="N701">_xlfn.SWITCH(
   Working_Sales[[#This Row],[Gender_Whitespace_Removed]],
   "m", "Male",
   "f", "Female",
   Working_Sales[[#This Row],[Gender_Whitespace_Removed]]
)</f>
        <v>Male</v>
      </c>
      <c r="O701" s="6" t="str">
        <f>PROPER(Working_Sales[[#This Row],[Gender_Abbreviation_Expanded]])</f>
        <v>Male</v>
      </c>
      <c r="P701" t="s">
        <v>1489</v>
      </c>
      <c r="Q701" s="2" t="str">
        <f>CLEAN(TRIM(Working_Sales[[#This Row],[Age]]))</f>
        <v>24</v>
      </c>
      <c r="R701" s="6">
        <f>INT(SUBSTITUTE(Working_Sales[[#This Row],[Age_Whitespace_Removed]],".",","))</f>
        <v>24</v>
      </c>
      <c r="S701" t="s">
        <v>56</v>
      </c>
      <c r="T701" s="2" t="str">
        <f>CLEAN(TRIM(Working_Sales[[#This Row],[Product Category]]))</f>
        <v>Clothing</v>
      </c>
      <c r="U701" s="6" t="str">
        <f>PROPER(Working_Sales[[#This Row],[Product_Category_Whitespace_Removed]])</f>
        <v>Clothing</v>
      </c>
      <c r="V701" t="s">
        <v>22</v>
      </c>
      <c r="W701" s="2" t="str">
        <f>CLEAN(TRIM(Working_Sales[[#This Row],[Quantity]]))</f>
        <v>1</v>
      </c>
      <c r="X701" s="2">
        <f>INT(Working_Sales[[#This Row],[`]])</f>
        <v>1</v>
      </c>
      <c r="Y701" s="6">
        <f>IFERROR(
   Working_Sales[[#This Row],[Quantity_Converted_To_Integer]],
   Working_Sales[[#This Row],[Total_Amount_Whitespace_Removed]]/Working_Sales[[#This Row],[Price_Per_Unit_Decimal_Separator_Fixed]])</f>
        <v>1</v>
      </c>
      <c r="Z701" t="s">
        <v>30</v>
      </c>
      <c r="AA701" s="2" t="str">
        <f>CLEAN(TRIM(Working_Sales[[#This Row],[Price per Unit]]))</f>
        <v>25</v>
      </c>
      <c r="AB701" s="2">
        <f>INT(
   SUBSTITUTE(Working_Sales[[#This Row],[Price_Per_Unit_Whitespace_Removed]],
   "$",
   ""
   )
)</f>
        <v>25</v>
      </c>
      <c r="AC701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701" s="8">
        <f>IFERROR(
   Working_Sales[[#This Row],[Price_Per_Unit_Decimal_Separator_Fixed]],
   Working_Sales[[#This Row],[Total_Amount_Converted_To_Integer]]/Working_Sales[[#This Row],[Quantity_Converted_To_Integer]]
)</f>
        <v>25</v>
      </c>
      <c r="AE701" t="s">
        <v>30</v>
      </c>
      <c r="AF701" s="2" t="str">
        <f>CLEAN(TRIM(Working_Sales[[#This Row],[Total Amount]]))</f>
        <v>25</v>
      </c>
      <c r="AG701" s="2">
        <f>INT(Working_Sales[[#This Row],[Total_Amount_Whitespace_Removed]])</f>
        <v>25</v>
      </c>
      <c r="AH70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702" spans="1:34" x14ac:dyDescent="0.35">
      <c r="A702" t="s">
        <v>1490</v>
      </c>
      <c r="B702" s="6" t="str">
        <f>CLEAN(TRIM(Working_Sales[[#This Row],[Transaction ID]]))</f>
        <v>407</v>
      </c>
      <c r="C702" t="s">
        <v>1491</v>
      </c>
      <c r="D702" s="2" t="str">
        <f>CLEAN(TRIM(Working_Sales[[#This Row],[Date]]))</f>
        <v>2023-06-25</v>
      </c>
      <c r="E70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45102</v>
      </c>
      <c r="F70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45102</v>
      </c>
      <c r="G70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45102</v>
      </c>
      <c r="H702" t="s">
        <v>2895</v>
      </c>
      <c r="I702" s="2" t="str">
        <f>CLEAN(TRIM(Working_Sales[[#This Row],[Customer ID]]))</f>
        <v>CUST142</v>
      </c>
      <c r="J70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CUST142</v>
      </c>
      <c r="K70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CUST142</v>
      </c>
      <c r="L702" t="s">
        <v>26</v>
      </c>
      <c r="M702" s="4" t="str">
        <f>CLEAN(TRIM(Working_Sales[[#This Row],[Gender]]))</f>
        <v>Female</v>
      </c>
      <c r="N702" s="4" t="str" cm="1">
        <f t="array" ref="N702">_xlfn.SWITCH(
   Working_Sales[[#This Row],[Gender_Whitespace_Removed]],
   "m", "Male",
   "f", "Female",
   Working_Sales[[#This Row],[Gender_Whitespace_Removed]]
)</f>
        <v>Female</v>
      </c>
      <c r="O702" s="6" t="str">
        <f>PROPER(Working_Sales[[#This Row],[Gender_Abbreviation_Expanded]])</f>
        <v>Female</v>
      </c>
      <c r="P702">
        <v>46</v>
      </c>
      <c r="Q702" s="2" t="str">
        <f>CLEAN(TRIM(Working_Sales[[#This Row],[Age]]))</f>
        <v>46</v>
      </c>
      <c r="R702" s="6">
        <f>INT(SUBSTITUTE(Working_Sales[[#This Row],[Age_Whitespace_Removed]],".",","))</f>
        <v>46</v>
      </c>
      <c r="S702" t="s">
        <v>48</v>
      </c>
      <c r="T702" s="2" t="str">
        <f>CLEAN(TRIM(Working_Sales[[#This Row],[Product Category]]))</f>
        <v>electronics</v>
      </c>
      <c r="U702" s="6" t="str">
        <f>PROPER(Working_Sales[[#This Row],[Product_Category_Whitespace_Removed]])</f>
        <v>Electronics</v>
      </c>
      <c r="V702" t="s">
        <v>29</v>
      </c>
      <c r="W702" s="2" t="str">
        <f>CLEAN(TRIM(Working_Sales[[#This Row],[Quantity]]))</f>
        <v>3</v>
      </c>
      <c r="X702" s="2">
        <f>INT(Working_Sales[[#This Row],[`]])</f>
        <v>3</v>
      </c>
      <c r="Y702" s="6">
        <f>IFERROR(
   Working_Sales[[#This Row],[Quantity_Converted_To_Integer]],
   Working_Sales[[#This Row],[Total_Amount_Whitespace_Removed]]/Working_Sales[[#This Row],[Price_Per_Unit_Decimal_Separator_Fixed]])</f>
        <v>3</v>
      </c>
      <c r="Z702" t="s">
        <v>186</v>
      </c>
      <c r="AA702" s="2" t="str">
        <f>CLEAN(TRIM(Working_Sales[[#This Row],[Price per Unit]]))</f>
        <v>$300</v>
      </c>
      <c r="AB702" s="2">
        <f>INT(
   SUBSTITUTE(Working_Sales[[#This Row],[Price_Per_Unit_Whitespace_Removed]],
   "$",
   ""
   )
)</f>
        <v>300</v>
      </c>
      <c r="AC702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702" s="8">
        <f>IFERROR(
   Working_Sales[[#This Row],[Price_Per_Unit_Decimal_Separator_Fixed]],
   Working_Sales[[#This Row],[Total_Amount_Converted_To_Integer]]/Working_Sales[[#This Row],[Quantity_Converted_To_Integer]]
)</f>
        <v>300</v>
      </c>
      <c r="AF702" s="2" t="str">
        <f>CLEAN(TRIM(Working_Sales[[#This Row],[Total Amount]]))</f>
        <v/>
      </c>
      <c r="AG702" s="2" t="e">
        <f>INT(Working_Sales[[#This Row],[Total_Amount_Whitespace_Removed]])</f>
        <v>#VALUE!</v>
      </c>
      <c r="AH70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703" spans="1:34" x14ac:dyDescent="0.35">
      <c r="A703" t="s">
        <v>1492</v>
      </c>
      <c r="B703" s="6" t="str">
        <f>CLEAN(TRIM(Working_Sales[[#This Row],[Transaction ID]]))</f>
        <v>607</v>
      </c>
      <c r="C703" t="s">
        <v>1493</v>
      </c>
      <c r="D703" s="2" t="str">
        <f>CLEAN(TRIM(Working_Sales[[#This Row],[Date]]))</f>
        <v>17/03/2023</v>
      </c>
      <c r="E70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45002</v>
      </c>
      <c r="F70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45002</v>
      </c>
      <c r="G70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45002</v>
      </c>
      <c r="H703" t="s">
        <v>2896</v>
      </c>
      <c r="I703" s="2" t="str">
        <f>CLEAN(TRIM(Working_Sales[[#This Row],[Customer ID]]))</f>
        <v>cust374</v>
      </c>
      <c r="J70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0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CUST374</v>
      </c>
      <c r="L703" t="s">
        <v>34</v>
      </c>
      <c r="M703" s="4" t="str">
        <f>CLEAN(TRIM(Working_Sales[[#This Row],[Gender]]))</f>
        <v>Male</v>
      </c>
      <c r="N703" s="4" t="str" cm="1">
        <f t="array" ref="N703">_xlfn.SWITCH(
   Working_Sales[[#This Row],[Gender_Whitespace_Removed]],
   "m", "Male",
   "f", "Female",
   Working_Sales[[#This Row],[Gender_Whitespace_Removed]]
)</f>
        <v>Male</v>
      </c>
      <c r="O703" s="6" t="str">
        <f>PROPER(Working_Sales[[#This Row],[Gender_Abbreviation_Expanded]])</f>
        <v>Male</v>
      </c>
      <c r="P703">
        <v>54</v>
      </c>
      <c r="Q703" s="2" t="str">
        <f>CLEAN(TRIM(Working_Sales[[#This Row],[Age]]))</f>
        <v>54</v>
      </c>
      <c r="R703" s="6">
        <f>INT(SUBSTITUTE(Working_Sales[[#This Row],[Age_Whitespace_Removed]],".",","))</f>
        <v>54</v>
      </c>
      <c r="S703" t="s">
        <v>56</v>
      </c>
      <c r="T703" s="2" t="str">
        <f>CLEAN(TRIM(Working_Sales[[#This Row],[Product Category]]))</f>
        <v>Clothing</v>
      </c>
      <c r="U703" s="6" t="str">
        <f>PROPER(Working_Sales[[#This Row],[Product_Category_Whitespace_Removed]])</f>
        <v>Clothing</v>
      </c>
      <c r="V703" t="s">
        <v>29</v>
      </c>
      <c r="W703" s="2" t="str">
        <f>CLEAN(TRIM(Working_Sales[[#This Row],[Quantity]]))</f>
        <v>3</v>
      </c>
      <c r="X703" s="2">
        <f>INT(Working_Sales[[#This Row],[`]])</f>
        <v>3</v>
      </c>
      <c r="Y703" s="6">
        <f>IFERROR(
   Working_Sales[[#This Row],[Quantity_Converted_To_Integer]],
   Working_Sales[[#This Row],[Total_Amount_Whitespace_Removed]]/Working_Sales[[#This Row],[Price_Per_Unit_Decimal_Separator_Fixed]])</f>
        <v>3</v>
      </c>
      <c r="Z703" t="s">
        <v>30</v>
      </c>
      <c r="AA703" s="2" t="str">
        <f>CLEAN(TRIM(Working_Sales[[#This Row],[Price per Unit]]))</f>
        <v>25</v>
      </c>
      <c r="AB703" s="2">
        <f>INT(
   SUBSTITUTE(Working_Sales[[#This Row],[Price_Per_Unit_Whitespace_Removed]],
   "$",
   ""
   )
)</f>
        <v>25</v>
      </c>
      <c r="AC703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703" s="8">
        <f>IFERROR(
   Working_Sales[[#This Row],[Price_Per_Unit_Decimal_Separator_Fixed]],
   Working_Sales[[#This Row],[Total_Amount_Converted_To_Integer]]/Working_Sales[[#This Row],[Quantity_Converted_To_Integer]]
)</f>
        <v>25</v>
      </c>
      <c r="AE703" t="s">
        <v>31</v>
      </c>
      <c r="AF703" s="2" t="str">
        <f>CLEAN(TRIM(Working_Sales[[#This Row],[Total Amount]]))</f>
        <v>75</v>
      </c>
      <c r="AG703" s="2">
        <f>INT(Working_Sales[[#This Row],[Total_Amount_Whitespace_Removed]])</f>
        <v>75</v>
      </c>
      <c r="AH70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704" spans="1:34" x14ac:dyDescent="0.35">
      <c r="A704" t="s">
        <v>1494</v>
      </c>
      <c r="B704" s="6" t="str">
        <f>CLEAN(TRIM(Working_Sales[[#This Row],[Transaction ID]]))</f>
        <v>693</v>
      </c>
      <c r="C704" t="s">
        <v>1495</v>
      </c>
      <c r="D704" s="2" t="str">
        <f>CLEAN(TRIM(Working_Sales[[#This Row],[Date]]))</f>
        <v>04/23/2023</v>
      </c>
      <c r="E704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70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45039</v>
      </c>
      <c r="G70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45039</v>
      </c>
      <c r="H704" t="s">
        <v>2897</v>
      </c>
      <c r="I704" s="2" t="str">
        <f>CLEAN(TRIM(Working_Sales[[#This Row],[Customer ID]]))</f>
        <v>CUST039</v>
      </c>
      <c r="J70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CUST039</v>
      </c>
      <c r="K70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CUST039</v>
      </c>
      <c r="L704" t="s">
        <v>11</v>
      </c>
      <c r="M704" s="4" t="str">
        <f>CLEAN(TRIM(Working_Sales[[#This Row],[Gender]]))</f>
        <v>MALE</v>
      </c>
      <c r="N704" s="4" t="str" cm="1">
        <f t="array" ref="N704">_xlfn.SWITCH(
   Working_Sales[[#This Row],[Gender_Whitespace_Removed]],
   "m", "Male",
   "f", "Female",
   Working_Sales[[#This Row],[Gender_Whitespace_Removed]]
)</f>
        <v>MALE</v>
      </c>
      <c r="O704" s="6" t="str">
        <f>PROPER(Working_Sales[[#This Row],[Gender_Abbreviation_Expanded]])</f>
        <v>Male</v>
      </c>
      <c r="P704">
        <v>41</v>
      </c>
      <c r="Q704" s="2" t="str">
        <f>CLEAN(TRIM(Working_Sales[[#This Row],[Age]]))</f>
        <v>41</v>
      </c>
      <c r="R704" s="6">
        <f>INT(SUBSTITUTE(Working_Sales[[#This Row],[Age_Whitespace_Removed]],".",","))</f>
        <v>41</v>
      </c>
      <c r="S704" t="s">
        <v>36</v>
      </c>
      <c r="T704" s="2" t="str">
        <f>CLEAN(TRIM(Working_Sales[[#This Row],[Product Category]]))</f>
        <v>Beauty</v>
      </c>
      <c r="U704" s="6" t="str">
        <f>PROPER(Working_Sales[[#This Row],[Product_Category_Whitespace_Removed]])</f>
        <v>Beauty</v>
      </c>
      <c r="V704" t="s">
        <v>29</v>
      </c>
      <c r="W704" s="2" t="str">
        <f>CLEAN(TRIM(Working_Sales[[#This Row],[Quantity]]))</f>
        <v>3</v>
      </c>
      <c r="X704" s="2">
        <f>INT(Working_Sales[[#This Row],[`]])</f>
        <v>3</v>
      </c>
      <c r="Y704" s="6">
        <f>IFERROR(
   Working_Sales[[#This Row],[Quantity_Converted_To_Integer]],
   Working_Sales[[#This Row],[Total_Amount_Whitespace_Removed]]/Working_Sales[[#This Row],[Price_Per_Unit_Decimal_Separator_Fixed]])</f>
        <v>3</v>
      </c>
      <c r="Z704" t="s">
        <v>57</v>
      </c>
      <c r="AA704" s="2" t="str">
        <f>CLEAN(TRIM(Working_Sales[[#This Row],[Price per Unit]]))</f>
        <v>500</v>
      </c>
      <c r="AB704" s="2">
        <f>INT(
   SUBSTITUTE(Working_Sales[[#This Row],[Price_Per_Unit_Whitespace_Removed]],
   "$",
   ""
   )
)</f>
        <v>500</v>
      </c>
      <c r="AC704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704" s="8">
        <f>IFERROR(
   Working_Sales[[#This Row],[Price_Per_Unit_Decimal_Separator_Fixed]],
   Working_Sales[[#This Row],[Total_Amount_Converted_To_Integer]]/Working_Sales[[#This Row],[Quantity_Converted_To_Integer]]
)</f>
        <v>500</v>
      </c>
      <c r="AE704" t="s">
        <v>85</v>
      </c>
      <c r="AF704" s="2" t="str">
        <f>CLEAN(TRIM(Working_Sales[[#This Row],[Total Amount]]))</f>
        <v>1500</v>
      </c>
      <c r="AG704" s="2">
        <f>INT(Working_Sales[[#This Row],[Total_Amount_Whitespace_Removed]])</f>
        <v>1500</v>
      </c>
      <c r="AH70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705" spans="1:34" x14ac:dyDescent="0.35">
      <c r="A705" t="s">
        <v>1496</v>
      </c>
      <c r="B705" s="6" t="str">
        <f>CLEAN(TRIM(Working_Sales[[#This Row],[Transaction ID]]))</f>
        <v>521</v>
      </c>
      <c r="C705" t="s">
        <v>1497</v>
      </c>
      <c r="D705" s="2" t="str">
        <f>CLEAN(TRIM(Working_Sales[[#This Row],[Date]]))</f>
        <v>August 12, 2023</v>
      </c>
      <c r="E705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705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70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45150</v>
      </c>
      <c r="H705" t="s">
        <v>2898</v>
      </c>
      <c r="I705" s="2" t="str">
        <f>CLEAN(TRIM(Working_Sales[[#This Row],[Customer ID]]))</f>
        <v>CUST063</v>
      </c>
      <c r="J70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CUST063</v>
      </c>
      <c r="K70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CUST063</v>
      </c>
      <c r="L705" t="s">
        <v>26</v>
      </c>
      <c r="M705" s="4" t="str">
        <f>CLEAN(TRIM(Working_Sales[[#This Row],[Gender]]))</f>
        <v>Female</v>
      </c>
      <c r="N705" s="4" t="str" cm="1">
        <f t="array" ref="N705">_xlfn.SWITCH(
   Working_Sales[[#This Row],[Gender_Whitespace_Removed]],
   "m", "Male",
   "f", "Female",
   Working_Sales[[#This Row],[Gender_Whitespace_Removed]]
)</f>
        <v>Female</v>
      </c>
      <c r="O705" s="6" t="str">
        <f>PROPER(Working_Sales[[#This Row],[Gender_Abbreviation_Expanded]])</f>
        <v>Female</v>
      </c>
      <c r="P705">
        <v>47</v>
      </c>
      <c r="Q705" s="2" t="str">
        <f>CLEAN(TRIM(Working_Sales[[#This Row],[Age]]))</f>
        <v>47</v>
      </c>
      <c r="R705" s="6">
        <f>INT(SUBSTITUTE(Working_Sales[[#This Row],[Age_Whitespace_Removed]],".",","))</f>
        <v>47</v>
      </c>
      <c r="S705" t="s">
        <v>56</v>
      </c>
      <c r="T705" s="2" t="str">
        <f>CLEAN(TRIM(Working_Sales[[#This Row],[Product Category]]))</f>
        <v>Clothing</v>
      </c>
      <c r="U705" s="6" t="str">
        <f>PROPER(Working_Sales[[#This Row],[Product_Category_Whitespace_Removed]])</f>
        <v>Clothing</v>
      </c>
      <c r="V705" t="s">
        <v>14</v>
      </c>
      <c r="W705" s="2" t="str">
        <f>CLEAN(TRIM(Working_Sales[[#This Row],[Quantity]]))</f>
        <v>4</v>
      </c>
      <c r="X705" s="2">
        <f>INT(Working_Sales[[#This Row],[`]])</f>
        <v>4</v>
      </c>
      <c r="Y705" s="6">
        <f>IFERROR(
   Working_Sales[[#This Row],[Quantity_Converted_To_Integer]],
   Working_Sales[[#This Row],[Total_Amount_Whitespace_Removed]]/Working_Sales[[#This Row],[Price_Per_Unit_Decimal_Separator_Fixed]])</f>
        <v>4</v>
      </c>
      <c r="Z705" t="s">
        <v>70</v>
      </c>
      <c r="AA705" s="2" t="str">
        <f>CLEAN(TRIM(Working_Sales[[#This Row],[Price per Unit]]))</f>
        <v>30</v>
      </c>
      <c r="AB705" s="2">
        <f>INT(
   SUBSTITUTE(Working_Sales[[#This Row],[Price_Per_Unit_Whitespace_Removed]],
   "$",
   ""
   )
)</f>
        <v>30</v>
      </c>
      <c r="AC705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705" s="8">
        <f>IFERROR(
   Working_Sales[[#This Row],[Price_Per_Unit_Decimal_Separator_Fixed]],
   Working_Sales[[#This Row],[Total_Amount_Converted_To_Integer]]/Working_Sales[[#This Row],[Quantity_Converted_To_Integer]]
)</f>
        <v>30</v>
      </c>
      <c r="AE705" t="s">
        <v>44</v>
      </c>
      <c r="AF705" s="2" t="str">
        <f>CLEAN(TRIM(Working_Sales[[#This Row],[Total Amount]]))</f>
        <v>120</v>
      </c>
      <c r="AG705" s="2">
        <f>INT(Working_Sales[[#This Row],[Total_Amount_Whitespace_Removed]])</f>
        <v>120</v>
      </c>
      <c r="AH70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706" spans="1:34" x14ac:dyDescent="0.35">
      <c r="A706" t="s">
        <v>1498</v>
      </c>
      <c r="B706" s="6" t="str">
        <f>CLEAN(TRIM(Working_Sales[[#This Row],[Transaction ID]]))</f>
        <v>381</v>
      </c>
      <c r="C706" t="s">
        <v>2097</v>
      </c>
      <c r="D706" s="2" t="str">
        <f>CLEAN(TRIM(Working_Sales[[#This Row],[Date]]))</f>
        <v>09-Jul-2023</v>
      </c>
      <c r="E70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45116</v>
      </c>
      <c r="F70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45116</v>
      </c>
      <c r="G70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45116</v>
      </c>
      <c r="H706" t="s">
        <v>2672</v>
      </c>
      <c r="I706" s="2" t="str">
        <f>CLEAN(TRIM(Working_Sales[[#This Row],[Customer ID]]))</f>
        <v>cust311</v>
      </c>
      <c r="J70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0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CUST311</v>
      </c>
      <c r="L706" t="s">
        <v>26</v>
      </c>
      <c r="M706" s="4" t="str">
        <f>CLEAN(TRIM(Working_Sales[[#This Row],[Gender]]))</f>
        <v>Female</v>
      </c>
      <c r="N706" s="4" t="str" cm="1">
        <f t="array" ref="N706">_xlfn.SWITCH(
   Working_Sales[[#This Row],[Gender_Whitespace_Removed]],
   "m", "Male",
   "f", "Female",
   Working_Sales[[#This Row],[Gender_Whitespace_Removed]]
)</f>
        <v>Female</v>
      </c>
      <c r="O706" s="6" t="str">
        <f>PROPER(Working_Sales[[#This Row],[Gender_Abbreviation_Expanded]])</f>
        <v>Female</v>
      </c>
      <c r="P706">
        <v>44</v>
      </c>
      <c r="Q706" s="2" t="str">
        <f>CLEAN(TRIM(Working_Sales[[#This Row],[Age]]))</f>
        <v>44</v>
      </c>
      <c r="R706" s="6">
        <f>INT(SUBSTITUTE(Working_Sales[[#This Row],[Age_Whitespace_Removed]],".",","))</f>
        <v>44</v>
      </c>
      <c r="S706" t="s">
        <v>56</v>
      </c>
      <c r="T706" s="2" t="str">
        <f>CLEAN(TRIM(Working_Sales[[#This Row],[Product Category]]))</f>
        <v>Clothing</v>
      </c>
      <c r="U706" s="6" t="str">
        <f>PROPER(Working_Sales[[#This Row],[Product_Category_Whitespace_Removed]])</f>
        <v>Clothing</v>
      </c>
      <c r="V706" t="s">
        <v>14</v>
      </c>
      <c r="W706" s="2" t="str">
        <f>CLEAN(TRIM(Working_Sales[[#This Row],[Quantity]]))</f>
        <v>4</v>
      </c>
      <c r="X706" s="2">
        <f>INT(Working_Sales[[#This Row],[`]])</f>
        <v>4</v>
      </c>
      <c r="Y706" s="6">
        <f>IFERROR(
   Working_Sales[[#This Row],[Quantity_Converted_To_Integer]],
   Working_Sales[[#This Row],[Total_Amount_Whitespace_Removed]]/Working_Sales[[#This Row],[Price_Per_Unit_Decimal_Separator_Fixed]])</f>
        <v>4</v>
      </c>
      <c r="Z706" t="s">
        <v>171</v>
      </c>
      <c r="AA706" s="2" t="str">
        <f>CLEAN(TRIM(Working_Sales[[#This Row],[Price per Unit]]))</f>
        <v>25</v>
      </c>
      <c r="AB706" s="2">
        <f>INT(
   SUBSTITUTE(Working_Sales[[#This Row],[Price_Per_Unit_Whitespace_Removed]],
   "$",
   ""
   )
)</f>
        <v>25</v>
      </c>
      <c r="AC706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706" s="8">
        <f>IFERROR(
   Working_Sales[[#This Row],[Price_Per_Unit_Decimal_Separator_Fixed]],
   Working_Sales[[#This Row],[Total_Amount_Converted_To_Integer]]/Working_Sales[[#This Row],[Quantity_Converted_To_Integer]]
)</f>
        <v>25</v>
      </c>
      <c r="AE706" t="s">
        <v>38</v>
      </c>
      <c r="AF706" s="2" t="str">
        <f>CLEAN(TRIM(Working_Sales[[#This Row],[Total Amount]]))</f>
        <v>100</v>
      </c>
      <c r="AG706" s="2">
        <f>INT(Working_Sales[[#This Row],[Total_Amount_Whitespace_Removed]])</f>
        <v>100</v>
      </c>
      <c r="AH70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707" spans="1:34" x14ac:dyDescent="0.35">
      <c r="A707" t="s">
        <v>1499</v>
      </c>
      <c r="B707" s="6" t="str">
        <f>CLEAN(TRIM(Working_Sales[[#This Row],[Transaction ID]]))</f>
        <v>411</v>
      </c>
      <c r="C707" t="s">
        <v>1045</v>
      </c>
      <c r="D707" s="2" t="str">
        <f>CLEAN(TRIM(Working_Sales[[#This Row],[Date]]))</f>
        <v>05/16/2023</v>
      </c>
      <c r="E707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70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45062</v>
      </c>
      <c r="G70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45062</v>
      </c>
      <c r="H707" t="s">
        <v>2899</v>
      </c>
      <c r="I707" s="2" t="str">
        <f>CLEAN(TRIM(Working_Sales[[#This Row],[Customer ID]]))</f>
        <v>CUST-429</v>
      </c>
      <c r="J70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0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CUST429</v>
      </c>
      <c r="L707" t="s">
        <v>20</v>
      </c>
      <c r="M707" s="4" t="str">
        <f>CLEAN(TRIM(Working_Sales[[#This Row],[Gender]]))</f>
        <v>male</v>
      </c>
      <c r="N707" s="4" t="str" cm="1">
        <f t="array" ref="N707">_xlfn.SWITCH(
   Working_Sales[[#This Row],[Gender_Whitespace_Removed]],
   "m", "Male",
   "f", "Female",
   Working_Sales[[#This Row],[Gender_Whitespace_Removed]]
)</f>
        <v>male</v>
      </c>
      <c r="O707" s="6" t="str">
        <f>PROPER(Working_Sales[[#This Row],[Gender_Abbreviation_Expanded]])</f>
        <v>Male</v>
      </c>
      <c r="P707">
        <v>62</v>
      </c>
      <c r="Q707" s="2" t="str">
        <f>CLEAN(TRIM(Working_Sales[[#This Row],[Age]]))</f>
        <v>62</v>
      </c>
      <c r="R707" s="6">
        <f>INT(SUBSTITUTE(Working_Sales[[#This Row],[Age_Whitespace_Removed]],".",","))</f>
        <v>62</v>
      </c>
      <c r="S707" t="s">
        <v>13</v>
      </c>
      <c r="T707" s="2" t="str">
        <f>CLEAN(TRIM(Working_Sales[[#This Row],[Product Category]]))</f>
        <v>Electronics</v>
      </c>
      <c r="U707" s="6" t="str">
        <f>PROPER(Working_Sales[[#This Row],[Product_Category_Whitespace_Removed]])</f>
        <v>Electronics</v>
      </c>
      <c r="V707" t="s">
        <v>14</v>
      </c>
      <c r="W707" s="2" t="str">
        <f>CLEAN(TRIM(Working_Sales[[#This Row],[Quantity]]))</f>
        <v>4</v>
      </c>
      <c r="X707" s="2">
        <f>INT(Working_Sales[[#This Row],[`]])</f>
        <v>4</v>
      </c>
      <c r="Y707" s="6">
        <f>IFERROR(
   Working_Sales[[#This Row],[Quantity_Converted_To_Integer]],
   Working_Sales[[#This Row],[Total_Amount_Whitespace_Removed]]/Working_Sales[[#This Row],[Price_Per_Unit_Decimal_Separator_Fixed]])</f>
        <v>4</v>
      </c>
      <c r="Z707" t="s">
        <v>15</v>
      </c>
      <c r="AA707" s="2" t="str">
        <f>CLEAN(TRIM(Working_Sales[[#This Row],[Price per Unit]]))</f>
        <v>50</v>
      </c>
      <c r="AB707" s="2">
        <f>INT(
   SUBSTITUTE(Working_Sales[[#This Row],[Price_Per_Unit_Whitespace_Removed]],
   "$",
   ""
   )
)</f>
        <v>50</v>
      </c>
      <c r="AC707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707" s="8">
        <f>IFERROR(
   Working_Sales[[#This Row],[Price_Per_Unit_Decimal_Separator_Fixed]],
   Working_Sales[[#This Row],[Total_Amount_Converted_To_Integer]]/Working_Sales[[#This Row],[Quantity_Converted_To_Integer]]
)</f>
        <v>50</v>
      </c>
      <c r="AE707" t="s">
        <v>16</v>
      </c>
      <c r="AF707" s="2" t="str">
        <f>CLEAN(TRIM(Working_Sales[[#This Row],[Total Amount]]))</f>
        <v>200</v>
      </c>
      <c r="AG707" s="2">
        <f>INT(Working_Sales[[#This Row],[Total_Amount_Whitespace_Removed]])</f>
        <v>200</v>
      </c>
      <c r="AH70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708" spans="1:34" x14ac:dyDescent="0.35">
      <c r="A708" t="s">
        <v>1501</v>
      </c>
      <c r="B708" s="6" t="str">
        <f>CLEAN(TRIM(Working_Sales[[#This Row],[Transaction ID]]))</f>
        <v>635</v>
      </c>
      <c r="C708" t="s">
        <v>1502</v>
      </c>
      <c r="D708" s="2" t="str">
        <f>CLEAN(TRIM(Working_Sales[[#This Row],[Date]]))</f>
        <v>2023-08-17</v>
      </c>
      <c r="E70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45155</v>
      </c>
      <c r="F70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45155</v>
      </c>
      <c r="G70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45155</v>
      </c>
      <c r="H708" t="s">
        <v>2900</v>
      </c>
      <c r="I708" s="2" t="str">
        <f>CLEAN(TRIM(Working_Sales[[#This Row],[Customer ID]]))</f>
        <v>cust292</v>
      </c>
      <c r="J70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0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CUST292</v>
      </c>
      <c r="L708" t="s">
        <v>26</v>
      </c>
      <c r="M708" s="4" t="str">
        <f>CLEAN(TRIM(Working_Sales[[#This Row],[Gender]]))</f>
        <v>Female</v>
      </c>
      <c r="N708" s="4" t="str" cm="1">
        <f t="array" ref="N708">_xlfn.SWITCH(
   Working_Sales[[#This Row],[Gender_Whitespace_Removed]],
   "m", "Male",
   "f", "Female",
   Working_Sales[[#This Row],[Gender_Whitespace_Removed]]
)</f>
        <v>Female</v>
      </c>
      <c r="O708" s="6" t="str">
        <f>PROPER(Working_Sales[[#This Row],[Gender_Abbreviation_Expanded]])</f>
        <v>Female</v>
      </c>
      <c r="P708" t="s">
        <v>845</v>
      </c>
      <c r="Q708" s="2" t="str">
        <f>CLEAN(TRIM(Working_Sales[[#This Row],[Age]]))</f>
        <v>63.0</v>
      </c>
      <c r="R708" s="6">
        <f>INT(SUBSTITUTE(Working_Sales[[#This Row],[Age_Whitespace_Removed]],".",","))</f>
        <v>63</v>
      </c>
      <c r="S708" t="s">
        <v>13</v>
      </c>
      <c r="T708" s="2" t="str">
        <f>CLEAN(TRIM(Working_Sales[[#This Row],[Product Category]]))</f>
        <v>Electronics</v>
      </c>
      <c r="U708" s="6" t="str">
        <f>PROPER(Working_Sales[[#This Row],[Product_Category_Whitespace_Removed]])</f>
        <v>Electronics</v>
      </c>
      <c r="V708" t="s">
        <v>29</v>
      </c>
      <c r="W708" s="2" t="str">
        <f>CLEAN(TRIM(Working_Sales[[#This Row],[Quantity]]))</f>
        <v>3</v>
      </c>
      <c r="X708" s="2">
        <f>INT(Working_Sales[[#This Row],[`]])</f>
        <v>3</v>
      </c>
      <c r="Y708" s="6">
        <f>IFERROR(
   Working_Sales[[#This Row],[Quantity_Converted_To_Integer]],
   Working_Sales[[#This Row],[Total_Amount_Whitespace_Removed]]/Working_Sales[[#This Row],[Price_Per_Unit_Decimal_Separator_Fixed]])</f>
        <v>3</v>
      </c>
      <c r="Z708" t="s">
        <v>186</v>
      </c>
      <c r="AA708" s="2" t="str">
        <f>CLEAN(TRIM(Working_Sales[[#This Row],[Price per Unit]]))</f>
        <v>$300</v>
      </c>
      <c r="AB708" s="2">
        <f>INT(
   SUBSTITUTE(Working_Sales[[#This Row],[Price_Per_Unit_Whitespace_Removed]],
   "$",
   ""
   )
)</f>
        <v>300</v>
      </c>
      <c r="AC708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708" s="8">
        <f>IFERROR(
   Working_Sales[[#This Row],[Price_Per_Unit_Decimal_Separator_Fixed]],
   Working_Sales[[#This Row],[Total_Amount_Converted_To_Integer]]/Working_Sales[[#This Row],[Quantity_Converted_To_Integer]]
)</f>
        <v>300</v>
      </c>
      <c r="AE708" t="s">
        <v>128</v>
      </c>
      <c r="AF708" s="2" t="str">
        <f>CLEAN(TRIM(Working_Sales[[#This Row],[Total Amount]]))</f>
        <v>900</v>
      </c>
      <c r="AG708" s="2">
        <f>INT(Working_Sales[[#This Row],[Total_Amount_Whitespace_Removed]])</f>
        <v>900</v>
      </c>
      <c r="AH70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709" spans="1:34" x14ac:dyDescent="0.35">
      <c r="A709" t="s">
        <v>1503</v>
      </c>
      <c r="B709" s="6" t="str">
        <f>CLEAN(TRIM(Working_Sales[[#This Row],[Transaction ID]]))</f>
        <v>370</v>
      </c>
      <c r="C709" t="s">
        <v>861</v>
      </c>
      <c r="D709" s="2" t="str">
        <f>CLEAN(TRIM(Working_Sales[[#This Row],[Date]]))</f>
        <v>16-Oct-2023</v>
      </c>
      <c r="E70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45215</v>
      </c>
      <c r="F70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45215</v>
      </c>
      <c r="G70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45215</v>
      </c>
      <c r="H709" t="s">
        <v>2554</v>
      </c>
      <c r="I709" s="2" t="str">
        <f>CLEAN(TRIM(Working_Sales[[#This Row],[Customer ID]]))</f>
        <v>Cust226</v>
      </c>
      <c r="J70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0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CUST226</v>
      </c>
      <c r="L709" t="s">
        <v>20</v>
      </c>
      <c r="M709" s="4" t="str">
        <f>CLEAN(TRIM(Working_Sales[[#This Row],[Gender]]))</f>
        <v>male</v>
      </c>
      <c r="N709" s="4" t="str" cm="1">
        <f t="array" ref="N709">_xlfn.SWITCH(
   Working_Sales[[#This Row],[Gender_Whitespace_Removed]],
   "m", "Male",
   "f", "Female",
   Working_Sales[[#This Row],[Gender_Whitespace_Removed]]
)</f>
        <v>male</v>
      </c>
      <c r="O709" s="6" t="str">
        <f>PROPER(Working_Sales[[#This Row],[Gender_Abbreviation_Expanded]])</f>
        <v>Male</v>
      </c>
      <c r="P709">
        <v>23</v>
      </c>
      <c r="Q709" s="2" t="str">
        <f>CLEAN(TRIM(Working_Sales[[#This Row],[Age]]))</f>
        <v>23</v>
      </c>
      <c r="R709" s="6">
        <f>INT(SUBSTITUTE(Working_Sales[[#This Row],[Age_Whitespace_Removed]],".",","))</f>
        <v>23</v>
      </c>
      <c r="S709" t="s">
        <v>13</v>
      </c>
      <c r="T709" s="2" t="str">
        <f>CLEAN(TRIM(Working_Sales[[#This Row],[Product Category]]))</f>
        <v>Electronics</v>
      </c>
      <c r="U709" s="6" t="str">
        <f>PROPER(Working_Sales[[#This Row],[Product_Category_Whitespace_Removed]])</f>
        <v>Electronics</v>
      </c>
      <c r="V709" t="s">
        <v>37</v>
      </c>
      <c r="W709" s="2" t="str">
        <f>CLEAN(TRIM(Working_Sales[[#This Row],[Quantity]]))</f>
        <v>2</v>
      </c>
      <c r="X709" s="2">
        <f>INT(Working_Sales[[#This Row],[`]])</f>
        <v>2</v>
      </c>
      <c r="Y709" s="6">
        <f>IFERROR(
   Working_Sales[[#This Row],[Quantity_Converted_To_Integer]],
   Working_Sales[[#This Row],[Total_Amount_Whitespace_Removed]]/Working_Sales[[#This Row],[Price_Per_Unit_Decimal_Separator_Fixed]])</f>
        <v>2</v>
      </c>
      <c r="Z709" t="s">
        <v>70</v>
      </c>
      <c r="AA709" s="2" t="str">
        <f>CLEAN(TRIM(Working_Sales[[#This Row],[Price per Unit]]))</f>
        <v>30</v>
      </c>
      <c r="AB709" s="2">
        <f>INT(
   SUBSTITUTE(Working_Sales[[#This Row],[Price_Per_Unit_Whitespace_Removed]],
   "$",
   ""
   )
)</f>
        <v>30</v>
      </c>
      <c r="AC709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709" s="8">
        <f>IFERROR(
   Working_Sales[[#This Row],[Price_Per_Unit_Decimal_Separator_Fixed]],
   Working_Sales[[#This Row],[Total_Amount_Converted_To_Integer]]/Working_Sales[[#This Row],[Quantity_Converted_To_Integer]]
)</f>
        <v>30</v>
      </c>
      <c r="AE709" t="s">
        <v>71</v>
      </c>
      <c r="AF709" s="2" t="str">
        <f>CLEAN(TRIM(Working_Sales[[#This Row],[Total Amount]]))</f>
        <v>60</v>
      </c>
      <c r="AG709" s="2">
        <f>INT(Working_Sales[[#This Row],[Total_Amount_Whitespace_Removed]])</f>
        <v>60</v>
      </c>
      <c r="AH70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710" spans="1:34" x14ac:dyDescent="0.35">
      <c r="A710" t="s">
        <v>1505</v>
      </c>
      <c r="B710" s="6" t="str">
        <f>CLEAN(TRIM(Working_Sales[[#This Row],[Transaction ID]]))</f>
        <v>901</v>
      </c>
      <c r="C710" t="s">
        <v>1506</v>
      </c>
      <c r="D710" s="2" t="str">
        <f>CLEAN(TRIM(Working_Sales[[#This Row],[Date]]))</f>
        <v>April 10, 2023</v>
      </c>
      <c r="E710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710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71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45026</v>
      </c>
      <c r="H710" t="s">
        <v>2901</v>
      </c>
      <c r="I710" s="2" t="str">
        <f>CLEAN(TRIM(Working_Sales[[#This Row],[Customer ID]]))</f>
        <v>CUST119</v>
      </c>
      <c r="J71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1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CUST119</v>
      </c>
      <c r="L710" t="s">
        <v>34</v>
      </c>
      <c r="M710" s="4" t="str">
        <f>CLEAN(TRIM(Working_Sales[[#This Row],[Gender]]))</f>
        <v>Male</v>
      </c>
      <c r="N710" s="4" t="str" cm="1">
        <f t="array" ref="N710">_xlfn.SWITCH(
   Working_Sales[[#This Row],[Gender_Whitespace_Removed]],
   "m", "Male",
   "f", "Female",
   Working_Sales[[#This Row],[Gender_Whitespace_Removed]]
)</f>
        <v>Male</v>
      </c>
      <c r="O710" s="6" t="str">
        <f>PROPER(Working_Sales[[#This Row],[Gender_Abbreviation_Expanded]])</f>
        <v>Male</v>
      </c>
      <c r="P710">
        <v>31</v>
      </c>
      <c r="Q710" s="2" t="str">
        <f>CLEAN(TRIM(Working_Sales[[#This Row],[Age]]))</f>
        <v>31</v>
      </c>
      <c r="R710" s="6">
        <f>INT(SUBSTITUTE(Working_Sales[[#This Row],[Age_Whitespace_Removed]],".",","))</f>
        <v>31</v>
      </c>
      <c r="S710" t="s">
        <v>13</v>
      </c>
      <c r="T710" s="2" t="str">
        <f>CLEAN(TRIM(Working_Sales[[#This Row],[Product Category]]))</f>
        <v>Electronics</v>
      </c>
      <c r="U710" s="6" t="str">
        <f>PROPER(Working_Sales[[#This Row],[Product_Category_Whitespace_Removed]])</f>
        <v>Electronics</v>
      </c>
      <c r="V710" t="s">
        <v>22</v>
      </c>
      <c r="W710" s="2" t="str">
        <f>CLEAN(TRIM(Working_Sales[[#This Row],[Quantity]]))</f>
        <v>1</v>
      </c>
      <c r="X710" s="2">
        <f>INT(Working_Sales[[#This Row],[`]])</f>
        <v>1</v>
      </c>
      <c r="Y710" s="6">
        <f>IFERROR(
   Working_Sales[[#This Row],[Quantity_Converted_To_Integer]],
   Working_Sales[[#This Row],[Total_Amount_Whitespace_Removed]]/Working_Sales[[#This Row],[Price_Per_Unit_Decimal_Separator_Fixed]])</f>
        <v>1</v>
      </c>
      <c r="Z710" t="s">
        <v>43</v>
      </c>
      <c r="AA710" s="2" t="str">
        <f>CLEAN(TRIM(Working_Sales[[#This Row],[Price per Unit]]))</f>
        <v>30.00</v>
      </c>
      <c r="AB710" s="2" t="e">
        <f>INT(
   SUBSTITUTE(Working_Sales[[#This Row],[Price_Per_Unit_Whitespace_Removed]],
   "$",
   ""
   )
)</f>
        <v>#VALUE!</v>
      </c>
      <c r="AC710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710" s="8">
        <f>IFERROR(
   Working_Sales[[#This Row],[Price_Per_Unit_Decimal_Separator_Fixed]],
   Working_Sales[[#This Row],[Total_Amount_Converted_To_Integer]]/Working_Sales[[#This Row],[Quantity_Converted_To_Integer]]
)</f>
        <v>30</v>
      </c>
      <c r="AE710" t="s">
        <v>70</v>
      </c>
      <c r="AF710" s="2" t="str">
        <f>CLEAN(TRIM(Working_Sales[[#This Row],[Total Amount]]))</f>
        <v>30</v>
      </c>
      <c r="AG710" s="2">
        <f>INT(Working_Sales[[#This Row],[Total_Amount_Whitespace_Removed]])</f>
        <v>30</v>
      </c>
      <c r="AH71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711" spans="1:34" x14ac:dyDescent="0.35">
      <c r="A711" t="s">
        <v>1507</v>
      </c>
      <c r="B711" s="6" t="str">
        <f>CLEAN(TRIM(Working_Sales[[#This Row],[Transaction ID]]))</f>
        <v>780</v>
      </c>
      <c r="C711" t="s">
        <v>237</v>
      </c>
      <c r="D711" s="2" t="str">
        <f>CLEAN(TRIM(Working_Sales[[#This Row],[Date]]))</f>
        <v>2023-02-22</v>
      </c>
      <c r="E71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44979</v>
      </c>
      <c r="F71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44979</v>
      </c>
      <c r="G71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44979</v>
      </c>
      <c r="H711" t="s">
        <v>2903</v>
      </c>
      <c r="I711" s="2" t="str">
        <f>CLEAN(TRIM(Working_Sales[[#This Row],[Customer ID]]))</f>
        <v>CUST066</v>
      </c>
      <c r="J71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CUST066</v>
      </c>
      <c r="K71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CUST066</v>
      </c>
      <c r="L711" t="s">
        <v>34</v>
      </c>
      <c r="M711" s="4" t="str">
        <f>CLEAN(TRIM(Working_Sales[[#This Row],[Gender]]))</f>
        <v>Male</v>
      </c>
      <c r="N711" s="4" t="str" cm="1">
        <f t="array" ref="N711">_xlfn.SWITCH(
   Working_Sales[[#This Row],[Gender_Whitespace_Removed]],
   "m", "Male",
   "f", "Female",
   Working_Sales[[#This Row],[Gender_Whitespace_Removed]]
)</f>
        <v>Male</v>
      </c>
      <c r="O711" s="6" t="str">
        <f>PROPER(Working_Sales[[#This Row],[Gender_Abbreviation_Expanded]])</f>
        <v>Male</v>
      </c>
      <c r="P711">
        <v>52</v>
      </c>
      <c r="Q711" s="2" t="str">
        <f>CLEAN(TRIM(Working_Sales[[#This Row],[Age]]))</f>
        <v>52</v>
      </c>
      <c r="R711" s="6">
        <f>INT(SUBSTITUTE(Working_Sales[[#This Row],[Age_Whitespace_Removed]],".",","))</f>
        <v>52</v>
      </c>
      <c r="S711" t="s">
        <v>13</v>
      </c>
      <c r="T711" s="2" t="str">
        <f>CLEAN(TRIM(Working_Sales[[#This Row],[Product Category]]))</f>
        <v>Electronics</v>
      </c>
      <c r="U711" s="6" t="str">
        <f>PROPER(Working_Sales[[#This Row],[Product_Category_Whitespace_Removed]])</f>
        <v>Electronics</v>
      </c>
      <c r="V711" t="s">
        <v>37</v>
      </c>
      <c r="W711" s="2" t="str">
        <f>CLEAN(TRIM(Working_Sales[[#This Row],[Quantity]]))</f>
        <v>2</v>
      </c>
      <c r="X711" s="2">
        <f>INT(Working_Sales[[#This Row],[`]])</f>
        <v>2</v>
      </c>
      <c r="Y711" s="6">
        <f>IFERROR(
   Working_Sales[[#This Row],[Quantity_Converted_To_Integer]],
   Working_Sales[[#This Row],[Total_Amount_Whitespace_Removed]]/Working_Sales[[#This Row],[Price_Per_Unit_Decimal_Separator_Fixed]])</f>
        <v>2</v>
      </c>
      <c r="Z711" t="s">
        <v>171</v>
      </c>
      <c r="AA711" s="2" t="str">
        <f>CLEAN(TRIM(Working_Sales[[#This Row],[Price per Unit]]))</f>
        <v>25</v>
      </c>
      <c r="AB711" s="2">
        <f>INT(
   SUBSTITUTE(Working_Sales[[#This Row],[Price_Per_Unit_Whitespace_Removed]],
   "$",
   ""
   )
)</f>
        <v>25</v>
      </c>
      <c r="AC711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711" s="8">
        <f>IFERROR(
   Working_Sales[[#This Row],[Price_Per_Unit_Decimal_Separator_Fixed]],
   Working_Sales[[#This Row],[Total_Amount_Converted_To_Integer]]/Working_Sales[[#This Row],[Quantity_Converted_To_Integer]]
)</f>
        <v>25</v>
      </c>
      <c r="AE711" t="s">
        <v>15</v>
      </c>
      <c r="AF711" s="2" t="str">
        <f>CLEAN(TRIM(Working_Sales[[#This Row],[Total Amount]]))</f>
        <v>50</v>
      </c>
      <c r="AG711" s="2">
        <f>INT(Working_Sales[[#This Row],[Total_Amount_Whitespace_Removed]])</f>
        <v>50</v>
      </c>
      <c r="AH71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712" spans="1:34" x14ac:dyDescent="0.35">
      <c r="A712" t="s">
        <v>1508</v>
      </c>
      <c r="B712" s="6" t="str">
        <f>CLEAN(TRIM(Working_Sales[[#This Row],[Transaction ID]]))</f>
        <v>79</v>
      </c>
      <c r="C712" t="s">
        <v>1400</v>
      </c>
      <c r="D712" s="2" t="str">
        <f>CLEAN(TRIM(Working_Sales[[#This Row],[Date]]))</f>
        <v>2023-04-18</v>
      </c>
      <c r="E71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45034</v>
      </c>
      <c r="F71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45034</v>
      </c>
      <c r="G71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45034</v>
      </c>
      <c r="H712" t="s">
        <v>2904</v>
      </c>
      <c r="I712" s="2" t="str">
        <f>CLEAN(TRIM(Working_Sales[[#This Row],[Customer ID]]))</f>
        <v>CUST431</v>
      </c>
      <c r="J71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CUST431</v>
      </c>
      <c r="K71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CUST431</v>
      </c>
      <c r="L712" t="s">
        <v>268</v>
      </c>
      <c r="M712" s="4" t="str">
        <f>CLEAN(TRIM(Working_Sales[[#This Row],[Gender]]))</f>
        <v>M</v>
      </c>
      <c r="N712" s="4" t="str" cm="1">
        <f t="array" ref="N712">_xlfn.SWITCH(
   Working_Sales[[#This Row],[Gender_Whitespace_Removed]],
   "m", "Male",
   "f", "Female",
   Working_Sales[[#This Row],[Gender_Whitespace_Removed]]
)</f>
        <v>Male</v>
      </c>
      <c r="O712" s="6" t="str">
        <f>PROPER(Working_Sales[[#This Row],[Gender_Abbreviation_Expanded]])</f>
        <v>Male</v>
      </c>
      <c r="P712">
        <v>34</v>
      </c>
      <c r="Q712" s="2" t="str">
        <f>CLEAN(TRIM(Working_Sales[[#This Row],[Age]]))</f>
        <v>34</v>
      </c>
      <c r="R712" s="6">
        <f>INT(SUBSTITUTE(Working_Sales[[#This Row],[Age_Whitespace_Removed]],".",","))</f>
        <v>34</v>
      </c>
      <c r="S712" t="s">
        <v>69</v>
      </c>
      <c r="T712" s="2" t="str">
        <f>CLEAN(TRIM(Working_Sales[[#This Row],[Product Category]]))</f>
        <v>BEAUTY</v>
      </c>
      <c r="U712" s="6" t="str">
        <f>PROPER(Working_Sales[[#This Row],[Product_Category_Whitespace_Removed]])</f>
        <v>Beauty</v>
      </c>
      <c r="V712" t="s">
        <v>22</v>
      </c>
      <c r="W712" s="2" t="str">
        <f>CLEAN(TRIM(Working_Sales[[#This Row],[Quantity]]))</f>
        <v>1</v>
      </c>
      <c r="X712" s="2">
        <f>INT(Working_Sales[[#This Row],[`]])</f>
        <v>1</v>
      </c>
      <c r="Y712" s="6">
        <f>IFERROR(
   Working_Sales[[#This Row],[Quantity_Converted_To_Integer]],
   Working_Sales[[#This Row],[Total_Amount_Whitespace_Removed]]/Working_Sales[[#This Row],[Price_Per_Unit_Decimal_Separator_Fixed]])</f>
        <v>1</v>
      </c>
      <c r="Z712" t="s">
        <v>23</v>
      </c>
      <c r="AA712" s="2" t="str">
        <f>CLEAN(TRIM(Working_Sales[[#This Row],[Price per Unit]]))</f>
        <v>300</v>
      </c>
      <c r="AB712" s="2">
        <f>INT(
   SUBSTITUTE(Working_Sales[[#This Row],[Price_Per_Unit_Whitespace_Removed]],
   "$",
   ""
   )
)</f>
        <v>300</v>
      </c>
      <c r="AC712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712" s="8">
        <f>IFERROR(
   Working_Sales[[#This Row],[Price_Per_Unit_Decimal_Separator_Fixed]],
   Working_Sales[[#This Row],[Total_Amount_Converted_To_Integer]]/Working_Sales[[#This Row],[Quantity_Converted_To_Integer]]
)</f>
        <v>300</v>
      </c>
      <c r="AE712" t="s">
        <v>23</v>
      </c>
      <c r="AF712" s="2" t="str">
        <f>CLEAN(TRIM(Working_Sales[[#This Row],[Total Amount]]))</f>
        <v>300</v>
      </c>
      <c r="AG712" s="2">
        <f>INT(Working_Sales[[#This Row],[Total_Amount_Whitespace_Removed]])</f>
        <v>300</v>
      </c>
      <c r="AH71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713" spans="1:34" x14ac:dyDescent="0.35">
      <c r="A713" t="s">
        <v>1509</v>
      </c>
      <c r="B713" s="6" t="str">
        <f>CLEAN(TRIM(Working_Sales[[#This Row],[Transaction ID]]))</f>
        <v>574</v>
      </c>
      <c r="C713" t="s">
        <v>1510</v>
      </c>
      <c r="D713" s="2" t="str">
        <f>CLEAN(TRIM(Working_Sales[[#This Row],[Date]]))</f>
        <v>August 31, 2023</v>
      </c>
      <c r="E713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713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71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45169</v>
      </c>
      <c r="H713" t="s">
        <v>2905</v>
      </c>
      <c r="I713" s="2" t="str">
        <f>CLEAN(TRIM(Working_Sales[[#This Row],[Customer ID]]))</f>
        <v>cust432</v>
      </c>
      <c r="J71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1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CUST432</v>
      </c>
      <c r="L713" t="s">
        <v>26</v>
      </c>
      <c r="M713" s="4" t="str">
        <f>CLEAN(TRIM(Working_Sales[[#This Row],[Gender]]))</f>
        <v>Female</v>
      </c>
      <c r="N713" s="4" t="str" cm="1">
        <f t="array" ref="N713">_xlfn.SWITCH(
   Working_Sales[[#This Row],[Gender_Whitespace_Removed]],
   "m", "Male",
   "f", "Female",
   Working_Sales[[#This Row],[Gender_Whitespace_Removed]]
)</f>
        <v>Female</v>
      </c>
      <c r="O713" s="6" t="str">
        <f>PROPER(Working_Sales[[#This Row],[Gender_Abbreviation_Expanded]])</f>
        <v>Female</v>
      </c>
      <c r="P713">
        <v>63</v>
      </c>
      <c r="Q713" s="2" t="str">
        <f>CLEAN(TRIM(Working_Sales[[#This Row],[Age]]))</f>
        <v>63</v>
      </c>
      <c r="R713" s="6">
        <f>INT(SUBSTITUTE(Working_Sales[[#This Row],[Age_Whitespace_Removed]],".",","))</f>
        <v>63</v>
      </c>
      <c r="S713" t="s">
        <v>13</v>
      </c>
      <c r="T713" s="2" t="str">
        <f>CLEAN(TRIM(Working_Sales[[#This Row],[Product Category]]))</f>
        <v>Electronics</v>
      </c>
      <c r="U713" s="6" t="str">
        <f>PROPER(Working_Sales[[#This Row],[Product_Category_Whitespace_Removed]])</f>
        <v>Electronics</v>
      </c>
      <c r="W713" s="2" t="str">
        <f>CLEAN(TRIM(Working_Sales[[#This Row],[Quantity]]))</f>
        <v/>
      </c>
      <c r="X713" s="2" t="e">
        <f>INT(Working_Sales[[#This Row],[`]])</f>
        <v>#VALUE!</v>
      </c>
      <c r="Y713" s="6">
        <f>IFERROR(
   Working_Sales[[#This Row],[Quantity_Converted_To_Integer]],
   Working_Sales[[#This Row],[Total_Amount_Whitespace_Removed]]/Working_Sales[[#This Row],[Price_Per_Unit_Decimal_Separator_Fixed]])</f>
        <v>2</v>
      </c>
      <c r="Z713" t="s">
        <v>30</v>
      </c>
      <c r="AA713" s="2" t="str">
        <f>CLEAN(TRIM(Working_Sales[[#This Row],[Price per Unit]]))</f>
        <v>25</v>
      </c>
      <c r="AB713" s="2">
        <f>INT(
   SUBSTITUTE(Working_Sales[[#This Row],[Price_Per_Unit_Whitespace_Removed]],
   "$",
   ""
   )
)</f>
        <v>25</v>
      </c>
      <c r="AC713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713" s="8">
        <f>IFERROR(
   Working_Sales[[#This Row],[Price_Per_Unit_Decimal_Separator_Fixed]],
   Working_Sales[[#This Row],[Total_Amount_Converted_To_Integer]]/Working_Sales[[#This Row],[Quantity_Converted_To_Integer]]
)</f>
        <v>25</v>
      </c>
      <c r="AE713" t="s">
        <v>15</v>
      </c>
      <c r="AF713" s="2" t="str">
        <f>CLEAN(TRIM(Working_Sales[[#This Row],[Total Amount]]))</f>
        <v>50</v>
      </c>
      <c r="AG713" s="2">
        <f>INT(Working_Sales[[#This Row],[Total_Amount_Whitespace_Removed]])</f>
        <v>50</v>
      </c>
      <c r="AH71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714" spans="1:34" x14ac:dyDescent="0.35">
      <c r="A714" t="s">
        <v>1511</v>
      </c>
      <c r="B714" s="6" t="str">
        <f>CLEAN(TRIM(Working_Sales[[#This Row],[Transaction ID]]))</f>
        <v>638</v>
      </c>
      <c r="C714" t="s">
        <v>1043</v>
      </c>
      <c r="D714" s="2" t="str">
        <f>CLEAN(TRIM(Working_Sales[[#This Row],[Date]]))</f>
        <v>2023-08-19</v>
      </c>
      <c r="E71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45157</v>
      </c>
      <c r="F71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45157</v>
      </c>
      <c r="G71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45157</v>
      </c>
      <c r="H714" t="s">
        <v>2906</v>
      </c>
      <c r="I714" s="2" t="str">
        <f>CLEAN(TRIM(Working_Sales[[#This Row],[Customer ID]]))</f>
        <v>CUST095</v>
      </c>
      <c r="J71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1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CUST095</v>
      </c>
      <c r="L714" t="s">
        <v>11</v>
      </c>
      <c r="M714" s="4" t="str">
        <f>CLEAN(TRIM(Working_Sales[[#This Row],[Gender]]))</f>
        <v>MALE</v>
      </c>
      <c r="N714" s="4" t="str" cm="1">
        <f t="array" ref="N714">_xlfn.SWITCH(
   Working_Sales[[#This Row],[Gender_Whitespace_Removed]],
   "m", "Male",
   "f", "Female",
   Working_Sales[[#This Row],[Gender_Whitespace_Removed]]
)</f>
        <v>MALE</v>
      </c>
      <c r="O714" s="6" t="str">
        <f>PROPER(Working_Sales[[#This Row],[Gender_Abbreviation_Expanded]])</f>
        <v>Male</v>
      </c>
      <c r="P714">
        <v>46</v>
      </c>
      <c r="Q714" s="2" t="str">
        <f>CLEAN(TRIM(Working_Sales[[#This Row],[Age]]))</f>
        <v>46</v>
      </c>
      <c r="R714" s="6">
        <f>INT(SUBSTITUTE(Working_Sales[[#This Row],[Age_Whitespace_Removed]],".",","))</f>
        <v>46</v>
      </c>
      <c r="S714" t="s">
        <v>109</v>
      </c>
      <c r="T714" s="2" t="str">
        <f>CLEAN(TRIM(Working_Sales[[#This Row],[Product Category]]))</f>
        <v>Electronics</v>
      </c>
      <c r="U714" s="6" t="str">
        <f>PROPER(Working_Sales[[#This Row],[Product_Category_Whitespace_Removed]])</f>
        <v>Electronics</v>
      </c>
      <c r="V714" t="s">
        <v>22</v>
      </c>
      <c r="W714" s="2" t="str">
        <f>CLEAN(TRIM(Working_Sales[[#This Row],[Quantity]]))</f>
        <v>1</v>
      </c>
      <c r="X714" s="2">
        <f>INT(Working_Sales[[#This Row],[`]])</f>
        <v>1</v>
      </c>
      <c r="Y714" s="6">
        <f>IFERROR(
   Working_Sales[[#This Row],[Quantity_Converted_To_Integer]],
   Working_Sales[[#This Row],[Total_Amount_Whitespace_Removed]]/Working_Sales[[#This Row],[Price_Per_Unit_Decimal_Separator_Fixed]])</f>
        <v>1</v>
      </c>
      <c r="Z714" t="s">
        <v>84</v>
      </c>
      <c r="AA714" s="2" t="str">
        <f>CLEAN(TRIM(Working_Sales[[#This Row],[Price per Unit]]))</f>
        <v>500.00</v>
      </c>
      <c r="AB714" s="2" t="e">
        <f>INT(
   SUBSTITUTE(Working_Sales[[#This Row],[Price_Per_Unit_Whitespace_Removed]],
   "$",
   ""
   )
)</f>
        <v>#VALUE!</v>
      </c>
      <c r="AC714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714" s="8">
        <f>IFERROR(
   Working_Sales[[#This Row],[Price_Per_Unit_Decimal_Separator_Fixed]],
   Working_Sales[[#This Row],[Total_Amount_Converted_To_Integer]]/Working_Sales[[#This Row],[Quantity_Converted_To_Integer]]
)</f>
        <v>500</v>
      </c>
      <c r="AE714" t="s">
        <v>57</v>
      </c>
      <c r="AF714" s="2" t="str">
        <f>CLEAN(TRIM(Working_Sales[[#This Row],[Total Amount]]))</f>
        <v>500</v>
      </c>
      <c r="AG714" s="2">
        <f>INT(Working_Sales[[#This Row],[Total_Amount_Whitespace_Removed]])</f>
        <v>500</v>
      </c>
      <c r="AH71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715" spans="1:34" x14ac:dyDescent="0.35">
      <c r="A715" t="s">
        <v>1512</v>
      </c>
      <c r="B715" s="6" t="str">
        <f>CLEAN(TRIM(Working_Sales[[#This Row],[Transaction ID]]))</f>
        <v>608</v>
      </c>
      <c r="C715" t="s">
        <v>2042</v>
      </c>
      <c r="D715" s="2" t="str">
        <f>CLEAN(TRIM(Working_Sales[[#This Row],[Date]]))</f>
        <v>December 02, 2023</v>
      </c>
      <c r="E715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715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71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45262</v>
      </c>
      <c r="H715" t="s">
        <v>2907</v>
      </c>
      <c r="I715" s="2" t="str">
        <f>CLEAN(TRIM(Working_Sales[[#This Row],[Customer ID]]))</f>
        <v>CUST-221</v>
      </c>
      <c r="J71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1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CUST221</v>
      </c>
      <c r="L715" t="s">
        <v>26</v>
      </c>
      <c r="M715" s="4" t="str">
        <f>CLEAN(TRIM(Working_Sales[[#This Row],[Gender]]))</f>
        <v>Female</v>
      </c>
      <c r="N715" s="4" t="str" cm="1">
        <f t="array" ref="N715">_xlfn.SWITCH(
   Working_Sales[[#This Row],[Gender_Whitespace_Removed]],
   "m", "Male",
   "f", "Female",
   Working_Sales[[#This Row],[Gender_Whitespace_Removed]]
)</f>
        <v>Female</v>
      </c>
      <c r="O715" s="6" t="str">
        <f>PROPER(Working_Sales[[#This Row],[Gender_Abbreviation_Expanded]])</f>
        <v>Female</v>
      </c>
      <c r="P715">
        <v>55</v>
      </c>
      <c r="Q715" s="2" t="str">
        <f>CLEAN(TRIM(Working_Sales[[#This Row],[Age]]))</f>
        <v>55</v>
      </c>
      <c r="R715" s="6">
        <f>INT(SUBSTITUTE(Working_Sales[[#This Row],[Age_Whitespace_Removed]],".",","))</f>
        <v>55</v>
      </c>
      <c r="S715" t="s">
        <v>99</v>
      </c>
      <c r="T715" s="2" t="str">
        <f>CLEAN(TRIM(Working_Sales[[#This Row],[Product Category]]))</f>
        <v>ELECTRONICS</v>
      </c>
      <c r="U715" s="6" t="str">
        <f>PROPER(Working_Sales[[#This Row],[Product_Category_Whitespace_Removed]])</f>
        <v>Electronics</v>
      </c>
      <c r="V715" t="s">
        <v>29</v>
      </c>
      <c r="W715" s="2" t="str">
        <f>CLEAN(TRIM(Working_Sales[[#This Row],[Quantity]]))</f>
        <v>3</v>
      </c>
      <c r="X715" s="2">
        <f>INT(Working_Sales[[#This Row],[`]])</f>
        <v>3</v>
      </c>
      <c r="Y715" s="6">
        <f>IFERROR(
   Working_Sales[[#This Row],[Quantity_Converted_To_Integer]],
   Working_Sales[[#This Row],[Total_Amount_Whitespace_Removed]]/Working_Sales[[#This Row],[Price_Per_Unit_Decimal_Separator_Fixed]])</f>
        <v>3</v>
      </c>
      <c r="Z715" t="s">
        <v>57</v>
      </c>
      <c r="AA715" s="2" t="str">
        <f>CLEAN(TRIM(Working_Sales[[#This Row],[Price per Unit]]))</f>
        <v>500</v>
      </c>
      <c r="AB715" s="2">
        <f>INT(
   SUBSTITUTE(Working_Sales[[#This Row],[Price_Per_Unit_Whitespace_Removed]],
   "$",
   ""
   )
)</f>
        <v>500</v>
      </c>
      <c r="AC715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715" s="8">
        <f>IFERROR(
   Working_Sales[[#This Row],[Price_Per_Unit_Decimal_Separator_Fixed]],
   Working_Sales[[#This Row],[Total_Amount_Converted_To_Integer]]/Working_Sales[[#This Row],[Quantity_Converted_To_Integer]]
)</f>
        <v>500</v>
      </c>
      <c r="AE715" t="s">
        <v>85</v>
      </c>
      <c r="AF715" s="2" t="str">
        <f>CLEAN(TRIM(Working_Sales[[#This Row],[Total Amount]]))</f>
        <v>1500</v>
      </c>
      <c r="AG715" s="2">
        <f>INT(Working_Sales[[#This Row],[Total_Amount_Whitespace_Removed]])</f>
        <v>1500</v>
      </c>
      <c r="AH71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716" spans="1:34" x14ac:dyDescent="0.35">
      <c r="A716" t="s">
        <v>1513</v>
      </c>
      <c r="B716" s="6" t="str">
        <f>CLEAN(TRIM(Working_Sales[[#This Row],[Transaction ID]]))</f>
        <v>801</v>
      </c>
      <c r="C716" t="s">
        <v>1514</v>
      </c>
      <c r="D716" s="2" t="str">
        <f>CLEAN(TRIM(Working_Sales[[#This Row],[Date]]))</f>
        <v>2023-08-10</v>
      </c>
      <c r="E71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45148</v>
      </c>
      <c r="F71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45148</v>
      </c>
      <c r="G71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45148</v>
      </c>
      <c r="H716" t="s">
        <v>2908</v>
      </c>
      <c r="I716" s="2" t="str">
        <f>CLEAN(TRIM(Working_Sales[[#This Row],[Customer ID]]))</f>
        <v>CUST433</v>
      </c>
      <c r="J71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CUST433</v>
      </c>
      <c r="K71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CUST433</v>
      </c>
      <c r="L716" t="s">
        <v>34</v>
      </c>
      <c r="M716" s="4" t="str">
        <f>CLEAN(TRIM(Working_Sales[[#This Row],[Gender]]))</f>
        <v>Male</v>
      </c>
      <c r="N716" s="4" t="str" cm="1">
        <f t="array" ref="N716">_xlfn.SWITCH(
   Working_Sales[[#This Row],[Gender_Whitespace_Removed]],
   "m", "Male",
   "f", "Female",
   Working_Sales[[#This Row],[Gender_Whitespace_Removed]]
)</f>
        <v>Male</v>
      </c>
      <c r="O716" s="6" t="str">
        <f>PROPER(Working_Sales[[#This Row],[Gender_Abbreviation_Expanded]])</f>
        <v>Male</v>
      </c>
      <c r="P716">
        <v>21</v>
      </c>
      <c r="Q716" s="2" t="str">
        <f>CLEAN(TRIM(Working_Sales[[#This Row],[Age]]))</f>
        <v>21</v>
      </c>
      <c r="R716" s="6">
        <f>INT(SUBSTITUTE(Working_Sales[[#This Row],[Age_Whitespace_Removed]],".",","))</f>
        <v>21</v>
      </c>
      <c r="S716" t="s">
        <v>28</v>
      </c>
      <c r="T716" s="2" t="str">
        <f>CLEAN(TRIM(Working_Sales[[#This Row],[Product Category]]))</f>
        <v>clothing</v>
      </c>
      <c r="U716" s="6" t="str">
        <f>PROPER(Working_Sales[[#This Row],[Product_Category_Whitespace_Removed]])</f>
        <v>Clothing</v>
      </c>
      <c r="V716" t="s">
        <v>14</v>
      </c>
      <c r="W716" s="2" t="str">
        <f>CLEAN(TRIM(Working_Sales[[#This Row],[Quantity]]))</f>
        <v>4</v>
      </c>
      <c r="X716" s="2">
        <f>INT(Working_Sales[[#This Row],[`]])</f>
        <v>4</v>
      </c>
      <c r="Y716" s="6">
        <f>IFERROR(
   Working_Sales[[#This Row],[Quantity_Converted_To_Integer]],
   Working_Sales[[#This Row],[Total_Amount_Whitespace_Removed]]/Working_Sales[[#This Row],[Price_Per_Unit_Decimal_Separator_Fixed]])</f>
        <v>4</v>
      </c>
      <c r="Z716" t="s">
        <v>15</v>
      </c>
      <c r="AA716" s="2" t="str">
        <f>CLEAN(TRIM(Working_Sales[[#This Row],[Price per Unit]]))</f>
        <v>50</v>
      </c>
      <c r="AB716" s="2">
        <f>INT(
   SUBSTITUTE(Working_Sales[[#This Row],[Price_Per_Unit_Whitespace_Removed]],
   "$",
   ""
   )
)</f>
        <v>50</v>
      </c>
      <c r="AC716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716" s="8">
        <f>IFERROR(
   Working_Sales[[#This Row],[Price_Per_Unit_Decimal_Separator_Fixed]],
   Working_Sales[[#This Row],[Total_Amount_Converted_To_Integer]]/Working_Sales[[#This Row],[Quantity_Converted_To_Integer]]
)</f>
        <v>50</v>
      </c>
      <c r="AE716" t="s">
        <v>16</v>
      </c>
      <c r="AF716" s="2" t="str">
        <f>CLEAN(TRIM(Working_Sales[[#This Row],[Total Amount]]))</f>
        <v>200</v>
      </c>
      <c r="AG716" s="2">
        <f>INT(Working_Sales[[#This Row],[Total_Amount_Whitespace_Removed]])</f>
        <v>200</v>
      </c>
      <c r="AH71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717" spans="1:34" x14ac:dyDescent="0.35">
      <c r="A717" t="s">
        <v>1515</v>
      </c>
      <c r="B717" s="6" t="str">
        <f>CLEAN(TRIM(Working_Sales[[#This Row],[Transaction ID]]))</f>
        <v>838</v>
      </c>
      <c r="C717" t="s">
        <v>1516</v>
      </c>
      <c r="D717" s="2" t="str">
        <f>CLEAN(TRIM(Working_Sales[[#This Row],[Date]]))</f>
        <v>2023-05-13</v>
      </c>
      <c r="E71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45059</v>
      </c>
      <c r="F71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45059</v>
      </c>
      <c r="G71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45059</v>
      </c>
      <c r="H717" t="s">
        <v>2910</v>
      </c>
      <c r="I717" s="2" t="str">
        <f>CLEAN(TRIM(Working_Sales[[#This Row],[Customer ID]]))</f>
        <v>CUST-435</v>
      </c>
      <c r="J71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1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CUST435</v>
      </c>
      <c r="L717" t="s">
        <v>34</v>
      </c>
      <c r="M717" s="4" t="str">
        <f>CLEAN(TRIM(Working_Sales[[#This Row],[Gender]]))</f>
        <v>Male</v>
      </c>
      <c r="N717" s="4" t="str" cm="1">
        <f t="array" ref="N717">_xlfn.SWITCH(
   Working_Sales[[#This Row],[Gender_Whitespace_Removed]],
   "m", "Male",
   "f", "Female",
   Working_Sales[[#This Row],[Gender_Whitespace_Removed]]
)</f>
        <v>Male</v>
      </c>
      <c r="O717" s="6" t="str">
        <f>PROPER(Working_Sales[[#This Row],[Gender_Abbreviation_Expanded]])</f>
        <v>Male</v>
      </c>
      <c r="P717">
        <v>47</v>
      </c>
      <c r="Q717" s="2" t="str">
        <f>CLEAN(TRIM(Working_Sales[[#This Row],[Age]]))</f>
        <v>47</v>
      </c>
      <c r="R717" s="6">
        <f>INT(SUBSTITUTE(Working_Sales[[#This Row],[Age_Whitespace_Removed]],".",","))</f>
        <v>47</v>
      </c>
      <c r="S717" t="s">
        <v>13</v>
      </c>
      <c r="T717" s="2" t="str">
        <f>CLEAN(TRIM(Working_Sales[[#This Row],[Product Category]]))</f>
        <v>Electronics</v>
      </c>
      <c r="U717" s="6" t="str">
        <f>PROPER(Working_Sales[[#This Row],[Product_Category_Whitespace_Removed]])</f>
        <v>Electronics</v>
      </c>
      <c r="V717" t="s">
        <v>37</v>
      </c>
      <c r="W717" s="2" t="str">
        <f>CLEAN(TRIM(Working_Sales[[#This Row],[Quantity]]))</f>
        <v>2</v>
      </c>
      <c r="X717" s="2">
        <f>INT(Working_Sales[[#This Row],[`]])</f>
        <v>2</v>
      </c>
      <c r="Y717" s="6">
        <f>IFERROR(
   Working_Sales[[#This Row],[Quantity_Converted_To_Integer]],
   Working_Sales[[#This Row],[Total_Amount_Whitespace_Removed]]/Working_Sales[[#This Row],[Price_Per_Unit_Decimal_Separator_Fixed]])</f>
        <v>2</v>
      </c>
      <c r="Z717" t="s">
        <v>23</v>
      </c>
      <c r="AA717" s="2" t="str">
        <f>CLEAN(TRIM(Working_Sales[[#This Row],[Price per Unit]]))</f>
        <v>300</v>
      </c>
      <c r="AB717" s="2">
        <f>INT(
   SUBSTITUTE(Working_Sales[[#This Row],[Price_Per_Unit_Whitespace_Removed]],
   "$",
   ""
   )
)</f>
        <v>300</v>
      </c>
      <c r="AC717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717" s="8">
        <f>IFERROR(
   Working_Sales[[#This Row],[Price_Per_Unit_Decimal_Separator_Fixed]],
   Working_Sales[[#This Row],[Total_Amount_Converted_To_Integer]]/Working_Sales[[#This Row],[Quantity_Converted_To_Integer]]
)</f>
        <v>300</v>
      </c>
      <c r="AE717" t="s">
        <v>107</v>
      </c>
      <c r="AF717" s="2" t="str">
        <f>CLEAN(TRIM(Working_Sales[[#This Row],[Total Amount]]))</f>
        <v>600</v>
      </c>
      <c r="AG717" s="2">
        <f>INT(Working_Sales[[#This Row],[Total_Amount_Whitespace_Removed]])</f>
        <v>600</v>
      </c>
      <c r="AH71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600</v>
      </c>
    </row>
    <row r="718" spans="1:34" x14ac:dyDescent="0.35">
      <c r="A718" t="s">
        <v>1517</v>
      </c>
      <c r="B718" s="6" t="str">
        <f>CLEAN(TRIM(Working_Sales[[#This Row],[Transaction ID]]))</f>
        <v>942</v>
      </c>
      <c r="C718" t="s">
        <v>1518</v>
      </c>
      <c r="D718" s="2" t="str">
        <f>CLEAN(TRIM(Working_Sales[[#This Row],[Date]]))</f>
        <v>18/03/2023</v>
      </c>
      <c r="E71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45003</v>
      </c>
      <c r="F71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45003</v>
      </c>
      <c r="G71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45003</v>
      </c>
      <c r="H718" t="s">
        <v>2911</v>
      </c>
      <c r="I718" s="2" t="str">
        <f>CLEAN(TRIM(Working_Sales[[#This Row],[Customer ID]]))</f>
        <v>CUST436</v>
      </c>
      <c r="J71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CUST436</v>
      </c>
      <c r="K71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CUST436</v>
      </c>
      <c r="L718" t="s">
        <v>34</v>
      </c>
      <c r="M718" s="4" t="str">
        <f>CLEAN(TRIM(Working_Sales[[#This Row],[Gender]]))</f>
        <v>Male</v>
      </c>
      <c r="N718" s="4" t="str" cm="1">
        <f t="array" ref="N718">_xlfn.SWITCH(
   Working_Sales[[#This Row],[Gender_Whitespace_Removed]],
   "m", "Male",
   "f", "Female",
   Working_Sales[[#This Row],[Gender_Whitespace_Removed]]
)</f>
        <v>Male</v>
      </c>
      <c r="O718" s="6" t="str">
        <f>PROPER(Working_Sales[[#This Row],[Gender_Abbreviation_Expanded]])</f>
        <v>Male</v>
      </c>
      <c r="P718">
        <v>51</v>
      </c>
      <c r="Q718" s="2" t="str">
        <f>CLEAN(TRIM(Working_Sales[[#This Row],[Age]]))</f>
        <v>51</v>
      </c>
      <c r="R718" s="6">
        <f>INT(SUBSTITUTE(Working_Sales[[#This Row],[Age_Whitespace_Removed]],".",","))</f>
        <v>51</v>
      </c>
      <c r="S718" t="s">
        <v>56</v>
      </c>
      <c r="T718" s="2" t="str">
        <f>CLEAN(TRIM(Working_Sales[[#This Row],[Product Category]]))</f>
        <v>Clothing</v>
      </c>
      <c r="U718" s="6" t="str">
        <f>PROPER(Working_Sales[[#This Row],[Product_Category_Whitespace_Removed]])</f>
        <v>Clothing</v>
      </c>
      <c r="V718" t="s">
        <v>29</v>
      </c>
      <c r="W718" s="2" t="str">
        <f>CLEAN(TRIM(Working_Sales[[#This Row],[Quantity]]))</f>
        <v>3</v>
      </c>
      <c r="X718" s="2">
        <f>INT(Working_Sales[[#This Row],[`]])</f>
        <v>3</v>
      </c>
      <c r="Y718" s="6">
        <f>IFERROR(
   Working_Sales[[#This Row],[Quantity_Converted_To_Integer]],
   Working_Sales[[#This Row],[Total_Amount_Whitespace_Removed]]/Working_Sales[[#This Row],[Price_Per_Unit_Decimal_Separator_Fixed]])</f>
        <v>3</v>
      </c>
      <c r="Z718" t="s">
        <v>57</v>
      </c>
      <c r="AA718" s="2" t="str">
        <f>CLEAN(TRIM(Working_Sales[[#This Row],[Price per Unit]]))</f>
        <v>500</v>
      </c>
      <c r="AB718" s="2">
        <f>INT(
   SUBSTITUTE(Working_Sales[[#This Row],[Price_Per_Unit_Whitespace_Removed]],
   "$",
   ""
   )
)</f>
        <v>500</v>
      </c>
      <c r="AC718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718" s="8">
        <f>IFERROR(
   Working_Sales[[#This Row],[Price_Per_Unit_Decimal_Separator_Fixed]],
   Working_Sales[[#This Row],[Total_Amount_Converted_To_Integer]]/Working_Sales[[#This Row],[Quantity_Converted_To_Integer]]
)</f>
        <v>500</v>
      </c>
      <c r="AE718" t="s">
        <v>85</v>
      </c>
      <c r="AF718" s="2" t="str">
        <f>CLEAN(TRIM(Working_Sales[[#This Row],[Total Amount]]))</f>
        <v>1500</v>
      </c>
      <c r="AG718" s="2">
        <f>INT(Working_Sales[[#This Row],[Total_Amount_Whitespace_Removed]])</f>
        <v>1500</v>
      </c>
      <c r="AH71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719" spans="1:34" x14ac:dyDescent="0.35">
      <c r="A719" t="s">
        <v>1519</v>
      </c>
      <c r="B719" s="6" t="str">
        <f>CLEAN(TRIM(Working_Sales[[#This Row],[Transaction ID]]))</f>
        <v>417</v>
      </c>
      <c r="C719" t="s">
        <v>303</v>
      </c>
      <c r="D719" s="2" t="str">
        <f>CLEAN(TRIM(Working_Sales[[#This Row],[Date]]))</f>
        <v>2023-11-21</v>
      </c>
      <c r="E71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45251</v>
      </c>
      <c r="F71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45251</v>
      </c>
      <c r="G71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45251</v>
      </c>
      <c r="H719" t="s">
        <v>2912</v>
      </c>
      <c r="I719" s="2" t="str">
        <f>CLEAN(TRIM(Working_Sales[[#This Row],[Customer ID]]))</f>
        <v>CUST-311</v>
      </c>
      <c r="J71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1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CUST311</v>
      </c>
      <c r="L719" t="s">
        <v>11</v>
      </c>
      <c r="M719" s="4" t="str">
        <f>CLEAN(TRIM(Working_Sales[[#This Row],[Gender]]))</f>
        <v>MALE</v>
      </c>
      <c r="N719" s="4" t="str" cm="1">
        <f t="array" ref="N719">_xlfn.SWITCH(
   Working_Sales[[#This Row],[Gender_Whitespace_Removed]],
   "m", "Male",
   "f", "Female",
   Working_Sales[[#This Row],[Gender_Whitespace_Removed]]
)</f>
        <v>MALE</v>
      </c>
      <c r="O719" s="6" t="str">
        <f>PROPER(Working_Sales[[#This Row],[Gender_Abbreviation_Expanded]])</f>
        <v>Male</v>
      </c>
      <c r="P719">
        <v>43</v>
      </c>
      <c r="Q719" s="2" t="str">
        <f>CLEAN(TRIM(Working_Sales[[#This Row],[Age]]))</f>
        <v>43</v>
      </c>
      <c r="R719" s="6">
        <f>INT(SUBSTITUTE(Working_Sales[[#This Row],[Age_Whitespace_Removed]],".",","))</f>
        <v>43</v>
      </c>
      <c r="S719" t="s">
        <v>99</v>
      </c>
      <c r="T719" s="2" t="str">
        <f>CLEAN(TRIM(Working_Sales[[#This Row],[Product Category]]))</f>
        <v>ELECTRONICS</v>
      </c>
      <c r="U719" s="6" t="str">
        <f>PROPER(Working_Sales[[#This Row],[Product_Category_Whitespace_Removed]])</f>
        <v>Electronics</v>
      </c>
      <c r="V719" t="s">
        <v>29</v>
      </c>
      <c r="W719" s="2" t="str">
        <f>CLEAN(TRIM(Working_Sales[[#This Row],[Quantity]]))</f>
        <v>3</v>
      </c>
      <c r="X719" s="2">
        <f>INT(Working_Sales[[#This Row],[`]])</f>
        <v>3</v>
      </c>
      <c r="Y719" s="6">
        <f>IFERROR(
   Working_Sales[[#This Row],[Quantity_Converted_To_Integer]],
   Working_Sales[[#This Row],[Total_Amount_Whitespace_Removed]]/Working_Sales[[#This Row],[Price_Per_Unit_Decimal_Separator_Fixed]])</f>
        <v>3</v>
      </c>
      <c r="Z719" t="s">
        <v>23</v>
      </c>
      <c r="AA719" s="2" t="str">
        <f>CLEAN(TRIM(Working_Sales[[#This Row],[Price per Unit]]))</f>
        <v>300</v>
      </c>
      <c r="AB719" s="2">
        <f>INT(
   SUBSTITUTE(Working_Sales[[#This Row],[Price_Per_Unit_Whitespace_Removed]],
   "$",
   ""
   )
)</f>
        <v>300</v>
      </c>
      <c r="AC719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719" s="8">
        <f>IFERROR(
   Working_Sales[[#This Row],[Price_Per_Unit_Decimal_Separator_Fixed]],
   Working_Sales[[#This Row],[Total_Amount_Converted_To_Integer]]/Working_Sales[[#This Row],[Quantity_Converted_To_Integer]]
)</f>
        <v>300</v>
      </c>
      <c r="AF719" s="2" t="str">
        <f>CLEAN(TRIM(Working_Sales[[#This Row],[Total Amount]]))</f>
        <v/>
      </c>
      <c r="AG719" s="2" t="e">
        <f>INT(Working_Sales[[#This Row],[Total_Amount_Whitespace_Removed]])</f>
        <v>#VALUE!</v>
      </c>
      <c r="AH71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720" spans="1:34" x14ac:dyDescent="0.35">
      <c r="A720" t="s">
        <v>1521</v>
      </c>
      <c r="B720" s="6" t="str">
        <f>CLEAN(TRIM(Working_Sales[[#This Row],[Transaction ID]]))</f>
        <v>749</v>
      </c>
      <c r="C720" t="s">
        <v>2142</v>
      </c>
      <c r="D720" s="2" t="str">
        <f>CLEAN(TRIM(Working_Sales[[#This Row],[Date]]))</f>
        <v>03-May-2023</v>
      </c>
      <c r="E72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45049</v>
      </c>
      <c r="F72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45049</v>
      </c>
      <c r="G72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45049</v>
      </c>
      <c r="H720" t="s">
        <v>2913</v>
      </c>
      <c r="I720" s="2" t="str">
        <f>CLEAN(TRIM(Working_Sales[[#This Row],[Customer ID]]))</f>
        <v>CUST346</v>
      </c>
      <c r="J72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CUST346</v>
      </c>
      <c r="K72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CUST346</v>
      </c>
      <c r="L720" t="s">
        <v>34</v>
      </c>
      <c r="M720" s="4" t="str">
        <f>CLEAN(TRIM(Working_Sales[[#This Row],[Gender]]))</f>
        <v>Male</v>
      </c>
      <c r="N720" s="4" t="str" cm="1">
        <f t="array" ref="N720">_xlfn.SWITCH(
   Working_Sales[[#This Row],[Gender_Whitespace_Removed]],
   "m", "Male",
   "f", "Female",
   Working_Sales[[#This Row],[Gender_Whitespace_Removed]]
)</f>
        <v>Male</v>
      </c>
      <c r="O720" s="6" t="str">
        <f>PROPER(Working_Sales[[#This Row],[Gender_Abbreviation_Expanded]])</f>
        <v>Male</v>
      </c>
      <c r="P720">
        <v>42</v>
      </c>
      <c r="Q720" s="2" t="str">
        <f>CLEAN(TRIM(Working_Sales[[#This Row],[Age]]))</f>
        <v>42</v>
      </c>
      <c r="R720" s="6">
        <f>INT(SUBSTITUTE(Working_Sales[[#This Row],[Age_Whitespace_Removed]],".",","))</f>
        <v>42</v>
      </c>
      <c r="S720" t="s">
        <v>69</v>
      </c>
      <c r="T720" s="2" t="str">
        <f>CLEAN(TRIM(Working_Sales[[#This Row],[Product Category]]))</f>
        <v>BEAUTY</v>
      </c>
      <c r="U720" s="6" t="str">
        <f>PROPER(Working_Sales[[#This Row],[Product_Category_Whitespace_Removed]])</f>
        <v>Beauty</v>
      </c>
      <c r="V720" t="s">
        <v>22</v>
      </c>
      <c r="W720" s="2" t="str">
        <f>CLEAN(TRIM(Working_Sales[[#This Row],[Quantity]]))</f>
        <v>1</v>
      </c>
      <c r="X720" s="2">
        <f>INT(Working_Sales[[#This Row],[`]])</f>
        <v>1</v>
      </c>
      <c r="Y720" s="6">
        <f>IFERROR(
   Working_Sales[[#This Row],[Quantity_Converted_To_Integer]],
   Working_Sales[[#This Row],[Total_Amount_Whitespace_Removed]]/Working_Sales[[#This Row],[Price_Per_Unit_Decimal_Separator_Fixed]])</f>
        <v>1</v>
      </c>
      <c r="Z720" t="s">
        <v>100</v>
      </c>
      <c r="AA720" s="2" t="str">
        <f>CLEAN(TRIM(Working_Sales[[#This Row],[Price per Unit]]))</f>
        <v>30</v>
      </c>
      <c r="AB720" s="2">
        <f>INT(
   SUBSTITUTE(Working_Sales[[#This Row],[Price_Per_Unit_Whitespace_Removed]],
   "$",
   ""
   )
)</f>
        <v>30</v>
      </c>
      <c r="AC720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720" s="8">
        <f>IFERROR(
   Working_Sales[[#This Row],[Price_Per_Unit_Decimal_Separator_Fixed]],
   Working_Sales[[#This Row],[Total_Amount_Converted_To_Integer]]/Working_Sales[[#This Row],[Quantity_Converted_To_Integer]]
)</f>
        <v>30</v>
      </c>
      <c r="AE720" t="s">
        <v>70</v>
      </c>
      <c r="AF720" s="2" t="str">
        <f>CLEAN(TRIM(Working_Sales[[#This Row],[Total Amount]]))</f>
        <v>30</v>
      </c>
      <c r="AG720" s="2">
        <f>INT(Working_Sales[[#This Row],[Total_Amount_Whitespace_Removed]])</f>
        <v>30</v>
      </c>
      <c r="AH72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721" spans="1:34" x14ac:dyDescent="0.35">
      <c r="A721" t="s">
        <v>1522</v>
      </c>
      <c r="B721" s="6" t="str">
        <f>CLEAN(TRIM(Working_Sales[[#This Row],[Transaction ID]]))</f>
        <v>562</v>
      </c>
      <c r="C721" t="s">
        <v>1400</v>
      </c>
      <c r="D721" s="2" t="str">
        <f>CLEAN(TRIM(Working_Sales[[#This Row],[Date]]))</f>
        <v>2023-04-18</v>
      </c>
      <c r="E72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45034</v>
      </c>
      <c r="F72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45034</v>
      </c>
      <c r="G72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45034</v>
      </c>
      <c r="H721" t="s">
        <v>2914</v>
      </c>
      <c r="I721" s="2" t="str">
        <f>CLEAN(TRIM(Working_Sales[[#This Row],[Customer ID]]))</f>
        <v>CUST375</v>
      </c>
      <c r="J72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CUST375</v>
      </c>
      <c r="K72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CUST375</v>
      </c>
      <c r="L721" t="s">
        <v>34</v>
      </c>
      <c r="M721" s="4" t="str">
        <f>CLEAN(TRIM(Working_Sales[[#This Row],[Gender]]))</f>
        <v>Male</v>
      </c>
      <c r="N721" s="4" t="str" cm="1">
        <f t="array" ref="N721">_xlfn.SWITCH(
   Working_Sales[[#This Row],[Gender_Whitespace_Removed]],
   "m", "Male",
   "f", "Female",
   Working_Sales[[#This Row],[Gender_Whitespace_Removed]]
)</f>
        <v>Male</v>
      </c>
      <c r="O721" s="6" t="str">
        <f>PROPER(Working_Sales[[#This Row],[Gender_Abbreviation_Expanded]])</f>
        <v>Male</v>
      </c>
      <c r="P721">
        <v>54</v>
      </c>
      <c r="Q721" s="2" t="str">
        <f>CLEAN(TRIM(Working_Sales[[#This Row],[Age]]))</f>
        <v>54</v>
      </c>
      <c r="R721" s="6">
        <f>INT(SUBSTITUTE(Working_Sales[[#This Row],[Age_Whitespace_Removed]],".",","))</f>
        <v>54</v>
      </c>
      <c r="S721" t="s">
        <v>99</v>
      </c>
      <c r="T721" s="2" t="str">
        <f>CLEAN(TRIM(Working_Sales[[#This Row],[Product Category]]))</f>
        <v>ELECTRONICS</v>
      </c>
      <c r="U721" s="6" t="str">
        <f>PROPER(Working_Sales[[#This Row],[Product_Category_Whitespace_Removed]])</f>
        <v>Electronics</v>
      </c>
      <c r="V721" t="s">
        <v>37</v>
      </c>
      <c r="W721" s="2" t="str">
        <f>CLEAN(TRIM(Working_Sales[[#This Row],[Quantity]]))</f>
        <v>2</v>
      </c>
      <c r="X721" s="2">
        <f>INT(Working_Sales[[#This Row],[`]])</f>
        <v>2</v>
      </c>
      <c r="Y721" s="6">
        <f>IFERROR(
   Working_Sales[[#This Row],[Quantity_Converted_To_Integer]],
   Working_Sales[[#This Row],[Total_Amount_Whitespace_Removed]]/Working_Sales[[#This Row],[Price_Per_Unit_Decimal_Separator_Fixed]])</f>
        <v>2</v>
      </c>
      <c r="Z721" t="s">
        <v>30</v>
      </c>
      <c r="AA721" s="2" t="str">
        <f>CLEAN(TRIM(Working_Sales[[#This Row],[Price per Unit]]))</f>
        <v>25</v>
      </c>
      <c r="AB721" s="2">
        <f>INT(
   SUBSTITUTE(Working_Sales[[#This Row],[Price_Per_Unit_Whitespace_Removed]],
   "$",
   ""
   )
)</f>
        <v>25</v>
      </c>
      <c r="AC721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721" s="8">
        <f>IFERROR(
   Working_Sales[[#This Row],[Price_Per_Unit_Decimal_Separator_Fixed]],
   Working_Sales[[#This Row],[Total_Amount_Converted_To_Integer]]/Working_Sales[[#This Row],[Quantity_Converted_To_Integer]]
)</f>
        <v>25</v>
      </c>
      <c r="AE721" t="s">
        <v>15</v>
      </c>
      <c r="AF721" s="2" t="str">
        <f>CLEAN(TRIM(Working_Sales[[#This Row],[Total Amount]]))</f>
        <v>50</v>
      </c>
      <c r="AG721" s="2">
        <f>INT(Working_Sales[[#This Row],[Total_Amount_Whitespace_Removed]])</f>
        <v>50</v>
      </c>
      <c r="AH72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722" spans="1:34" x14ac:dyDescent="0.35">
      <c r="A722" t="s">
        <v>1523</v>
      </c>
      <c r="B722" s="6" t="str">
        <f>CLEAN(TRIM(Working_Sales[[#This Row],[Transaction ID]]))</f>
        <v>68</v>
      </c>
      <c r="C722" t="s">
        <v>805</v>
      </c>
      <c r="D722" s="2" t="str">
        <f>CLEAN(TRIM(Working_Sales[[#This Row],[Date]]))</f>
        <v>2023-02-10</v>
      </c>
      <c r="E72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44967</v>
      </c>
      <c r="F72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44967</v>
      </c>
      <c r="G72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44967</v>
      </c>
      <c r="H722" t="s">
        <v>1329</v>
      </c>
      <c r="I722" s="2" t="str">
        <f>CLEAN(TRIM(Working_Sales[[#This Row],[Customer ID]]))</f>
        <v>CUST042</v>
      </c>
      <c r="J72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CUST042</v>
      </c>
      <c r="K72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CUST042</v>
      </c>
      <c r="L722" t="s">
        <v>34</v>
      </c>
      <c r="M722" s="4" t="str">
        <f>CLEAN(TRIM(Working_Sales[[#This Row],[Gender]]))</f>
        <v>Male</v>
      </c>
      <c r="N722" s="4" t="str" cm="1">
        <f t="array" ref="N722">_xlfn.SWITCH(
   Working_Sales[[#This Row],[Gender_Whitespace_Removed]],
   "m", "Male",
   "f", "Female",
   Working_Sales[[#This Row],[Gender_Whitespace_Removed]]
)</f>
        <v>Male</v>
      </c>
      <c r="O722" s="6" t="str">
        <f>PROPER(Working_Sales[[#This Row],[Gender_Abbreviation_Expanded]])</f>
        <v>Male</v>
      </c>
      <c r="P722">
        <v>25</v>
      </c>
      <c r="Q722" s="2" t="str">
        <f>CLEAN(TRIM(Working_Sales[[#This Row],[Age]]))</f>
        <v>25</v>
      </c>
      <c r="R722" s="6">
        <f>INT(SUBSTITUTE(Working_Sales[[#This Row],[Age_Whitespace_Removed]],".",","))</f>
        <v>25</v>
      </c>
      <c r="S722" t="s">
        <v>13</v>
      </c>
      <c r="T722" s="2" t="str">
        <f>CLEAN(TRIM(Working_Sales[[#This Row],[Product Category]]))</f>
        <v>Electronics</v>
      </c>
      <c r="U722" s="6" t="str">
        <f>PROPER(Working_Sales[[#This Row],[Product_Category_Whitespace_Removed]])</f>
        <v>Electronics</v>
      </c>
      <c r="V722" t="s">
        <v>22</v>
      </c>
      <c r="W722" s="2" t="str">
        <f>CLEAN(TRIM(Working_Sales[[#This Row],[Quantity]]))</f>
        <v>1</v>
      </c>
      <c r="X722" s="2">
        <f>INT(Working_Sales[[#This Row],[`]])</f>
        <v>1</v>
      </c>
      <c r="Y722" s="6">
        <f>IFERROR(
   Working_Sales[[#This Row],[Quantity_Converted_To_Integer]],
   Working_Sales[[#This Row],[Total_Amount_Whitespace_Removed]]/Working_Sales[[#This Row],[Price_Per_Unit_Decimal_Separator_Fixed]])</f>
        <v>1</v>
      </c>
      <c r="Z722" t="s">
        <v>23</v>
      </c>
      <c r="AA722" s="2" t="str">
        <f>CLEAN(TRIM(Working_Sales[[#This Row],[Price per Unit]]))</f>
        <v>300</v>
      </c>
      <c r="AB722" s="2">
        <f>INT(
   SUBSTITUTE(Working_Sales[[#This Row],[Price_Per_Unit_Whitespace_Removed]],
   "$",
   ""
   )
)</f>
        <v>300</v>
      </c>
      <c r="AC722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722" s="8">
        <f>IFERROR(
   Working_Sales[[#This Row],[Price_Per_Unit_Decimal_Separator_Fixed]],
   Working_Sales[[#This Row],[Total_Amount_Converted_To_Integer]]/Working_Sales[[#This Row],[Quantity_Converted_To_Integer]]
)</f>
        <v>300</v>
      </c>
      <c r="AE722" t="s">
        <v>23</v>
      </c>
      <c r="AF722" s="2" t="str">
        <f>CLEAN(TRIM(Working_Sales[[#This Row],[Total Amount]]))</f>
        <v>300</v>
      </c>
      <c r="AG722" s="2">
        <f>INT(Working_Sales[[#This Row],[Total_Amount_Whitespace_Removed]])</f>
        <v>300</v>
      </c>
      <c r="AH72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723" spans="1:34" x14ac:dyDescent="0.35">
      <c r="A723" t="s">
        <v>1525</v>
      </c>
      <c r="B723" s="6" t="str">
        <f>CLEAN(TRIM(Working_Sales[[#This Row],[Transaction ID]]))</f>
        <v>537</v>
      </c>
      <c r="C723" t="s">
        <v>1526</v>
      </c>
      <c r="D723" s="2" t="str">
        <f>CLEAN(TRIM(Working_Sales[[#This Row],[Date]]))</f>
        <v>2023-06-03</v>
      </c>
      <c r="E72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45080</v>
      </c>
      <c r="F72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45080</v>
      </c>
      <c r="G72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45080</v>
      </c>
      <c r="H723" t="s">
        <v>2915</v>
      </c>
      <c r="I723" s="2" t="str">
        <f>CLEAN(TRIM(Working_Sales[[#This Row],[Customer ID]]))</f>
        <v>Cust424</v>
      </c>
      <c r="J72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2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CUST424</v>
      </c>
      <c r="L723" t="s">
        <v>140</v>
      </c>
      <c r="M723" s="4" t="str">
        <f>CLEAN(TRIM(Working_Sales[[#This Row],[Gender]]))</f>
        <v>FEMALE</v>
      </c>
      <c r="N723" s="4" t="str" cm="1">
        <f t="array" ref="N723">_xlfn.SWITCH(
   Working_Sales[[#This Row],[Gender_Whitespace_Removed]],
   "m", "Male",
   "f", "Female",
   Working_Sales[[#This Row],[Gender_Whitespace_Removed]]
)</f>
        <v>FEMALE</v>
      </c>
      <c r="O723" s="6" t="str">
        <f>PROPER(Working_Sales[[#This Row],[Gender_Abbreviation_Expanded]])</f>
        <v>Female</v>
      </c>
      <c r="P723">
        <v>21</v>
      </c>
      <c r="Q723" s="2" t="str">
        <f>CLEAN(TRIM(Working_Sales[[#This Row],[Age]]))</f>
        <v>21</v>
      </c>
      <c r="R723" s="6">
        <f>INT(SUBSTITUTE(Working_Sales[[#This Row],[Age_Whitespace_Removed]],".",","))</f>
        <v>21</v>
      </c>
      <c r="S723" t="s">
        <v>36</v>
      </c>
      <c r="T723" s="2" t="str">
        <f>CLEAN(TRIM(Working_Sales[[#This Row],[Product Category]]))</f>
        <v>Beauty</v>
      </c>
      <c r="U723" s="6" t="str">
        <f>PROPER(Working_Sales[[#This Row],[Product_Category_Whitespace_Removed]])</f>
        <v>Beauty</v>
      </c>
      <c r="V723" t="s">
        <v>22</v>
      </c>
      <c r="W723" s="2" t="str">
        <f>CLEAN(TRIM(Working_Sales[[#This Row],[Quantity]]))</f>
        <v>1</v>
      </c>
      <c r="X723" s="2">
        <f>INT(Working_Sales[[#This Row],[`]])</f>
        <v>1</v>
      </c>
      <c r="Y723" s="6">
        <f>IFERROR(
   Working_Sales[[#This Row],[Quantity_Converted_To_Integer]],
   Working_Sales[[#This Row],[Total_Amount_Whitespace_Removed]]/Working_Sales[[#This Row],[Price_Per_Unit_Decimal_Separator_Fixed]])</f>
        <v>1</v>
      </c>
      <c r="Z723" t="s">
        <v>57</v>
      </c>
      <c r="AA723" s="2" t="str">
        <f>CLEAN(TRIM(Working_Sales[[#This Row],[Price per Unit]]))</f>
        <v>500</v>
      </c>
      <c r="AB723" s="2">
        <f>INT(
   SUBSTITUTE(Working_Sales[[#This Row],[Price_Per_Unit_Whitespace_Removed]],
   "$",
   ""
   )
)</f>
        <v>500</v>
      </c>
      <c r="AC723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723" s="8">
        <f>IFERROR(
   Working_Sales[[#This Row],[Price_Per_Unit_Decimal_Separator_Fixed]],
   Working_Sales[[#This Row],[Total_Amount_Converted_To_Integer]]/Working_Sales[[#This Row],[Quantity_Converted_To_Integer]]
)</f>
        <v>500</v>
      </c>
      <c r="AE723" t="s">
        <v>57</v>
      </c>
      <c r="AF723" s="2" t="str">
        <f>CLEAN(TRIM(Working_Sales[[#This Row],[Total Amount]]))</f>
        <v>500</v>
      </c>
      <c r="AG723" s="2">
        <f>INT(Working_Sales[[#This Row],[Total_Amount_Whitespace_Removed]])</f>
        <v>500</v>
      </c>
      <c r="AH72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724" spans="1:34" x14ac:dyDescent="0.35">
      <c r="A724" t="s">
        <v>1527</v>
      </c>
      <c r="B724" s="6" t="str">
        <f>CLEAN(TRIM(Working_Sales[[#This Row],[Transaction ID]]))</f>
        <v>78</v>
      </c>
      <c r="C724" t="s">
        <v>2040</v>
      </c>
      <c r="D724" s="2" t="str">
        <f>CLEAN(TRIM(Working_Sales[[#This Row],[Date]]))</f>
        <v>01-Jul-2023</v>
      </c>
      <c r="E72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45108</v>
      </c>
      <c r="F72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45108</v>
      </c>
      <c r="G72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45108</v>
      </c>
      <c r="H724" t="s">
        <v>2916</v>
      </c>
      <c r="I724" s="2" t="str">
        <f>CLEAN(TRIM(Working_Sales[[#This Row],[Customer ID]]))</f>
        <v>Cust356</v>
      </c>
      <c r="J72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2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CUST356</v>
      </c>
      <c r="L724" t="s">
        <v>26</v>
      </c>
      <c r="M724" s="4" t="str">
        <f>CLEAN(TRIM(Working_Sales[[#This Row],[Gender]]))</f>
        <v>Female</v>
      </c>
      <c r="N724" s="4" t="str" cm="1">
        <f t="array" ref="N724">_xlfn.SWITCH(
   Working_Sales[[#This Row],[Gender_Whitespace_Removed]],
   "m", "Male",
   "f", "Female",
   Working_Sales[[#This Row],[Gender_Whitespace_Removed]]
)</f>
        <v>Female</v>
      </c>
      <c r="O724" s="6" t="str">
        <f>PROPER(Working_Sales[[#This Row],[Gender_Abbreviation_Expanded]])</f>
        <v>Female</v>
      </c>
      <c r="P724">
        <v>47</v>
      </c>
      <c r="Q724" s="2" t="str">
        <f>CLEAN(TRIM(Working_Sales[[#This Row],[Age]]))</f>
        <v>47</v>
      </c>
      <c r="R724" s="6">
        <f>INT(SUBSTITUTE(Working_Sales[[#This Row],[Age_Whitespace_Removed]],".",","))</f>
        <v>47</v>
      </c>
      <c r="S724" t="s">
        <v>56</v>
      </c>
      <c r="T724" s="2" t="str">
        <f>CLEAN(TRIM(Working_Sales[[#This Row],[Product Category]]))</f>
        <v>Clothing</v>
      </c>
      <c r="U724" s="6" t="str">
        <f>PROPER(Working_Sales[[#This Row],[Product_Category_Whitespace_Removed]])</f>
        <v>Clothing</v>
      </c>
      <c r="V724" t="s">
        <v>29</v>
      </c>
      <c r="W724" s="2" t="str">
        <f>CLEAN(TRIM(Working_Sales[[#This Row],[Quantity]]))</f>
        <v>3</v>
      </c>
      <c r="X724" s="2">
        <f>INT(Working_Sales[[#This Row],[`]])</f>
        <v>3</v>
      </c>
      <c r="Y724" s="6">
        <f>IFERROR(
   Working_Sales[[#This Row],[Quantity_Converted_To_Integer]],
   Working_Sales[[#This Row],[Total_Amount_Whitespace_Removed]]/Working_Sales[[#This Row],[Price_Per_Unit_Decimal_Separator_Fixed]])</f>
        <v>3</v>
      </c>
      <c r="Z724" t="s">
        <v>162</v>
      </c>
      <c r="AA724" s="2" t="str">
        <f>CLEAN(TRIM(Working_Sales[[#This Row],[Price per Unit]]))</f>
        <v>$500</v>
      </c>
      <c r="AB724" s="2">
        <f>INT(
   SUBSTITUTE(Working_Sales[[#This Row],[Price_Per_Unit_Whitespace_Removed]],
   "$",
   ""
   )
)</f>
        <v>500</v>
      </c>
      <c r="AC724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724" s="8">
        <f>IFERROR(
   Working_Sales[[#This Row],[Price_Per_Unit_Decimal_Separator_Fixed]],
   Working_Sales[[#This Row],[Total_Amount_Converted_To_Integer]]/Working_Sales[[#This Row],[Quantity_Converted_To_Integer]]
)</f>
        <v>500</v>
      </c>
      <c r="AE724" t="s">
        <v>85</v>
      </c>
      <c r="AF724" s="2" t="str">
        <f>CLEAN(TRIM(Working_Sales[[#This Row],[Total Amount]]))</f>
        <v>1500</v>
      </c>
      <c r="AG724" s="2">
        <f>INT(Working_Sales[[#This Row],[Total_Amount_Whitespace_Removed]])</f>
        <v>1500</v>
      </c>
      <c r="AH72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725" spans="1:34" x14ac:dyDescent="0.35">
      <c r="A725" t="s">
        <v>1528</v>
      </c>
      <c r="B725" s="6" t="str">
        <f>CLEAN(TRIM(Working_Sales[[#This Row],[Transaction ID]]))</f>
        <v>106</v>
      </c>
      <c r="C725" t="s">
        <v>2143</v>
      </c>
      <c r="D725" s="2" t="str">
        <f>CLEAN(TRIM(Working_Sales[[#This Row],[Date]]))</f>
        <v>18/05/2023</v>
      </c>
      <c r="E72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45064</v>
      </c>
      <c r="F72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45064</v>
      </c>
      <c r="G72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45064</v>
      </c>
      <c r="H725" t="s">
        <v>2917</v>
      </c>
      <c r="I725" s="2" t="str">
        <f>CLEAN(TRIM(Working_Sales[[#This Row],[Customer ID]]))</f>
        <v>Cust322</v>
      </c>
      <c r="J72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2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CUST322</v>
      </c>
      <c r="L725" t="s">
        <v>26</v>
      </c>
      <c r="M725" s="4" t="str">
        <f>CLEAN(TRIM(Working_Sales[[#This Row],[Gender]]))</f>
        <v>Female</v>
      </c>
      <c r="N725" s="4" t="str" cm="1">
        <f t="array" ref="N725">_xlfn.SWITCH(
   Working_Sales[[#This Row],[Gender_Whitespace_Removed]],
   "m", "Male",
   "f", "Female",
   Working_Sales[[#This Row],[Gender_Whitespace_Removed]]
)</f>
        <v>Female</v>
      </c>
      <c r="O725" s="6" t="str">
        <f>PROPER(Working_Sales[[#This Row],[Gender_Abbreviation_Expanded]])</f>
        <v>Female</v>
      </c>
      <c r="P725" t="s">
        <v>239</v>
      </c>
      <c r="Q725" s="2" t="str">
        <f>CLEAN(TRIM(Working_Sales[[#This Row],[Age]]))</f>
        <v>46</v>
      </c>
      <c r="R725" s="6">
        <f>INT(SUBSTITUTE(Working_Sales[[#This Row],[Age_Whitespace_Removed]],".",","))</f>
        <v>46</v>
      </c>
      <c r="S725" t="s">
        <v>56</v>
      </c>
      <c r="T725" s="2" t="str">
        <f>CLEAN(TRIM(Working_Sales[[#This Row],[Product Category]]))</f>
        <v>Clothing</v>
      </c>
      <c r="U725" s="6" t="str">
        <f>PROPER(Working_Sales[[#This Row],[Product_Category_Whitespace_Removed]])</f>
        <v>Clothing</v>
      </c>
      <c r="V725" t="s">
        <v>22</v>
      </c>
      <c r="W725" s="2" t="str">
        <f>CLEAN(TRIM(Working_Sales[[#This Row],[Quantity]]))</f>
        <v>1</v>
      </c>
      <c r="X725" s="2">
        <f>INT(Working_Sales[[#This Row],[`]])</f>
        <v>1</v>
      </c>
      <c r="Y725" s="6">
        <f>IFERROR(
   Working_Sales[[#This Row],[Quantity_Converted_To_Integer]],
   Working_Sales[[#This Row],[Total_Amount_Whitespace_Removed]]/Working_Sales[[#This Row],[Price_Per_Unit_Decimal_Separator_Fixed]])</f>
        <v>1</v>
      </c>
      <c r="Z725" t="s">
        <v>15</v>
      </c>
      <c r="AA725" s="2" t="str">
        <f>CLEAN(TRIM(Working_Sales[[#This Row],[Price per Unit]]))</f>
        <v>50</v>
      </c>
      <c r="AB725" s="2">
        <f>INT(
   SUBSTITUTE(Working_Sales[[#This Row],[Price_Per_Unit_Whitespace_Removed]],
   "$",
   ""
   )
)</f>
        <v>50</v>
      </c>
      <c r="AC725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725" s="8">
        <f>IFERROR(
   Working_Sales[[#This Row],[Price_Per_Unit_Decimal_Separator_Fixed]],
   Working_Sales[[#This Row],[Total_Amount_Converted_To_Integer]]/Working_Sales[[#This Row],[Quantity_Converted_To_Integer]]
)</f>
        <v>50</v>
      </c>
      <c r="AE725" t="s">
        <v>15</v>
      </c>
      <c r="AF725" s="2" t="str">
        <f>CLEAN(TRIM(Working_Sales[[#This Row],[Total Amount]]))</f>
        <v>50</v>
      </c>
      <c r="AG725" s="2">
        <f>INT(Working_Sales[[#This Row],[Total_Amount_Whitespace_Removed]])</f>
        <v>50</v>
      </c>
      <c r="AH72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726" spans="1:34" x14ac:dyDescent="0.35">
      <c r="A726" t="s">
        <v>1530</v>
      </c>
      <c r="B726" s="6" t="str">
        <f>CLEAN(TRIM(Working_Sales[[#This Row],[Transaction ID]]))</f>
        <v>787</v>
      </c>
      <c r="C726" t="s">
        <v>1531</v>
      </c>
      <c r="D726" s="2" t="str">
        <f>CLEAN(TRIM(Working_Sales[[#This Row],[Date]]))</f>
        <v>January 22, 2023</v>
      </c>
      <c r="E726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726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72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44948</v>
      </c>
      <c r="H726" t="s">
        <v>2919</v>
      </c>
      <c r="I726" s="2" t="str">
        <f>CLEAN(TRIM(Working_Sales[[#This Row],[Customer ID]]))</f>
        <v>CUST188</v>
      </c>
      <c r="J72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CUST188</v>
      </c>
      <c r="K72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CUST188</v>
      </c>
      <c r="L726" t="s">
        <v>34</v>
      </c>
      <c r="M726" s="4" t="str">
        <f>CLEAN(TRIM(Working_Sales[[#This Row],[Gender]]))</f>
        <v>Male</v>
      </c>
      <c r="N726" s="4" t="str" cm="1">
        <f t="array" ref="N726">_xlfn.SWITCH(
   Working_Sales[[#This Row],[Gender_Whitespace_Removed]],
   "m", "Male",
   "f", "Female",
   Working_Sales[[#This Row],[Gender_Whitespace_Removed]]
)</f>
        <v>Male</v>
      </c>
      <c r="O726" s="6" t="str">
        <f>PROPER(Working_Sales[[#This Row],[Gender_Abbreviation_Expanded]])</f>
        <v>Male</v>
      </c>
      <c r="P726">
        <v>41</v>
      </c>
      <c r="Q726" s="2" t="str">
        <f>CLEAN(TRIM(Working_Sales[[#This Row],[Age]]))</f>
        <v>41</v>
      </c>
      <c r="R726" s="6">
        <f>INT(SUBSTITUTE(Working_Sales[[#This Row],[Age_Whitespace_Removed]],".",","))</f>
        <v>41</v>
      </c>
      <c r="S726" t="s">
        <v>13</v>
      </c>
      <c r="T726" s="2" t="str">
        <f>CLEAN(TRIM(Working_Sales[[#This Row],[Product Category]]))</f>
        <v>Electronics</v>
      </c>
      <c r="U726" s="6" t="str">
        <f>PROPER(Working_Sales[[#This Row],[Product_Category_Whitespace_Removed]])</f>
        <v>Electronics</v>
      </c>
      <c r="V726" t="s">
        <v>22</v>
      </c>
      <c r="W726" s="2" t="str">
        <f>CLEAN(TRIM(Working_Sales[[#This Row],[Quantity]]))</f>
        <v>1</v>
      </c>
      <c r="X726" s="2">
        <f>INT(Working_Sales[[#This Row],[`]])</f>
        <v>1</v>
      </c>
      <c r="Y726" s="6">
        <f>IFERROR(
   Working_Sales[[#This Row],[Quantity_Converted_To_Integer]],
   Working_Sales[[#This Row],[Total_Amount_Whitespace_Removed]]/Working_Sales[[#This Row],[Price_Per_Unit_Decimal_Separator_Fixed]])</f>
        <v>1</v>
      </c>
      <c r="Z726" t="s">
        <v>30</v>
      </c>
      <c r="AA726" s="2" t="str">
        <f>CLEAN(TRIM(Working_Sales[[#This Row],[Price per Unit]]))</f>
        <v>25</v>
      </c>
      <c r="AB726" s="2">
        <f>INT(
   SUBSTITUTE(Working_Sales[[#This Row],[Price_Per_Unit_Whitespace_Removed]],
   "$",
   ""
   )
)</f>
        <v>25</v>
      </c>
      <c r="AC726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726" s="8">
        <f>IFERROR(
   Working_Sales[[#This Row],[Price_Per_Unit_Decimal_Separator_Fixed]],
   Working_Sales[[#This Row],[Total_Amount_Converted_To_Integer]]/Working_Sales[[#This Row],[Quantity_Converted_To_Integer]]
)</f>
        <v>25</v>
      </c>
      <c r="AE726" t="s">
        <v>30</v>
      </c>
      <c r="AF726" s="2" t="str">
        <f>CLEAN(TRIM(Working_Sales[[#This Row],[Total Amount]]))</f>
        <v>25</v>
      </c>
      <c r="AG726" s="2">
        <f>INT(Working_Sales[[#This Row],[Total_Amount_Whitespace_Removed]])</f>
        <v>25</v>
      </c>
      <c r="AH72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727" spans="1:34" x14ac:dyDescent="0.35">
      <c r="A727" t="s">
        <v>1532</v>
      </c>
      <c r="B727" s="6" t="str">
        <f>CLEAN(TRIM(Working_Sales[[#This Row],[Transaction ID]]))</f>
        <v>639</v>
      </c>
      <c r="C727" t="s">
        <v>1533</v>
      </c>
      <c r="D727" s="2" t="str">
        <f>CLEAN(TRIM(Working_Sales[[#This Row],[Date]]))</f>
        <v>13/05/2023</v>
      </c>
      <c r="E72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45059</v>
      </c>
      <c r="F72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45059</v>
      </c>
      <c r="G72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45059</v>
      </c>
      <c r="H727" t="s">
        <v>2920</v>
      </c>
      <c r="I727" s="2" t="str">
        <f>CLEAN(TRIM(Working_Sales[[#This Row],[Customer ID]]))</f>
        <v>Cust437</v>
      </c>
      <c r="J72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2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CUST437</v>
      </c>
      <c r="L727" t="s">
        <v>46</v>
      </c>
      <c r="M727" s="4" t="str">
        <f>CLEAN(TRIM(Working_Sales[[#This Row],[Gender]]))</f>
        <v>F</v>
      </c>
      <c r="N727" s="4" t="str" cm="1">
        <f t="array" ref="N727">_xlfn.SWITCH(
   Working_Sales[[#This Row],[Gender_Whitespace_Removed]],
   "m", "Male",
   "f", "Female",
   Working_Sales[[#This Row],[Gender_Whitespace_Removed]]
)</f>
        <v>Female</v>
      </c>
      <c r="O727" s="6" t="str">
        <f>PROPER(Working_Sales[[#This Row],[Gender_Abbreviation_Expanded]])</f>
        <v>Female</v>
      </c>
      <c r="P727">
        <v>62</v>
      </c>
      <c r="Q727" s="2" t="str">
        <f>CLEAN(TRIM(Working_Sales[[#This Row],[Age]]))</f>
        <v>62</v>
      </c>
      <c r="R727" s="6">
        <f>INT(SUBSTITUTE(Working_Sales[[#This Row],[Age_Whitespace_Removed]],".",","))</f>
        <v>62</v>
      </c>
      <c r="S727" t="s">
        <v>36</v>
      </c>
      <c r="T727" s="2" t="str">
        <f>CLEAN(TRIM(Working_Sales[[#This Row],[Product Category]]))</f>
        <v>Beauty</v>
      </c>
      <c r="U727" s="6" t="str">
        <f>PROPER(Working_Sales[[#This Row],[Product_Category_Whitespace_Removed]])</f>
        <v>Beauty</v>
      </c>
      <c r="V727" t="s">
        <v>14</v>
      </c>
      <c r="W727" s="2" t="str">
        <f>CLEAN(TRIM(Working_Sales[[#This Row],[Quantity]]))</f>
        <v>4</v>
      </c>
      <c r="X727" s="2">
        <f>INT(Working_Sales[[#This Row],[`]])</f>
        <v>4</v>
      </c>
      <c r="Y727" s="6">
        <f>IFERROR(
   Working_Sales[[#This Row],[Quantity_Converted_To_Integer]],
   Working_Sales[[#This Row],[Total_Amount_Whitespace_Removed]]/Working_Sales[[#This Row],[Price_Per_Unit_Decimal_Separator_Fixed]])</f>
        <v>4</v>
      </c>
      <c r="Z727" t="s">
        <v>15</v>
      </c>
      <c r="AA727" s="2" t="str">
        <f>CLEAN(TRIM(Working_Sales[[#This Row],[Price per Unit]]))</f>
        <v>50</v>
      </c>
      <c r="AB727" s="2">
        <f>INT(
   SUBSTITUTE(Working_Sales[[#This Row],[Price_Per_Unit_Whitespace_Removed]],
   "$",
   ""
   )
)</f>
        <v>50</v>
      </c>
      <c r="AC727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727" s="8">
        <f>IFERROR(
   Working_Sales[[#This Row],[Price_Per_Unit_Decimal_Separator_Fixed]],
   Working_Sales[[#This Row],[Total_Amount_Converted_To_Integer]]/Working_Sales[[#This Row],[Quantity_Converted_To_Integer]]
)</f>
        <v>50</v>
      </c>
      <c r="AE727" t="s">
        <v>16</v>
      </c>
      <c r="AF727" s="2" t="str">
        <f>CLEAN(TRIM(Working_Sales[[#This Row],[Total Amount]]))</f>
        <v>200</v>
      </c>
      <c r="AG727" s="2">
        <f>INT(Working_Sales[[#This Row],[Total_Amount_Whitespace_Removed]])</f>
        <v>200</v>
      </c>
      <c r="AH72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728" spans="1:34" x14ac:dyDescent="0.35">
      <c r="A728" t="s">
        <v>1534</v>
      </c>
      <c r="B728" s="6" t="str">
        <f>CLEAN(TRIM(Working_Sales[[#This Row],[Transaction ID]]))</f>
        <v>560</v>
      </c>
      <c r="C728" t="s">
        <v>1535</v>
      </c>
      <c r="D728" s="2" t="str">
        <f>CLEAN(TRIM(Working_Sales[[#This Row],[Date]]))</f>
        <v>2023-06-05</v>
      </c>
      <c r="E72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45082</v>
      </c>
      <c r="F72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45082</v>
      </c>
      <c r="G72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45082</v>
      </c>
      <c r="H728" t="s">
        <v>2921</v>
      </c>
      <c r="I728" s="2" t="str">
        <f>CLEAN(TRIM(Working_Sales[[#This Row],[Customer ID]]))</f>
        <v>CUST390</v>
      </c>
      <c r="J72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CUST390</v>
      </c>
      <c r="K72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CUST390</v>
      </c>
      <c r="L728" t="s">
        <v>26</v>
      </c>
      <c r="M728" s="4" t="str">
        <f>CLEAN(TRIM(Working_Sales[[#This Row],[Gender]]))</f>
        <v>Female</v>
      </c>
      <c r="N728" s="4" t="str" cm="1">
        <f t="array" ref="N728">_xlfn.SWITCH(
   Working_Sales[[#This Row],[Gender_Whitespace_Removed]],
   "m", "Male",
   "f", "Female",
   Working_Sales[[#This Row],[Gender_Whitespace_Removed]]
)</f>
        <v>Female</v>
      </c>
      <c r="O728" s="6" t="str">
        <f>PROPER(Working_Sales[[#This Row],[Gender_Abbreviation_Expanded]])</f>
        <v>Female</v>
      </c>
      <c r="P728">
        <v>25</v>
      </c>
      <c r="Q728" s="2" t="str">
        <f>CLEAN(TRIM(Working_Sales[[#This Row],[Age]]))</f>
        <v>25</v>
      </c>
      <c r="R728" s="6">
        <f>INT(SUBSTITUTE(Working_Sales[[#This Row],[Age_Whitespace_Removed]],".",","))</f>
        <v>25</v>
      </c>
      <c r="S728" t="s">
        <v>13</v>
      </c>
      <c r="T728" s="2" t="str">
        <f>CLEAN(TRIM(Working_Sales[[#This Row],[Product Category]]))</f>
        <v>Electronics</v>
      </c>
      <c r="U728" s="6" t="str">
        <f>PROPER(Working_Sales[[#This Row],[Product_Category_Whitespace_Removed]])</f>
        <v>Electronics</v>
      </c>
      <c r="V728" t="s">
        <v>22</v>
      </c>
      <c r="W728" s="2" t="str">
        <f>CLEAN(TRIM(Working_Sales[[#This Row],[Quantity]]))</f>
        <v>1</v>
      </c>
      <c r="X728" s="2">
        <f>INT(Working_Sales[[#This Row],[`]])</f>
        <v>1</v>
      </c>
      <c r="Y728" s="6">
        <f>IFERROR(
   Working_Sales[[#This Row],[Quantity_Converted_To_Integer]],
   Working_Sales[[#This Row],[Total_Amount_Whitespace_Removed]]/Working_Sales[[#This Row],[Price_Per_Unit_Decimal_Separator_Fixed]])</f>
        <v>1</v>
      </c>
      <c r="Z728" t="s">
        <v>153</v>
      </c>
      <c r="AA728" s="2" t="str">
        <f>CLEAN(TRIM(Working_Sales[[#This Row],[Price per Unit]]))</f>
        <v>50.00</v>
      </c>
      <c r="AB728" s="2" t="e">
        <f>INT(
   SUBSTITUTE(Working_Sales[[#This Row],[Price_Per_Unit_Whitespace_Removed]],
   "$",
   ""
   )
)</f>
        <v>#VALUE!</v>
      </c>
      <c r="AC728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728" s="8">
        <f>IFERROR(
   Working_Sales[[#This Row],[Price_Per_Unit_Decimal_Separator_Fixed]],
   Working_Sales[[#This Row],[Total_Amount_Converted_To_Integer]]/Working_Sales[[#This Row],[Quantity_Converted_To_Integer]]
)</f>
        <v>50</v>
      </c>
      <c r="AE728" t="s">
        <v>15</v>
      </c>
      <c r="AF728" s="2" t="str">
        <f>CLEAN(TRIM(Working_Sales[[#This Row],[Total Amount]]))</f>
        <v>50</v>
      </c>
      <c r="AG728" s="2">
        <f>INT(Working_Sales[[#This Row],[Total_Amount_Whitespace_Removed]])</f>
        <v>50</v>
      </c>
      <c r="AH72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729" spans="1:34" x14ac:dyDescent="0.35">
      <c r="A729" t="s">
        <v>1536</v>
      </c>
      <c r="B729" s="6" t="str">
        <f>CLEAN(TRIM(Working_Sales[[#This Row],[Transaction ID]]))</f>
        <v>776</v>
      </c>
      <c r="C729" t="s">
        <v>322</v>
      </c>
      <c r="D729" s="2" t="str">
        <f>CLEAN(TRIM(Working_Sales[[#This Row],[Date]]))</f>
        <v>2023-10-31</v>
      </c>
      <c r="E72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45230</v>
      </c>
      <c r="F72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45230</v>
      </c>
      <c r="G72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45230</v>
      </c>
      <c r="H729" t="s">
        <v>2922</v>
      </c>
      <c r="I729" s="2" t="str">
        <f>CLEAN(TRIM(Working_Sales[[#This Row],[Customer ID]]))</f>
        <v>CUST-400</v>
      </c>
      <c r="J72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2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CUST400</v>
      </c>
      <c r="L729" t="s">
        <v>20</v>
      </c>
      <c r="M729" s="4" t="str">
        <f>CLEAN(TRIM(Working_Sales[[#This Row],[Gender]]))</f>
        <v>male</v>
      </c>
      <c r="N729" s="4" t="str" cm="1">
        <f t="array" ref="N729">_xlfn.SWITCH(
   Working_Sales[[#This Row],[Gender_Whitespace_Removed]],
   "m", "Male",
   "f", "Female",
   Working_Sales[[#This Row],[Gender_Whitespace_Removed]]
)</f>
        <v>male</v>
      </c>
      <c r="O729" s="6" t="str">
        <f>PROPER(Working_Sales[[#This Row],[Gender_Abbreviation_Expanded]])</f>
        <v>Male</v>
      </c>
      <c r="P729">
        <v>35</v>
      </c>
      <c r="Q729" s="2" t="str">
        <f>CLEAN(TRIM(Working_Sales[[#This Row],[Age]]))</f>
        <v>35</v>
      </c>
      <c r="R729" s="6">
        <f>INT(SUBSTITUTE(Working_Sales[[#This Row],[Age_Whitespace_Removed]],".",","))</f>
        <v>35</v>
      </c>
      <c r="S729" t="s">
        <v>56</v>
      </c>
      <c r="T729" s="2" t="str">
        <f>CLEAN(TRIM(Working_Sales[[#This Row],[Product Category]]))</f>
        <v>Clothing</v>
      </c>
      <c r="U729" s="6" t="str">
        <f>PROPER(Working_Sales[[#This Row],[Product_Category_Whitespace_Removed]])</f>
        <v>Clothing</v>
      </c>
      <c r="V729" t="s">
        <v>29</v>
      </c>
      <c r="W729" s="2" t="str">
        <f>CLEAN(TRIM(Working_Sales[[#This Row],[Quantity]]))</f>
        <v>3</v>
      </c>
      <c r="X729" s="2">
        <f>INT(Working_Sales[[#This Row],[`]])</f>
        <v>3</v>
      </c>
      <c r="Y729" s="6">
        <f>IFERROR(
   Working_Sales[[#This Row],[Quantity_Converted_To_Integer]],
   Working_Sales[[#This Row],[Total_Amount_Whitespace_Removed]]/Working_Sales[[#This Row],[Price_Per_Unit_Decimal_Separator_Fixed]])</f>
        <v>3</v>
      </c>
      <c r="Z729" t="s">
        <v>70</v>
      </c>
      <c r="AA729" s="2" t="str">
        <f>CLEAN(TRIM(Working_Sales[[#This Row],[Price per Unit]]))</f>
        <v>30</v>
      </c>
      <c r="AB729" s="2">
        <f>INT(
   SUBSTITUTE(Working_Sales[[#This Row],[Price_Per_Unit_Whitespace_Removed]],
   "$",
   ""
   )
)</f>
        <v>30</v>
      </c>
      <c r="AC729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729" s="8">
        <f>IFERROR(
   Working_Sales[[#This Row],[Price_Per_Unit_Decimal_Separator_Fixed]],
   Working_Sales[[#This Row],[Total_Amount_Converted_To_Integer]]/Working_Sales[[#This Row],[Quantity_Converted_To_Integer]]
)</f>
        <v>30</v>
      </c>
      <c r="AE729" t="s">
        <v>191</v>
      </c>
      <c r="AF729" s="2" t="str">
        <f>CLEAN(TRIM(Working_Sales[[#This Row],[Total Amount]]))</f>
        <v>90</v>
      </c>
      <c r="AG729" s="2">
        <f>INT(Working_Sales[[#This Row],[Total_Amount_Whitespace_Removed]])</f>
        <v>90</v>
      </c>
      <c r="AH72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730" spans="1:34" x14ac:dyDescent="0.35">
      <c r="A730" t="s">
        <v>1537</v>
      </c>
      <c r="B730" s="6" t="str">
        <f>CLEAN(TRIM(Working_Sales[[#This Row],[Transaction ID]]))</f>
        <v>691</v>
      </c>
      <c r="C730" t="s">
        <v>1495</v>
      </c>
      <c r="D730" s="2" t="str">
        <f>CLEAN(TRIM(Working_Sales[[#This Row],[Date]]))</f>
        <v>04/23/2023</v>
      </c>
      <c r="E730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73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45039</v>
      </c>
      <c r="G73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45039</v>
      </c>
      <c r="H730" t="s">
        <v>2275</v>
      </c>
      <c r="I730" s="2" t="str">
        <f>CLEAN(TRIM(Working_Sales[[#This Row],[Customer ID]]))</f>
        <v>CUST387</v>
      </c>
      <c r="J73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CUST387</v>
      </c>
      <c r="K73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CUST387</v>
      </c>
      <c r="L730" t="s">
        <v>26</v>
      </c>
      <c r="M730" s="4" t="str">
        <f>CLEAN(TRIM(Working_Sales[[#This Row],[Gender]]))</f>
        <v>Female</v>
      </c>
      <c r="N730" s="4" t="str" cm="1">
        <f t="array" ref="N730">_xlfn.SWITCH(
   Working_Sales[[#This Row],[Gender_Whitespace_Removed]],
   "m", "Male",
   "f", "Female",
   Working_Sales[[#This Row],[Gender_Whitespace_Removed]]
)</f>
        <v>Female</v>
      </c>
      <c r="O730" s="6" t="str">
        <f>PROPER(Working_Sales[[#This Row],[Gender_Abbreviation_Expanded]])</f>
        <v>Female</v>
      </c>
      <c r="P730">
        <v>51</v>
      </c>
      <c r="Q730" s="2" t="str">
        <f>CLEAN(TRIM(Working_Sales[[#This Row],[Age]]))</f>
        <v>51</v>
      </c>
      <c r="R730" s="6">
        <f>INT(SUBSTITUTE(Working_Sales[[#This Row],[Age_Whitespace_Removed]],".",","))</f>
        <v>51</v>
      </c>
      <c r="S730" t="s">
        <v>400</v>
      </c>
      <c r="T730" s="2" t="str">
        <f>CLEAN(TRIM(Working_Sales[[#This Row],[Product Category]]))</f>
        <v>Clothing</v>
      </c>
      <c r="U730" s="6" t="str">
        <f>PROPER(Working_Sales[[#This Row],[Product_Category_Whitespace_Removed]])</f>
        <v>Clothing</v>
      </c>
      <c r="V730" t="s">
        <v>29</v>
      </c>
      <c r="W730" s="2" t="str">
        <f>CLEAN(TRIM(Working_Sales[[#This Row],[Quantity]]))</f>
        <v>3</v>
      </c>
      <c r="X730" s="2">
        <f>INT(Working_Sales[[#This Row],[`]])</f>
        <v>3</v>
      </c>
      <c r="Y730" s="6">
        <f>IFERROR(
   Working_Sales[[#This Row],[Quantity_Converted_To_Integer]],
   Working_Sales[[#This Row],[Total_Amount_Whitespace_Removed]]/Working_Sales[[#This Row],[Price_Per_Unit_Decimal_Separator_Fixed]])</f>
        <v>3</v>
      </c>
      <c r="Z730" t="s">
        <v>43</v>
      </c>
      <c r="AA730" s="2" t="str">
        <f>CLEAN(TRIM(Working_Sales[[#This Row],[Price per Unit]]))</f>
        <v>30.00</v>
      </c>
      <c r="AB730" s="2" t="e">
        <f>INT(
   SUBSTITUTE(Working_Sales[[#This Row],[Price_Per_Unit_Whitespace_Removed]],
   "$",
   ""
   )
)</f>
        <v>#VALUE!</v>
      </c>
      <c r="AC730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730" s="8">
        <f>IFERROR(
   Working_Sales[[#This Row],[Price_Per_Unit_Decimal_Separator_Fixed]],
   Working_Sales[[#This Row],[Total_Amount_Converted_To_Integer]]/Working_Sales[[#This Row],[Quantity_Converted_To_Integer]]
)</f>
        <v>30</v>
      </c>
      <c r="AE730" t="s">
        <v>191</v>
      </c>
      <c r="AF730" s="2" t="str">
        <f>CLEAN(TRIM(Working_Sales[[#This Row],[Total Amount]]))</f>
        <v>90</v>
      </c>
      <c r="AG730" s="2">
        <f>INT(Working_Sales[[#This Row],[Total_Amount_Whitespace_Removed]])</f>
        <v>90</v>
      </c>
      <c r="AH73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731" spans="1:34" x14ac:dyDescent="0.35">
      <c r="A731" t="s">
        <v>1538</v>
      </c>
      <c r="B731" s="6" t="str">
        <f>CLEAN(TRIM(Working_Sales[[#This Row],[Transaction ID]]))</f>
        <v>876</v>
      </c>
      <c r="C731" t="s">
        <v>2144</v>
      </c>
      <c r="D731" s="2" t="str">
        <f>CLEAN(TRIM(Working_Sales[[#This Row],[Date]]))</f>
        <v>09-Oct-2023</v>
      </c>
      <c r="E73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45208</v>
      </c>
      <c r="F73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45208</v>
      </c>
      <c r="G73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45208</v>
      </c>
      <c r="H731" t="s">
        <v>2437</v>
      </c>
      <c r="I731" s="2" t="str">
        <f>CLEAN(TRIM(Working_Sales[[#This Row],[Customer ID]]))</f>
        <v>cust124</v>
      </c>
      <c r="J73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3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CUST124</v>
      </c>
      <c r="L731" t="s">
        <v>11</v>
      </c>
      <c r="M731" s="4" t="str">
        <f>CLEAN(TRIM(Working_Sales[[#This Row],[Gender]]))</f>
        <v>MALE</v>
      </c>
      <c r="N731" s="4" t="str" cm="1">
        <f t="array" ref="N731">_xlfn.SWITCH(
   Working_Sales[[#This Row],[Gender_Whitespace_Removed]],
   "m", "Male",
   "f", "Female",
   Working_Sales[[#This Row],[Gender_Whitespace_Removed]]
)</f>
        <v>MALE</v>
      </c>
      <c r="O731" s="6" t="str">
        <f>PROPER(Working_Sales[[#This Row],[Gender_Abbreviation_Expanded]])</f>
        <v>Male</v>
      </c>
      <c r="P731">
        <v>43</v>
      </c>
      <c r="Q731" s="2" t="str">
        <f>CLEAN(TRIM(Working_Sales[[#This Row],[Age]]))</f>
        <v>43</v>
      </c>
      <c r="R731" s="6">
        <f>INT(SUBSTITUTE(Working_Sales[[#This Row],[Age_Whitespace_Removed]],".",","))</f>
        <v>43</v>
      </c>
      <c r="S731" t="s">
        <v>56</v>
      </c>
      <c r="T731" s="2" t="str">
        <f>CLEAN(TRIM(Working_Sales[[#This Row],[Product Category]]))</f>
        <v>Clothing</v>
      </c>
      <c r="U731" s="6" t="str">
        <f>PROPER(Working_Sales[[#This Row],[Product_Category_Whitespace_Removed]])</f>
        <v>Clothing</v>
      </c>
      <c r="V731" t="s">
        <v>14</v>
      </c>
      <c r="W731" s="2" t="str">
        <f>CLEAN(TRIM(Working_Sales[[#This Row],[Quantity]]))</f>
        <v>4</v>
      </c>
      <c r="X731" s="2">
        <f>INT(Working_Sales[[#This Row],[`]])</f>
        <v>4</v>
      </c>
      <c r="Y731" s="6">
        <f>IFERROR(
   Working_Sales[[#This Row],[Quantity_Converted_To_Integer]],
   Working_Sales[[#This Row],[Total_Amount_Whitespace_Removed]]/Working_Sales[[#This Row],[Price_Per_Unit_Decimal_Separator_Fixed]])</f>
        <v>4</v>
      </c>
      <c r="Z731" t="s">
        <v>70</v>
      </c>
      <c r="AA731" s="2" t="str">
        <f>CLEAN(TRIM(Working_Sales[[#This Row],[Price per Unit]]))</f>
        <v>30</v>
      </c>
      <c r="AB731" s="2">
        <f>INT(
   SUBSTITUTE(Working_Sales[[#This Row],[Price_Per_Unit_Whitespace_Removed]],
   "$",
   ""
   )
)</f>
        <v>30</v>
      </c>
      <c r="AC731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731" s="8">
        <f>IFERROR(
   Working_Sales[[#This Row],[Price_Per_Unit_Decimal_Separator_Fixed]],
   Working_Sales[[#This Row],[Total_Amount_Converted_To_Integer]]/Working_Sales[[#This Row],[Quantity_Converted_To_Integer]]
)</f>
        <v>30</v>
      </c>
      <c r="AE731" t="s">
        <v>44</v>
      </c>
      <c r="AF731" s="2" t="str">
        <f>CLEAN(TRIM(Working_Sales[[#This Row],[Total Amount]]))</f>
        <v>120</v>
      </c>
      <c r="AG731" s="2">
        <f>INT(Working_Sales[[#This Row],[Total_Amount_Whitespace_Removed]])</f>
        <v>120</v>
      </c>
      <c r="AH73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732" spans="1:34" x14ac:dyDescent="0.35">
      <c r="A732" t="s">
        <v>1539</v>
      </c>
      <c r="B732" s="6" t="str">
        <f>CLEAN(TRIM(Working_Sales[[#This Row],[Transaction ID]]))</f>
        <v>947</v>
      </c>
      <c r="C732" t="s">
        <v>1540</v>
      </c>
      <c r="D732" s="2" t="str">
        <f>CLEAN(TRIM(Working_Sales[[#This Row],[Date]]))</f>
        <v>March 02, 2023</v>
      </c>
      <c r="E732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732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73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44987</v>
      </c>
      <c r="H732" t="s">
        <v>2923</v>
      </c>
      <c r="I732" s="2" t="str">
        <f>CLEAN(TRIM(Working_Sales[[#This Row],[Customer ID]]))</f>
        <v>CUST217</v>
      </c>
      <c r="J73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CUST217</v>
      </c>
      <c r="K73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CUST217</v>
      </c>
      <c r="L732" t="s">
        <v>20</v>
      </c>
      <c r="M732" s="4" t="str">
        <f>CLEAN(TRIM(Working_Sales[[#This Row],[Gender]]))</f>
        <v>male</v>
      </c>
      <c r="N732" s="4" t="str" cm="1">
        <f t="array" ref="N732">_xlfn.SWITCH(
   Working_Sales[[#This Row],[Gender_Whitespace_Removed]],
   "m", "Male",
   "f", "Female",
   Working_Sales[[#This Row],[Gender_Whitespace_Removed]]
)</f>
        <v>male</v>
      </c>
      <c r="O732" s="6" t="str">
        <f>PROPER(Working_Sales[[#This Row],[Gender_Abbreviation_Expanded]])</f>
        <v>Male</v>
      </c>
      <c r="P732">
        <v>50</v>
      </c>
      <c r="Q732" s="2" t="str">
        <f>CLEAN(TRIM(Working_Sales[[#This Row],[Age]]))</f>
        <v>50</v>
      </c>
      <c r="R732" s="6">
        <f>INT(SUBSTITUTE(Working_Sales[[#This Row],[Age_Whitespace_Removed]],".",","))</f>
        <v>50</v>
      </c>
      <c r="S732" t="s">
        <v>36</v>
      </c>
      <c r="T732" s="2" t="str">
        <f>CLEAN(TRIM(Working_Sales[[#This Row],[Product Category]]))</f>
        <v>Beauty</v>
      </c>
      <c r="U732" s="6" t="str">
        <f>PROPER(Working_Sales[[#This Row],[Product_Category_Whitespace_Removed]])</f>
        <v>Beauty</v>
      </c>
      <c r="V732" t="s">
        <v>22</v>
      </c>
      <c r="W732" s="2" t="str">
        <f>CLEAN(TRIM(Working_Sales[[#This Row],[Quantity]]))</f>
        <v>1</v>
      </c>
      <c r="X732" s="2">
        <f>INT(Working_Sales[[#This Row],[`]])</f>
        <v>1</v>
      </c>
      <c r="Y732" s="6">
        <f>IFERROR(
   Working_Sales[[#This Row],[Quantity_Converted_To_Integer]],
   Working_Sales[[#This Row],[Total_Amount_Whitespace_Removed]]/Working_Sales[[#This Row],[Price_Per_Unit_Decimal_Separator_Fixed]])</f>
        <v>1</v>
      </c>
      <c r="Z732" t="s">
        <v>23</v>
      </c>
      <c r="AA732" s="2" t="str">
        <f>CLEAN(TRIM(Working_Sales[[#This Row],[Price per Unit]]))</f>
        <v>300</v>
      </c>
      <c r="AB732" s="2">
        <f>INT(
   SUBSTITUTE(Working_Sales[[#This Row],[Price_Per_Unit_Whitespace_Removed]],
   "$",
   ""
   )
)</f>
        <v>300</v>
      </c>
      <c r="AC732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732" s="8">
        <f>IFERROR(
   Working_Sales[[#This Row],[Price_Per_Unit_Decimal_Separator_Fixed]],
   Working_Sales[[#This Row],[Total_Amount_Converted_To_Integer]]/Working_Sales[[#This Row],[Quantity_Converted_To_Integer]]
)</f>
        <v>300</v>
      </c>
      <c r="AE732" t="s">
        <v>23</v>
      </c>
      <c r="AF732" s="2" t="str">
        <f>CLEAN(TRIM(Working_Sales[[#This Row],[Total Amount]]))</f>
        <v>300</v>
      </c>
      <c r="AG732" s="2">
        <f>INT(Working_Sales[[#This Row],[Total_Amount_Whitespace_Removed]])</f>
        <v>300</v>
      </c>
      <c r="AH73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733" spans="1:34" x14ac:dyDescent="0.35">
      <c r="A733" t="s">
        <v>1541</v>
      </c>
      <c r="B733" s="6" t="str">
        <f>CLEAN(TRIM(Working_Sales[[#This Row],[Transaction ID]]))</f>
        <v>878</v>
      </c>
      <c r="C733" t="s">
        <v>2145</v>
      </c>
      <c r="D733" s="2" t="str">
        <f>CLEAN(TRIM(Working_Sales[[#This Row],[Date]]))</f>
        <v>30-Jun-2023</v>
      </c>
      <c r="E73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45107</v>
      </c>
      <c r="F73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45107</v>
      </c>
      <c r="G73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45107</v>
      </c>
      <c r="H733" t="s">
        <v>2924</v>
      </c>
      <c r="I733" s="2" t="str">
        <f>CLEAN(TRIM(Working_Sales[[#This Row],[Customer ID]]))</f>
        <v>CUST-438</v>
      </c>
      <c r="J73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3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CUST438</v>
      </c>
      <c r="L733" t="s">
        <v>46</v>
      </c>
      <c r="M733" s="4" t="str">
        <f>CLEAN(TRIM(Working_Sales[[#This Row],[Gender]]))</f>
        <v>F</v>
      </c>
      <c r="N733" s="4" t="str" cm="1">
        <f t="array" ref="N733">_xlfn.SWITCH(
   Working_Sales[[#This Row],[Gender_Whitespace_Removed]],
   "m", "Male",
   "f", "Female",
   Working_Sales[[#This Row],[Gender_Whitespace_Removed]]
)</f>
        <v>Female</v>
      </c>
      <c r="O733" s="6" t="str">
        <f>PROPER(Working_Sales[[#This Row],[Gender_Abbreviation_Expanded]])</f>
        <v>Female</v>
      </c>
      <c r="P733">
        <v>20</v>
      </c>
      <c r="Q733" s="2" t="str">
        <f>CLEAN(TRIM(Working_Sales[[#This Row],[Age]]))</f>
        <v>20</v>
      </c>
      <c r="R733" s="6">
        <f>INT(SUBSTITUTE(Working_Sales[[#This Row],[Age_Whitespace_Removed]],".",","))</f>
        <v>20</v>
      </c>
      <c r="S733" t="s">
        <v>56</v>
      </c>
      <c r="T733" s="2" t="str">
        <f>CLEAN(TRIM(Working_Sales[[#This Row],[Product Category]]))</f>
        <v>Clothing</v>
      </c>
      <c r="U733" s="6" t="str">
        <f>PROPER(Working_Sales[[#This Row],[Product_Category_Whitespace_Removed]])</f>
        <v>Clothing</v>
      </c>
      <c r="V733" t="s">
        <v>22</v>
      </c>
      <c r="W733" s="2" t="str">
        <f>CLEAN(TRIM(Working_Sales[[#This Row],[Quantity]]))</f>
        <v>1</v>
      </c>
      <c r="X733" s="2">
        <f>INT(Working_Sales[[#This Row],[`]])</f>
        <v>1</v>
      </c>
      <c r="Y733" s="6">
        <f>IFERROR(
   Working_Sales[[#This Row],[Quantity_Converted_To_Integer]],
   Working_Sales[[#This Row],[Total_Amount_Whitespace_Removed]]/Working_Sales[[#This Row],[Price_Per_Unit_Decimal_Separator_Fixed]])</f>
        <v>1</v>
      </c>
      <c r="Z733" t="s">
        <v>70</v>
      </c>
      <c r="AA733" s="2" t="str">
        <f>CLEAN(TRIM(Working_Sales[[#This Row],[Price per Unit]]))</f>
        <v>30</v>
      </c>
      <c r="AB733" s="2">
        <f>INT(
   SUBSTITUTE(Working_Sales[[#This Row],[Price_Per_Unit_Whitespace_Removed]],
   "$",
   ""
   )
)</f>
        <v>30</v>
      </c>
      <c r="AC733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733" s="8">
        <f>IFERROR(
   Working_Sales[[#This Row],[Price_Per_Unit_Decimal_Separator_Fixed]],
   Working_Sales[[#This Row],[Total_Amount_Converted_To_Integer]]/Working_Sales[[#This Row],[Quantity_Converted_To_Integer]]
)</f>
        <v>30</v>
      </c>
      <c r="AE733" t="s">
        <v>70</v>
      </c>
      <c r="AF733" s="2" t="str">
        <f>CLEAN(TRIM(Working_Sales[[#This Row],[Total Amount]]))</f>
        <v>30</v>
      </c>
      <c r="AG733" s="2">
        <f>INT(Working_Sales[[#This Row],[Total_Amount_Whitespace_Removed]])</f>
        <v>30</v>
      </c>
      <c r="AH73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734" spans="1:34" x14ac:dyDescent="0.35">
      <c r="A734" t="s">
        <v>1542</v>
      </c>
      <c r="B734" s="6" t="str">
        <f>CLEAN(TRIM(Working_Sales[[#This Row],[Transaction ID]]))</f>
        <v>736</v>
      </c>
      <c r="C734" t="s">
        <v>2146</v>
      </c>
      <c r="D734" s="2" t="str">
        <f>CLEAN(TRIM(Working_Sales[[#This Row],[Date]]))</f>
        <v>27/01/2023</v>
      </c>
      <c r="E73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44953</v>
      </c>
      <c r="F73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44953</v>
      </c>
      <c r="G73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44953</v>
      </c>
      <c r="H734" t="s">
        <v>2925</v>
      </c>
      <c r="I734" s="2" t="str">
        <f>CLEAN(TRIM(Working_Sales[[#This Row],[Customer ID]]))</f>
        <v>CUST433</v>
      </c>
      <c r="J73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3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CUST433</v>
      </c>
      <c r="L734" t="s">
        <v>34</v>
      </c>
      <c r="M734" s="4" t="str">
        <f>CLEAN(TRIM(Working_Sales[[#This Row],[Gender]]))</f>
        <v>Male</v>
      </c>
      <c r="N734" s="4" t="str" cm="1">
        <f t="array" ref="N734">_xlfn.SWITCH(
   Working_Sales[[#This Row],[Gender_Whitespace_Removed]],
   "m", "Male",
   "f", "Female",
   Working_Sales[[#This Row],[Gender_Whitespace_Removed]]
)</f>
        <v>Male</v>
      </c>
      <c r="O734" s="6" t="str">
        <f>PROPER(Working_Sales[[#This Row],[Gender_Abbreviation_Expanded]])</f>
        <v>Male</v>
      </c>
      <c r="P734">
        <v>29</v>
      </c>
      <c r="Q734" s="2" t="str">
        <f>CLEAN(TRIM(Working_Sales[[#This Row],[Age]]))</f>
        <v>29</v>
      </c>
      <c r="R734" s="6">
        <f>INT(SUBSTITUTE(Working_Sales[[#This Row],[Age_Whitespace_Removed]],".",","))</f>
        <v>29</v>
      </c>
      <c r="S734" t="s">
        <v>56</v>
      </c>
      <c r="T734" s="2" t="str">
        <f>CLEAN(TRIM(Working_Sales[[#This Row],[Product Category]]))</f>
        <v>Clothing</v>
      </c>
      <c r="U734" s="6" t="str">
        <f>PROPER(Working_Sales[[#This Row],[Product_Category_Whitespace_Removed]])</f>
        <v>Clothing</v>
      </c>
      <c r="V734" t="s">
        <v>14</v>
      </c>
      <c r="W734" s="2" t="str">
        <f>CLEAN(TRIM(Working_Sales[[#This Row],[Quantity]]))</f>
        <v>4</v>
      </c>
      <c r="X734" s="2">
        <f>INT(Working_Sales[[#This Row],[`]])</f>
        <v>4</v>
      </c>
      <c r="Y734" s="6">
        <f>IFERROR(
   Working_Sales[[#This Row],[Quantity_Converted_To_Integer]],
   Working_Sales[[#This Row],[Total_Amount_Whitespace_Removed]]/Working_Sales[[#This Row],[Price_Per_Unit_Decimal_Separator_Fixed]])</f>
        <v>4</v>
      </c>
      <c r="Z734" t="s">
        <v>30</v>
      </c>
      <c r="AA734" s="2" t="str">
        <f>CLEAN(TRIM(Working_Sales[[#This Row],[Price per Unit]]))</f>
        <v>25</v>
      </c>
      <c r="AB734" s="2">
        <f>INT(
   SUBSTITUTE(Working_Sales[[#This Row],[Price_Per_Unit_Whitespace_Removed]],
   "$",
   ""
   )
)</f>
        <v>25</v>
      </c>
      <c r="AC734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734" s="8">
        <f>IFERROR(
   Working_Sales[[#This Row],[Price_Per_Unit_Decimal_Separator_Fixed]],
   Working_Sales[[#This Row],[Total_Amount_Converted_To_Integer]]/Working_Sales[[#This Row],[Quantity_Converted_To_Integer]]
)</f>
        <v>25</v>
      </c>
      <c r="AE734" t="s">
        <v>38</v>
      </c>
      <c r="AF734" s="2" t="str">
        <f>CLEAN(TRIM(Working_Sales[[#This Row],[Total Amount]]))</f>
        <v>100</v>
      </c>
      <c r="AG734" s="2">
        <f>INT(Working_Sales[[#This Row],[Total_Amount_Whitespace_Removed]])</f>
        <v>100</v>
      </c>
      <c r="AH73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735" spans="1:34" x14ac:dyDescent="0.35">
      <c r="A735" t="s">
        <v>1543</v>
      </c>
      <c r="B735" s="6" t="str">
        <f>CLEAN(TRIM(Working_Sales[[#This Row],[Transaction ID]]))</f>
        <v>916</v>
      </c>
      <c r="C735" t="s">
        <v>1544</v>
      </c>
      <c r="D735" s="2" t="str">
        <f>CLEAN(TRIM(Working_Sales[[#This Row],[Date]]))</f>
        <v>2023-12-24</v>
      </c>
      <c r="E73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45284</v>
      </c>
      <c r="F73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45284</v>
      </c>
      <c r="G73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45284</v>
      </c>
      <c r="H735" t="s">
        <v>2926</v>
      </c>
      <c r="I735" s="2" t="str">
        <f>CLEAN(TRIM(Working_Sales[[#This Row],[Customer ID]]))</f>
        <v>CUST273</v>
      </c>
      <c r="J73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CUST273</v>
      </c>
      <c r="K73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CUST273</v>
      </c>
      <c r="L735" t="s">
        <v>26</v>
      </c>
      <c r="M735" s="4" t="str">
        <f>CLEAN(TRIM(Working_Sales[[#This Row],[Gender]]))</f>
        <v>Female</v>
      </c>
      <c r="N735" s="4" t="str" cm="1">
        <f t="array" ref="N735">_xlfn.SWITCH(
   Working_Sales[[#This Row],[Gender_Whitespace_Removed]],
   "m", "Male",
   "f", "Female",
   Working_Sales[[#This Row],[Gender_Whitespace_Removed]]
)</f>
        <v>Female</v>
      </c>
      <c r="O735" s="6" t="str">
        <f>PROPER(Working_Sales[[#This Row],[Gender_Abbreviation_Expanded]])</f>
        <v>Female</v>
      </c>
      <c r="P735">
        <v>32</v>
      </c>
      <c r="Q735" s="2" t="str">
        <f>CLEAN(TRIM(Working_Sales[[#This Row],[Age]]))</f>
        <v>32</v>
      </c>
      <c r="R735" s="6">
        <f>INT(SUBSTITUTE(Working_Sales[[#This Row],[Age_Whitespace_Removed]],".",","))</f>
        <v>32</v>
      </c>
      <c r="S735" t="s">
        <v>48</v>
      </c>
      <c r="T735" s="2" t="str">
        <f>CLEAN(TRIM(Working_Sales[[#This Row],[Product Category]]))</f>
        <v>electronics</v>
      </c>
      <c r="U735" s="6" t="str">
        <f>PROPER(Working_Sales[[#This Row],[Product_Category_Whitespace_Removed]])</f>
        <v>Electronics</v>
      </c>
      <c r="V735" t="s">
        <v>22</v>
      </c>
      <c r="W735" s="2" t="str">
        <f>CLEAN(TRIM(Working_Sales[[#This Row],[Quantity]]))</f>
        <v>1</v>
      </c>
      <c r="X735" s="2">
        <f>INT(Working_Sales[[#This Row],[`]])</f>
        <v>1</v>
      </c>
      <c r="Y735" s="6">
        <f>IFERROR(
   Working_Sales[[#This Row],[Quantity_Converted_To_Integer]],
   Working_Sales[[#This Row],[Total_Amount_Whitespace_Removed]]/Working_Sales[[#This Row],[Price_Per_Unit_Decimal_Separator_Fixed]])</f>
        <v>1</v>
      </c>
      <c r="Z735" t="s">
        <v>15</v>
      </c>
      <c r="AA735" s="2" t="str">
        <f>CLEAN(TRIM(Working_Sales[[#This Row],[Price per Unit]]))</f>
        <v>50</v>
      </c>
      <c r="AB735" s="2">
        <f>INT(
   SUBSTITUTE(Working_Sales[[#This Row],[Price_Per_Unit_Whitespace_Removed]],
   "$",
   ""
   )
)</f>
        <v>50</v>
      </c>
      <c r="AC735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735" s="8">
        <f>IFERROR(
   Working_Sales[[#This Row],[Price_Per_Unit_Decimal_Separator_Fixed]],
   Working_Sales[[#This Row],[Total_Amount_Converted_To_Integer]]/Working_Sales[[#This Row],[Quantity_Converted_To_Integer]]
)</f>
        <v>50</v>
      </c>
      <c r="AE735" t="s">
        <v>15</v>
      </c>
      <c r="AF735" s="2" t="str">
        <f>CLEAN(TRIM(Working_Sales[[#This Row],[Total Amount]]))</f>
        <v>50</v>
      </c>
      <c r="AG735" s="2">
        <f>INT(Working_Sales[[#This Row],[Total_Amount_Whitespace_Removed]])</f>
        <v>50</v>
      </c>
      <c r="AH73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736" spans="1:34" x14ac:dyDescent="0.35">
      <c r="A736" t="s">
        <v>1545</v>
      </c>
      <c r="B736" s="6" t="str">
        <f>CLEAN(TRIM(Working_Sales[[#This Row],[Transaction ID]]))</f>
        <v>491</v>
      </c>
      <c r="C736" t="s">
        <v>995</v>
      </c>
      <c r="D736" s="2" t="str">
        <f>CLEAN(TRIM(Working_Sales[[#This Row],[Date]]))</f>
        <v>2023-05-23</v>
      </c>
      <c r="E73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45069</v>
      </c>
      <c r="F73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45069</v>
      </c>
      <c r="G73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45069</v>
      </c>
      <c r="H736" t="s">
        <v>2927</v>
      </c>
      <c r="I736" s="2" t="str">
        <f>CLEAN(TRIM(Working_Sales[[#This Row],[Customer ID]]))</f>
        <v>CUST182</v>
      </c>
      <c r="J73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CUST182</v>
      </c>
      <c r="K73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CUST182</v>
      </c>
      <c r="L736" t="s">
        <v>26</v>
      </c>
      <c r="M736" s="4" t="str">
        <f>CLEAN(TRIM(Working_Sales[[#This Row],[Gender]]))</f>
        <v>Female</v>
      </c>
      <c r="N736" s="4" t="str" cm="1">
        <f t="array" ref="N736">_xlfn.SWITCH(
   Working_Sales[[#This Row],[Gender_Whitespace_Removed]],
   "m", "Male",
   "f", "Female",
   Working_Sales[[#This Row],[Gender_Whitespace_Removed]]
)</f>
        <v>Female</v>
      </c>
      <c r="O736" s="6" t="str">
        <f>PROPER(Working_Sales[[#This Row],[Gender_Abbreviation_Expanded]])</f>
        <v>Female</v>
      </c>
      <c r="P736">
        <v>60</v>
      </c>
      <c r="Q736" s="2" t="str">
        <f>CLEAN(TRIM(Working_Sales[[#This Row],[Age]]))</f>
        <v>60</v>
      </c>
      <c r="R736" s="6">
        <f>INT(SUBSTITUTE(Working_Sales[[#This Row],[Age_Whitespace_Removed]],".",","))</f>
        <v>60</v>
      </c>
      <c r="S736" t="s">
        <v>13</v>
      </c>
      <c r="T736" s="2" t="str">
        <f>CLEAN(TRIM(Working_Sales[[#This Row],[Product Category]]))</f>
        <v>Electronics</v>
      </c>
      <c r="U736" s="6" t="str">
        <f>PROPER(Working_Sales[[#This Row],[Product_Category_Whitespace_Removed]])</f>
        <v>Electronics</v>
      </c>
      <c r="V736" t="s">
        <v>29</v>
      </c>
      <c r="W736" s="2" t="str">
        <f>CLEAN(TRIM(Working_Sales[[#This Row],[Quantity]]))</f>
        <v>3</v>
      </c>
      <c r="X736" s="2">
        <f>INT(Working_Sales[[#This Row],[`]])</f>
        <v>3</v>
      </c>
      <c r="Y736" s="6">
        <f>IFERROR(
   Working_Sales[[#This Row],[Quantity_Converted_To_Integer]],
   Working_Sales[[#This Row],[Total_Amount_Whitespace_Removed]]/Working_Sales[[#This Row],[Price_Per_Unit_Decimal_Separator_Fixed]])</f>
        <v>3</v>
      </c>
      <c r="Z736" t="s">
        <v>23</v>
      </c>
      <c r="AA736" s="2" t="str">
        <f>CLEAN(TRIM(Working_Sales[[#This Row],[Price per Unit]]))</f>
        <v>300</v>
      </c>
      <c r="AB736" s="2">
        <f>INT(
   SUBSTITUTE(Working_Sales[[#This Row],[Price_Per_Unit_Whitespace_Removed]],
   "$",
   ""
   )
)</f>
        <v>300</v>
      </c>
      <c r="AC736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736" s="8">
        <f>IFERROR(
   Working_Sales[[#This Row],[Price_Per_Unit_Decimal_Separator_Fixed]],
   Working_Sales[[#This Row],[Total_Amount_Converted_To_Integer]]/Working_Sales[[#This Row],[Quantity_Converted_To_Integer]]
)</f>
        <v>300</v>
      </c>
      <c r="AE736" t="s">
        <v>128</v>
      </c>
      <c r="AF736" s="2" t="str">
        <f>CLEAN(TRIM(Working_Sales[[#This Row],[Total Amount]]))</f>
        <v>900</v>
      </c>
      <c r="AG736" s="2">
        <f>INT(Working_Sales[[#This Row],[Total_Amount_Whitespace_Removed]])</f>
        <v>900</v>
      </c>
      <c r="AH73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737" spans="1:34" x14ac:dyDescent="0.35">
      <c r="A737" t="s">
        <v>1546</v>
      </c>
      <c r="B737" s="6" t="str">
        <f>CLEAN(TRIM(Working_Sales[[#This Row],[Transaction ID]]))</f>
        <v>851</v>
      </c>
      <c r="C737" t="s">
        <v>1706</v>
      </c>
      <c r="D737" s="2" t="str">
        <f>CLEAN(TRIM(Working_Sales[[#This Row],[Date]]))</f>
        <v>September 08, 2023</v>
      </c>
      <c r="E737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737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73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45177</v>
      </c>
      <c r="H737" t="s">
        <v>2929</v>
      </c>
      <c r="I737" s="2" t="str">
        <f>CLEAN(TRIM(Working_Sales[[#This Row],[Customer ID]]))</f>
        <v>cust439</v>
      </c>
      <c r="J73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3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CUST439</v>
      </c>
      <c r="L737" t="s">
        <v>34</v>
      </c>
      <c r="M737" s="4" t="str">
        <f>CLEAN(TRIM(Working_Sales[[#This Row],[Gender]]))</f>
        <v>Male</v>
      </c>
      <c r="N737" s="4" t="str" cm="1">
        <f t="array" ref="N737">_xlfn.SWITCH(
   Working_Sales[[#This Row],[Gender_Whitespace_Removed]],
   "m", "Male",
   "f", "Female",
   Working_Sales[[#This Row],[Gender_Whitespace_Removed]]
)</f>
        <v>Male</v>
      </c>
      <c r="O737" s="6" t="str">
        <f>PROPER(Working_Sales[[#This Row],[Gender_Abbreviation_Expanded]])</f>
        <v>Male</v>
      </c>
      <c r="P737">
        <v>32</v>
      </c>
      <c r="Q737" s="2" t="str">
        <f>CLEAN(TRIM(Working_Sales[[#This Row],[Age]]))</f>
        <v>32</v>
      </c>
      <c r="R737" s="6">
        <f>INT(SUBSTITUTE(Working_Sales[[#This Row],[Age_Whitespace_Removed]],".",","))</f>
        <v>32</v>
      </c>
      <c r="S737" t="s">
        <v>13</v>
      </c>
      <c r="T737" s="2" t="str">
        <f>CLEAN(TRIM(Working_Sales[[#This Row],[Product Category]]))</f>
        <v>Electronics</v>
      </c>
      <c r="U737" s="6" t="str">
        <f>PROPER(Working_Sales[[#This Row],[Product_Category_Whitespace_Removed]])</f>
        <v>Electronics</v>
      </c>
      <c r="V737" t="s">
        <v>37</v>
      </c>
      <c r="W737" s="2" t="str">
        <f>CLEAN(TRIM(Working_Sales[[#This Row],[Quantity]]))</f>
        <v>2</v>
      </c>
      <c r="X737" s="2">
        <f>INT(Working_Sales[[#This Row],[`]])</f>
        <v>2</v>
      </c>
      <c r="Y737" s="6">
        <f>IFERROR(
   Working_Sales[[#This Row],[Quantity_Converted_To_Integer]],
   Working_Sales[[#This Row],[Total_Amount_Whitespace_Removed]]/Working_Sales[[#This Row],[Price_Per_Unit_Decimal_Separator_Fixed]])</f>
        <v>2</v>
      </c>
      <c r="Z737" t="s">
        <v>30</v>
      </c>
      <c r="AA737" s="2" t="str">
        <f>CLEAN(TRIM(Working_Sales[[#This Row],[Price per Unit]]))</f>
        <v>25</v>
      </c>
      <c r="AB737" s="2">
        <f>INT(
   SUBSTITUTE(Working_Sales[[#This Row],[Price_Per_Unit_Whitespace_Removed]],
   "$",
   ""
   )
)</f>
        <v>25</v>
      </c>
      <c r="AC737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737" s="8">
        <f>IFERROR(
   Working_Sales[[#This Row],[Price_Per_Unit_Decimal_Separator_Fixed]],
   Working_Sales[[#This Row],[Total_Amount_Converted_To_Integer]]/Working_Sales[[#This Row],[Quantity_Converted_To_Integer]]
)</f>
        <v>25</v>
      </c>
      <c r="AE737" t="s">
        <v>15</v>
      </c>
      <c r="AF737" s="2" t="str">
        <f>CLEAN(TRIM(Working_Sales[[#This Row],[Total Amount]]))</f>
        <v>50</v>
      </c>
      <c r="AG737" s="2">
        <f>INT(Working_Sales[[#This Row],[Total_Amount_Whitespace_Removed]])</f>
        <v>50</v>
      </c>
      <c r="AH73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738" spans="1:34" x14ac:dyDescent="0.35">
      <c r="A738" t="s">
        <v>1548</v>
      </c>
      <c r="B738" s="6" t="str">
        <f>CLEAN(TRIM(Working_Sales[[#This Row],[Transaction ID]]))</f>
        <v>606</v>
      </c>
      <c r="C738" t="s">
        <v>467</v>
      </c>
      <c r="D738" s="2" t="str">
        <f>CLEAN(TRIM(Working_Sales[[#This Row],[Date]]))</f>
        <v>05-May-2023</v>
      </c>
      <c r="E73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45051</v>
      </c>
      <c r="F73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45051</v>
      </c>
      <c r="G73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45051</v>
      </c>
      <c r="H738" t="s">
        <v>2930</v>
      </c>
      <c r="I738" s="2" t="str">
        <f>CLEAN(TRIM(Working_Sales[[#This Row],[Customer ID]]))</f>
        <v>CUST140</v>
      </c>
      <c r="J73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CUST140</v>
      </c>
      <c r="K73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CUST140</v>
      </c>
      <c r="L738" t="s">
        <v>34</v>
      </c>
      <c r="M738" s="4" t="str">
        <f>CLEAN(TRIM(Working_Sales[[#This Row],[Gender]]))</f>
        <v>Male</v>
      </c>
      <c r="N738" s="4" t="str" cm="1">
        <f t="array" ref="N738">_xlfn.SWITCH(
   Working_Sales[[#This Row],[Gender_Whitespace_Removed]],
   "m", "Male",
   "f", "Female",
   Working_Sales[[#This Row],[Gender_Whitespace_Removed]]
)</f>
        <v>Male</v>
      </c>
      <c r="O738" s="6" t="str">
        <f>PROPER(Working_Sales[[#This Row],[Gender_Abbreviation_Expanded]])</f>
        <v>Male</v>
      </c>
      <c r="P738">
        <v>22</v>
      </c>
      <c r="Q738" s="2" t="str">
        <f>CLEAN(TRIM(Working_Sales[[#This Row],[Age]]))</f>
        <v>22</v>
      </c>
      <c r="R738" s="6">
        <f>INT(SUBSTITUTE(Working_Sales[[#This Row],[Age_Whitespace_Removed]],".",","))</f>
        <v>22</v>
      </c>
      <c r="S738" t="s">
        <v>13</v>
      </c>
      <c r="T738" s="2" t="str">
        <f>CLEAN(TRIM(Working_Sales[[#This Row],[Product Category]]))</f>
        <v>Electronics</v>
      </c>
      <c r="U738" s="6" t="str">
        <f>PROPER(Working_Sales[[#This Row],[Product_Category_Whitespace_Removed]])</f>
        <v>Electronics</v>
      </c>
      <c r="V738" t="s">
        <v>22</v>
      </c>
      <c r="W738" s="2" t="str">
        <f>CLEAN(TRIM(Working_Sales[[#This Row],[Quantity]]))</f>
        <v>1</v>
      </c>
      <c r="X738" s="2">
        <f>INT(Working_Sales[[#This Row],[`]])</f>
        <v>1</v>
      </c>
      <c r="Y738" s="6">
        <f>IFERROR(
   Working_Sales[[#This Row],[Quantity_Converted_To_Integer]],
   Working_Sales[[#This Row],[Total_Amount_Whitespace_Removed]]/Working_Sales[[#This Row],[Price_Per_Unit_Decimal_Separator_Fixed]])</f>
        <v>1</v>
      </c>
      <c r="Z738" t="s">
        <v>15</v>
      </c>
      <c r="AA738" s="2" t="str">
        <f>CLEAN(TRIM(Working_Sales[[#This Row],[Price per Unit]]))</f>
        <v>50</v>
      </c>
      <c r="AB738" s="2">
        <f>INT(
   SUBSTITUTE(Working_Sales[[#This Row],[Price_Per_Unit_Whitespace_Removed]],
   "$",
   ""
   )
)</f>
        <v>50</v>
      </c>
      <c r="AC738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738" s="8">
        <f>IFERROR(
   Working_Sales[[#This Row],[Price_Per_Unit_Decimal_Separator_Fixed]],
   Working_Sales[[#This Row],[Total_Amount_Converted_To_Integer]]/Working_Sales[[#This Row],[Quantity_Converted_To_Integer]]
)</f>
        <v>50</v>
      </c>
      <c r="AE738" t="s">
        <v>15</v>
      </c>
      <c r="AF738" s="2" t="str">
        <f>CLEAN(TRIM(Working_Sales[[#This Row],[Total Amount]]))</f>
        <v>50</v>
      </c>
      <c r="AG738" s="2">
        <f>INT(Working_Sales[[#This Row],[Total_Amount_Whitespace_Removed]])</f>
        <v>50</v>
      </c>
      <c r="AH73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739" spans="1:34" x14ac:dyDescent="0.35">
      <c r="A739" t="s">
        <v>1549</v>
      </c>
      <c r="B739" s="6" t="str">
        <f>CLEAN(TRIM(Working_Sales[[#This Row],[Transaction ID]]))</f>
        <v>364</v>
      </c>
      <c r="C739" t="s">
        <v>1550</v>
      </c>
      <c r="D739" s="2" t="str">
        <f>CLEAN(TRIM(Working_Sales[[#This Row],[Date]]))</f>
        <v>23/08/2023</v>
      </c>
      <c r="E73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45161</v>
      </c>
      <c r="F73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45161</v>
      </c>
      <c r="G73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45161</v>
      </c>
      <c r="H739" t="s">
        <v>2931</v>
      </c>
      <c r="I739" s="2" t="str">
        <f>CLEAN(TRIM(Working_Sales[[#This Row],[Customer ID]]))</f>
        <v>CUST078</v>
      </c>
      <c r="J73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CUST078</v>
      </c>
      <c r="K73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CUST078</v>
      </c>
      <c r="L739" t="s">
        <v>26</v>
      </c>
      <c r="M739" s="4" t="str">
        <f>CLEAN(TRIM(Working_Sales[[#This Row],[Gender]]))</f>
        <v>Female</v>
      </c>
      <c r="N739" s="4" t="str" cm="1">
        <f t="array" ref="N739">_xlfn.SWITCH(
   Working_Sales[[#This Row],[Gender_Whitespace_Removed]],
   "m", "Male",
   "f", "Female",
   Working_Sales[[#This Row],[Gender_Whitespace_Removed]]
)</f>
        <v>Female</v>
      </c>
      <c r="O739" s="6" t="str">
        <f>PROPER(Working_Sales[[#This Row],[Gender_Abbreviation_Expanded]])</f>
        <v>Female</v>
      </c>
      <c r="P739" t="s">
        <v>924</v>
      </c>
      <c r="Q739" s="2" t="str">
        <f>CLEAN(TRIM(Working_Sales[[#This Row],[Age]]))</f>
        <v>19</v>
      </c>
      <c r="R739" s="6">
        <f>INT(SUBSTITUTE(Working_Sales[[#This Row],[Age_Whitespace_Removed]],".",","))</f>
        <v>19</v>
      </c>
      <c r="S739" t="s">
        <v>36</v>
      </c>
      <c r="T739" s="2" t="str">
        <f>CLEAN(TRIM(Working_Sales[[#This Row],[Product Category]]))</f>
        <v>Beauty</v>
      </c>
      <c r="U739" s="6" t="str">
        <f>PROPER(Working_Sales[[#This Row],[Product_Category_Whitespace_Removed]])</f>
        <v>Beauty</v>
      </c>
      <c r="V739" t="s">
        <v>22</v>
      </c>
      <c r="W739" s="2" t="str">
        <f>CLEAN(TRIM(Working_Sales[[#This Row],[Quantity]]))</f>
        <v>1</v>
      </c>
      <c r="X739" s="2">
        <f>INT(Working_Sales[[#This Row],[`]])</f>
        <v>1</v>
      </c>
      <c r="Y739" s="6">
        <f>IFERROR(
   Working_Sales[[#This Row],[Quantity_Converted_To_Integer]],
   Working_Sales[[#This Row],[Total_Amount_Whitespace_Removed]]/Working_Sales[[#This Row],[Price_Per_Unit_Decimal_Separator_Fixed]])</f>
        <v>1</v>
      </c>
      <c r="Z739" t="s">
        <v>57</v>
      </c>
      <c r="AA739" s="2" t="str">
        <f>CLEAN(TRIM(Working_Sales[[#This Row],[Price per Unit]]))</f>
        <v>500</v>
      </c>
      <c r="AB739" s="2">
        <f>INT(
   SUBSTITUTE(Working_Sales[[#This Row],[Price_Per_Unit_Whitespace_Removed]],
   "$",
   ""
   )
)</f>
        <v>500</v>
      </c>
      <c r="AC739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739" s="8">
        <f>IFERROR(
   Working_Sales[[#This Row],[Price_Per_Unit_Decimal_Separator_Fixed]],
   Working_Sales[[#This Row],[Total_Amount_Converted_To_Integer]]/Working_Sales[[#This Row],[Quantity_Converted_To_Integer]]
)</f>
        <v>500</v>
      </c>
      <c r="AE739" t="s">
        <v>57</v>
      </c>
      <c r="AF739" s="2" t="str">
        <f>CLEAN(TRIM(Working_Sales[[#This Row],[Total Amount]]))</f>
        <v>500</v>
      </c>
      <c r="AG739" s="2">
        <f>INT(Working_Sales[[#This Row],[Total_Amount_Whitespace_Removed]])</f>
        <v>500</v>
      </c>
      <c r="AH73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740" spans="1:34" x14ac:dyDescent="0.35">
      <c r="A740" t="s">
        <v>1552</v>
      </c>
      <c r="B740" s="6" t="str">
        <f>CLEAN(TRIM(Working_Sales[[#This Row],[Transaction ID]]))</f>
        <v>70</v>
      </c>
      <c r="C740" t="s">
        <v>1553</v>
      </c>
      <c r="D740" s="2" t="str">
        <f>CLEAN(TRIM(Working_Sales[[#This Row],[Date]]))</f>
        <v>2023-02-21</v>
      </c>
      <c r="E74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44978</v>
      </c>
      <c r="F74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44978</v>
      </c>
      <c r="G74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44978</v>
      </c>
      <c r="H740" t="s">
        <v>2932</v>
      </c>
      <c r="I740" s="2" t="str">
        <f>CLEAN(TRIM(Working_Sales[[#This Row],[Customer ID]]))</f>
        <v>Cust440</v>
      </c>
      <c r="J74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4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CUST440</v>
      </c>
      <c r="L740" t="s">
        <v>26</v>
      </c>
      <c r="M740" s="4" t="str">
        <f>CLEAN(TRIM(Working_Sales[[#This Row],[Gender]]))</f>
        <v>Female</v>
      </c>
      <c r="N740" s="4" t="str" cm="1">
        <f t="array" ref="N740">_xlfn.SWITCH(
   Working_Sales[[#This Row],[Gender_Whitespace_Removed]],
   "m", "Male",
   "f", "Female",
   Working_Sales[[#This Row],[Gender_Whitespace_Removed]]
)</f>
        <v>Female</v>
      </c>
      <c r="O740" s="6" t="str">
        <f>PROPER(Working_Sales[[#This Row],[Gender_Abbreviation_Expanded]])</f>
        <v>Female</v>
      </c>
      <c r="P740" t="s">
        <v>251</v>
      </c>
      <c r="Q740" s="2" t="str">
        <f>CLEAN(TRIM(Working_Sales[[#This Row],[Age]]))</f>
        <v>43.0</v>
      </c>
      <c r="R740" s="6">
        <f>INT(SUBSTITUTE(Working_Sales[[#This Row],[Age_Whitespace_Removed]],".",","))</f>
        <v>43</v>
      </c>
      <c r="S740" t="s">
        <v>56</v>
      </c>
      <c r="T740" s="2" t="str">
        <f>CLEAN(TRIM(Working_Sales[[#This Row],[Product Category]]))</f>
        <v>Clothing</v>
      </c>
      <c r="U740" s="6" t="str">
        <f>PROPER(Working_Sales[[#This Row],[Product_Category_Whitespace_Removed]])</f>
        <v>Clothing</v>
      </c>
      <c r="V740" t="s">
        <v>22</v>
      </c>
      <c r="W740" s="2" t="str">
        <f>CLEAN(TRIM(Working_Sales[[#This Row],[Quantity]]))</f>
        <v>1</v>
      </c>
      <c r="X740" s="2">
        <f>INT(Working_Sales[[#This Row],[`]])</f>
        <v>1</v>
      </c>
      <c r="Y740" s="6">
        <f>IFERROR(
   Working_Sales[[#This Row],[Quantity_Converted_To_Integer]],
   Working_Sales[[#This Row],[Total_Amount_Whitespace_Removed]]/Working_Sales[[#This Row],[Price_Per_Unit_Decimal_Separator_Fixed]])</f>
        <v>1</v>
      </c>
      <c r="Z740" t="s">
        <v>23</v>
      </c>
      <c r="AA740" s="2" t="str">
        <f>CLEAN(TRIM(Working_Sales[[#This Row],[Price per Unit]]))</f>
        <v>300</v>
      </c>
      <c r="AB740" s="2">
        <f>INT(
   SUBSTITUTE(Working_Sales[[#This Row],[Price_Per_Unit_Whitespace_Removed]],
   "$",
   ""
   )
)</f>
        <v>300</v>
      </c>
      <c r="AC740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740" s="8">
        <f>IFERROR(
   Working_Sales[[#This Row],[Price_Per_Unit_Decimal_Separator_Fixed]],
   Working_Sales[[#This Row],[Total_Amount_Converted_To_Integer]]/Working_Sales[[#This Row],[Quantity_Converted_To_Integer]]
)</f>
        <v>300</v>
      </c>
      <c r="AE740" t="s">
        <v>23</v>
      </c>
      <c r="AF740" s="2" t="str">
        <f>CLEAN(TRIM(Working_Sales[[#This Row],[Total Amount]]))</f>
        <v>300</v>
      </c>
      <c r="AG740" s="2">
        <f>INT(Working_Sales[[#This Row],[Total_Amount_Whitespace_Removed]])</f>
        <v>300</v>
      </c>
      <c r="AH74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741" spans="1:34" x14ac:dyDescent="0.35">
      <c r="A741" t="s">
        <v>1554</v>
      </c>
      <c r="B741" s="6" t="str">
        <f>CLEAN(TRIM(Working_Sales[[#This Row],[Transaction ID]]))</f>
        <v>549</v>
      </c>
      <c r="C741" t="s">
        <v>299</v>
      </c>
      <c r="D741" s="2" t="str">
        <f>CLEAN(TRIM(Working_Sales[[#This Row],[Date]]))</f>
        <v>04-Aug-2023</v>
      </c>
      <c r="E74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45142</v>
      </c>
      <c r="F74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45142</v>
      </c>
      <c r="G74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45142</v>
      </c>
      <c r="H741" t="s">
        <v>2933</v>
      </c>
      <c r="I741" s="2" t="str">
        <f>CLEAN(TRIM(Working_Sales[[#This Row],[Customer ID]]))</f>
        <v>Cust441</v>
      </c>
      <c r="J74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4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CUST441</v>
      </c>
      <c r="L741" t="s">
        <v>26</v>
      </c>
      <c r="M741" s="4" t="str">
        <f>CLEAN(TRIM(Working_Sales[[#This Row],[Gender]]))</f>
        <v>Female</v>
      </c>
      <c r="N741" s="4" t="str" cm="1">
        <f t="array" ref="N741">_xlfn.SWITCH(
   Working_Sales[[#This Row],[Gender_Whitespace_Removed]],
   "m", "Male",
   "f", "Female",
   Working_Sales[[#This Row],[Gender_Whitespace_Removed]]
)</f>
        <v>Female</v>
      </c>
      <c r="O741" s="6" t="str">
        <f>PROPER(Working_Sales[[#This Row],[Gender_Abbreviation_Expanded]])</f>
        <v>Female</v>
      </c>
      <c r="P741">
        <v>50</v>
      </c>
      <c r="Q741" s="2" t="str">
        <f>CLEAN(TRIM(Working_Sales[[#This Row],[Age]]))</f>
        <v>50</v>
      </c>
      <c r="R741" s="6">
        <f>INT(SUBSTITUTE(Working_Sales[[#This Row],[Age_Whitespace_Removed]],".",","))</f>
        <v>50</v>
      </c>
      <c r="S741" t="s">
        <v>36</v>
      </c>
      <c r="T741" s="2" t="str">
        <f>CLEAN(TRIM(Working_Sales[[#This Row],[Product Category]]))</f>
        <v>Beauty</v>
      </c>
      <c r="U741" s="6" t="str">
        <f>PROPER(Working_Sales[[#This Row],[Product_Category_Whitespace_Removed]])</f>
        <v>Beauty</v>
      </c>
      <c r="V741" t="s">
        <v>37</v>
      </c>
      <c r="W741" s="2" t="str">
        <f>CLEAN(TRIM(Working_Sales[[#This Row],[Quantity]]))</f>
        <v>2</v>
      </c>
      <c r="X741" s="2">
        <f>INT(Working_Sales[[#This Row],[`]])</f>
        <v>2</v>
      </c>
      <c r="Y741" s="6">
        <f>IFERROR(
   Working_Sales[[#This Row],[Quantity_Converted_To_Integer]],
   Working_Sales[[#This Row],[Total_Amount_Whitespace_Removed]]/Working_Sales[[#This Row],[Price_Per_Unit_Decimal_Separator_Fixed]])</f>
        <v>2</v>
      </c>
      <c r="Z741" t="s">
        <v>15</v>
      </c>
      <c r="AA741" s="2" t="str">
        <f>CLEAN(TRIM(Working_Sales[[#This Row],[Price per Unit]]))</f>
        <v>50</v>
      </c>
      <c r="AB741" s="2">
        <f>INT(
   SUBSTITUTE(Working_Sales[[#This Row],[Price_Per_Unit_Whitespace_Removed]],
   "$",
   ""
   )
)</f>
        <v>50</v>
      </c>
      <c r="AC741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741" s="8">
        <f>IFERROR(
   Working_Sales[[#This Row],[Price_Per_Unit_Decimal_Separator_Fixed]],
   Working_Sales[[#This Row],[Total_Amount_Converted_To_Integer]]/Working_Sales[[#This Row],[Quantity_Converted_To_Integer]]
)</f>
        <v>50</v>
      </c>
      <c r="AE741" t="s">
        <v>38</v>
      </c>
      <c r="AF741" s="2" t="str">
        <f>CLEAN(TRIM(Working_Sales[[#This Row],[Total Amount]]))</f>
        <v>100</v>
      </c>
      <c r="AG741" s="2">
        <f>INT(Working_Sales[[#This Row],[Total_Amount_Whitespace_Removed]])</f>
        <v>100</v>
      </c>
      <c r="AH74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742" spans="1:34" x14ac:dyDescent="0.35">
      <c r="A742" t="s">
        <v>1555</v>
      </c>
      <c r="B742" s="6" t="str">
        <f>CLEAN(TRIM(Working_Sales[[#This Row],[Transaction ID]]))</f>
        <v>161</v>
      </c>
      <c r="C742" t="s">
        <v>1143</v>
      </c>
      <c r="D742" s="2" t="str">
        <f>CLEAN(TRIM(Working_Sales[[#This Row],[Date]]))</f>
        <v>2023-03-22</v>
      </c>
      <c r="E74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45007</v>
      </c>
      <c r="F74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45007</v>
      </c>
      <c r="G74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45007</v>
      </c>
      <c r="H742" t="s">
        <v>2934</v>
      </c>
      <c r="I742" s="2" t="str">
        <f>CLEAN(TRIM(Working_Sales[[#This Row],[Customer ID]]))</f>
        <v>cust405</v>
      </c>
      <c r="J74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4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CUST405</v>
      </c>
      <c r="L742" t="s">
        <v>11</v>
      </c>
      <c r="M742" s="4" t="str">
        <f>CLEAN(TRIM(Working_Sales[[#This Row],[Gender]]))</f>
        <v>MALE</v>
      </c>
      <c r="N742" s="4" t="str" cm="1">
        <f t="array" ref="N742">_xlfn.SWITCH(
   Working_Sales[[#This Row],[Gender_Whitespace_Removed]],
   "m", "Male",
   "f", "Female",
   Working_Sales[[#This Row],[Gender_Whitespace_Removed]]
)</f>
        <v>MALE</v>
      </c>
      <c r="O742" s="6" t="str">
        <f>PROPER(Working_Sales[[#This Row],[Gender_Abbreviation_Expanded]])</f>
        <v>Male</v>
      </c>
      <c r="P742">
        <v>64</v>
      </c>
      <c r="Q742" s="2" t="str">
        <f>CLEAN(TRIM(Working_Sales[[#This Row],[Age]]))</f>
        <v>64</v>
      </c>
      <c r="R742" s="6">
        <f>INT(SUBSTITUTE(Working_Sales[[#This Row],[Age_Whitespace_Removed]],".",","))</f>
        <v>64</v>
      </c>
      <c r="S742" t="s">
        <v>434</v>
      </c>
      <c r="T742" s="2" t="str">
        <f>CLEAN(TRIM(Working_Sales[[#This Row],[Product Category]]))</f>
        <v>Beauty</v>
      </c>
      <c r="U742" s="6" t="str">
        <f>PROPER(Working_Sales[[#This Row],[Product_Category_Whitespace_Removed]])</f>
        <v>Beauty</v>
      </c>
      <c r="V742" t="s">
        <v>37</v>
      </c>
      <c r="W742" s="2" t="str">
        <f>CLEAN(TRIM(Working_Sales[[#This Row],[Quantity]]))</f>
        <v>2</v>
      </c>
      <c r="X742" s="2">
        <f>INT(Working_Sales[[#This Row],[`]])</f>
        <v>2</v>
      </c>
      <c r="Y742" s="6">
        <f>IFERROR(
   Working_Sales[[#This Row],[Quantity_Converted_To_Integer]],
   Working_Sales[[#This Row],[Total_Amount_Whitespace_Removed]]/Working_Sales[[#This Row],[Price_Per_Unit_Decimal_Separator_Fixed]])</f>
        <v>2</v>
      </c>
      <c r="Z742" t="s">
        <v>162</v>
      </c>
      <c r="AA742" s="2" t="str">
        <f>CLEAN(TRIM(Working_Sales[[#This Row],[Price per Unit]]))</f>
        <v>$500</v>
      </c>
      <c r="AB742" s="2">
        <f>INT(
   SUBSTITUTE(Working_Sales[[#This Row],[Price_Per_Unit_Whitespace_Removed]],
   "$",
   ""
   )
)</f>
        <v>500</v>
      </c>
      <c r="AC742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742" s="8">
        <f>IFERROR(
   Working_Sales[[#This Row],[Price_Per_Unit_Decimal_Separator_Fixed]],
   Working_Sales[[#This Row],[Total_Amount_Converted_To_Integer]]/Working_Sales[[#This Row],[Quantity_Converted_To_Integer]]
)</f>
        <v>500</v>
      </c>
      <c r="AE742" t="s">
        <v>163</v>
      </c>
      <c r="AF742" s="2" t="str">
        <f>CLEAN(TRIM(Working_Sales[[#This Row],[Total Amount]]))</f>
        <v>1000</v>
      </c>
      <c r="AG742" s="2">
        <f>INT(Working_Sales[[#This Row],[Total_Amount_Whitespace_Removed]])</f>
        <v>1000</v>
      </c>
      <c r="AH74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743" spans="1:34" x14ac:dyDescent="0.35">
      <c r="A743" t="s">
        <v>1557</v>
      </c>
      <c r="B743" s="6" t="str">
        <f>CLEAN(TRIM(Working_Sales[[#This Row],[Transaction ID]]))</f>
        <v>12</v>
      </c>
      <c r="C743" t="s">
        <v>1558</v>
      </c>
      <c r="D743" s="2" t="str">
        <f>CLEAN(TRIM(Working_Sales[[#This Row],[Date]]))</f>
        <v>30/10/2023</v>
      </c>
      <c r="E74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45229</v>
      </c>
      <c r="F74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45229</v>
      </c>
      <c r="G74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45229</v>
      </c>
      <c r="H743" t="s">
        <v>2935</v>
      </c>
      <c r="I743" s="2" t="str">
        <f>CLEAN(TRIM(Working_Sales[[#This Row],[Customer ID]]))</f>
        <v>Cust259</v>
      </c>
      <c r="J74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4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CUST259</v>
      </c>
      <c r="L743" t="s">
        <v>20</v>
      </c>
      <c r="M743" s="4" t="str">
        <f>CLEAN(TRIM(Working_Sales[[#This Row],[Gender]]))</f>
        <v>male</v>
      </c>
      <c r="N743" s="4" t="str" cm="1">
        <f t="array" ref="N743">_xlfn.SWITCH(
   Working_Sales[[#This Row],[Gender_Whitespace_Removed]],
   "m", "Male",
   "f", "Female",
   Working_Sales[[#This Row],[Gender_Whitespace_Removed]]
)</f>
        <v>male</v>
      </c>
      <c r="O743" s="6" t="str">
        <f>PROPER(Working_Sales[[#This Row],[Gender_Abbreviation_Expanded]])</f>
        <v>Male</v>
      </c>
      <c r="P743">
        <v>35</v>
      </c>
      <c r="Q743" s="2" t="str">
        <f>CLEAN(TRIM(Working_Sales[[#This Row],[Age]]))</f>
        <v>35</v>
      </c>
      <c r="R743" s="6">
        <f>INT(SUBSTITUTE(Working_Sales[[#This Row],[Age_Whitespace_Removed]],".",","))</f>
        <v>35</v>
      </c>
      <c r="S743" t="s">
        <v>36</v>
      </c>
      <c r="T743" s="2" t="str">
        <f>CLEAN(TRIM(Working_Sales[[#This Row],[Product Category]]))</f>
        <v>Beauty</v>
      </c>
      <c r="U743" s="6" t="str">
        <f>PROPER(Working_Sales[[#This Row],[Product_Category_Whitespace_Removed]])</f>
        <v>Beauty</v>
      </c>
      <c r="V743" t="s">
        <v>29</v>
      </c>
      <c r="W743" s="2" t="str">
        <f>CLEAN(TRIM(Working_Sales[[#This Row],[Quantity]]))</f>
        <v>3</v>
      </c>
      <c r="X743" s="2">
        <f>INT(Working_Sales[[#This Row],[`]])</f>
        <v>3</v>
      </c>
      <c r="Y743" s="6">
        <f>IFERROR(
   Working_Sales[[#This Row],[Quantity_Converted_To_Integer]],
   Working_Sales[[#This Row],[Total_Amount_Whitespace_Removed]]/Working_Sales[[#This Row],[Price_Per_Unit_Decimal_Separator_Fixed]])</f>
        <v>3</v>
      </c>
      <c r="Z743" t="s">
        <v>30</v>
      </c>
      <c r="AA743" s="2" t="str">
        <f>CLEAN(TRIM(Working_Sales[[#This Row],[Price per Unit]]))</f>
        <v>25</v>
      </c>
      <c r="AB743" s="2">
        <f>INT(
   SUBSTITUTE(Working_Sales[[#This Row],[Price_Per_Unit_Whitespace_Removed]],
   "$",
   ""
   )
)</f>
        <v>25</v>
      </c>
      <c r="AC743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743" s="8">
        <f>IFERROR(
   Working_Sales[[#This Row],[Price_Per_Unit_Decimal_Separator_Fixed]],
   Working_Sales[[#This Row],[Total_Amount_Converted_To_Integer]]/Working_Sales[[#This Row],[Quantity_Converted_To_Integer]]
)</f>
        <v>25</v>
      </c>
      <c r="AE743" t="s">
        <v>31</v>
      </c>
      <c r="AF743" s="2" t="str">
        <f>CLEAN(TRIM(Working_Sales[[#This Row],[Total Amount]]))</f>
        <v>75</v>
      </c>
      <c r="AG743" s="2">
        <f>INT(Working_Sales[[#This Row],[Total_Amount_Whitespace_Removed]])</f>
        <v>75</v>
      </c>
      <c r="AH74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744" spans="1:34" x14ac:dyDescent="0.35">
      <c r="A744" t="s">
        <v>1560</v>
      </c>
      <c r="B744" s="6" t="str">
        <f>CLEAN(TRIM(Working_Sales[[#This Row],[Transaction ID]]))</f>
        <v>145</v>
      </c>
      <c r="C744" t="s">
        <v>1404</v>
      </c>
      <c r="D744" s="2" t="str">
        <f>CLEAN(TRIM(Working_Sales[[#This Row],[Date]]))</f>
        <v>2023-11-02</v>
      </c>
      <c r="E74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45232</v>
      </c>
      <c r="F74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45232</v>
      </c>
      <c r="G74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45232</v>
      </c>
      <c r="H744" t="s">
        <v>2936</v>
      </c>
      <c r="I744" s="2" t="str">
        <f>CLEAN(TRIM(Working_Sales[[#This Row],[Customer ID]]))</f>
        <v>CUST442</v>
      </c>
      <c r="J74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CUST442</v>
      </c>
      <c r="K74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CUST442</v>
      </c>
      <c r="L744" t="s">
        <v>26</v>
      </c>
      <c r="M744" s="4" t="str">
        <f>CLEAN(TRIM(Working_Sales[[#This Row],[Gender]]))</f>
        <v>Female</v>
      </c>
      <c r="N744" s="4" t="str" cm="1">
        <f t="array" ref="N744">_xlfn.SWITCH(
   Working_Sales[[#This Row],[Gender_Whitespace_Removed]],
   "m", "Male",
   "f", "Female",
   Working_Sales[[#This Row],[Gender_Whitespace_Removed]]
)</f>
        <v>Female</v>
      </c>
      <c r="O744" s="6" t="str">
        <f>PROPER(Working_Sales[[#This Row],[Gender_Abbreviation_Expanded]])</f>
        <v>Female</v>
      </c>
      <c r="P744">
        <v>39</v>
      </c>
      <c r="Q744" s="2" t="str">
        <f>CLEAN(TRIM(Working_Sales[[#This Row],[Age]]))</f>
        <v>39</v>
      </c>
      <c r="R744" s="6">
        <f>INT(SUBSTITUTE(Working_Sales[[#This Row],[Age_Whitespace_Removed]],".",","))</f>
        <v>39</v>
      </c>
      <c r="S744" t="s">
        <v>56</v>
      </c>
      <c r="T744" s="2" t="str">
        <f>CLEAN(TRIM(Working_Sales[[#This Row],[Product Category]]))</f>
        <v>Clothing</v>
      </c>
      <c r="U744" s="6" t="str">
        <f>PROPER(Working_Sales[[#This Row],[Product_Category_Whitespace_Removed]])</f>
        <v>Clothing</v>
      </c>
      <c r="V744" t="s">
        <v>29</v>
      </c>
      <c r="W744" s="2" t="str">
        <f>CLEAN(TRIM(Working_Sales[[#This Row],[Quantity]]))</f>
        <v>3</v>
      </c>
      <c r="X744" s="2">
        <f>INT(Working_Sales[[#This Row],[`]])</f>
        <v>3</v>
      </c>
      <c r="Y744" s="6">
        <f>IFERROR(
   Working_Sales[[#This Row],[Quantity_Converted_To_Integer]],
   Working_Sales[[#This Row],[Total_Amount_Whitespace_Removed]]/Working_Sales[[#This Row],[Price_Per_Unit_Decimal_Separator_Fixed]])</f>
        <v>3</v>
      </c>
      <c r="Z744" t="s">
        <v>30</v>
      </c>
      <c r="AA744" s="2" t="str">
        <f>CLEAN(TRIM(Working_Sales[[#This Row],[Price per Unit]]))</f>
        <v>25</v>
      </c>
      <c r="AB744" s="2">
        <f>INT(
   SUBSTITUTE(Working_Sales[[#This Row],[Price_Per_Unit_Whitespace_Removed]],
   "$",
   ""
   )
)</f>
        <v>25</v>
      </c>
      <c r="AC744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744" s="8">
        <f>IFERROR(
   Working_Sales[[#This Row],[Price_Per_Unit_Decimal_Separator_Fixed]],
   Working_Sales[[#This Row],[Total_Amount_Converted_To_Integer]]/Working_Sales[[#This Row],[Quantity_Converted_To_Integer]]
)</f>
        <v>25</v>
      </c>
      <c r="AE744" t="s">
        <v>31</v>
      </c>
      <c r="AF744" s="2" t="str">
        <f>CLEAN(TRIM(Working_Sales[[#This Row],[Total Amount]]))</f>
        <v>75</v>
      </c>
      <c r="AG744" s="2">
        <f>INT(Working_Sales[[#This Row],[Total_Amount_Whitespace_Removed]])</f>
        <v>75</v>
      </c>
      <c r="AH74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745" spans="1:34" x14ac:dyDescent="0.35">
      <c r="A745" t="s">
        <v>1562</v>
      </c>
      <c r="B745" s="6" t="str">
        <f>CLEAN(TRIM(Working_Sales[[#This Row],[Transaction ID]]))</f>
        <v>518</v>
      </c>
      <c r="C745" t="s">
        <v>1563</v>
      </c>
      <c r="D745" s="2" t="str">
        <f>CLEAN(TRIM(Working_Sales[[#This Row],[Date]]))</f>
        <v>2023-05-11</v>
      </c>
      <c r="E74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45057</v>
      </c>
      <c r="F74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45057</v>
      </c>
      <c r="G74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45057</v>
      </c>
      <c r="H745" t="s">
        <v>556</v>
      </c>
      <c r="I745" s="2" t="str">
        <f>CLEAN(TRIM(Working_Sales[[#This Row],[Customer ID]]))</f>
        <v>CUST443</v>
      </c>
      <c r="J74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CUST443</v>
      </c>
      <c r="K74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CUST443</v>
      </c>
      <c r="L745" t="s">
        <v>112</v>
      </c>
      <c r="M745" s="4" t="str">
        <f>CLEAN(TRIM(Working_Sales[[#This Row],[Gender]]))</f>
        <v>female</v>
      </c>
      <c r="N745" s="4" t="str" cm="1">
        <f t="array" ref="N745">_xlfn.SWITCH(
   Working_Sales[[#This Row],[Gender_Whitespace_Removed]],
   "m", "Male",
   "f", "Female",
   Working_Sales[[#This Row],[Gender_Whitespace_Removed]]
)</f>
        <v>female</v>
      </c>
      <c r="O745" s="6" t="str">
        <f>PROPER(Working_Sales[[#This Row],[Gender_Abbreviation_Expanded]])</f>
        <v>Female</v>
      </c>
      <c r="P745">
        <v>40</v>
      </c>
      <c r="Q745" s="2" t="str">
        <f>CLEAN(TRIM(Working_Sales[[#This Row],[Age]]))</f>
        <v>40</v>
      </c>
      <c r="R745" s="6">
        <f>INT(SUBSTITUTE(Working_Sales[[#This Row],[Age_Whitespace_Removed]],".",","))</f>
        <v>40</v>
      </c>
      <c r="S745" t="s">
        <v>56</v>
      </c>
      <c r="T745" s="2" t="str">
        <f>CLEAN(TRIM(Working_Sales[[#This Row],[Product Category]]))</f>
        <v>Clothing</v>
      </c>
      <c r="U745" s="6" t="str">
        <f>PROPER(Working_Sales[[#This Row],[Product_Category_Whitespace_Removed]])</f>
        <v>Clothing</v>
      </c>
      <c r="V745" t="s">
        <v>22</v>
      </c>
      <c r="W745" s="2" t="str">
        <f>CLEAN(TRIM(Working_Sales[[#This Row],[Quantity]]))</f>
        <v>1</v>
      </c>
      <c r="X745" s="2">
        <f>INT(Working_Sales[[#This Row],[`]])</f>
        <v>1</v>
      </c>
      <c r="Y745" s="6">
        <f>IFERROR(
   Working_Sales[[#This Row],[Quantity_Converted_To_Integer]],
   Working_Sales[[#This Row],[Total_Amount_Whitespace_Removed]]/Working_Sales[[#This Row],[Price_Per_Unit_Decimal_Separator_Fixed]])</f>
        <v>1</v>
      </c>
      <c r="Z745" t="s">
        <v>70</v>
      </c>
      <c r="AA745" s="2" t="str">
        <f>CLEAN(TRIM(Working_Sales[[#This Row],[Price per Unit]]))</f>
        <v>30</v>
      </c>
      <c r="AB745" s="2">
        <f>INT(
   SUBSTITUTE(Working_Sales[[#This Row],[Price_Per_Unit_Whitespace_Removed]],
   "$",
   ""
   )
)</f>
        <v>30</v>
      </c>
      <c r="AC745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745" s="8">
        <f>IFERROR(
   Working_Sales[[#This Row],[Price_Per_Unit_Decimal_Separator_Fixed]],
   Working_Sales[[#This Row],[Total_Amount_Converted_To_Integer]]/Working_Sales[[#This Row],[Quantity_Converted_To_Integer]]
)</f>
        <v>30</v>
      </c>
      <c r="AE745" t="s">
        <v>70</v>
      </c>
      <c r="AF745" s="2" t="str">
        <f>CLEAN(TRIM(Working_Sales[[#This Row],[Total Amount]]))</f>
        <v>30</v>
      </c>
      <c r="AG745" s="2">
        <f>INT(Working_Sales[[#This Row],[Total_Amount_Whitespace_Removed]])</f>
        <v>30</v>
      </c>
      <c r="AH74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746" spans="1:34" x14ac:dyDescent="0.35">
      <c r="A746" t="s">
        <v>1564</v>
      </c>
      <c r="B746" s="6" t="str">
        <f>CLEAN(TRIM(Working_Sales[[#This Row],[Transaction ID]]))</f>
        <v>428</v>
      </c>
      <c r="C746" t="s">
        <v>1565</v>
      </c>
      <c r="D746" s="2" t="str">
        <f>CLEAN(TRIM(Working_Sales[[#This Row],[Date]]))</f>
        <v>2023-10-10</v>
      </c>
      <c r="E74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45209</v>
      </c>
      <c r="F74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45209</v>
      </c>
      <c r="G74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45209</v>
      </c>
      <c r="H746" t="s">
        <v>2489</v>
      </c>
      <c r="I746" s="2" t="str">
        <f>CLEAN(TRIM(Working_Sales[[#This Row],[Customer ID]]))</f>
        <v>CUST168</v>
      </c>
      <c r="J74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4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CUST168</v>
      </c>
      <c r="L746" t="s">
        <v>26</v>
      </c>
      <c r="M746" s="4" t="str">
        <f>CLEAN(TRIM(Working_Sales[[#This Row],[Gender]]))</f>
        <v>Female</v>
      </c>
      <c r="N746" s="4" t="str" cm="1">
        <f t="array" ref="N746">_xlfn.SWITCH(
   Working_Sales[[#This Row],[Gender_Whitespace_Removed]],
   "m", "Male",
   "f", "Female",
   Working_Sales[[#This Row],[Gender_Whitespace_Removed]]
)</f>
        <v>Female</v>
      </c>
      <c r="O746" s="6" t="str">
        <f>PROPER(Working_Sales[[#This Row],[Gender_Abbreviation_Expanded]])</f>
        <v>Female</v>
      </c>
      <c r="P746">
        <v>40</v>
      </c>
      <c r="Q746" s="2" t="str">
        <f>CLEAN(TRIM(Working_Sales[[#This Row],[Age]]))</f>
        <v>40</v>
      </c>
      <c r="R746" s="6">
        <f>INT(SUBSTITUTE(Working_Sales[[#This Row],[Age_Whitespace_Removed]],".",","))</f>
        <v>40</v>
      </c>
      <c r="S746" t="s">
        <v>13</v>
      </c>
      <c r="T746" s="2" t="str">
        <f>CLEAN(TRIM(Working_Sales[[#This Row],[Product Category]]))</f>
        <v>Electronics</v>
      </c>
      <c r="U746" s="6" t="str">
        <f>PROPER(Working_Sales[[#This Row],[Product_Category_Whitespace_Removed]])</f>
        <v>Electronics</v>
      </c>
      <c r="V746" t="s">
        <v>14</v>
      </c>
      <c r="W746" s="2" t="str">
        <f>CLEAN(TRIM(Working_Sales[[#This Row],[Quantity]]))</f>
        <v>4</v>
      </c>
      <c r="X746" s="2">
        <f>INT(Working_Sales[[#This Row],[`]])</f>
        <v>4</v>
      </c>
      <c r="Y746" s="6">
        <f>IFERROR(
   Working_Sales[[#This Row],[Quantity_Converted_To_Integer]],
   Working_Sales[[#This Row],[Total_Amount_Whitespace_Removed]]/Working_Sales[[#This Row],[Price_Per_Unit_Decimal_Separator_Fixed]])</f>
        <v>4</v>
      </c>
      <c r="Z746" t="s">
        <v>15</v>
      </c>
      <c r="AA746" s="2" t="str">
        <f>CLEAN(TRIM(Working_Sales[[#This Row],[Price per Unit]]))</f>
        <v>50</v>
      </c>
      <c r="AB746" s="2">
        <f>INT(
   SUBSTITUTE(Working_Sales[[#This Row],[Price_Per_Unit_Whitespace_Removed]],
   "$",
   ""
   )
)</f>
        <v>50</v>
      </c>
      <c r="AC746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746" s="8">
        <f>IFERROR(
   Working_Sales[[#This Row],[Price_Per_Unit_Decimal_Separator_Fixed]],
   Working_Sales[[#This Row],[Total_Amount_Converted_To_Integer]]/Working_Sales[[#This Row],[Quantity_Converted_To_Integer]]
)</f>
        <v>50</v>
      </c>
      <c r="AE746" t="s">
        <v>16</v>
      </c>
      <c r="AF746" s="2" t="str">
        <f>CLEAN(TRIM(Working_Sales[[#This Row],[Total Amount]]))</f>
        <v>200</v>
      </c>
      <c r="AG746" s="2">
        <f>INT(Working_Sales[[#This Row],[Total_Amount_Whitespace_Removed]])</f>
        <v>200</v>
      </c>
      <c r="AH74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747" spans="1:34" x14ac:dyDescent="0.35">
      <c r="A747" t="s">
        <v>1566</v>
      </c>
      <c r="B747" s="6" t="str">
        <f>CLEAN(TRIM(Working_Sales[[#This Row],[Transaction ID]]))</f>
        <v>640</v>
      </c>
      <c r="C747" t="s">
        <v>1230</v>
      </c>
      <c r="D747" s="2" t="str">
        <f>CLEAN(TRIM(Working_Sales[[#This Row],[Date]]))</f>
        <v>2023-05-07</v>
      </c>
      <c r="E74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45053</v>
      </c>
      <c r="F74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45053</v>
      </c>
      <c r="G74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45053</v>
      </c>
      <c r="H747" t="s">
        <v>1733</v>
      </c>
      <c r="I747" s="2" t="str">
        <f>CLEAN(TRIM(Working_Sales[[#This Row],[Customer ID]]))</f>
        <v>CUST444</v>
      </c>
      <c r="J74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CUST444</v>
      </c>
      <c r="K74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CUST444</v>
      </c>
      <c r="L747" t="s">
        <v>26</v>
      </c>
      <c r="M747" s="4" t="str">
        <f>CLEAN(TRIM(Working_Sales[[#This Row],[Gender]]))</f>
        <v>Female</v>
      </c>
      <c r="N747" s="4" t="str" cm="1">
        <f t="array" ref="N747">_xlfn.SWITCH(
   Working_Sales[[#This Row],[Gender_Whitespace_Removed]],
   "m", "Male",
   "f", "Female",
   Working_Sales[[#This Row],[Gender_Whitespace_Removed]]
)</f>
        <v>Female</v>
      </c>
      <c r="O747" s="6" t="str">
        <f>PROPER(Working_Sales[[#This Row],[Gender_Abbreviation_Expanded]])</f>
        <v>Female</v>
      </c>
      <c r="P747">
        <v>51</v>
      </c>
      <c r="Q747" s="2" t="str">
        <f>CLEAN(TRIM(Working_Sales[[#This Row],[Age]]))</f>
        <v>51</v>
      </c>
      <c r="R747" s="6">
        <f>INT(SUBSTITUTE(Working_Sales[[#This Row],[Age_Whitespace_Removed]],".",","))</f>
        <v>51</v>
      </c>
      <c r="S747" t="s">
        <v>48</v>
      </c>
      <c r="T747" s="2" t="str">
        <f>CLEAN(TRIM(Working_Sales[[#This Row],[Product Category]]))</f>
        <v>electronics</v>
      </c>
      <c r="U747" s="6" t="str">
        <f>PROPER(Working_Sales[[#This Row],[Product_Category_Whitespace_Removed]])</f>
        <v>Electronics</v>
      </c>
      <c r="V747" t="s">
        <v>14</v>
      </c>
      <c r="W747" s="2" t="str">
        <f>CLEAN(TRIM(Working_Sales[[#This Row],[Quantity]]))</f>
        <v>4</v>
      </c>
      <c r="X747" s="2">
        <f>INT(Working_Sales[[#This Row],[`]])</f>
        <v>4</v>
      </c>
      <c r="Y747" s="6">
        <f>IFERROR(
   Working_Sales[[#This Row],[Quantity_Converted_To_Integer]],
   Working_Sales[[#This Row],[Total_Amount_Whitespace_Removed]]/Working_Sales[[#This Row],[Price_Per_Unit_Decimal_Separator_Fixed]])</f>
        <v>4</v>
      </c>
      <c r="Z747" t="s">
        <v>70</v>
      </c>
      <c r="AA747" s="2" t="str">
        <f>CLEAN(TRIM(Working_Sales[[#This Row],[Price per Unit]]))</f>
        <v>30</v>
      </c>
      <c r="AB747" s="2">
        <f>INT(
   SUBSTITUTE(Working_Sales[[#This Row],[Price_Per_Unit_Whitespace_Removed]],
   "$",
   ""
   )
)</f>
        <v>30</v>
      </c>
      <c r="AC747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747" s="8">
        <f>IFERROR(
   Working_Sales[[#This Row],[Price_Per_Unit_Decimal_Separator_Fixed]],
   Working_Sales[[#This Row],[Total_Amount_Converted_To_Integer]]/Working_Sales[[#This Row],[Quantity_Converted_To_Integer]]
)</f>
        <v>30</v>
      </c>
      <c r="AE747" t="s">
        <v>44</v>
      </c>
      <c r="AF747" s="2" t="str">
        <f>CLEAN(TRIM(Working_Sales[[#This Row],[Total Amount]]))</f>
        <v>120</v>
      </c>
      <c r="AG747" s="2">
        <f>INT(Working_Sales[[#This Row],[Total_Amount_Whitespace_Removed]])</f>
        <v>120</v>
      </c>
      <c r="AH74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748" spans="1:34" x14ac:dyDescent="0.35">
      <c r="A748" t="s">
        <v>1567</v>
      </c>
      <c r="B748" s="6" t="str">
        <f>CLEAN(TRIM(Working_Sales[[#This Row],[Transaction ID]]))</f>
        <v>177</v>
      </c>
      <c r="C748" t="s">
        <v>1224</v>
      </c>
      <c r="D748" s="2" t="str">
        <f>CLEAN(TRIM(Working_Sales[[#This Row],[Date]]))</f>
        <v>2023-03-24</v>
      </c>
      <c r="E74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45009</v>
      </c>
      <c r="F74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45009</v>
      </c>
      <c r="G74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45009</v>
      </c>
      <c r="H748" t="s">
        <v>2937</v>
      </c>
      <c r="I748" s="2" t="str">
        <f>CLEAN(TRIM(Working_Sales[[#This Row],[Customer ID]]))</f>
        <v>Cust057</v>
      </c>
      <c r="J74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4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CUST057</v>
      </c>
      <c r="L748" t="s">
        <v>34</v>
      </c>
      <c r="M748" s="4" t="str">
        <f>CLEAN(TRIM(Working_Sales[[#This Row],[Gender]]))</f>
        <v>Male</v>
      </c>
      <c r="N748" s="4" t="str" cm="1">
        <f t="array" ref="N748">_xlfn.SWITCH(
   Working_Sales[[#This Row],[Gender_Whitespace_Removed]],
   "m", "Male",
   "f", "Female",
   Working_Sales[[#This Row],[Gender_Whitespace_Removed]]
)</f>
        <v>Male</v>
      </c>
      <c r="O748" s="6" t="str">
        <f>PROPER(Working_Sales[[#This Row],[Gender_Abbreviation_Expanded]])</f>
        <v>Male</v>
      </c>
      <c r="P748">
        <v>45</v>
      </c>
      <c r="Q748" s="2" t="str">
        <f>CLEAN(TRIM(Working_Sales[[#This Row],[Age]]))</f>
        <v>45</v>
      </c>
      <c r="R748" s="6">
        <f>INT(SUBSTITUTE(Working_Sales[[#This Row],[Age_Whitespace_Removed]],".",","))</f>
        <v>45</v>
      </c>
      <c r="S748" t="s">
        <v>36</v>
      </c>
      <c r="T748" s="2" t="str">
        <f>CLEAN(TRIM(Working_Sales[[#This Row],[Product Category]]))</f>
        <v>Beauty</v>
      </c>
      <c r="U748" s="6" t="str">
        <f>PROPER(Working_Sales[[#This Row],[Product_Category_Whitespace_Removed]])</f>
        <v>Beauty</v>
      </c>
      <c r="V748" t="s">
        <v>37</v>
      </c>
      <c r="W748" s="2" t="str">
        <f>CLEAN(TRIM(Working_Sales[[#This Row],[Quantity]]))</f>
        <v>2</v>
      </c>
      <c r="X748" s="2">
        <f>INT(Working_Sales[[#This Row],[`]])</f>
        <v>2</v>
      </c>
      <c r="Y748" s="6">
        <f>IFERROR(
   Working_Sales[[#This Row],[Quantity_Converted_To_Integer]],
   Working_Sales[[#This Row],[Total_Amount_Whitespace_Removed]]/Working_Sales[[#This Row],[Price_Per_Unit_Decimal_Separator_Fixed]])</f>
        <v>2</v>
      </c>
      <c r="Z748" t="s">
        <v>15</v>
      </c>
      <c r="AA748" s="2" t="str">
        <f>CLEAN(TRIM(Working_Sales[[#This Row],[Price per Unit]]))</f>
        <v>50</v>
      </c>
      <c r="AB748" s="2">
        <f>INT(
   SUBSTITUTE(Working_Sales[[#This Row],[Price_Per_Unit_Whitespace_Removed]],
   "$",
   ""
   )
)</f>
        <v>50</v>
      </c>
      <c r="AC748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748" s="8">
        <f>IFERROR(
   Working_Sales[[#This Row],[Price_Per_Unit_Decimal_Separator_Fixed]],
   Working_Sales[[#This Row],[Total_Amount_Converted_To_Integer]]/Working_Sales[[#This Row],[Quantity_Converted_To_Integer]]
)</f>
        <v>50</v>
      </c>
      <c r="AE748" t="s">
        <v>38</v>
      </c>
      <c r="AF748" s="2" t="str">
        <f>CLEAN(TRIM(Working_Sales[[#This Row],[Total Amount]]))</f>
        <v>100</v>
      </c>
      <c r="AG748" s="2">
        <f>INT(Working_Sales[[#This Row],[Total_Amount_Whitespace_Removed]])</f>
        <v>100</v>
      </c>
      <c r="AH74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749" spans="1:34" x14ac:dyDescent="0.35">
      <c r="A749" t="s">
        <v>1569</v>
      </c>
      <c r="B749" s="6" t="str">
        <f>CLEAN(TRIM(Working_Sales[[#This Row],[Transaction ID]]))</f>
        <v>441</v>
      </c>
      <c r="C749" t="s">
        <v>2053</v>
      </c>
      <c r="D749" s="2" t="str">
        <f>CLEAN(TRIM(Working_Sales[[#This Row],[Date]]))</f>
        <v>10-Oct-2023</v>
      </c>
      <c r="E74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45209</v>
      </c>
      <c r="F74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45209</v>
      </c>
      <c r="G74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45209</v>
      </c>
      <c r="H749" t="s">
        <v>2938</v>
      </c>
      <c r="I749" s="2" t="str">
        <f>CLEAN(TRIM(Working_Sales[[#This Row],[Customer ID]]))</f>
        <v>cust351</v>
      </c>
      <c r="J74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4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CUST351</v>
      </c>
      <c r="L749" t="s">
        <v>34</v>
      </c>
      <c r="M749" s="4" t="str">
        <f>CLEAN(TRIM(Working_Sales[[#This Row],[Gender]]))</f>
        <v>Male</v>
      </c>
      <c r="N749" s="4" t="str" cm="1">
        <f t="array" ref="N749">_xlfn.SWITCH(
   Working_Sales[[#This Row],[Gender_Whitespace_Removed]],
   "m", "Male",
   "f", "Female",
   Working_Sales[[#This Row],[Gender_Whitespace_Removed]]
)</f>
        <v>Male</v>
      </c>
      <c r="O749" s="6" t="str">
        <f>PROPER(Working_Sales[[#This Row],[Gender_Abbreviation_Expanded]])</f>
        <v>Male</v>
      </c>
      <c r="P749">
        <v>57</v>
      </c>
      <c r="Q749" s="2" t="str">
        <f>CLEAN(TRIM(Working_Sales[[#This Row],[Age]]))</f>
        <v>57</v>
      </c>
      <c r="R749" s="6">
        <f>INT(SUBSTITUTE(Working_Sales[[#This Row],[Age_Whitespace_Removed]],".",","))</f>
        <v>57</v>
      </c>
      <c r="S749" t="s">
        <v>36</v>
      </c>
      <c r="T749" s="2" t="str">
        <f>CLEAN(TRIM(Working_Sales[[#This Row],[Product Category]]))</f>
        <v>Beauty</v>
      </c>
      <c r="U749" s="6" t="str">
        <f>PROPER(Working_Sales[[#This Row],[Product_Category_Whitespace_Removed]])</f>
        <v>Beauty</v>
      </c>
      <c r="V749" t="s">
        <v>14</v>
      </c>
      <c r="W749" s="2" t="str">
        <f>CLEAN(TRIM(Working_Sales[[#This Row],[Quantity]]))</f>
        <v>4</v>
      </c>
      <c r="X749" s="2">
        <f>INT(Working_Sales[[#This Row],[`]])</f>
        <v>4</v>
      </c>
      <c r="Y749" s="6">
        <f>IFERROR(
   Working_Sales[[#This Row],[Quantity_Converted_To_Integer]],
   Working_Sales[[#This Row],[Total_Amount_Whitespace_Removed]]/Working_Sales[[#This Row],[Price_Per_Unit_Decimal_Separator_Fixed]])</f>
        <v>4</v>
      </c>
      <c r="Z749" t="s">
        <v>180</v>
      </c>
      <c r="AA749" s="2" t="str">
        <f>CLEAN(TRIM(Working_Sales[[#This Row],[Price per Unit]]))</f>
        <v>300</v>
      </c>
      <c r="AB749" s="2">
        <f>INT(
   SUBSTITUTE(Working_Sales[[#This Row],[Price_Per_Unit_Whitespace_Removed]],
   "$",
   ""
   )
)</f>
        <v>300</v>
      </c>
      <c r="AC749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749" s="8">
        <f>IFERROR(
   Working_Sales[[#This Row],[Price_Per_Unit_Decimal_Separator_Fixed]],
   Working_Sales[[#This Row],[Total_Amount_Converted_To_Integer]]/Working_Sales[[#This Row],[Quantity_Converted_To_Integer]]
)</f>
        <v>300</v>
      </c>
      <c r="AE749" t="s">
        <v>79</v>
      </c>
      <c r="AF749" s="2" t="str">
        <f>CLEAN(TRIM(Working_Sales[[#This Row],[Total Amount]]))</f>
        <v>1200</v>
      </c>
      <c r="AG749" s="2">
        <f>INT(Working_Sales[[#This Row],[Total_Amount_Whitespace_Removed]])</f>
        <v>1200</v>
      </c>
      <c r="AH74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750" spans="1:34" x14ac:dyDescent="0.35">
      <c r="A750" t="s">
        <v>1571</v>
      </c>
      <c r="B750" s="6" t="str">
        <f>CLEAN(TRIM(Working_Sales[[#This Row],[Transaction ID]]))</f>
        <v>522</v>
      </c>
      <c r="C750" t="s">
        <v>1572</v>
      </c>
      <c r="D750" s="2" t="str">
        <f>CLEAN(TRIM(Working_Sales[[#This Row],[Date]]))</f>
        <v>2023-01-01</v>
      </c>
      <c r="E75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44927</v>
      </c>
      <c r="F75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44927</v>
      </c>
      <c r="G75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44927</v>
      </c>
      <c r="H750" t="s">
        <v>2939</v>
      </c>
      <c r="I750" s="2" t="str">
        <f>CLEAN(TRIM(Working_Sales[[#This Row],[Customer ID]]))</f>
        <v>cust445</v>
      </c>
      <c r="J75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5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CUST445</v>
      </c>
      <c r="L750" t="s">
        <v>34</v>
      </c>
      <c r="M750" s="4" t="str">
        <f>CLEAN(TRIM(Working_Sales[[#This Row],[Gender]]))</f>
        <v>Male</v>
      </c>
      <c r="N750" s="4" t="str" cm="1">
        <f t="array" ref="N750">_xlfn.SWITCH(
   Working_Sales[[#This Row],[Gender_Whitespace_Removed]],
   "m", "Male",
   "f", "Female",
   Working_Sales[[#This Row],[Gender_Whitespace_Removed]]
)</f>
        <v>Male</v>
      </c>
      <c r="O750" s="6" t="str">
        <f>PROPER(Working_Sales[[#This Row],[Gender_Abbreviation_Expanded]])</f>
        <v>Male</v>
      </c>
      <c r="P750">
        <v>46</v>
      </c>
      <c r="Q750" s="2" t="str">
        <f>CLEAN(TRIM(Working_Sales[[#This Row],[Age]]))</f>
        <v>46</v>
      </c>
      <c r="R750" s="6">
        <f>INT(SUBSTITUTE(Working_Sales[[#This Row],[Age_Whitespace_Removed]],".",","))</f>
        <v>46</v>
      </c>
      <c r="S750" t="s">
        <v>36</v>
      </c>
      <c r="T750" s="2" t="str">
        <f>CLEAN(TRIM(Working_Sales[[#This Row],[Product Category]]))</f>
        <v>Beauty</v>
      </c>
      <c r="U750" s="6" t="str">
        <f>PROPER(Working_Sales[[#This Row],[Product_Category_Whitespace_Removed]])</f>
        <v>Beauty</v>
      </c>
      <c r="V750" t="s">
        <v>29</v>
      </c>
      <c r="W750" s="2" t="str">
        <f>CLEAN(TRIM(Working_Sales[[#This Row],[Quantity]]))</f>
        <v>3</v>
      </c>
      <c r="X750" s="2">
        <f>INT(Working_Sales[[#This Row],[`]])</f>
        <v>3</v>
      </c>
      <c r="Y750" s="6">
        <f>IFERROR(
   Working_Sales[[#This Row],[Quantity_Converted_To_Integer]],
   Working_Sales[[#This Row],[Total_Amount_Whitespace_Removed]]/Working_Sales[[#This Row],[Price_Per_Unit_Decimal_Separator_Fixed]])</f>
        <v>3</v>
      </c>
      <c r="Z750" t="s">
        <v>57</v>
      </c>
      <c r="AA750" s="2" t="str">
        <f>CLEAN(TRIM(Working_Sales[[#This Row],[Price per Unit]]))</f>
        <v>500</v>
      </c>
      <c r="AB750" s="2">
        <f>INT(
   SUBSTITUTE(Working_Sales[[#This Row],[Price_Per_Unit_Whitespace_Removed]],
   "$",
   ""
   )
)</f>
        <v>500</v>
      </c>
      <c r="AC750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750" s="8">
        <f>IFERROR(
   Working_Sales[[#This Row],[Price_Per_Unit_Decimal_Separator_Fixed]],
   Working_Sales[[#This Row],[Total_Amount_Converted_To_Integer]]/Working_Sales[[#This Row],[Quantity_Converted_To_Integer]]
)</f>
        <v>500</v>
      </c>
      <c r="AE750" t="s">
        <v>85</v>
      </c>
      <c r="AF750" s="2" t="str">
        <f>CLEAN(TRIM(Working_Sales[[#This Row],[Total Amount]]))</f>
        <v>1500</v>
      </c>
      <c r="AG750" s="2">
        <f>INT(Working_Sales[[#This Row],[Total_Amount_Whitespace_Removed]])</f>
        <v>1500</v>
      </c>
      <c r="AH75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751" spans="1:34" x14ac:dyDescent="0.35">
      <c r="A751" t="s">
        <v>1573</v>
      </c>
      <c r="B751" s="6" t="str">
        <f>CLEAN(TRIM(Working_Sales[[#This Row],[Transaction ID]]))</f>
        <v>879</v>
      </c>
      <c r="C751" t="s">
        <v>678</v>
      </c>
      <c r="D751" s="2" t="str">
        <f>CLEAN(TRIM(Working_Sales[[#This Row],[Date]]))</f>
        <v>2023-12-26</v>
      </c>
      <c r="E75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45286</v>
      </c>
      <c r="F75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45286</v>
      </c>
      <c r="G75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45286</v>
      </c>
      <c r="H751" t="s">
        <v>2204</v>
      </c>
      <c r="I751" s="2" t="str">
        <f>CLEAN(TRIM(Working_Sales[[#This Row],[Customer ID]]))</f>
        <v>CUST446</v>
      </c>
      <c r="J75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CUST446</v>
      </c>
      <c r="K75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CUST446</v>
      </c>
      <c r="L751" t="s">
        <v>34</v>
      </c>
      <c r="M751" s="4" t="str">
        <f>CLEAN(TRIM(Working_Sales[[#This Row],[Gender]]))</f>
        <v>Male</v>
      </c>
      <c r="N751" s="4" t="str" cm="1">
        <f t="array" ref="N751">_xlfn.SWITCH(
   Working_Sales[[#This Row],[Gender_Whitespace_Removed]],
   "m", "Male",
   "f", "Female",
   Working_Sales[[#This Row],[Gender_Whitespace_Removed]]
)</f>
        <v>Male</v>
      </c>
      <c r="O751" s="6" t="str">
        <f>PROPER(Working_Sales[[#This Row],[Gender_Abbreviation_Expanded]])</f>
        <v>Male</v>
      </c>
      <c r="P751">
        <v>23</v>
      </c>
      <c r="Q751" s="2" t="str">
        <f>CLEAN(TRIM(Working_Sales[[#This Row],[Age]]))</f>
        <v>23</v>
      </c>
      <c r="R751" s="6">
        <f>INT(SUBSTITUTE(Working_Sales[[#This Row],[Age_Whitespace_Removed]],".",","))</f>
        <v>23</v>
      </c>
      <c r="S751" t="s">
        <v>56</v>
      </c>
      <c r="T751" s="2" t="str">
        <f>CLEAN(TRIM(Working_Sales[[#This Row],[Product Category]]))</f>
        <v>Clothing</v>
      </c>
      <c r="U751" s="6" t="str">
        <f>PROPER(Working_Sales[[#This Row],[Product_Category_Whitespace_Removed]])</f>
        <v>Clothing</v>
      </c>
      <c r="V751" t="s">
        <v>22</v>
      </c>
      <c r="W751" s="2" t="str">
        <f>CLEAN(TRIM(Working_Sales[[#This Row],[Quantity]]))</f>
        <v>1</v>
      </c>
      <c r="X751" s="2">
        <f>INT(Working_Sales[[#This Row],[`]])</f>
        <v>1</v>
      </c>
      <c r="Y751" s="6">
        <f>IFERROR(
   Working_Sales[[#This Row],[Quantity_Converted_To_Integer]],
   Working_Sales[[#This Row],[Total_Amount_Whitespace_Removed]]/Working_Sales[[#This Row],[Price_Per_Unit_Decimal_Separator_Fixed]])</f>
        <v>1</v>
      </c>
      <c r="Z751" t="s">
        <v>70</v>
      </c>
      <c r="AA751" s="2" t="str">
        <f>CLEAN(TRIM(Working_Sales[[#This Row],[Price per Unit]]))</f>
        <v>30</v>
      </c>
      <c r="AB751" s="2">
        <f>INT(
   SUBSTITUTE(Working_Sales[[#This Row],[Price_Per_Unit_Whitespace_Removed]],
   "$",
   ""
   )
)</f>
        <v>30</v>
      </c>
      <c r="AC751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751" s="8">
        <f>IFERROR(
   Working_Sales[[#This Row],[Price_Per_Unit_Decimal_Separator_Fixed]],
   Working_Sales[[#This Row],[Total_Amount_Converted_To_Integer]]/Working_Sales[[#This Row],[Quantity_Converted_To_Integer]]
)</f>
        <v>30</v>
      </c>
      <c r="AE751" t="s">
        <v>70</v>
      </c>
      <c r="AF751" s="2" t="str">
        <f>CLEAN(TRIM(Working_Sales[[#This Row],[Total Amount]]))</f>
        <v>30</v>
      </c>
      <c r="AG751" s="2">
        <f>INT(Working_Sales[[#This Row],[Total_Amount_Whitespace_Removed]])</f>
        <v>30</v>
      </c>
      <c r="AH75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752" spans="1:34" x14ac:dyDescent="0.35">
      <c r="A752" t="s">
        <v>1574</v>
      </c>
      <c r="B752" s="6" t="str">
        <f>CLEAN(TRIM(Working_Sales[[#This Row],[Transaction ID]]))</f>
        <v>951</v>
      </c>
      <c r="C752" t="s">
        <v>2017</v>
      </c>
      <c r="D752" s="2" t="str">
        <f>CLEAN(TRIM(Working_Sales[[#This Row],[Date]]))</f>
        <v>02-Nov-2023</v>
      </c>
      <c r="E75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45232</v>
      </c>
      <c r="F75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45232</v>
      </c>
      <c r="G75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45232</v>
      </c>
      <c r="H752" t="s">
        <v>2940</v>
      </c>
      <c r="I752" s="2" t="str">
        <f>CLEAN(TRIM(Working_Sales[[#This Row],[Customer ID]]))</f>
        <v>cust447</v>
      </c>
      <c r="J75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5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CUST447</v>
      </c>
      <c r="L752" t="s">
        <v>34</v>
      </c>
      <c r="M752" s="4" t="str">
        <f>CLEAN(TRIM(Working_Sales[[#This Row],[Gender]]))</f>
        <v>Male</v>
      </c>
      <c r="N752" s="4" t="str" cm="1">
        <f t="array" ref="N752">_xlfn.SWITCH(
   Working_Sales[[#This Row],[Gender_Whitespace_Removed]],
   "m", "Male",
   "f", "Female",
   Working_Sales[[#This Row],[Gender_Whitespace_Removed]]
)</f>
        <v>Male</v>
      </c>
      <c r="O752" s="6" t="str">
        <f>PROPER(Working_Sales[[#This Row],[Gender_Abbreviation_Expanded]])</f>
        <v>Male</v>
      </c>
      <c r="P752">
        <v>33</v>
      </c>
      <c r="Q752" s="2" t="str">
        <f>CLEAN(TRIM(Working_Sales[[#This Row],[Age]]))</f>
        <v>33</v>
      </c>
      <c r="R752" s="6">
        <f>INT(SUBSTITUTE(Working_Sales[[#This Row],[Age_Whitespace_Removed]],".",","))</f>
        <v>33</v>
      </c>
      <c r="S752" t="s">
        <v>36</v>
      </c>
      <c r="T752" s="2" t="str">
        <f>CLEAN(TRIM(Working_Sales[[#This Row],[Product Category]]))</f>
        <v>Beauty</v>
      </c>
      <c r="U752" s="6" t="str">
        <f>PROPER(Working_Sales[[#This Row],[Product_Category_Whitespace_Removed]])</f>
        <v>Beauty</v>
      </c>
      <c r="V752" t="s">
        <v>37</v>
      </c>
      <c r="W752" s="2" t="str">
        <f>CLEAN(TRIM(Working_Sales[[#This Row],[Quantity]]))</f>
        <v>2</v>
      </c>
      <c r="X752" s="2">
        <f>INT(Working_Sales[[#This Row],[`]])</f>
        <v>2</v>
      </c>
      <c r="Y752" s="6">
        <f>IFERROR(
   Working_Sales[[#This Row],[Quantity_Converted_To_Integer]],
   Working_Sales[[#This Row],[Total_Amount_Whitespace_Removed]]/Working_Sales[[#This Row],[Price_Per_Unit_Decimal_Separator_Fixed]])</f>
        <v>2</v>
      </c>
      <c r="Z752" t="s">
        <v>15</v>
      </c>
      <c r="AA752" s="2" t="str">
        <f>CLEAN(TRIM(Working_Sales[[#This Row],[Price per Unit]]))</f>
        <v>50</v>
      </c>
      <c r="AB752" s="2">
        <f>INT(
   SUBSTITUTE(Working_Sales[[#This Row],[Price_Per_Unit_Whitespace_Removed]],
   "$",
   ""
   )
)</f>
        <v>50</v>
      </c>
      <c r="AC752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752" s="8">
        <f>IFERROR(
   Working_Sales[[#This Row],[Price_Per_Unit_Decimal_Separator_Fixed]],
   Working_Sales[[#This Row],[Total_Amount_Converted_To_Integer]]/Working_Sales[[#This Row],[Quantity_Converted_To_Integer]]
)</f>
        <v>50</v>
      </c>
      <c r="AE752" t="s">
        <v>38</v>
      </c>
      <c r="AF752" s="2" t="str">
        <f>CLEAN(TRIM(Working_Sales[[#This Row],[Total Amount]]))</f>
        <v>100</v>
      </c>
      <c r="AG752" s="2">
        <f>INT(Working_Sales[[#This Row],[Total_Amount_Whitespace_Removed]])</f>
        <v>100</v>
      </c>
      <c r="AH75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753" spans="1:34" x14ac:dyDescent="0.35">
      <c r="A753" t="s">
        <v>1575</v>
      </c>
      <c r="B753" s="6" t="str">
        <f>CLEAN(TRIM(Working_Sales[[#This Row],[Transaction ID]]))</f>
        <v>689</v>
      </c>
      <c r="C753" t="s">
        <v>136</v>
      </c>
      <c r="D753" s="2" t="str">
        <f>CLEAN(TRIM(Working_Sales[[#This Row],[Date]]))</f>
        <v>2023-10-07</v>
      </c>
      <c r="E75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45206</v>
      </c>
      <c r="F75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45206</v>
      </c>
      <c r="G75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45206</v>
      </c>
      <c r="H753" t="s">
        <v>2941</v>
      </c>
      <c r="I753" s="2" t="str">
        <f>CLEAN(TRIM(Working_Sales[[#This Row],[Customer ID]]))</f>
        <v>Cust448</v>
      </c>
      <c r="J75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5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CUST448</v>
      </c>
      <c r="L753" t="s">
        <v>34</v>
      </c>
      <c r="M753" s="4" t="str">
        <f>CLEAN(TRIM(Working_Sales[[#This Row],[Gender]]))</f>
        <v>Male</v>
      </c>
      <c r="N753" s="4" t="str" cm="1">
        <f t="array" ref="N753">_xlfn.SWITCH(
   Working_Sales[[#This Row],[Gender_Whitespace_Removed]],
   "m", "Male",
   "f", "Female",
   Working_Sales[[#This Row],[Gender_Whitespace_Removed]]
)</f>
        <v>Male</v>
      </c>
      <c r="O753" s="6" t="str">
        <f>PROPER(Working_Sales[[#This Row],[Gender_Abbreviation_Expanded]])</f>
        <v>Male</v>
      </c>
      <c r="P753">
        <v>57</v>
      </c>
      <c r="Q753" s="2" t="str">
        <f>CLEAN(TRIM(Working_Sales[[#This Row],[Age]]))</f>
        <v>57</v>
      </c>
      <c r="R753" s="6">
        <f>INT(SUBSTITUTE(Working_Sales[[#This Row],[Age_Whitespace_Removed]],".",","))</f>
        <v>57</v>
      </c>
      <c r="S753" t="s">
        <v>109</v>
      </c>
      <c r="T753" s="2" t="str">
        <f>CLEAN(TRIM(Working_Sales[[#This Row],[Product Category]]))</f>
        <v>Electronics</v>
      </c>
      <c r="U753" s="6" t="str">
        <f>PROPER(Working_Sales[[#This Row],[Product_Category_Whitespace_Removed]])</f>
        <v>Electronics</v>
      </c>
      <c r="V753" t="s">
        <v>37</v>
      </c>
      <c r="W753" s="2" t="str">
        <f>CLEAN(TRIM(Working_Sales[[#This Row],[Quantity]]))</f>
        <v>2</v>
      </c>
      <c r="X753" s="2">
        <f>INT(Working_Sales[[#This Row],[`]])</f>
        <v>2</v>
      </c>
      <c r="Y753" s="6">
        <f>IFERROR(
   Working_Sales[[#This Row],[Quantity_Converted_To_Integer]],
   Working_Sales[[#This Row],[Total_Amount_Whitespace_Removed]]/Working_Sales[[#This Row],[Price_Per_Unit_Decimal_Separator_Fixed]])</f>
        <v>2</v>
      </c>
      <c r="Z753" t="s">
        <v>15</v>
      </c>
      <c r="AA753" s="2" t="str">
        <f>CLEAN(TRIM(Working_Sales[[#This Row],[Price per Unit]]))</f>
        <v>50</v>
      </c>
      <c r="AB753" s="2">
        <f>INT(
   SUBSTITUTE(Working_Sales[[#This Row],[Price_Per_Unit_Whitespace_Removed]],
   "$",
   ""
   )
)</f>
        <v>50</v>
      </c>
      <c r="AC753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753" s="8">
        <f>IFERROR(
   Working_Sales[[#This Row],[Price_Per_Unit_Decimal_Separator_Fixed]],
   Working_Sales[[#This Row],[Total_Amount_Converted_To_Integer]]/Working_Sales[[#This Row],[Quantity_Converted_To_Integer]]
)</f>
        <v>50</v>
      </c>
      <c r="AE753" t="s">
        <v>38</v>
      </c>
      <c r="AF753" s="2" t="str">
        <f>CLEAN(TRIM(Working_Sales[[#This Row],[Total Amount]]))</f>
        <v>100</v>
      </c>
      <c r="AG753" s="2">
        <f>INT(Working_Sales[[#This Row],[Total_Amount_Whitespace_Removed]])</f>
        <v>100</v>
      </c>
      <c r="AH75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754" spans="1:34" x14ac:dyDescent="0.35">
      <c r="A754" t="s">
        <v>1576</v>
      </c>
      <c r="B754" s="6" t="str">
        <f>CLEAN(TRIM(Working_Sales[[#This Row],[Transaction ID]]))</f>
        <v>232</v>
      </c>
      <c r="C754" t="s">
        <v>1348</v>
      </c>
      <c r="D754" s="2" t="str">
        <f>CLEAN(TRIM(Working_Sales[[#This Row],[Date]]))</f>
        <v>2023-02-06</v>
      </c>
      <c r="E75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44963</v>
      </c>
      <c r="F75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44963</v>
      </c>
      <c r="G75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44963</v>
      </c>
      <c r="H754" t="s">
        <v>2942</v>
      </c>
      <c r="I754" s="2" t="str">
        <f>CLEAN(TRIM(Working_Sales[[#This Row],[Customer ID]]))</f>
        <v>CUST027</v>
      </c>
      <c r="J75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CUST027</v>
      </c>
      <c r="K75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CUST027</v>
      </c>
      <c r="L754" t="s">
        <v>26</v>
      </c>
      <c r="M754" s="4" t="str">
        <f>CLEAN(TRIM(Working_Sales[[#This Row],[Gender]]))</f>
        <v>Female</v>
      </c>
      <c r="N754" s="4" t="str" cm="1">
        <f t="array" ref="N754">_xlfn.SWITCH(
   Working_Sales[[#This Row],[Gender_Whitespace_Removed]],
   "m", "Male",
   "f", "Female",
   Working_Sales[[#This Row],[Gender_Whitespace_Removed]]
)</f>
        <v>Female</v>
      </c>
      <c r="O754" s="6" t="str">
        <f>PROPER(Working_Sales[[#This Row],[Gender_Abbreviation_Expanded]])</f>
        <v>Female</v>
      </c>
      <c r="P754" t="s">
        <v>674</v>
      </c>
      <c r="Q754" s="2" t="str">
        <f>CLEAN(TRIM(Working_Sales[[#This Row],[Age]]))</f>
        <v>43</v>
      </c>
      <c r="R754" s="6">
        <f>INT(SUBSTITUTE(Working_Sales[[#This Row],[Age_Whitespace_Removed]],".",","))</f>
        <v>43</v>
      </c>
      <c r="S754" t="s">
        <v>36</v>
      </c>
      <c r="T754" s="2" t="str">
        <f>CLEAN(TRIM(Working_Sales[[#This Row],[Product Category]]))</f>
        <v>Beauty</v>
      </c>
      <c r="U754" s="6" t="str">
        <f>PROPER(Working_Sales[[#This Row],[Product_Category_Whitespace_Removed]])</f>
        <v>Beauty</v>
      </c>
      <c r="V754" t="s">
        <v>22</v>
      </c>
      <c r="W754" s="2" t="str">
        <f>CLEAN(TRIM(Working_Sales[[#This Row],[Quantity]]))</f>
        <v>1</v>
      </c>
      <c r="X754" s="2">
        <f>INT(Working_Sales[[#This Row],[`]])</f>
        <v>1</v>
      </c>
      <c r="Y754" s="6">
        <f>IFERROR(
   Working_Sales[[#This Row],[Quantity_Converted_To_Integer]],
   Working_Sales[[#This Row],[Total_Amount_Whitespace_Removed]]/Working_Sales[[#This Row],[Price_Per_Unit_Decimal_Separator_Fixed]])</f>
        <v>1</v>
      </c>
      <c r="Z754" t="s">
        <v>30</v>
      </c>
      <c r="AA754" s="2" t="str">
        <f>CLEAN(TRIM(Working_Sales[[#This Row],[Price per Unit]]))</f>
        <v>25</v>
      </c>
      <c r="AB754" s="2">
        <f>INT(
   SUBSTITUTE(Working_Sales[[#This Row],[Price_Per_Unit_Whitespace_Removed]],
   "$",
   ""
   )
)</f>
        <v>25</v>
      </c>
      <c r="AC754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754" s="8">
        <f>IFERROR(
   Working_Sales[[#This Row],[Price_Per_Unit_Decimal_Separator_Fixed]],
   Working_Sales[[#This Row],[Total_Amount_Converted_To_Integer]]/Working_Sales[[#This Row],[Quantity_Converted_To_Integer]]
)</f>
        <v>25</v>
      </c>
      <c r="AE754" t="s">
        <v>30</v>
      </c>
      <c r="AF754" s="2" t="str">
        <f>CLEAN(TRIM(Working_Sales[[#This Row],[Total Amount]]))</f>
        <v>25</v>
      </c>
      <c r="AG754" s="2">
        <f>INT(Working_Sales[[#This Row],[Total_Amount_Whitespace_Removed]])</f>
        <v>25</v>
      </c>
      <c r="AH75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755" spans="1:34" x14ac:dyDescent="0.35">
      <c r="A755" t="s">
        <v>1578</v>
      </c>
      <c r="B755" s="6" t="str">
        <f>CLEAN(TRIM(Working_Sales[[#This Row],[Transaction ID]]))</f>
        <v>211</v>
      </c>
      <c r="C755" t="s">
        <v>1579</v>
      </c>
      <c r="D755" s="2" t="str">
        <f>CLEAN(TRIM(Working_Sales[[#This Row],[Date]]))</f>
        <v>2024-01-01</v>
      </c>
      <c r="E75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45292</v>
      </c>
      <c r="F75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45292</v>
      </c>
      <c r="G75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45292</v>
      </c>
      <c r="H755" t="s">
        <v>2943</v>
      </c>
      <c r="I755" s="2" t="str">
        <f>CLEAN(TRIM(Working_Sales[[#This Row],[Customer ID]]))</f>
        <v>cust218</v>
      </c>
      <c r="J75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5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CUST218</v>
      </c>
      <c r="L755" t="s">
        <v>20</v>
      </c>
      <c r="M755" s="4" t="str">
        <f>CLEAN(TRIM(Working_Sales[[#This Row],[Gender]]))</f>
        <v>male</v>
      </c>
      <c r="N755" s="4" t="str" cm="1">
        <f t="array" ref="N755">_xlfn.SWITCH(
   Working_Sales[[#This Row],[Gender_Whitespace_Removed]],
   "m", "Male",
   "f", "Female",
   Working_Sales[[#This Row],[Gender_Whitespace_Removed]]
)</f>
        <v>male</v>
      </c>
      <c r="O755" s="6" t="str">
        <f>PROPER(Working_Sales[[#This Row],[Gender_Abbreviation_Expanded]])</f>
        <v>Male</v>
      </c>
      <c r="P755">
        <v>42</v>
      </c>
      <c r="Q755" s="2" t="str">
        <f>CLEAN(TRIM(Working_Sales[[#This Row],[Age]]))</f>
        <v>42</v>
      </c>
      <c r="R755" s="6">
        <f>INT(SUBSTITUTE(Working_Sales[[#This Row],[Age_Whitespace_Removed]],".",","))</f>
        <v>42</v>
      </c>
      <c r="S755" t="s">
        <v>36</v>
      </c>
      <c r="T755" s="2" t="str">
        <f>CLEAN(TRIM(Working_Sales[[#This Row],[Product Category]]))</f>
        <v>Beauty</v>
      </c>
      <c r="U755" s="6" t="str">
        <f>PROPER(Working_Sales[[#This Row],[Product_Category_Whitespace_Removed]])</f>
        <v>Beauty</v>
      </c>
      <c r="V755" t="s">
        <v>29</v>
      </c>
      <c r="W755" s="2" t="str">
        <f>CLEAN(TRIM(Working_Sales[[#This Row],[Quantity]]))</f>
        <v>3</v>
      </c>
      <c r="X755" s="2">
        <f>INT(Working_Sales[[#This Row],[`]])</f>
        <v>3</v>
      </c>
      <c r="Y755" s="6">
        <f>IFERROR(
   Working_Sales[[#This Row],[Quantity_Converted_To_Integer]],
   Working_Sales[[#This Row],[Total_Amount_Whitespace_Removed]]/Working_Sales[[#This Row],[Price_Per_Unit_Decimal_Separator_Fixed]])</f>
        <v>3</v>
      </c>
      <c r="Z755" t="s">
        <v>162</v>
      </c>
      <c r="AA755" s="2" t="str">
        <f>CLEAN(TRIM(Working_Sales[[#This Row],[Price per Unit]]))</f>
        <v>$500</v>
      </c>
      <c r="AB755" s="2">
        <f>INT(
   SUBSTITUTE(Working_Sales[[#This Row],[Price_Per_Unit_Whitespace_Removed]],
   "$",
   ""
   )
)</f>
        <v>500</v>
      </c>
      <c r="AC755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755" s="8">
        <f>IFERROR(
   Working_Sales[[#This Row],[Price_Per_Unit_Decimal_Separator_Fixed]],
   Working_Sales[[#This Row],[Total_Amount_Converted_To_Integer]]/Working_Sales[[#This Row],[Quantity_Converted_To_Integer]]
)</f>
        <v>500</v>
      </c>
      <c r="AE755" t="s">
        <v>85</v>
      </c>
      <c r="AF755" s="2" t="str">
        <f>CLEAN(TRIM(Working_Sales[[#This Row],[Total Amount]]))</f>
        <v>1500</v>
      </c>
      <c r="AG755" s="2">
        <f>INT(Working_Sales[[#This Row],[Total_Amount_Whitespace_Removed]])</f>
        <v>1500</v>
      </c>
      <c r="AH75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756" spans="1:34" x14ac:dyDescent="0.35">
      <c r="A756" t="s">
        <v>1581</v>
      </c>
      <c r="B756" s="6" t="str">
        <f>CLEAN(TRIM(Working_Sales[[#This Row],[Transaction ID]]))</f>
        <v>641</v>
      </c>
      <c r="C756" t="s">
        <v>1582</v>
      </c>
      <c r="D756" s="2" t="str">
        <f>CLEAN(TRIM(Working_Sales[[#This Row],[Date]]))</f>
        <v>November 23, 2023</v>
      </c>
      <c r="E756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756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75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45253</v>
      </c>
      <c r="H756" t="s">
        <v>2944</v>
      </c>
      <c r="I756" s="2" t="str">
        <f>CLEAN(TRIM(Working_Sales[[#This Row],[Customer ID]]))</f>
        <v>cust082</v>
      </c>
      <c r="J75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5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CUST082</v>
      </c>
      <c r="L756" t="s">
        <v>112</v>
      </c>
      <c r="M756" s="4" t="str">
        <f>CLEAN(TRIM(Working_Sales[[#This Row],[Gender]]))</f>
        <v>female</v>
      </c>
      <c r="N756" s="4" t="str" cm="1">
        <f t="array" ref="N756">_xlfn.SWITCH(
   Working_Sales[[#This Row],[Gender_Whitespace_Removed]],
   "m", "Male",
   "f", "Female",
   Working_Sales[[#This Row],[Gender_Whitespace_Removed]]
)</f>
        <v>female</v>
      </c>
      <c r="O756" s="6" t="str">
        <f>PROPER(Working_Sales[[#This Row],[Gender_Abbreviation_Expanded]])</f>
        <v>Female</v>
      </c>
      <c r="P756">
        <v>40</v>
      </c>
      <c r="Q756" s="2" t="str">
        <f>CLEAN(TRIM(Working_Sales[[#This Row],[Age]]))</f>
        <v>40</v>
      </c>
      <c r="R756" s="6">
        <f>INT(SUBSTITUTE(Working_Sales[[#This Row],[Age_Whitespace_Removed]],".",","))</f>
        <v>40</v>
      </c>
      <c r="S756" t="s">
        <v>13</v>
      </c>
      <c r="T756" s="2" t="str">
        <f>CLEAN(TRIM(Working_Sales[[#This Row],[Product Category]]))</f>
        <v>Electronics</v>
      </c>
      <c r="U756" s="6" t="str">
        <f>PROPER(Working_Sales[[#This Row],[Product_Category_Whitespace_Removed]])</f>
        <v>Electronics</v>
      </c>
      <c r="V756" t="s">
        <v>22</v>
      </c>
      <c r="W756" s="2" t="str">
        <f>CLEAN(TRIM(Working_Sales[[#This Row],[Quantity]]))</f>
        <v>1</v>
      </c>
      <c r="X756" s="2">
        <f>INT(Working_Sales[[#This Row],[`]])</f>
        <v>1</v>
      </c>
      <c r="Y756" s="6">
        <f>IFERROR(
   Working_Sales[[#This Row],[Quantity_Converted_To_Integer]],
   Working_Sales[[#This Row],[Total_Amount_Whitespace_Removed]]/Working_Sales[[#This Row],[Price_Per_Unit_Decimal_Separator_Fixed]])</f>
        <v>1</v>
      </c>
      <c r="Z756" t="s">
        <v>23</v>
      </c>
      <c r="AA756" s="2" t="str">
        <f>CLEAN(TRIM(Working_Sales[[#This Row],[Price per Unit]]))</f>
        <v>300</v>
      </c>
      <c r="AB756" s="2">
        <f>INT(
   SUBSTITUTE(Working_Sales[[#This Row],[Price_Per_Unit_Whitespace_Removed]],
   "$",
   ""
   )
)</f>
        <v>300</v>
      </c>
      <c r="AC756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756" s="8">
        <f>IFERROR(
   Working_Sales[[#This Row],[Price_Per_Unit_Decimal_Separator_Fixed]],
   Working_Sales[[#This Row],[Total_Amount_Converted_To_Integer]]/Working_Sales[[#This Row],[Quantity_Converted_To_Integer]]
)</f>
        <v>300</v>
      </c>
      <c r="AE756" t="s">
        <v>23</v>
      </c>
      <c r="AF756" s="2" t="str">
        <f>CLEAN(TRIM(Working_Sales[[#This Row],[Total Amount]]))</f>
        <v>300</v>
      </c>
      <c r="AG756" s="2">
        <f>INT(Working_Sales[[#This Row],[Total_Amount_Whitespace_Removed]])</f>
        <v>300</v>
      </c>
      <c r="AH75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757" spans="1:34" x14ac:dyDescent="0.35">
      <c r="A757" t="s">
        <v>1583</v>
      </c>
      <c r="B757" s="6" t="str">
        <f>CLEAN(TRIM(Working_Sales[[#This Row],[Transaction ID]]))</f>
        <v>144</v>
      </c>
      <c r="C757" t="s">
        <v>2147</v>
      </c>
      <c r="D757" s="2" t="str">
        <f>CLEAN(TRIM(Working_Sales[[#This Row],[Date]]))</f>
        <v>07/15/2023</v>
      </c>
      <c r="E757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75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45122</v>
      </c>
      <c r="G75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45122</v>
      </c>
      <c r="H757" t="s">
        <v>2945</v>
      </c>
      <c r="I757" s="2" t="str">
        <f>CLEAN(TRIM(Working_Sales[[#This Row],[Customer ID]]))</f>
        <v>CUST222</v>
      </c>
      <c r="J75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CUST222</v>
      </c>
      <c r="K75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CUST222</v>
      </c>
      <c r="L757" t="s">
        <v>26</v>
      </c>
      <c r="M757" s="4" t="str">
        <f>CLEAN(TRIM(Working_Sales[[#This Row],[Gender]]))</f>
        <v>Female</v>
      </c>
      <c r="N757" s="4" t="str" cm="1">
        <f t="array" ref="N757">_xlfn.SWITCH(
   Working_Sales[[#This Row],[Gender_Whitespace_Removed]],
   "m", "Male",
   "f", "Female",
   Working_Sales[[#This Row],[Gender_Whitespace_Removed]]
)</f>
        <v>Female</v>
      </c>
      <c r="O757" s="6" t="str">
        <f>PROPER(Working_Sales[[#This Row],[Gender_Abbreviation_Expanded]])</f>
        <v>Female</v>
      </c>
      <c r="P757" t="s">
        <v>1585</v>
      </c>
      <c r="Q757" s="2" t="str">
        <f>CLEAN(TRIM(Working_Sales[[#This Row],[Age]]))</f>
        <v>59</v>
      </c>
      <c r="R757" s="6">
        <f>INT(SUBSTITUTE(Working_Sales[[#This Row],[Age_Whitespace_Removed]],".",","))</f>
        <v>59</v>
      </c>
      <c r="S757" t="s">
        <v>36</v>
      </c>
      <c r="T757" s="2" t="str">
        <f>CLEAN(TRIM(Working_Sales[[#This Row],[Product Category]]))</f>
        <v>Beauty</v>
      </c>
      <c r="U757" s="6" t="str">
        <f>PROPER(Working_Sales[[#This Row],[Product_Category_Whitespace_Removed]])</f>
        <v>Beauty</v>
      </c>
      <c r="V757" t="s">
        <v>29</v>
      </c>
      <c r="W757" s="2" t="str">
        <f>CLEAN(TRIM(Working_Sales[[#This Row],[Quantity]]))</f>
        <v>3</v>
      </c>
      <c r="X757" s="2">
        <f>INT(Working_Sales[[#This Row],[`]])</f>
        <v>3</v>
      </c>
      <c r="Y757" s="6">
        <f>IFERROR(
   Working_Sales[[#This Row],[Quantity_Converted_To_Integer]],
   Working_Sales[[#This Row],[Total_Amount_Whitespace_Removed]]/Working_Sales[[#This Row],[Price_Per_Unit_Decimal_Separator_Fixed]])</f>
        <v>3</v>
      </c>
      <c r="Z757" t="s">
        <v>57</v>
      </c>
      <c r="AA757" s="2" t="str">
        <f>CLEAN(TRIM(Working_Sales[[#This Row],[Price per Unit]]))</f>
        <v>500</v>
      </c>
      <c r="AB757" s="2">
        <f>INT(
   SUBSTITUTE(Working_Sales[[#This Row],[Price_Per_Unit_Whitespace_Removed]],
   "$",
   ""
   )
)</f>
        <v>500</v>
      </c>
      <c r="AC757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757" s="8">
        <f>IFERROR(
   Working_Sales[[#This Row],[Price_Per_Unit_Decimal_Separator_Fixed]],
   Working_Sales[[#This Row],[Total_Amount_Converted_To_Integer]]/Working_Sales[[#This Row],[Quantity_Converted_To_Integer]]
)</f>
        <v>500</v>
      </c>
      <c r="AF757" s="2" t="str">
        <f>CLEAN(TRIM(Working_Sales[[#This Row],[Total Amount]]))</f>
        <v/>
      </c>
      <c r="AG757" s="2" t="e">
        <f>INT(Working_Sales[[#This Row],[Total_Amount_Whitespace_Removed]])</f>
        <v>#VALUE!</v>
      </c>
      <c r="AH75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758" spans="1:34" x14ac:dyDescent="0.35">
      <c r="A758" t="s">
        <v>1586</v>
      </c>
      <c r="B758" s="6" t="str">
        <f>CLEAN(TRIM(Working_Sales[[#This Row],[Transaction ID]]))</f>
        <v>754</v>
      </c>
      <c r="C758" t="s">
        <v>1587</v>
      </c>
      <c r="D758" s="2" t="str">
        <f>CLEAN(TRIM(Working_Sales[[#This Row],[Date]]))</f>
        <v>16/10/2023</v>
      </c>
      <c r="E75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45215</v>
      </c>
      <c r="F75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45215</v>
      </c>
      <c r="G75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45215</v>
      </c>
      <c r="H758" t="s">
        <v>2946</v>
      </c>
      <c r="I758" s="2" t="str">
        <f>CLEAN(TRIM(Working_Sales[[#This Row],[Customer ID]]))</f>
        <v>cust210</v>
      </c>
      <c r="J75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5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CUST210</v>
      </c>
      <c r="L758" t="s">
        <v>26</v>
      </c>
      <c r="M758" s="4" t="str">
        <f>CLEAN(TRIM(Working_Sales[[#This Row],[Gender]]))</f>
        <v>Female</v>
      </c>
      <c r="N758" s="4" t="str" cm="1">
        <f t="array" ref="N758">_xlfn.SWITCH(
   Working_Sales[[#This Row],[Gender_Whitespace_Removed]],
   "m", "Male",
   "f", "Female",
   Working_Sales[[#This Row],[Gender_Whitespace_Removed]]
)</f>
        <v>Female</v>
      </c>
      <c r="O758" s="6" t="str">
        <f>PROPER(Working_Sales[[#This Row],[Gender_Abbreviation_Expanded]])</f>
        <v>Female</v>
      </c>
      <c r="P758">
        <v>43</v>
      </c>
      <c r="Q758" s="2" t="str">
        <f>CLEAN(TRIM(Working_Sales[[#This Row],[Age]]))</f>
        <v>43</v>
      </c>
      <c r="R758" s="6">
        <f>INT(SUBSTITUTE(Working_Sales[[#This Row],[Age_Whitespace_Removed]],".",","))</f>
        <v>43</v>
      </c>
      <c r="S758" t="s">
        <v>13</v>
      </c>
      <c r="T758" s="2" t="str">
        <f>CLEAN(TRIM(Working_Sales[[#This Row],[Product Category]]))</f>
        <v>Electronics</v>
      </c>
      <c r="U758" s="6" t="str">
        <f>PROPER(Working_Sales[[#This Row],[Product_Category_Whitespace_Removed]])</f>
        <v>Electronics</v>
      </c>
      <c r="V758" t="s">
        <v>14</v>
      </c>
      <c r="W758" s="2" t="str">
        <f>CLEAN(TRIM(Working_Sales[[#This Row],[Quantity]]))</f>
        <v>4</v>
      </c>
      <c r="X758" s="2">
        <f>INT(Working_Sales[[#This Row],[`]])</f>
        <v>4</v>
      </c>
      <c r="Y758" s="6">
        <f>IFERROR(
   Working_Sales[[#This Row],[Quantity_Converted_To_Integer]],
   Working_Sales[[#This Row],[Total_Amount_Whitespace_Removed]]/Working_Sales[[#This Row],[Price_Per_Unit_Decimal_Separator_Fixed]])</f>
        <v>4</v>
      </c>
      <c r="Z758" t="s">
        <v>30</v>
      </c>
      <c r="AA758" s="2" t="str">
        <f>CLEAN(TRIM(Working_Sales[[#This Row],[Price per Unit]]))</f>
        <v>25</v>
      </c>
      <c r="AB758" s="2">
        <f>INT(
   SUBSTITUTE(Working_Sales[[#This Row],[Price_Per_Unit_Whitespace_Removed]],
   "$",
   ""
   )
)</f>
        <v>25</v>
      </c>
      <c r="AC758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758" s="8">
        <f>IFERROR(
   Working_Sales[[#This Row],[Price_Per_Unit_Decimal_Separator_Fixed]],
   Working_Sales[[#This Row],[Total_Amount_Converted_To_Integer]]/Working_Sales[[#This Row],[Quantity_Converted_To_Integer]]
)</f>
        <v>25</v>
      </c>
      <c r="AE758" t="s">
        <v>38</v>
      </c>
      <c r="AF758" s="2" t="str">
        <f>CLEAN(TRIM(Working_Sales[[#This Row],[Total Amount]]))</f>
        <v>100</v>
      </c>
      <c r="AG758" s="2">
        <f>INT(Working_Sales[[#This Row],[Total_Amount_Whitespace_Removed]])</f>
        <v>100</v>
      </c>
      <c r="AH75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759" spans="1:34" x14ac:dyDescent="0.35">
      <c r="A759" t="s">
        <v>1588</v>
      </c>
      <c r="B759" s="6" t="str">
        <f>CLEAN(TRIM(Working_Sales[[#This Row],[Transaction ID]]))</f>
        <v>520</v>
      </c>
      <c r="C759" t="s">
        <v>324</v>
      </c>
      <c r="D759" s="2" t="str">
        <f>CLEAN(TRIM(Working_Sales[[#This Row],[Date]]))</f>
        <v>29/12/2023</v>
      </c>
      <c r="E75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45289</v>
      </c>
      <c r="F75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45289</v>
      </c>
      <c r="G75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45289</v>
      </c>
      <c r="H759" t="s">
        <v>2947</v>
      </c>
      <c r="I759" s="2" t="str">
        <f>CLEAN(TRIM(Working_Sales[[#This Row],[Customer ID]]))</f>
        <v>CUST239</v>
      </c>
      <c r="J75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CUST239</v>
      </c>
      <c r="K75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CUST239</v>
      </c>
      <c r="L759" t="s">
        <v>26</v>
      </c>
      <c r="M759" s="4" t="str">
        <f>CLEAN(TRIM(Working_Sales[[#This Row],[Gender]]))</f>
        <v>Female</v>
      </c>
      <c r="N759" s="4" t="str" cm="1">
        <f t="array" ref="N759">_xlfn.SWITCH(
   Working_Sales[[#This Row],[Gender_Whitespace_Removed]],
   "m", "Male",
   "f", "Female",
   Working_Sales[[#This Row],[Gender_Whitespace_Removed]]
)</f>
        <v>Female</v>
      </c>
      <c r="O759" s="6" t="str">
        <f>PROPER(Working_Sales[[#This Row],[Gender_Abbreviation_Expanded]])</f>
        <v>Female</v>
      </c>
      <c r="P759">
        <v>49</v>
      </c>
      <c r="Q759" s="2" t="str">
        <f>CLEAN(TRIM(Working_Sales[[#This Row],[Age]]))</f>
        <v>49</v>
      </c>
      <c r="R759" s="6">
        <f>INT(SUBSTITUTE(Working_Sales[[#This Row],[Age_Whitespace_Removed]],".",","))</f>
        <v>49</v>
      </c>
      <c r="S759" t="s">
        <v>13</v>
      </c>
      <c r="T759" s="2" t="str">
        <f>CLEAN(TRIM(Working_Sales[[#This Row],[Product Category]]))</f>
        <v>Electronics</v>
      </c>
      <c r="U759" s="6" t="str">
        <f>PROPER(Working_Sales[[#This Row],[Product_Category_Whitespace_Removed]])</f>
        <v>Electronics</v>
      </c>
      <c r="V759" t="s">
        <v>14</v>
      </c>
      <c r="W759" s="2" t="str">
        <f>CLEAN(TRIM(Working_Sales[[#This Row],[Quantity]]))</f>
        <v>4</v>
      </c>
      <c r="X759" s="2">
        <f>INT(Working_Sales[[#This Row],[`]])</f>
        <v>4</v>
      </c>
      <c r="Y759" s="6">
        <f>IFERROR(
   Working_Sales[[#This Row],[Quantity_Converted_To_Integer]],
   Working_Sales[[#This Row],[Total_Amount_Whitespace_Removed]]/Working_Sales[[#This Row],[Price_Per_Unit_Decimal_Separator_Fixed]])</f>
        <v>4</v>
      </c>
      <c r="Z759" t="s">
        <v>49</v>
      </c>
      <c r="AA759" s="2" t="str">
        <f>CLEAN(TRIM(Working_Sales[[#This Row],[Price per Unit]]))</f>
        <v>$25</v>
      </c>
      <c r="AB759" s="2">
        <f>INT(
   SUBSTITUTE(Working_Sales[[#This Row],[Price_Per_Unit_Whitespace_Removed]],
   "$",
   ""
   )
)</f>
        <v>25</v>
      </c>
      <c r="AC759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759" s="8">
        <f>IFERROR(
   Working_Sales[[#This Row],[Price_Per_Unit_Decimal_Separator_Fixed]],
   Working_Sales[[#This Row],[Total_Amount_Converted_To_Integer]]/Working_Sales[[#This Row],[Quantity_Converted_To_Integer]]
)</f>
        <v>25</v>
      </c>
      <c r="AE759" t="s">
        <v>38</v>
      </c>
      <c r="AF759" s="2" t="str">
        <f>CLEAN(TRIM(Working_Sales[[#This Row],[Total Amount]]))</f>
        <v>100</v>
      </c>
      <c r="AG759" s="2">
        <f>INT(Working_Sales[[#This Row],[Total_Amount_Whitespace_Removed]])</f>
        <v>100</v>
      </c>
      <c r="AH75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760" spans="1:34" x14ac:dyDescent="0.35">
      <c r="A760" t="s">
        <v>1589</v>
      </c>
      <c r="B760" s="6" t="str">
        <f>CLEAN(TRIM(Working_Sales[[#This Row],[Transaction ID]]))</f>
        <v>299</v>
      </c>
      <c r="C760" t="s">
        <v>1279</v>
      </c>
      <c r="D760" s="2" t="str">
        <f>CLEAN(TRIM(Working_Sales[[#This Row],[Date]]))</f>
        <v>2023-07-25</v>
      </c>
      <c r="E76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45132</v>
      </c>
      <c r="F76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45132</v>
      </c>
      <c r="G76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45132</v>
      </c>
      <c r="H760" t="s">
        <v>2949</v>
      </c>
      <c r="I760" s="2" t="str">
        <f>CLEAN(TRIM(Working_Sales[[#This Row],[Customer ID]]))</f>
        <v>CUST284</v>
      </c>
      <c r="J76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6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CUST284</v>
      </c>
      <c r="L760" t="s">
        <v>34</v>
      </c>
      <c r="M760" s="4" t="str">
        <f>CLEAN(TRIM(Working_Sales[[#This Row],[Gender]]))</f>
        <v>Male</v>
      </c>
      <c r="N760" s="4" t="str" cm="1">
        <f t="array" ref="N760">_xlfn.SWITCH(
   Working_Sales[[#This Row],[Gender_Whitespace_Removed]],
   "m", "Male",
   "f", "Female",
   Working_Sales[[#This Row],[Gender_Whitespace_Removed]]
)</f>
        <v>Male</v>
      </c>
      <c r="O760" s="6" t="str">
        <f>PROPER(Working_Sales[[#This Row],[Gender_Abbreviation_Expanded]])</f>
        <v>Male</v>
      </c>
      <c r="P760">
        <v>61</v>
      </c>
      <c r="Q760" s="2" t="str">
        <f>CLEAN(TRIM(Working_Sales[[#This Row],[Age]]))</f>
        <v>61</v>
      </c>
      <c r="R760" s="6">
        <f>INT(SUBSTITUTE(Working_Sales[[#This Row],[Age_Whitespace_Removed]],".",","))</f>
        <v>61</v>
      </c>
      <c r="S760" t="s">
        <v>13</v>
      </c>
      <c r="T760" s="2" t="str">
        <f>CLEAN(TRIM(Working_Sales[[#This Row],[Product Category]]))</f>
        <v>Electronics</v>
      </c>
      <c r="U760" s="6" t="str">
        <f>PROPER(Working_Sales[[#This Row],[Product_Category_Whitespace_Removed]])</f>
        <v>Electronics</v>
      </c>
      <c r="V760" t="s">
        <v>37</v>
      </c>
      <c r="W760" s="2" t="str">
        <f>CLEAN(TRIM(Working_Sales[[#This Row],[Quantity]]))</f>
        <v>2</v>
      </c>
      <c r="X760" s="2">
        <f>INT(Working_Sales[[#This Row],[`]])</f>
        <v>2</v>
      </c>
      <c r="Y760" s="6">
        <f>IFERROR(
   Working_Sales[[#This Row],[Quantity_Converted_To_Integer]],
   Working_Sales[[#This Row],[Total_Amount_Whitespace_Removed]]/Working_Sales[[#This Row],[Price_Per_Unit_Decimal_Separator_Fixed]])</f>
        <v>2</v>
      </c>
      <c r="Z760" t="s">
        <v>57</v>
      </c>
      <c r="AA760" s="2" t="str">
        <f>CLEAN(TRIM(Working_Sales[[#This Row],[Price per Unit]]))</f>
        <v>500</v>
      </c>
      <c r="AB760" s="2">
        <f>INT(
   SUBSTITUTE(Working_Sales[[#This Row],[Price_Per_Unit_Whitespace_Removed]],
   "$",
   ""
   )
)</f>
        <v>500</v>
      </c>
      <c r="AC760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760" s="8">
        <f>IFERROR(
   Working_Sales[[#This Row],[Price_Per_Unit_Decimal_Separator_Fixed]],
   Working_Sales[[#This Row],[Total_Amount_Converted_To_Integer]]/Working_Sales[[#This Row],[Quantity_Converted_To_Integer]]
)</f>
        <v>500</v>
      </c>
      <c r="AE760" t="s">
        <v>163</v>
      </c>
      <c r="AF760" s="2" t="str">
        <f>CLEAN(TRIM(Working_Sales[[#This Row],[Total Amount]]))</f>
        <v>1000</v>
      </c>
      <c r="AG760" s="2">
        <f>INT(Working_Sales[[#This Row],[Total_Amount_Whitespace_Removed]])</f>
        <v>1000</v>
      </c>
      <c r="AH76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761" spans="1:34" x14ac:dyDescent="0.35">
      <c r="A761" t="s">
        <v>1591</v>
      </c>
      <c r="B761" s="6" t="str">
        <f>CLEAN(TRIM(Working_Sales[[#This Row],[Transaction ID]]))</f>
        <v>767</v>
      </c>
      <c r="C761" t="s">
        <v>1592</v>
      </c>
      <c r="D761" s="2" t="str">
        <f>CLEAN(TRIM(Working_Sales[[#This Row],[Date]]))</f>
        <v>24/10/2023</v>
      </c>
      <c r="E76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45223</v>
      </c>
      <c r="F76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45223</v>
      </c>
      <c r="G76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45223</v>
      </c>
      <c r="H761" t="s">
        <v>2950</v>
      </c>
      <c r="I761" s="2" t="str">
        <f>CLEAN(TRIM(Working_Sales[[#This Row],[Customer ID]]))</f>
        <v>CUST049</v>
      </c>
      <c r="J76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CUST049</v>
      </c>
      <c r="K76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CUST049</v>
      </c>
      <c r="L761" t="s">
        <v>34</v>
      </c>
      <c r="M761" s="4" t="str">
        <f>CLEAN(TRIM(Working_Sales[[#This Row],[Gender]]))</f>
        <v>Male</v>
      </c>
      <c r="N761" s="4" t="str" cm="1">
        <f t="array" ref="N761">_xlfn.SWITCH(
   Working_Sales[[#This Row],[Gender_Whitespace_Removed]],
   "m", "Male",
   "f", "Female",
   Working_Sales[[#This Row],[Gender_Whitespace_Removed]]
)</f>
        <v>Male</v>
      </c>
      <c r="O761" s="6" t="str">
        <f>PROPER(Working_Sales[[#This Row],[Gender_Abbreviation_Expanded]])</f>
        <v>Male</v>
      </c>
      <c r="P761">
        <v>39</v>
      </c>
      <c r="Q761" s="2" t="str">
        <f>CLEAN(TRIM(Working_Sales[[#This Row],[Age]]))</f>
        <v>39</v>
      </c>
      <c r="R761" s="6">
        <f>INT(SUBSTITUTE(Working_Sales[[#This Row],[Age_Whitespace_Removed]],".",","))</f>
        <v>39</v>
      </c>
      <c r="S761" t="s">
        <v>36</v>
      </c>
      <c r="T761" s="2" t="str">
        <f>CLEAN(TRIM(Working_Sales[[#This Row],[Product Category]]))</f>
        <v>Beauty</v>
      </c>
      <c r="U761" s="6" t="str">
        <f>PROPER(Working_Sales[[#This Row],[Product_Category_Whitespace_Removed]])</f>
        <v>Beauty</v>
      </c>
      <c r="V761" t="s">
        <v>29</v>
      </c>
      <c r="W761" s="2" t="str">
        <f>CLEAN(TRIM(Working_Sales[[#This Row],[Quantity]]))</f>
        <v>3</v>
      </c>
      <c r="X761" s="2">
        <f>INT(Working_Sales[[#This Row],[`]])</f>
        <v>3</v>
      </c>
      <c r="Y761" s="6">
        <f>IFERROR(
   Working_Sales[[#This Row],[Quantity_Converted_To_Integer]],
   Working_Sales[[#This Row],[Total_Amount_Whitespace_Removed]]/Working_Sales[[#This Row],[Price_Per_Unit_Decimal_Separator_Fixed]])</f>
        <v>3</v>
      </c>
      <c r="Z761" t="s">
        <v>30</v>
      </c>
      <c r="AA761" s="2" t="str">
        <f>CLEAN(TRIM(Working_Sales[[#This Row],[Price per Unit]]))</f>
        <v>25</v>
      </c>
      <c r="AB761" s="2">
        <f>INT(
   SUBSTITUTE(Working_Sales[[#This Row],[Price_Per_Unit_Whitespace_Removed]],
   "$",
   ""
   )
)</f>
        <v>25</v>
      </c>
      <c r="AC761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761" s="8">
        <f>IFERROR(
   Working_Sales[[#This Row],[Price_Per_Unit_Decimal_Separator_Fixed]],
   Working_Sales[[#This Row],[Total_Amount_Converted_To_Integer]]/Working_Sales[[#This Row],[Quantity_Converted_To_Integer]]
)</f>
        <v>25</v>
      </c>
      <c r="AE761" t="s">
        <v>31</v>
      </c>
      <c r="AF761" s="2" t="str">
        <f>CLEAN(TRIM(Working_Sales[[#This Row],[Total Amount]]))</f>
        <v>75</v>
      </c>
      <c r="AG761" s="2">
        <f>INT(Working_Sales[[#This Row],[Total_Amount_Whitespace_Removed]])</f>
        <v>75</v>
      </c>
      <c r="AH76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762" spans="1:34" x14ac:dyDescent="0.35">
      <c r="A762" t="s">
        <v>1593</v>
      </c>
      <c r="B762" s="6" t="str">
        <f>CLEAN(TRIM(Working_Sales[[#This Row],[Transaction ID]]))</f>
        <v>429</v>
      </c>
      <c r="C762" t="s">
        <v>579</v>
      </c>
      <c r="D762" s="2" t="str">
        <f>CLEAN(TRIM(Working_Sales[[#This Row],[Date]]))</f>
        <v>12/28/2023</v>
      </c>
      <c r="E762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76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45288</v>
      </c>
      <c r="G76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45288</v>
      </c>
      <c r="H762" t="s">
        <v>2951</v>
      </c>
      <c r="I762" s="2" t="str">
        <f>CLEAN(TRIM(Working_Sales[[#This Row],[Customer ID]]))</f>
        <v>cust410</v>
      </c>
      <c r="J76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6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CUST410</v>
      </c>
      <c r="L762" t="s">
        <v>34</v>
      </c>
      <c r="M762" s="4" t="str">
        <f>CLEAN(TRIM(Working_Sales[[#This Row],[Gender]]))</f>
        <v>Male</v>
      </c>
      <c r="N762" s="4" t="str" cm="1">
        <f t="array" ref="N762">_xlfn.SWITCH(
   Working_Sales[[#This Row],[Gender_Whitespace_Removed]],
   "m", "Male",
   "f", "Female",
   Working_Sales[[#This Row],[Gender_Whitespace_Removed]]
)</f>
        <v>Male</v>
      </c>
      <c r="O762" s="6" t="str">
        <f>PROPER(Working_Sales[[#This Row],[Gender_Abbreviation_Expanded]])</f>
        <v>Male</v>
      </c>
      <c r="P762" t="s">
        <v>1189</v>
      </c>
      <c r="Q762" s="2" t="str">
        <f>CLEAN(TRIM(Working_Sales[[#This Row],[Age]]))</f>
        <v>64</v>
      </c>
      <c r="R762" s="6">
        <f>INT(SUBSTITUTE(Working_Sales[[#This Row],[Age_Whitespace_Removed]],".",","))</f>
        <v>64</v>
      </c>
      <c r="S762" t="s">
        <v>13</v>
      </c>
      <c r="T762" s="2" t="str">
        <f>CLEAN(TRIM(Working_Sales[[#This Row],[Product Category]]))</f>
        <v>Electronics</v>
      </c>
      <c r="U762" s="6" t="str">
        <f>PROPER(Working_Sales[[#This Row],[Product_Category_Whitespace_Removed]])</f>
        <v>Electronics</v>
      </c>
      <c r="V762" t="s">
        <v>37</v>
      </c>
      <c r="W762" s="2" t="str">
        <f>CLEAN(TRIM(Working_Sales[[#This Row],[Quantity]]))</f>
        <v>2</v>
      </c>
      <c r="X762" s="2">
        <f>INT(Working_Sales[[#This Row],[`]])</f>
        <v>2</v>
      </c>
      <c r="Y762" s="6">
        <f>IFERROR(
   Working_Sales[[#This Row],[Quantity_Converted_To_Integer]],
   Working_Sales[[#This Row],[Total_Amount_Whitespace_Removed]]/Working_Sales[[#This Row],[Price_Per_Unit_Decimal_Separator_Fixed]])</f>
        <v>2</v>
      </c>
      <c r="Z762" t="s">
        <v>171</v>
      </c>
      <c r="AA762" s="2" t="str">
        <f>CLEAN(TRIM(Working_Sales[[#This Row],[Price per Unit]]))</f>
        <v>25</v>
      </c>
      <c r="AB762" s="2">
        <f>INT(
   SUBSTITUTE(Working_Sales[[#This Row],[Price_Per_Unit_Whitespace_Removed]],
   "$",
   ""
   )
)</f>
        <v>25</v>
      </c>
      <c r="AC762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762" s="8">
        <f>IFERROR(
   Working_Sales[[#This Row],[Price_Per_Unit_Decimal_Separator_Fixed]],
   Working_Sales[[#This Row],[Total_Amount_Converted_To_Integer]]/Working_Sales[[#This Row],[Quantity_Converted_To_Integer]]
)</f>
        <v>25</v>
      </c>
      <c r="AE762" t="s">
        <v>15</v>
      </c>
      <c r="AF762" s="2" t="str">
        <f>CLEAN(TRIM(Working_Sales[[#This Row],[Total Amount]]))</f>
        <v>50</v>
      </c>
      <c r="AG762" s="2">
        <f>INT(Working_Sales[[#This Row],[Total_Amount_Whitespace_Removed]])</f>
        <v>50</v>
      </c>
      <c r="AH76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763" spans="1:34" x14ac:dyDescent="0.35">
      <c r="A763" t="s">
        <v>1595</v>
      </c>
      <c r="B763" s="6" t="str">
        <f>CLEAN(TRIM(Working_Sales[[#This Row],[Transaction ID]]))</f>
        <v>613</v>
      </c>
      <c r="C763" t="s">
        <v>547</v>
      </c>
      <c r="D763" s="2" t="str">
        <f>CLEAN(TRIM(Working_Sales[[#This Row],[Date]]))</f>
        <v>23/04/2023</v>
      </c>
      <c r="E76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45039</v>
      </c>
      <c r="F76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45039</v>
      </c>
      <c r="G76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45039</v>
      </c>
      <c r="H763" t="s">
        <v>2777</v>
      </c>
      <c r="I763" s="2" t="str">
        <f>CLEAN(TRIM(Working_Sales[[#This Row],[Customer ID]]))</f>
        <v>cust375</v>
      </c>
      <c r="J76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6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CUST375</v>
      </c>
      <c r="L763" t="s">
        <v>26</v>
      </c>
      <c r="M763" s="4" t="str">
        <f>CLEAN(TRIM(Working_Sales[[#This Row],[Gender]]))</f>
        <v>Female</v>
      </c>
      <c r="N763" s="4" t="str" cm="1">
        <f t="array" ref="N763">_xlfn.SWITCH(
   Working_Sales[[#This Row],[Gender_Whitespace_Removed]],
   "m", "Male",
   "f", "Female",
   Working_Sales[[#This Row],[Gender_Whitespace_Removed]]
)</f>
        <v>Female</v>
      </c>
      <c r="O763" s="6" t="str">
        <f>PROPER(Working_Sales[[#This Row],[Gender_Abbreviation_Expanded]])</f>
        <v>Female</v>
      </c>
      <c r="P763">
        <v>52</v>
      </c>
      <c r="Q763" s="2" t="str">
        <f>CLEAN(TRIM(Working_Sales[[#This Row],[Age]]))</f>
        <v>52</v>
      </c>
      <c r="R763" s="6">
        <f>INT(SUBSTITUTE(Working_Sales[[#This Row],[Age_Whitespace_Removed]],".",","))</f>
        <v>52</v>
      </c>
      <c r="S763" t="s">
        <v>56</v>
      </c>
      <c r="T763" s="2" t="str">
        <f>CLEAN(TRIM(Working_Sales[[#This Row],[Product Category]]))</f>
        <v>Clothing</v>
      </c>
      <c r="U763" s="6" t="str">
        <f>PROPER(Working_Sales[[#This Row],[Product_Category_Whitespace_Removed]])</f>
        <v>Clothing</v>
      </c>
      <c r="V763" t="s">
        <v>29</v>
      </c>
      <c r="W763" s="2" t="str">
        <f>CLEAN(TRIM(Working_Sales[[#This Row],[Quantity]]))</f>
        <v>3</v>
      </c>
      <c r="X763" s="2">
        <f>INT(Working_Sales[[#This Row],[`]])</f>
        <v>3</v>
      </c>
      <c r="Y763" s="6">
        <f>IFERROR(
   Working_Sales[[#This Row],[Quantity_Converted_To_Integer]],
   Working_Sales[[#This Row],[Total_Amount_Whitespace_Removed]]/Working_Sales[[#This Row],[Price_Per_Unit_Decimal_Separator_Fixed]])</f>
        <v>3</v>
      </c>
      <c r="Z763" t="s">
        <v>147</v>
      </c>
      <c r="AA763" s="2" t="str">
        <f>CLEAN(TRIM(Working_Sales[[#This Row],[Price per Unit]]))</f>
        <v>$30</v>
      </c>
      <c r="AB763" s="2">
        <f>INT(
   SUBSTITUTE(Working_Sales[[#This Row],[Price_Per_Unit_Whitespace_Removed]],
   "$",
   ""
   )
)</f>
        <v>30</v>
      </c>
      <c r="AC763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763" s="8">
        <f>IFERROR(
   Working_Sales[[#This Row],[Price_Per_Unit_Decimal_Separator_Fixed]],
   Working_Sales[[#This Row],[Total_Amount_Converted_To_Integer]]/Working_Sales[[#This Row],[Quantity_Converted_To_Integer]]
)</f>
        <v>30</v>
      </c>
      <c r="AE763" t="s">
        <v>191</v>
      </c>
      <c r="AF763" s="2" t="str">
        <f>CLEAN(TRIM(Working_Sales[[#This Row],[Total Amount]]))</f>
        <v>90</v>
      </c>
      <c r="AG763" s="2">
        <f>INT(Working_Sales[[#This Row],[Total_Amount_Whitespace_Removed]])</f>
        <v>90</v>
      </c>
      <c r="AH76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764" spans="1:34" x14ac:dyDescent="0.35">
      <c r="A764" t="s">
        <v>1596</v>
      </c>
      <c r="B764" s="6" t="str">
        <f>CLEAN(TRIM(Working_Sales[[#This Row],[Transaction ID]]))</f>
        <v>937</v>
      </c>
      <c r="C764" t="s">
        <v>1597</v>
      </c>
      <c r="D764" s="2" t="str">
        <f>CLEAN(TRIM(Working_Sales[[#This Row],[Date]]))</f>
        <v>23/10/2023</v>
      </c>
      <c r="E76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45222</v>
      </c>
      <c r="F76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45222</v>
      </c>
      <c r="G76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45222</v>
      </c>
      <c r="H764" t="s">
        <v>2952</v>
      </c>
      <c r="I764" s="2" t="str">
        <f>CLEAN(TRIM(Working_Sales[[#This Row],[Customer ID]]))</f>
        <v>cust450</v>
      </c>
      <c r="J76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6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CUST450</v>
      </c>
      <c r="L764" t="s">
        <v>46</v>
      </c>
      <c r="M764" s="4" t="str">
        <f>CLEAN(TRIM(Working_Sales[[#This Row],[Gender]]))</f>
        <v>F</v>
      </c>
      <c r="N764" s="4" t="str" cm="1">
        <f t="array" ref="N764">_xlfn.SWITCH(
   Working_Sales[[#This Row],[Gender_Whitespace_Removed]],
   "m", "Male",
   "f", "Female",
   Working_Sales[[#This Row],[Gender_Whitespace_Removed]]
)</f>
        <v>Female</v>
      </c>
      <c r="O764" s="6" t="str">
        <f>PROPER(Working_Sales[[#This Row],[Gender_Abbreviation_Expanded]])</f>
        <v>Female</v>
      </c>
      <c r="P764" t="s">
        <v>1176</v>
      </c>
      <c r="Q764" s="2" t="str">
        <f>CLEAN(TRIM(Working_Sales[[#This Row],[Age]]))</f>
        <v>62.0</v>
      </c>
      <c r="R764" s="6">
        <f>INT(SUBSTITUTE(Working_Sales[[#This Row],[Age_Whitespace_Removed]],".",","))</f>
        <v>62</v>
      </c>
      <c r="S764" t="s">
        <v>69</v>
      </c>
      <c r="T764" s="2" t="str">
        <f>CLEAN(TRIM(Working_Sales[[#This Row],[Product Category]]))</f>
        <v>BEAUTY</v>
      </c>
      <c r="U764" s="6" t="str">
        <f>PROPER(Working_Sales[[#This Row],[Product_Category_Whitespace_Removed]])</f>
        <v>Beauty</v>
      </c>
      <c r="V764" t="s">
        <v>22</v>
      </c>
      <c r="W764" s="2" t="str">
        <f>CLEAN(TRIM(Working_Sales[[#This Row],[Quantity]]))</f>
        <v>1</v>
      </c>
      <c r="X764" s="2">
        <f>INT(Working_Sales[[#This Row],[`]])</f>
        <v>1</v>
      </c>
      <c r="Y764" s="6">
        <f>IFERROR(
   Working_Sales[[#This Row],[Quantity_Converted_To_Integer]],
   Working_Sales[[#This Row],[Total_Amount_Whitespace_Removed]]/Working_Sales[[#This Row],[Price_Per_Unit_Decimal_Separator_Fixed]])</f>
        <v>1</v>
      </c>
      <c r="Z764" t="s">
        <v>57</v>
      </c>
      <c r="AA764" s="2" t="str">
        <f>CLEAN(TRIM(Working_Sales[[#This Row],[Price per Unit]]))</f>
        <v>500</v>
      </c>
      <c r="AB764" s="2">
        <f>INT(
   SUBSTITUTE(Working_Sales[[#This Row],[Price_Per_Unit_Whitespace_Removed]],
   "$",
   ""
   )
)</f>
        <v>500</v>
      </c>
      <c r="AC764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764" s="8">
        <f>IFERROR(
   Working_Sales[[#This Row],[Price_Per_Unit_Decimal_Separator_Fixed]],
   Working_Sales[[#This Row],[Total_Amount_Converted_To_Integer]]/Working_Sales[[#This Row],[Quantity_Converted_To_Integer]]
)</f>
        <v>500</v>
      </c>
      <c r="AE764" t="s">
        <v>57</v>
      </c>
      <c r="AF764" s="2" t="str">
        <f>CLEAN(TRIM(Working_Sales[[#This Row],[Total Amount]]))</f>
        <v>500</v>
      </c>
      <c r="AG764" s="2">
        <f>INT(Working_Sales[[#This Row],[Total_Amount_Whitespace_Removed]])</f>
        <v>500</v>
      </c>
      <c r="AH76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765" spans="1:34" x14ac:dyDescent="0.35">
      <c r="A765" t="s">
        <v>1598</v>
      </c>
      <c r="B765" s="6" t="str">
        <f>CLEAN(TRIM(Working_Sales[[#This Row],[Transaction ID]]))</f>
        <v>946</v>
      </c>
      <c r="C765" t="s">
        <v>851</v>
      </c>
      <c r="D765" s="2" t="str">
        <f>CLEAN(TRIM(Working_Sales[[#This Row],[Date]]))</f>
        <v>2023-05-08</v>
      </c>
      <c r="E76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45054</v>
      </c>
      <c r="F76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45054</v>
      </c>
      <c r="G76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45054</v>
      </c>
      <c r="H765" t="s">
        <v>2953</v>
      </c>
      <c r="I765" s="2" t="str">
        <f>CLEAN(TRIM(Working_Sales[[#This Row],[Customer ID]]))</f>
        <v>CUST451</v>
      </c>
      <c r="J76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CUST451</v>
      </c>
      <c r="K76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CUST451</v>
      </c>
      <c r="L765" t="s">
        <v>268</v>
      </c>
      <c r="M765" s="4" t="str">
        <f>CLEAN(TRIM(Working_Sales[[#This Row],[Gender]]))</f>
        <v>M</v>
      </c>
      <c r="N765" s="4" t="str" cm="1">
        <f t="array" ref="N765">_xlfn.SWITCH(
   Working_Sales[[#This Row],[Gender_Whitespace_Removed]],
   "m", "Male",
   "f", "Female",
   Working_Sales[[#This Row],[Gender_Whitespace_Removed]]
)</f>
        <v>Male</v>
      </c>
      <c r="O765" s="6" t="str">
        <f>PROPER(Working_Sales[[#This Row],[Gender_Abbreviation_Expanded]])</f>
        <v>Male</v>
      </c>
      <c r="P765">
        <v>62</v>
      </c>
      <c r="Q765" s="2" t="str">
        <f>CLEAN(TRIM(Working_Sales[[#This Row],[Age]]))</f>
        <v>62</v>
      </c>
      <c r="R765" s="6">
        <f>INT(SUBSTITUTE(Working_Sales[[#This Row],[Age_Whitespace_Removed]],".",","))</f>
        <v>62</v>
      </c>
      <c r="S765" t="s">
        <v>13</v>
      </c>
      <c r="T765" s="2" t="str">
        <f>CLEAN(TRIM(Working_Sales[[#This Row],[Product Category]]))</f>
        <v>Electronics</v>
      </c>
      <c r="U765" s="6" t="str">
        <f>PROPER(Working_Sales[[#This Row],[Product_Category_Whitespace_Removed]])</f>
        <v>Electronics</v>
      </c>
      <c r="V765" t="s">
        <v>14</v>
      </c>
      <c r="W765" s="2" t="str">
        <f>CLEAN(TRIM(Working_Sales[[#This Row],[Quantity]]))</f>
        <v>4</v>
      </c>
      <c r="X765" s="2">
        <f>INT(Working_Sales[[#This Row],[`]])</f>
        <v>4</v>
      </c>
      <c r="Y765" s="6">
        <f>IFERROR(
   Working_Sales[[#This Row],[Quantity_Converted_To_Integer]],
   Working_Sales[[#This Row],[Total_Amount_Whitespace_Removed]]/Working_Sales[[#This Row],[Price_Per_Unit_Decimal_Separator_Fixed]])</f>
        <v>4</v>
      </c>
      <c r="Z765" t="s">
        <v>57</v>
      </c>
      <c r="AA765" s="2" t="str">
        <f>CLEAN(TRIM(Working_Sales[[#This Row],[Price per Unit]]))</f>
        <v>500</v>
      </c>
      <c r="AB765" s="2">
        <f>INT(
   SUBSTITUTE(Working_Sales[[#This Row],[Price_Per_Unit_Whitespace_Removed]],
   "$",
   ""
   )
)</f>
        <v>500</v>
      </c>
      <c r="AC765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765" s="8">
        <f>IFERROR(
   Working_Sales[[#This Row],[Price_Per_Unit_Decimal_Separator_Fixed]],
   Working_Sales[[#This Row],[Total_Amount_Converted_To_Integer]]/Working_Sales[[#This Row],[Quantity_Converted_To_Integer]]
)</f>
        <v>500</v>
      </c>
      <c r="AE765" t="s">
        <v>232</v>
      </c>
      <c r="AF765" s="2" t="str">
        <f>CLEAN(TRIM(Working_Sales[[#This Row],[Total Amount]]))</f>
        <v>2000</v>
      </c>
      <c r="AG765" s="2">
        <f>INT(Working_Sales[[#This Row],[Total_Amount_Whitespace_Removed]])</f>
        <v>2000</v>
      </c>
      <c r="AH76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766" spans="1:34" x14ac:dyDescent="0.35">
      <c r="A766" t="s">
        <v>1599</v>
      </c>
      <c r="B766" s="6" t="str">
        <f>CLEAN(TRIM(Working_Sales[[#This Row],[Transaction ID]]))</f>
        <v>9</v>
      </c>
      <c r="C766" t="s">
        <v>1600</v>
      </c>
      <c r="D766" s="2" t="str">
        <f>CLEAN(TRIM(Working_Sales[[#This Row],[Date]]))</f>
        <v>13/12/2023</v>
      </c>
      <c r="E76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45273</v>
      </c>
      <c r="F76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45273</v>
      </c>
      <c r="G76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45273</v>
      </c>
      <c r="H766" t="s">
        <v>225</v>
      </c>
      <c r="I766" s="2" t="str">
        <f>CLEAN(TRIM(Working_Sales[[#This Row],[Customer ID]]))</f>
        <v>CUST452</v>
      </c>
      <c r="J76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CUST452</v>
      </c>
      <c r="K76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CUST452</v>
      </c>
      <c r="L766" t="s">
        <v>34</v>
      </c>
      <c r="M766" s="4" t="str">
        <f>CLEAN(TRIM(Working_Sales[[#This Row],[Gender]]))</f>
        <v>Male</v>
      </c>
      <c r="N766" s="4" t="str" cm="1">
        <f t="array" ref="N766">_xlfn.SWITCH(
   Working_Sales[[#This Row],[Gender_Whitespace_Removed]],
   "m", "Male",
   "f", "Female",
   Working_Sales[[#This Row],[Gender_Whitespace_Removed]]
)</f>
        <v>Male</v>
      </c>
      <c r="O766" s="6" t="str">
        <f>PROPER(Working_Sales[[#This Row],[Gender_Abbreviation_Expanded]])</f>
        <v>Male</v>
      </c>
      <c r="P766">
        <v>63</v>
      </c>
      <c r="Q766" s="2" t="str">
        <f>CLEAN(TRIM(Working_Sales[[#This Row],[Age]]))</f>
        <v>63</v>
      </c>
      <c r="R766" s="6">
        <f>INT(SUBSTITUTE(Working_Sales[[#This Row],[Age_Whitespace_Removed]],".",","))</f>
        <v>63</v>
      </c>
      <c r="S766" t="s">
        <v>13</v>
      </c>
      <c r="T766" s="2" t="str">
        <f>CLEAN(TRIM(Working_Sales[[#This Row],[Product Category]]))</f>
        <v>Electronics</v>
      </c>
      <c r="U766" s="6" t="str">
        <f>PROPER(Working_Sales[[#This Row],[Product_Category_Whitespace_Removed]])</f>
        <v>Electronics</v>
      </c>
      <c r="V766" t="s">
        <v>37</v>
      </c>
      <c r="W766" s="2" t="str">
        <f>CLEAN(TRIM(Working_Sales[[#This Row],[Quantity]]))</f>
        <v>2</v>
      </c>
      <c r="X766" s="2">
        <f>INT(Working_Sales[[#This Row],[`]])</f>
        <v>2</v>
      </c>
      <c r="Y766" s="6">
        <f>IFERROR(
   Working_Sales[[#This Row],[Quantity_Converted_To_Integer]],
   Working_Sales[[#This Row],[Total_Amount_Whitespace_Removed]]/Working_Sales[[#This Row],[Price_Per_Unit_Decimal_Separator_Fixed]])</f>
        <v>2</v>
      </c>
      <c r="Z766" t="s">
        <v>180</v>
      </c>
      <c r="AA766" s="2" t="str">
        <f>CLEAN(TRIM(Working_Sales[[#This Row],[Price per Unit]]))</f>
        <v>300</v>
      </c>
      <c r="AB766" s="2">
        <f>INT(
   SUBSTITUTE(Working_Sales[[#This Row],[Price_Per_Unit_Whitespace_Removed]],
   "$",
   ""
   )
)</f>
        <v>300</v>
      </c>
      <c r="AC766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766" s="8">
        <f>IFERROR(
   Working_Sales[[#This Row],[Price_Per_Unit_Decimal_Separator_Fixed]],
   Working_Sales[[#This Row],[Total_Amount_Converted_To_Integer]]/Working_Sales[[#This Row],[Quantity_Converted_To_Integer]]
)</f>
        <v>300</v>
      </c>
      <c r="AE766" t="s">
        <v>107</v>
      </c>
      <c r="AF766" s="2" t="str">
        <f>CLEAN(TRIM(Working_Sales[[#This Row],[Total Amount]]))</f>
        <v>600</v>
      </c>
      <c r="AG766" s="2">
        <f>INT(Working_Sales[[#This Row],[Total_Amount_Whitespace_Removed]])</f>
        <v>600</v>
      </c>
      <c r="AH76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600</v>
      </c>
    </row>
    <row r="767" spans="1:34" x14ac:dyDescent="0.35">
      <c r="A767" t="s">
        <v>1601</v>
      </c>
      <c r="B767" s="6" t="str">
        <f>CLEAN(TRIM(Working_Sales[[#This Row],[Transaction ID]]))</f>
        <v>157</v>
      </c>
      <c r="C767" t="s">
        <v>1602</v>
      </c>
      <c r="D767" s="2" t="str">
        <f>CLEAN(TRIM(Working_Sales[[#This Row],[Date]]))</f>
        <v>2023-06-24</v>
      </c>
      <c r="E76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45101</v>
      </c>
      <c r="F76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45101</v>
      </c>
      <c r="G76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45101</v>
      </c>
      <c r="H767" t="s">
        <v>526</v>
      </c>
      <c r="I767" s="2" t="str">
        <f>CLEAN(TRIM(Working_Sales[[#This Row],[Customer ID]]))</f>
        <v>CUST173</v>
      </c>
      <c r="J76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CUST173</v>
      </c>
      <c r="K76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CUST173</v>
      </c>
      <c r="L767" t="s">
        <v>20</v>
      </c>
      <c r="M767" s="4" t="str">
        <f>CLEAN(TRIM(Working_Sales[[#This Row],[Gender]]))</f>
        <v>male</v>
      </c>
      <c r="N767" s="4" t="str" cm="1">
        <f t="array" ref="N767">_xlfn.SWITCH(
   Working_Sales[[#This Row],[Gender_Whitespace_Removed]],
   "m", "Male",
   "f", "Female",
   Working_Sales[[#This Row],[Gender_Whitespace_Removed]]
)</f>
        <v>male</v>
      </c>
      <c r="O767" s="6" t="str">
        <f>PROPER(Working_Sales[[#This Row],[Gender_Abbreviation_Expanded]])</f>
        <v>Male</v>
      </c>
      <c r="P767">
        <v>62</v>
      </c>
      <c r="Q767" s="2" t="str">
        <f>CLEAN(TRIM(Working_Sales[[#This Row],[Age]]))</f>
        <v>62</v>
      </c>
      <c r="R767" s="6">
        <f>INT(SUBSTITUTE(Working_Sales[[#This Row],[Age_Whitespace_Removed]],".",","))</f>
        <v>62</v>
      </c>
      <c r="S767" t="s">
        <v>13</v>
      </c>
      <c r="T767" s="2" t="str">
        <f>CLEAN(TRIM(Working_Sales[[#This Row],[Product Category]]))</f>
        <v>Electronics</v>
      </c>
      <c r="U767" s="6" t="str">
        <f>PROPER(Working_Sales[[#This Row],[Product_Category_Whitespace_Removed]])</f>
        <v>Electronics</v>
      </c>
      <c r="V767" t="s">
        <v>14</v>
      </c>
      <c r="W767" s="2" t="str">
        <f>CLEAN(TRIM(Working_Sales[[#This Row],[Quantity]]))</f>
        <v>4</v>
      </c>
      <c r="X767" s="2">
        <f>INT(Working_Sales[[#This Row],[`]])</f>
        <v>4</v>
      </c>
      <c r="Y767" s="6">
        <f>IFERROR(
   Working_Sales[[#This Row],[Quantity_Converted_To_Integer]],
   Working_Sales[[#This Row],[Total_Amount_Whitespace_Removed]]/Working_Sales[[#This Row],[Price_Per_Unit_Decimal_Separator_Fixed]])</f>
        <v>4</v>
      </c>
      <c r="Z767" t="s">
        <v>57</v>
      </c>
      <c r="AA767" s="2" t="str">
        <f>CLEAN(TRIM(Working_Sales[[#This Row],[Price per Unit]]))</f>
        <v>500</v>
      </c>
      <c r="AB767" s="2">
        <f>INT(
   SUBSTITUTE(Working_Sales[[#This Row],[Price_Per_Unit_Whitespace_Removed]],
   "$",
   ""
   )
)</f>
        <v>500</v>
      </c>
      <c r="AC767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767" s="8">
        <f>IFERROR(
   Working_Sales[[#This Row],[Price_Per_Unit_Decimal_Separator_Fixed]],
   Working_Sales[[#This Row],[Total_Amount_Converted_To_Integer]]/Working_Sales[[#This Row],[Quantity_Converted_To_Integer]]
)</f>
        <v>500</v>
      </c>
      <c r="AE767" t="s">
        <v>232</v>
      </c>
      <c r="AF767" s="2" t="str">
        <f>CLEAN(TRIM(Working_Sales[[#This Row],[Total Amount]]))</f>
        <v>2000</v>
      </c>
      <c r="AG767" s="2">
        <f>INT(Working_Sales[[#This Row],[Total_Amount_Whitespace_Removed]])</f>
        <v>2000</v>
      </c>
      <c r="AH76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768" spans="1:34" x14ac:dyDescent="0.35">
      <c r="A768" t="s">
        <v>1604</v>
      </c>
      <c r="B768" s="6" t="str">
        <f>CLEAN(TRIM(Working_Sales[[#This Row],[Transaction ID]]))</f>
        <v>540</v>
      </c>
      <c r="C768" t="s">
        <v>1605</v>
      </c>
      <c r="D768" s="2" t="str">
        <f>CLEAN(TRIM(Working_Sales[[#This Row],[Date]]))</f>
        <v>2023-12-08</v>
      </c>
      <c r="E76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45268</v>
      </c>
      <c r="F76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45268</v>
      </c>
      <c r="G76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45268</v>
      </c>
      <c r="H768" t="s">
        <v>2954</v>
      </c>
      <c r="I768" s="2" t="str">
        <f>CLEAN(TRIM(Working_Sales[[#This Row],[Customer ID]]))</f>
        <v>CUST453</v>
      </c>
      <c r="J76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6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CUST453</v>
      </c>
      <c r="L768" t="s">
        <v>140</v>
      </c>
      <c r="M768" s="4" t="str">
        <f>CLEAN(TRIM(Working_Sales[[#This Row],[Gender]]))</f>
        <v>FEMALE</v>
      </c>
      <c r="N768" s="4" t="str" cm="1">
        <f t="array" ref="N768">_xlfn.SWITCH(
   Working_Sales[[#This Row],[Gender_Whitespace_Removed]],
   "m", "Male",
   "f", "Female",
   Working_Sales[[#This Row],[Gender_Whitespace_Removed]]
)</f>
        <v>FEMALE</v>
      </c>
      <c r="O768" s="6" t="str">
        <f>PROPER(Working_Sales[[#This Row],[Gender_Abbreviation_Expanded]])</f>
        <v>Female</v>
      </c>
      <c r="P768">
        <v>46</v>
      </c>
      <c r="Q768" s="2" t="str">
        <f>CLEAN(TRIM(Working_Sales[[#This Row],[Age]]))</f>
        <v>46</v>
      </c>
      <c r="R768" s="6">
        <f>INT(SUBSTITUTE(Working_Sales[[#This Row],[Age_Whitespace_Removed]],".",","))</f>
        <v>46</v>
      </c>
      <c r="S768" t="s">
        <v>13</v>
      </c>
      <c r="T768" s="2" t="str">
        <f>CLEAN(TRIM(Working_Sales[[#This Row],[Product Category]]))</f>
        <v>Electronics</v>
      </c>
      <c r="U768" s="6" t="str">
        <f>PROPER(Working_Sales[[#This Row],[Product_Category_Whitespace_Removed]])</f>
        <v>Electronics</v>
      </c>
      <c r="V768" t="s">
        <v>29</v>
      </c>
      <c r="W768" s="2" t="str">
        <f>CLEAN(TRIM(Working_Sales[[#This Row],[Quantity]]))</f>
        <v>3</v>
      </c>
      <c r="X768" s="2">
        <f>INT(Working_Sales[[#This Row],[`]])</f>
        <v>3</v>
      </c>
      <c r="Y768" s="6">
        <f>IFERROR(
   Working_Sales[[#This Row],[Quantity_Converted_To_Integer]],
   Working_Sales[[#This Row],[Total_Amount_Whitespace_Removed]]/Working_Sales[[#This Row],[Price_Per_Unit_Decimal_Separator_Fixed]])</f>
        <v>3</v>
      </c>
      <c r="Z768" t="s">
        <v>23</v>
      </c>
      <c r="AA768" s="2" t="str">
        <f>CLEAN(TRIM(Working_Sales[[#This Row],[Price per Unit]]))</f>
        <v>300</v>
      </c>
      <c r="AB768" s="2">
        <f>INT(
   SUBSTITUTE(Working_Sales[[#This Row],[Price_Per_Unit_Whitespace_Removed]],
   "$",
   ""
   )
)</f>
        <v>300</v>
      </c>
      <c r="AC768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768" s="8">
        <f>IFERROR(
   Working_Sales[[#This Row],[Price_Per_Unit_Decimal_Separator_Fixed]],
   Working_Sales[[#This Row],[Total_Amount_Converted_To_Integer]]/Working_Sales[[#This Row],[Quantity_Converted_To_Integer]]
)</f>
        <v>300</v>
      </c>
      <c r="AE768" t="s">
        <v>128</v>
      </c>
      <c r="AF768" s="2" t="str">
        <f>CLEAN(TRIM(Working_Sales[[#This Row],[Total Amount]]))</f>
        <v>900</v>
      </c>
      <c r="AG768" s="2">
        <f>INT(Working_Sales[[#This Row],[Total_Amount_Whitespace_Removed]])</f>
        <v>900</v>
      </c>
      <c r="AH76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769" spans="1:34" x14ac:dyDescent="0.35">
      <c r="A769" t="s">
        <v>1606</v>
      </c>
      <c r="B769" s="6" t="str">
        <f>CLEAN(TRIM(Working_Sales[[#This Row],[Transaction ID]]))</f>
        <v>507</v>
      </c>
      <c r="C769" t="s">
        <v>1404</v>
      </c>
      <c r="D769" s="2" t="str">
        <f>CLEAN(TRIM(Working_Sales[[#This Row],[Date]]))</f>
        <v>2023-11-02</v>
      </c>
      <c r="E76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45232</v>
      </c>
      <c r="F76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45232</v>
      </c>
      <c r="G76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45232</v>
      </c>
      <c r="H769" t="s">
        <v>2836</v>
      </c>
      <c r="I769" s="2" t="str">
        <f>CLEAN(TRIM(Working_Sales[[#This Row],[Customer ID]]))</f>
        <v>CUST371</v>
      </c>
      <c r="J76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CUST371</v>
      </c>
      <c r="K76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CUST371</v>
      </c>
      <c r="L769" t="s">
        <v>26</v>
      </c>
      <c r="M769" s="4" t="str">
        <f>CLEAN(TRIM(Working_Sales[[#This Row],[Gender]]))</f>
        <v>Female</v>
      </c>
      <c r="N769" s="4" t="str" cm="1">
        <f t="array" ref="N769">_xlfn.SWITCH(
   Working_Sales[[#This Row],[Gender_Whitespace_Removed]],
   "m", "Male",
   "f", "Female",
   Working_Sales[[#This Row],[Gender_Whitespace_Removed]]
)</f>
        <v>Female</v>
      </c>
      <c r="O769" s="6" t="str">
        <f>PROPER(Working_Sales[[#This Row],[Gender_Abbreviation_Expanded]])</f>
        <v>Female</v>
      </c>
      <c r="P769" t="s">
        <v>1607</v>
      </c>
      <c r="Q769" s="2" t="str">
        <f>CLEAN(TRIM(Working_Sales[[#This Row],[Age]]))</f>
        <v>37.0</v>
      </c>
      <c r="R769" s="6">
        <f>INT(SUBSTITUTE(Working_Sales[[#This Row],[Age_Whitespace_Removed]],".",","))</f>
        <v>37</v>
      </c>
      <c r="S769" t="s">
        <v>13</v>
      </c>
      <c r="T769" s="2" t="str">
        <f>CLEAN(TRIM(Working_Sales[[#This Row],[Product Category]]))</f>
        <v>Electronics</v>
      </c>
      <c r="U769" s="6" t="str">
        <f>PROPER(Working_Sales[[#This Row],[Product_Category_Whitespace_Removed]])</f>
        <v>Electronics</v>
      </c>
      <c r="V769" t="s">
        <v>29</v>
      </c>
      <c r="W769" s="2" t="str">
        <f>CLEAN(TRIM(Working_Sales[[#This Row],[Quantity]]))</f>
        <v>3</v>
      </c>
      <c r="X769" s="2">
        <f>INT(Working_Sales[[#This Row],[`]])</f>
        <v>3</v>
      </c>
      <c r="Y769" s="6">
        <f>IFERROR(
   Working_Sales[[#This Row],[Quantity_Converted_To_Integer]],
   Working_Sales[[#This Row],[Total_Amount_Whitespace_Removed]]/Working_Sales[[#This Row],[Price_Per_Unit_Decimal_Separator_Fixed]])</f>
        <v>3</v>
      </c>
      <c r="Z769" t="s">
        <v>57</v>
      </c>
      <c r="AA769" s="2" t="str">
        <f>CLEAN(TRIM(Working_Sales[[#This Row],[Price per Unit]]))</f>
        <v>500</v>
      </c>
      <c r="AB769" s="2">
        <f>INT(
   SUBSTITUTE(Working_Sales[[#This Row],[Price_Per_Unit_Whitespace_Removed]],
   "$",
   ""
   )
)</f>
        <v>500</v>
      </c>
      <c r="AC769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769" s="8">
        <f>IFERROR(
   Working_Sales[[#This Row],[Price_Per_Unit_Decimal_Separator_Fixed]],
   Working_Sales[[#This Row],[Total_Amount_Converted_To_Integer]]/Working_Sales[[#This Row],[Quantity_Converted_To_Integer]]
)</f>
        <v>500</v>
      </c>
      <c r="AE769" t="s">
        <v>85</v>
      </c>
      <c r="AF769" s="2" t="str">
        <f>CLEAN(TRIM(Working_Sales[[#This Row],[Total Amount]]))</f>
        <v>1500</v>
      </c>
      <c r="AG769" s="2">
        <f>INT(Working_Sales[[#This Row],[Total_Amount_Whitespace_Removed]])</f>
        <v>1500</v>
      </c>
      <c r="AH76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770" spans="1:34" x14ac:dyDescent="0.35">
      <c r="A770" t="s">
        <v>1608</v>
      </c>
      <c r="B770" s="6" t="str">
        <f>CLEAN(TRIM(Working_Sales[[#This Row],[Transaction ID]]))</f>
        <v>437</v>
      </c>
      <c r="C770" t="s">
        <v>136</v>
      </c>
      <c r="D770" s="2" t="str">
        <f>CLEAN(TRIM(Working_Sales[[#This Row],[Date]]))</f>
        <v>2023-10-07</v>
      </c>
      <c r="E77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45206</v>
      </c>
      <c r="F77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45206</v>
      </c>
      <c r="G77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45206</v>
      </c>
      <c r="H770" t="s">
        <v>2276</v>
      </c>
      <c r="I770" s="2" t="str">
        <f>CLEAN(TRIM(Working_Sales[[#This Row],[Customer ID]]))</f>
        <v>CUST105</v>
      </c>
      <c r="J77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CUST105</v>
      </c>
      <c r="K77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CUST105</v>
      </c>
      <c r="L770" t="s">
        <v>26</v>
      </c>
      <c r="M770" s="4" t="str">
        <f>CLEAN(TRIM(Working_Sales[[#This Row],[Gender]]))</f>
        <v>Female</v>
      </c>
      <c r="N770" s="4" t="str" cm="1">
        <f t="array" ref="N770">_xlfn.SWITCH(
   Working_Sales[[#This Row],[Gender_Whitespace_Removed]],
   "m", "Male",
   "f", "Female",
   Working_Sales[[#This Row],[Gender_Whitespace_Removed]]
)</f>
        <v>Female</v>
      </c>
      <c r="O770" s="6" t="str">
        <f>PROPER(Working_Sales[[#This Row],[Gender_Abbreviation_Expanded]])</f>
        <v>Female</v>
      </c>
      <c r="P770">
        <v>35</v>
      </c>
      <c r="Q770" s="2" t="str">
        <f>CLEAN(TRIM(Working_Sales[[#This Row],[Age]]))</f>
        <v>35</v>
      </c>
      <c r="R770" s="6">
        <f>INT(SUBSTITUTE(Working_Sales[[#This Row],[Age_Whitespace_Removed]],".",","))</f>
        <v>35</v>
      </c>
      <c r="S770" t="s">
        <v>13</v>
      </c>
      <c r="T770" s="2" t="str">
        <f>CLEAN(TRIM(Working_Sales[[#This Row],[Product Category]]))</f>
        <v>Electronics</v>
      </c>
      <c r="U770" s="6" t="str">
        <f>PROPER(Working_Sales[[#This Row],[Product_Category_Whitespace_Removed]])</f>
        <v>Electronics</v>
      </c>
      <c r="V770" t="s">
        <v>14</v>
      </c>
      <c r="W770" s="2" t="str">
        <f>CLEAN(TRIM(Working_Sales[[#This Row],[Quantity]]))</f>
        <v>4</v>
      </c>
      <c r="X770" s="2">
        <f>INT(Working_Sales[[#This Row],[`]])</f>
        <v>4</v>
      </c>
      <c r="Y770" s="6">
        <f>IFERROR(
   Working_Sales[[#This Row],[Quantity_Converted_To_Integer]],
   Working_Sales[[#This Row],[Total_Amount_Whitespace_Removed]]/Working_Sales[[#This Row],[Price_Per_Unit_Decimal_Separator_Fixed]])</f>
        <v>4</v>
      </c>
      <c r="Z770" t="s">
        <v>23</v>
      </c>
      <c r="AA770" s="2" t="str">
        <f>CLEAN(TRIM(Working_Sales[[#This Row],[Price per Unit]]))</f>
        <v>300</v>
      </c>
      <c r="AB770" s="2">
        <f>INT(
   SUBSTITUTE(Working_Sales[[#This Row],[Price_Per_Unit_Whitespace_Removed]],
   "$",
   ""
   )
)</f>
        <v>300</v>
      </c>
      <c r="AC770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770" s="8">
        <f>IFERROR(
   Working_Sales[[#This Row],[Price_Per_Unit_Decimal_Separator_Fixed]],
   Working_Sales[[#This Row],[Total_Amount_Converted_To_Integer]]/Working_Sales[[#This Row],[Quantity_Converted_To_Integer]]
)</f>
        <v>300</v>
      </c>
      <c r="AE770" t="s">
        <v>79</v>
      </c>
      <c r="AF770" s="2" t="str">
        <f>CLEAN(TRIM(Working_Sales[[#This Row],[Total Amount]]))</f>
        <v>1200</v>
      </c>
      <c r="AG770" s="2">
        <f>INT(Working_Sales[[#This Row],[Total_Amount_Whitespace_Removed]])</f>
        <v>1200</v>
      </c>
      <c r="AH77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771" spans="1:34" x14ac:dyDescent="0.35">
      <c r="A771" t="s">
        <v>1610</v>
      </c>
      <c r="B771" s="6" t="str">
        <f>CLEAN(TRIM(Working_Sales[[#This Row],[Transaction ID]]))</f>
        <v>267</v>
      </c>
      <c r="C771" t="s">
        <v>2148</v>
      </c>
      <c r="D771" s="2" t="str">
        <f>CLEAN(TRIM(Working_Sales[[#This Row],[Date]]))</f>
        <v>27/11/2023</v>
      </c>
      <c r="E77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45257</v>
      </c>
      <c r="F77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45257</v>
      </c>
      <c r="G77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45257</v>
      </c>
      <c r="H771" t="s">
        <v>2955</v>
      </c>
      <c r="I771" s="2" t="str">
        <f>CLEAN(TRIM(Working_Sales[[#This Row],[Customer ID]]))</f>
        <v>CUST291</v>
      </c>
      <c r="J77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CUST291</v>
      </c>
      <c r="K77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CUST291</v>
      </c>
      <c r="L771" t="s">
        <v>46</v>
      </c>
      <c r="M771" s="4" t="str">
        <f>CLEAN(TRIM(Working_Sales[[#This Row],[Gender]]))</f>
        <v>F</v>
      </c>
      <c r="N771" s="4" t="str" cm="1">
        <f t="array" ref="N771">_xlfn.SWITCH(
   Working_Sales[[#This Row],[Gender_Whitespace_Removed]],
   "m", "Male",
   "f", "Female",
   Working_Sales[[#This Row],[Gender_Whitespace_Removed]]
)</f>
        <v>Female</v>
      </c>
      <c r="O771" s="6" t="str">
        <f>PROPER(Working_Sales[[#This Row],[Gender_Abbreviation_Expanded]])</f>
        <v>Female</v>
      </c>
      <c r="P771">
        <v>32</v>
      </c>
      <c r="Q771" s="2" t="str">
        <f>CLEAN(TRIM(Working_Sales[[#This Row],[Age]]))</f>
        <v>32</v>
      </c>
      <c r="R771" s="6">
        <f>INT(SUBSTITUTE(Working_Sales[[#This Row],[Age_Whitespace_Removed]],".",","))</f>
        <v>32</v>
      </c>
      <c r="S771" t="s">
        <v>36</v>
      </c>
      <c r="T771" s="2" t="str">
        <f>CLEAN(TRIM(Working_Sales[[#This Row],[Product Category]]))</f>
        <v>Beauty</v>
      </c>
      <c r="U771" s="6" t="str">
        <f>PROPER(Working_Sales[[#This Row],[Product_Category_Whitespace_Removed]])</f>
        <v>Beauty</v>
      </c>
      <c r="V771" t="s">
        <v>29</v>
      </c>
      <c r="W771" s="2" t="str">
        <f>CLEAN(TRIM(Working_Sales[[#This Row],[Quantity]]))</f>
        <v>3</v>
      </c>
      <c r="X771" s="2">
        <f>INT(Working_Sales[[#This Row],[`]])</f>
        <v>3</v>
      </c>
      <c r="Y771" s="6">
        <f>IFERROR(
   Working_Sales[[#This Row],[Quantity_Converted_To_Integer]],
   Working_Sales[[#This Row],[Total_Amount_Whitespace_Removed]]/Working_Sales[[#This Row],[Price_Per_Unit_Decimal_Separator_Fixed]])</f>
        <v>3</v>
      </c>
      <c r="Z771" t="s">
        <v>70</v>
      </c>
      <c r="AA771" s="2" t="str">
        <f>CLEAN(TRIM(Working_Sales[[#This Row],[Price per Unit]]))</f>
        <v>30</v>
      </c>
      <c r="AB771" s="2">
        <f>INT(
   SUBSTITUTE(Working_Sales[[#This Row],[Price_Per_Unit_Whitespace_Removed]],
   "$",
   ""
   )
)</f>
        <v>30</v>
      </c>
      <c r="AC771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771" s="8">
        <f>IFERROR(
   Working_Sales[[#This Row],[Price_Per_Unit_Decimal_Separator_Fixed]],
   Working_Sales[[#This Row],[Total_Amount_Converted_To_Integer]]/Working_Sales[[#This Row],[Quantity_Converted_To_Integer]]
)</f>
        <v>30</v>
      </c>
      <c r="AE771" t="s">
        <v>191</v>
      </c>
      <c r="AF771" s="2" t="str">
        <f>CLEAN(TRIM(Working_Sales[[#This Row],[Total Amount]]))</f>
        <v>90</v>
      </c>
      <c r="AG771" s="2">
        <f>INT(Working_Sales[[#This Row],[Total_Amount_Whitespace_Removed]])</f>
        <v>90</v>
      </c>
      <c r="AH77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772" spans="1:34" x14ac:dyDescent="0.35">
      <c r="A772" t="s">
        <v>1612</v>
      </c>
      <c r="B772" s="6" t="str">
        <f>CLEAN(TRIM(Working_Sales[[#This Row],[Transaction ID]]))</f>
        <v>462</v>
      </c>
      <c r="C772" t="s">
        <v>999</v>
      </c>
      <c r="D772" s="2" t="str">
        <f>CLEAN(TRIM(Working_Sales[[#This Row],[Date]]))</f>
        <v>2023-04-01</v>
      </c>
      <c r="E77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45017</v>
      </c>
      <c r="F77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45017</v>
      </c>
      <c r="G77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45017</v>
      </c>
      <c r="H772" t="s">
        <v>2956</v>
      </c>
      <c r="I772" s="2" t="str">
        <f>CLEAN(TRIM(Working_Sales[[#This Row],[Customer ID]]))</f>
        <v>CUST314</v>
      </c>
      <c r="J77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7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CUST314</v>
      </c>
      <c r="L772" t="s">
        <v>34</v>
      </c>
      <c r="M772" s="4" t="str">
        <f>CLEAN(TRIM(Working_Sales[[#This Row],[Gender]]))</f>
        <v>Male</v>
      </c>
      <c r="N772" s="4" t="str" cm="1">
        <f t="array" ref="N772">_xlfn.SWITCH(
   Working_Sales[[#This Row],[Gender_Whitespace_Removed]],
   "m", "Male",
   "f", "Female",
   Working_Sales[[#This Row],[Gender_Whitespace_Removed]]
)</f>
        <v>Male</v>
      </c>
      <c r="O772" s="6" t="str">
        <f>PROPER(Working_Sales[[#This Row],[Gender_Abbreviation_Expanded]])</f>
        <v>Male</v>
      </c>
      <c r="P772" t="s">
        <v>845</v>
      </c>
      <c r="Q772" s="2" t="str">
        <f>CLEAN(TRIM(Working_Sales[[#This Row],[Age]]))</f>
        <v>63.0</v>
      </c>
      <c r="R772" s="6">
        <f>INT(SUBSTITUTE(Working_Sales[[#This Row],[Age_Whitespace_Removed]],".",","))</f>
        <v>63</v>
      </c>
      <c r="S772" t="s">
        <v>117</v>
      </c>
      <c r="T772" s="2" t="str">
        <f>CLEAN(TRIM(Working_Sales[[#This Row],[Product Category]]))</f>
        <v>Electronics</v>
      </c>
      <c r="U772" s="6" t="str">
        <f>PROPER(Working_Sales[[#This Row],[Product_Category_Whitespace_Removed]])</f>
        <v>Electronics</v>
      </c>
      <c r="V772" t="s">
        <v>14</v>
      </c>
      <c r="W772" s="2" t="str">
        <f>CLEAN(TRIM(Working_Sales[[#This Row],[Quantity]]))</f>
        <v>4</v>
      </c>
      <c r="X772" s="2">
        <f>INT(Working_Sales[[#This Row],[`]])</f>
        <v>4</v>
      </c>
      <c r="Y772" s="6">
        <f>IFERROR(
   Working_Sales[[#This Row],[Quantity_Converted_To_Integer]],
   Working_Sales[[#This Row],[Total_Amount_Whitespace_Removed]]/Working_Sales[[#This Row],[Price_Per_Unit_Decimal_Separator_Fixed]])</f>
        <v>4</v>
      </c>
      <c r="Z772" t="s">
        <v>23</v>
      </c>
      <c r="AA772" s="2" t="str">
        <f>CLEAN(TRIM(Working_Sales[[#This Row],[Price per Unit]]))</f>
        <v>300</v>
      </c>
      <c r="AB772" s="2">
        <f>INT(
   SUBSTITUTE(Working_Sales[[#This Row],[Price_Per_Unit_Whitespace_Removed]],
   "$",
   ""
   )
)</f>
        <v>300</v>
      </c>
      <c r="AC772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772" s="8">
        <f>IFERROR(
   Working_Sales[[#This Row],[Price_Per_Unit_Decimal_Separator_Fixed]],
   Working_Sales[[#This Row],[Total_Amount_Converted_To_Integer]]/Working_Sales[[#This Row],[Quantity_Converted_To_Integer]]
)</f>
        <v>300</v>
      </c>
      <c r="AE772" t="s">
        <v>79</v>
      </c>
      <c r="AF772" s="2" t="str">
        <f>CLEAN(TRIM(Working_Sales[[#This Row],[Total Amount]]))</f>
        <v>1200</v>
      </c>
      <c r="AG772" s="2">
        <f>INT(Working_Sales[[#This Row],[Total_Amount_Whitespace_Removed]])</f>
        <v>1200</v>
      </c>
      <c r="AH77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773" spans="1:34" x14ac:dyDescent="0.35">
      <c r="A773" t="s">
        <v>1613</v>
      </c>
      <c r="B773" s="6" t="str">
        <f>CLEAN(TRIM(Working_Sales[[#This Row],[Transaction ID]]))</f>
        <v>577</v>
      </c>
      <c r="C773" t="s">
        <v>1614</v>
      </c>
      <c r="D773" s="2" t="str">
        <f>CLEAN(TRIM(Working_Sales[[#This Row],[Date]]))</f>
        <v>13/02/2023</v>
      </c>
      <c r="E77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44970</v>
      </c>
      <c r="F77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44970</v>
      </c>
      <c r="G77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44970</v>
      </c>
      <c r="H773" t="s">
        <v>2957</v>
      </c>
      <c r="I773" s="2" t="str">
        <f>CLEAN(TRIM(Working_Sales[[#This Row],[Customer ID]]))</f>
        <v>CUST056</v>
      </c>
      <c r="J77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CUST056</v>
      </c>
      <c r="K77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CUST056</v>
      </c>
      <c r="L773" t="s">
        <v>20</v>
      </c>
      <c r="M773" s="4" t="str">
        <f>CLEAN(TRIM(Working_Sales[[#This Row],[Gender]]))</f>
        <v>male</v>
      </c>
      <c r="N773" s="4" t="str" cm="1">
        <f t="array" ref="N773">_xlfn.SWITCH(
   Working_Sales[[#This Row],[Gender_Whitespace_Removed]],
   "m", "Male",
   "f", "Female",
   Working_Sales[[#This Row],[Gender_Whitespace_Removed]]
)</f>
        <v>male</v>
      </c>
      <c r="O773" s="6" t="str">
        <f>PROPER(Working_Sales[[#This Row],[Gender_Abbreviation_Expanded]])</f>
        <v>Male</v>
      </c>
      <c r="P773">
        <v>21</v>
      </c>
      <c r="Q773" s="2" t="str">
        <f>CLEAN(TRIM(Working_Sales[[#This Row],[Age]]))</f>
        <v>21</v>
      </c>
      <c r="R773" s="6">
        <f>INT(SUBSTITUTE(Working_Sales[[#This Row],[Age_Whitespace_Removed]],".",","))</f>
        <v>21</v>
      </c>
      <c r="S773" t="s">
        <v>36</v>
      </c>
      <c r="T773" s="2" t="str">
        <f>CLEAN(TRIM(Working_Sales[[#This Row],[Product Category]]))</f>
        <v>Beauty</v>
      </c>
      <c r="U773" s="6" t="str">
        <f>PROPER(Working_Sales[[#This Row],[Product_Category_Whitespace_Removed]])</f>
        <v>Beauty</v>
      </c>
      <c r="V773" t="s">
        <v>14</v>
      </c>
      <c r="W773" s="2" t="str">
        <f>CLEAN(TRIM(Working_Sales[[#This Row],[Quantity]]))</f>
        <v>4</v>
      </c>
      <c r="X773" s="2">
        <f>INT(Working_Sales[[#This Row],[`]])</f>
        <v>4</v>
      </c>
      <c r="Y773" s="6">
        <f>IFERROR(
   Working_Sales[[#This Row],[Quantity_Converted_To_Integer]],
   Working_Sales[[#This Row],[Total_Amount_Whitespace_Removed]]/Working_Sales[[#This Row],[Price_Per_Unit_Decimal_Separator_Fixed]])</f>
        <v>4</v>
      </c>
      <c r="Z773" t="s">
        <v>57</v>
      </c>
      <c r="AA773" s="2" t="str">
        <f>CLEAN(TRIM(Working_Sales[[#This Row],[Price per Unit]]))</f>
        <v>500</v>
      </c>
      <c r="AB773" s="2">
        <f>INT(
   SUBSTITUTE(Working_Sales[[#This Row],[Price_Per_Unit_Whitespace_Removed]],
   "$",
   ""
   )
)</f>
        <v>500</v>
      </c>
      <c r="AC773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773" s="8">
        <f>IFERROR(
   Working_Sales[[#This Row],[Price_Per_Unit_Decimal_Separator_Fixed]],
   Working_Sales[[#This Row],[Total_Amount_Converted_To_Integer]]/Working_Sales[[#This Row],[Quantity_Converted_To_Integer]]
)</f>
        <v>500</v>
      </c>
      <c r="AE773" t="s">
        <v>232</v>
      </c>
      <c r="AF773" s="2" t="str">
        <f>CLEAN(TRIM(Working_Sales[[#This Row],[Total Amount]]))</f>
        <v>2000</v>
      </c>
      <c r="AG773" s="2">
        <f>INT(Working_Sales[[#This Row],[Total_Amount_Whitespace_Removed]])</f>
        <v>2000</v>
      </c>
      <c r="AH77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774" spans="1:34" x14ac:dyDescent="0.35">
      <c r="A774" t="s">
        <v>1615</v>
      </c>
      <c r="B774" s="6" t="str">
        <f>CLEAN(TRIM(Working_Sales[[#This Row],[Transaction ID]]))</f>
        <v>339</v>
      </c>
      <c r="C774" t="s">
        <v>2149</v>
      </c>
      <c r="D774" s="2" t="str">
        <f>CLEAN(TRIM(Working_Sales[[#This Row],[Date]]))</f>
        <v>03-Mar-2023</v>
      </c>
      <c r="E77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44988</v>
      </c>
      <c r="F77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44988</v>
      </c>
      <c r="G77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44988</v>
      </c>
      <c r="H774" t="s">
        <v>2958</v>
      </c>
      <c r="I774" s="2" t="str">
        <f>CLEAN(TRIM(Working_Sales[[#This Row],[Customer ID]]))</f>
        <v>CUST454</v>
      </c>
      <c r="J77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CUST454</v>
      </c>
      <c r="K77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CUST454</v>
      </c>
      <c r="L774" t="s">
        <v>26</v>
      </c>
      <c r="M774" s="4" t="str">
        <f>CLEAN(TRIM(Working_Sales[[#This Row],[Gender]]))</f>
        <v>Female</v>
      </c>
      <c r="N774" s="4" t="str" cm="1">
        <f t="array" ref="N774">_xlfn.SWITCH(
   Working_Sales[[#This Row],[Gender_Whitespace_Removed]],
   "m", "Male",
   "f", "Female",
   Working_Sales[[#This Row],[Gender_Whitespace_Removed]]
)</f>
        <v>Female</v>
      </c>
      <c r="O774" s="6" t="str">
        <f>PROPER(Working_Sales[[#This Row],[Gender_Abbreviation_Expanded]])</f>
        <v>Female</v>
      </c>
      <c r="P774">
        <v>22</v>
      </c>
      <c r="Q774" s="2" t="str">
        <f>CLEAN(TRIM(Working_Sales[[#This Row],[Age]]))</f>
        <v>22</v>
      </c>
      <c r="R774" s="6">
        <f>INT(SUBSTITUTE(Working_Sales[[#This Row],[Age_Whitespace_Removed]],".",","))</f>
        <v>22</v>
      </c>
      <c r="S774" t="s">
        <v>13</v>
      </c>
      <c r="T774" s="2" t="str">
        <f>CLEAN(TRIM(Working_Sales[[#This Row],[Product Category]]))</f>
        <v>Electronics</v>
      </c>
      <c r="U774" s="6" t="str">
        <f>PROPER(Working_Sales[[#This Row],[Product_Category_Whitespace_Removed]])</f>
        <v>Electronics</v>
      </c>
      <c r="V774" t="s">
        <v>37</v>
      </c>
      <c r="W774" s="2" t="str">
        <f>CLEAN(TRIM(Working_Sales[[#This Row],[Quantity]]))</f>
        <v>2</v>
      </c>
      <c r="X774" s="2">
        <f>INT(Working_Sales[[#This Row],[`]])</f>
        <v>2</v>
      </c>
      <c r="Y774" s="6">
        <f>IFERROR(
   Working_Sales[[#This Row],[Quantity_Converted_To_Integer]],
   Working_Sales[[#This Row],[Total_Amount_Whitespace_Removed]]/Working_Sales[[#This Row],[Price_Per_Unit_Decimal_Separator_Fixed]])</f>
        <v>2</v>
      </c>
      <c r="Z774" t="s">
        <v>30</v>
      </c>
      <c r="AA774" s="2" t="str">
        <f>CLEAN(TRIM(Working_Sales[[#This Row],[Price per Unit]]))</f>
        <v>25</v>
      </c>
      <c r="AB774" s="2">
        <f>INT(
   SUBSTITUTE(Working_Sales[[#This Row],[Price_Per_Unit_Whitespace_Removed]],
   "$",
   ""
   )
)</f>
        <v>25</v>
      </c>
      <c r="AC774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774" s="8">
        <f>IFERROR(
   Working_Sales[[#This Row],[Price_Per_Unit_Decimal_Separator_Fixed]],
   Working_Sales[[#This Row],[Total_Amount_Converted_To_Integer]]/Working_Sales[[#This Row],[Quantity_Converted_To_Integer]]
)</f>
        <v>25</v>
      </c>
      <c r="AE774" t="s">
        <v>15</v>
      </c>
      <c r="AF774" s="2" t="str">
        <f>CLEAN(TRIM(Working_Sales[[#This Row],[Total Amount]]))</f>
        <v>50</v>
      </c>
      <c r="AG774" s="2">
        <f>INT(Working_Sales[[#This Row],[Total_Amount_Whitespace_Removed]])</f>
        <v>50</v>
      </c>
      <c r="AH77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775" spans="1:34" x14ac:dyDescent="0.35">
      <c r="A775" t="s">
        <v>1616</v>
      </c>
      <c r="B775" s="6" t="str">
        <f>CLEAN(TRIM(Working_Sales[[#This Row],[Transaction ID]]))</f>
        <v>256</v>
      </c>
      <c r="C775" t="s">
        <v>1617</v>
      </c>
      <c r="D775" s="2" t="str">
        <f>CLEAN(TRIM(Working_Sales[[#This Row],[Date]]))</f>
        <v>February 18, 2023</v>
      </c>
      <c r="E775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775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77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44975</v>
      </c>
      <c r="H775" t="s">
        <v>2959</v>
      </c>
      <c r="I775" s="2" t="str">
        <f>CLEAN(TRIM(Working_Sales[[#This Row],[Customer ID]]))</f>
        <v>Cust269</v>
      </c>
      <c r="J77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7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CUST269</v>
      </c>
      <c r="L775" t="s">
        <v>34</v>
      </c>
      <c r="M775" s="4" t="str">
        <f>CLEAN(TRIM(Working_Sales[[#This Row],[Gender]]))</f>
        <v>Male</v>
      </c>
      <c r="N775" s="4" t="str" cm="1">
        <f t="array" ref="N775">_xlfn.SWITCH(
   Working_Sales[[#This Row],[Gender_Whitespace_Removed]],
   "m", "Male",
   "f", "Female",
   Working_Sales[[#This Row],[Gender_Whitespace_Removed]]
)</f>
        <v>Male</v>
      </c>
      <c r="O775" s="6" t="str">
        <f>PROPER(Working_Sales[[#This Row],[Gender_Abbreviation_Expanded]])</f>
        <v>Male</v>
      </c>
      <c r="P775">
        <v>23</v>
      </c>
      <c r="Q775" s="2" t="str">
        <f>CLEAN(TRIM(Working_Sales[[#This Row],[Age]]))</f>
        <v>23</v>
      </c>
      <c r="R775" s="6">
        <f>INT(SUBSTITUTE(Working_Sales[[#This Row],[Age_Whitespace_Removed]],".",","))</f>
        <v>23</v>
      </c>
      <c r="S775" t="s">
        <v>56</v>
      </c>
      <c r="T775" s="2" t="str">
        <f>CLEAN(TRIM(Working_Sales[[#This Row],[Product Category]]))</f>
        <v>Clothing</v>
      </c>
      <c r="U775" s="6" t="str">
        <f>PROPER(Working_Sales[[#This Row],[Product_Category_Whitespace_Removed]])</f>
        <v>Clothing</v>
      </c>
      <c r="V775" t="s">
        <v>37</v>
      </c>
      <c r="W775" s="2" t="str">
        <f>CLEAN(TRIM(Working_Sales[[#This Row],[Quantity]]))</f>
        <v>2</v>
      </c>
      <c r="X775" s="2">
        <f>INT(Working_Sales[[#This Row],[`]])</f>
        <v>2</v>
      </c>
      <c r="Y775" s="6">
        <f>IFERROR(
   Working_Sales[[#This Row],[Quantity_Converted_To_Integer]],
   Working_Sales[[#This Row],[Total_Amount_Whitespace_Removed]]/Working_Sales[[#This Row],[Price_Per_Unit_Decimal_Separator_Fixed]])</f>
        <v>2</v>
      </c>
      <c r="Z775" t="s">
        <v>57</v>
      </c>
      <c r="AA775" s="2" t="str">
        <f>CLEAN(TRIM(Working_Sales[[#This Row],[Price per Unit]]))</f>
        <v>500</v>
      </c>
      <c r="AB775" s="2">
        <f>INT(
   SUBSTITUTE(Working_Sales[[#This Row],[Price_Per_Unit_Whitespace_Removed]],
   "$",
   ""
   )
)</f>
        <v>500</v>
      </c>
      <c r="AC775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775" s="8">
        <f>IFERROR(
   Working_Sales[[#This Row],[Price_Per_Unit_Decimal_Separator_Fixed]],
   Working_Sales[[#This Row],[Total_Amount_Converted_To_Integer]]/Working_Sales[[#This Row],[Quantity_Converted_To_Integer]]
)</f>
        <v>500</v>
      </c>
      <c r="AE775" t="s">
        <v>163</v>
      </c>
      <c r="AF775" s="2" t="str">
        <f>CLEAN(TRIM(Working_Sales[[#This Row],[Total Amount]]))</f>
        <v>1000</v>
      </c>
      <c r="AG775" s="2">
        <f>INT(Working_Sales[[#This Row],[Total_Amount_Whitespace_Removed]])</f>
        <v>1000</v>
      </c>
      <c r="AH77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776" spans="1:34" x14ac:dyDescent="0.35">
      <c r="A776" t="s">
        <v>1619</v>
      </c>
      <c r="B776" s="6" t="str">
        <f>CLEAN(TRIM(Working_Sales[[#This Row],[Transaction ID]]))</f>
        <v>811</v>
      </c>
      <c r="C776" t="s">
        <v>1200</v>
      </c>
      <c r="D776" s="2" t="str">
        <f>CLEAN(TRIM(Working_Sales[[#This Row],[Date]]))</f>
        <v>19/05/2023</v>
      </c>
      <c r="E77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45065</v>
      </c>
      <c r="F77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45065</v>
      </c>
      <c r="G77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45065</v>
      </c>
      <c r="H776" t="s">
        <v>2960</v>
      </c>
      <c r="I776" s="2" t="str">
        <f>CLEAN(TRIM(Working_Sales[[#This Row],[Customer ID]]))</f>
        <v>cust455</v>
      </c>
      <c r="J77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7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CUST455</v>
      </c>
      <c r="L776" t="s">
        <v>268</v>
      </c>
      <c r="M776" s="4" t="str">
        <f>CLEAN(TRIM(Working_Sales[[#This Row],[Gender]]))</f>
        <v>M</v>
      </c>
      <c r="N776" s="4" t="str" cm="1">
        <f t="array" ref="N776">_xlfn.SWITCH(
   Working_Sales[[#This Row],[Gender_Whitespace_Removed]],
   "m", "Male",
   "f", "Female",
   Working_Sales[[#This Row],[Gender_Whitespace_Removed]]
)</f>
        <v>Male</v>
      </c>
      <c r="O776" s="6" t="str">
        <f>PROPER(Working_Sales[[#This Row],[Gender_Abbreviation_Expanded]])</f>
        <v>Male</v>
      </c>
      <c r="P776">
        <v>61</v>
      </c>
      <c r="Q776" s="2" t="str">
        <f>CLEAN(TRIM(Working_Sales[[#This Row],[Age]]))</f>
        <v>61</v>
      </c>
      <c r="R776" s="6">
        <f>INT(SUBSTITUTE(Working_Sales[[#This Row],[Age_Whitespace_Removed]],".",","))</f>
        <v>61</v>
      </c>
      <c r="S776" t="s">
        <v>42</v>
      </c>
      <c r="T776" s="2" t="str">
        <f>CLEAN(TRIM(Working_Sales[[#This Row],[Product Category]]))</f>
        <v>Beauty</v>
      </c>
      <c r="U776" s="6" t="str">
        <f>PROPER(Working_Sales[[#This Row],[Product_Category_Whitespace_Removed]])</f>
        <v>Beauty</v>
      </c>
      <c r="V776" t="s">
        <v>37</v>
      </c>
      <c r="W776" s="2" t="str">
        <f>CLEAN(TRIM(Working_Sales[[#This Row],[Quantity]]))</f>
        <v>2</v>
      </c>
      <c r="X776" s="2">
        <f>INT(Working_Sales[[#This Row],[`]])</f>
        <v>2</v>
      </c>
      <c r="Y776" s="6">
        <f>IFERROR(
   Working_Sales[[#This Row],[Quantity_Converted_To_Integer]],
   Working_Sales[[#This Row],[Total_Amount_Whitespace_Removed]]/Working_Sales[[#This Row],[Price_Per_Unit_Decimal_Separator_Fixed]])</f>
        <v>2</v>
      </c>
      <c r="Z776" t="s">
        <v>30</v>
      </c>
      <c r="AA776" s="2" t="str">
        <f>CLEAN(TRIM(Working_Sales[[#This Row],[Price per Unit]]))</f>
        <v>25</v>
      </c>
      <c r="AB776" s="2">
        <f>INT(
   SUBSTITUTE(Working_Sales[[#This Row],[Price_Per_Unit_Whitespace_Removed]],
   "$",
   ""
   )
)</f>
        <v>25</v>
      </c>
      <c r="AC776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776" s="8">
        <f>IFERROR(
   Working_Sales[[#This Row],[Price_Per_Unit_Decimal_Separator_Fixed]],
   Working_Sales[[#This Row],[Total_Amount_Converted_To_Integer]]/Working_Sales[[#This Row],[Quantity_Converted_To_Integer]]
)</f>
        <v>25</v>
      </c>
      <c r="AE776" t="s">
        <v>15</v>
      </c>
      <c r="AF776" s="2" t="str">
        <f>CLEAN(TRIM(Working_Sales[[#This Row],[Total Amount]]))</f>
        <v>50</v>
      </c>
      <c r="AG776" s="2">
        <f>INT(Working_Sales[[#This Row],[Total_Amount_Whitespace_Removed]])</f>
        <v>50</v>
      </c>
      <c r="AH77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777" spans="1:34" x14ac:dyDescent="0.35">
      <c r="A777" t="s">
        <v>1620</v>
      </c>
      <c r="B777" s="6" t="str">
        <f>CLEAN(TRIM(Working_Sales[[#This Row],[Transaction ID]]))</f>
        <v>858</v>
      </c>
      <c r="C777" t="s">
        <v>2150</v>
      </c>
      <c r="D777" s="2" t="str">
        <f>CLEAN(TRIM(Working_Sales[[#This Row],[Date]]))</f>
        <v>2023-09-09</v>
      </c>
      <c r="E77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45178</v>
      </c>
      <c r="F77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45178</v>
      </c>
      <c r="G77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45178</v>
      </c>
      <c r="H777" t="s">
        <v>2961</v>
      </c>
      <c r="I777" s="2" t="str">
        <f>CLEAN(TRIM(Working_Sales[[#This Row],[Customer ID]]))</f>
        <v>cust371</v>
      </c>
      <c r="J77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7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CUST371</v>
      </c>
      <c r="L777" t="s">
        <v>34</v>
      </c>
      <c r="M777" s="4" t="str">
        <f>CLEAN(TRIM(Working_Sales[[#This Row],[Gender]]))</f>
        <v>Male</v>
      </c>
      <c r="N777" s="4" t="str" cm="1">
        <f t="array" ref="N777">_xlfn.SWITCH(
   Working_Sales[[#This Row],[Gender_Whitespace_Removed]],
   "m", "Male",
   "f", "Female",
   Working_Sales[[#This Row],[Gender_Whitespace_Removed]]
)</f>
        <v>Male</v>
      </c>
      <c r="O777" s="6" t="str">
        <f>PROPER(Working_Sales[[#This Row],[Gender_Abbreviation_Expanded]])</f>
        <v>Male</v>
      </c>
      <c r="P777">
        <v>23</v>
      </c>
      <c r="Q777" s="2" t="str">
        <f>CLEAN(TRIM(Working_Sales[[#This Row],[Age]]))</f>
        <v>23</v>
      </c>
      <c r="R777" s="6">
        <f>INT(SUBSTITUTE(Working_Sales[[#This Row],[Age_Whitespace_Removed]],".",","))</f>
        <v>23</v>
      </c>
      <c r="S777" t="s">
        <v>13</v>
      </c>
      <c r="T777" s="2" t="str">
        <f>CLEAN(TRIM(Working_Sales[[#This Row],[Product Category]]))</f>
        <v>Electronics</v>
      </c>
      <c r="U777" s="6" t="str">
        <f>PROPER(Working_Sales[[#This Row],[Product_Category_Whitespace_Removed]])</f>
        <v>Electronics</v>
      </c>
      <c r="V777" t="s">
        <v>37</v>
      </c>
      <c r="W777" s="2" t="str">
        <f>CLEAN(TRIM(Working_Sales[[#This Row],[Quantity]]))</f>
        <v>2</v>
      </c>
      <c r="X777" s="2">
        <f>INT(Working_Sales[[#This Row],[`]])</f>
        <v>2</v>
      </c>
      <c r="Y777" s="6">
        <f>IFERROR(
   Working_Sales[[#This Row],[Quantity_Converted_To_Integer]],
   Working_Sales[[#This Row],[Total_Amount_Whitespace_Removed]]/Working_Sales[[#This Row],[Price_Per_Unit_Decimal_Separator_Fixed]])</f>
        <v>2</v>
      </c>
      <c r="Z777" t="s">
        <v>15</v>
      </c>
      <c r="AA777" s="2" t="str">
        <f>CLEAN(TRIM(Working_Sales[[#This Row],[Price per Unit]]))</f>
        <v>50</v>
      </c>
      <c r="AB777" s="2">
        <f>INT(
   SUBSTITUTE(Working_Sales[[#This Row],[Price_Per_Unit_Whitespace_Removed]],
   "$",
   ""
   )
)</f>
        <v>50</v>
      </c>
      <c r="AC777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777" s="8">
        <f>IFERROR(
   Working_Sales[[#This Row],[Price_Per_Unit_Decimal_Separator_Fixed]],
   Working_Sales[[#This Row],[Total_Amount_Converted_To_Integer]]/Working_Sales[[#This Row],[Quantity_Converted_To_Integer]]
)</f>
        <v>50</v>
      </c>
      <c r="AE777" t="s">
        <v>38</v>
      </c>
      <c r="AF777" s="2" t="str">
        <f>CLEAN(TRIM(Working_Sales[[#This Row],[Total Amount]]))</f>
        <v>100</v>
      </c>
      <c r="AG777" s="2">
        <f>INT(Working_Sales[[#This Row],[Total_Amount_Whitespace_Removed]])</f>
        <v>100</v>
      </c>
      <c r="AH77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778" spans="1:34" x14ac:dyDescent="0.35">
      <c r="A778" t="s">
        <v>1621</v>
      </c>
      <c r="B778" s="6" t="str">
        <f>CLEAN(TRIM(Working_Sales[[#This Row],[Transaction ID]]))</f>
        <v>666</v>
      </c>
      <c r="C778" t="s">
        <v>2035</v>
      </c>
      <c r="D778" s="2" t="str">
        <f>CLEAN(TRIM(Working_Sales[[#This Row],[Date]]))</f>
        <v>02-Feb-2023</v>
      </c>
      <c r="E77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44959</v>
      </c>
      <c r="F77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44959</v>
      </c>
      <c r="G77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44959</v>
      </c>
      <c r="H778" t="s">
        <v>2962</v>
      </c>
      <c r="I778" s="2" t="str">
        <f>CLEAN(TRIM(Working_Sales[[#This Row],[Customer ID]]))</f>
        <v>cust456</v>
      </c>
      <c r="J77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7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CUST456</v>
      </c>
      <c r="L778" t="s">
        <v>20</v>
      </c>
      <c r="M778" s="4" t="str">
        <f>CLEAN(TRIM(Working_Sales[[#This Row],[Gender]]))</f>
        <v>male</v>
      </c>
      <c r="N778" s="4" t="str" cm="1">
        <f t="array" ref="N778">_xlfn.SWITCH(
   Working_Sales[[#This Row],[Gender_Whitespace_Removed]],
   "m", "Male",
   "f", "Female",
   Working_Sales[[#This Row],[Gender_Whitespace_Removed]]
)</f>
        <v>male</v>
      </c>
      <c r="O778" s="6" t="str">
        <f>PROPER(Working_Sales[[#This Row],[Gender_Abbreviation_Expanded]])</f>
        <v>Male</v>
      </c>
      <c r="P778">
        <v>51</v>
      </c>
      <c r="Q778" s="2" t="str">
        <f>CLEAN(TRIM(Working_Sales[[#This Row],[Age]]))</f>
        <v>51</v>
      </c>
      <c r="R778" s="6">
        <f>INT(SUBSTITUTE(Working_Sales[[#This Row],[Age_Whitespace_Removed]],".",","))</f>
        <v>51</v>
      </c>
      <c r="S778" t="s">
        <v>13</v>
      </c>
      <c r="T778" s="2" t="str">
        <f>CLEAN(TRIM(Working_Sales[[#This Row],[Product Category]]))</f>
        <v>Electronics</v>
      </c>
      <c r="U778" s="6" t="str">
        <f>PROPER(Working_Sales[[#This Row],[Product_Category_Whitespace_Removed]])</f>
        <v>Electronics</v>
      </c>
      <c r="V778" t="s">
        <v>29</v>
      </c>
      <c r="W778" s="2" t="str">
        <f>CLEAN(TRIM(Working_Sales[[#This Row],[Quantity]]))</f>
        <v>3</v>
      </c>
      <c r="X778" s="2">
        <f>INT(Working_Sales[[#This Row],[`]])</f>
        <v>3</v>
      </c>
      <c r="Y778" s="6">
        <f>IFERROR(
   Working_Sales[[#This Row],[Quantity_Converted_To_Integer]],
   Working_Sales[[#This Row],[Total_Amount_Whitespace_Removed]]/Working_Sales[[#This Row],[Price_Per_Unit_Decimal_Separator_Fixed]])</f>
        <v>3</v>
      </c>
      <c r="Z778" t="s">
        <v>153</v>
      </c>
      <c r="AA778" s="2" t="str">
        <f>CLEAN(TRIM(Working_Sales[[#This Row],[Price per Unit]]))</f>
        <v>50.00</v>
      </c>
      <c r="AB778" s="2" t="e">
        <f>INT(
   SUBSTITUTE(Working_Sales[[#This Row],[Price_Per_Unit_Whitespace_Removed]],
   "$",
   ""
   )
)</f>
        <v>#VALUE!</v>
      </c>
      <c r="AC778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778" s="8">
        <f>IFERROR(
   Working_Sales[[#This Row],[Price_Per_Unit_Decimal_Separator_Fixed]],
   Working_Sales[[#This Row],[Total_Amount_Converted_To_Integer]]/Working_Sales[[#This Row],[Quantity_Converted_To_Integer]]
)</f>
        <v>50</v>
      </c>
      <c r="AE778" t="s">
        <v>130</v>
      </c>
      <c r="AF778" s="2" t="str">
        <f>CLEAN(TRIM(Working_Sales[[#This Row],[Total Amount]]))</f>
        <v>150</v>
      </c>
      <c r="AG778" s="2">
        <f>INT(Working_Sales[[#This Row],[Total_Amount_Whitespace_Removed]])</f>
        <v>150</v>
      </c>
      <c r="AH77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779" spans="1:34" x14ac:dyDescent="0.35">
      <c r="A779" t="s">
        <v>1622</v>
      </c>
      <c r="B779" s="6" t="str">
        <f>CLEAN(TRIM(Working_Sales[[#This Row],[Transaction ID]]))</f>
        <v>561</v>
      </c>
      <c r="C779" t="s">
        <v>1623</v>
      </c>
      <c r="D779" s="2" t="str">
        <f>CLEAN(TRIM(Working_Sales[[#This Row],[Date]]))</f>
        <v>27/05/2023</v>
      </c>
      <c r="E77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45073</v>
      </c>
      <c r="F77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45073</v>
      </c>
      <c r="G77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45073</v>
      </c>
      <c r="H779" t="s">
        <v>2963</v>
      </c>
      <c r="I779" s="2" t="str">
        <f>CLEAN(TRIM(Working_Sales[[#This Row],[Customer ID]]))</f>
        <v>CUST113</v>
      </c>
      <c r="J77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CUST113</v>
      </c>
      <c r="K77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CUST113</v>
      </c>
      <c r="L779" t="s">
        <v>26</v>
      </c>
      <c r="M779" s="4" t="str">
        <f>CLEAN(TRIM(Working_Sales[[#This Row],[Gender]]))</f>
        <v>Female</v>
      </c>
      <c r="N779" s="4" t="str" cm="1">
        <f t="array" ref="N779">_xlfn.SWITCH(
   Working_Sales[[#This Row],[Gender_Whitespace_Removed]],
   "m", "Male",
   "f", "Female",
   Working_Sales[[#This Row],[Gender_Whitespace_Removed]]
)</f>
        <v>Female</v>
      </c>
      <c r="O779" s="6" t="str">
        <f>PROPER(Working_Sales[[#This Row],[Gender_Abbreviation_Expanded]])</f>
        <v>Female</v>
      </c>
      <c r="P779">
        <v>64</v>
      </c>
      <c r="Q779" s="2" t="str">
        <f>CLEAN(TRIM(Working_Sales[[#This Row],[Age]]))</f>
        <v>64</v>
      </c>
      <c r="R779" s="6">
        <f>INT(SUBSTITUTE(Working_Sales[[#This Row],[Age_Whitespace_Removed]],".",","))</f>
        <v>64</v>
      </c>
      <c r="S779" t="s">
        <v>124</v>
      </c>
      <c r="T779" s="2" t="str">
        <f>CLEAN(TRIM(Working_Sales[[#This Row],[Product Category]]))</f>
        <v>Clothing</v>
      </c>
      <c r="U779" s="6" t="str">
        <f>PROPER(Working_Sales[[#This Row],[Product_Category_Whitespace_Removed]])</f>
        <v>Clothing</v>
      </c>
      <c r="V779" t="s">
        <v>14</v>
      </c>
      <c r="W779" s="2" t="str">
        <f>CLEAN(TRIM(Working_Sales[[#This Row],[Quantity]]))</f>
        <v>4</v>
      </c>
      <c r="X779" s="2">
        <f>INT(Working_Sales[[#This Row],[`]])</f>
        <v>4</v>
      </c>
      <c r="Y779" s="6">
        <f>IFERROR(
   Working_Sales[[#This Row],[Quantity_Converted_To_Integer]],
   Working_Sales[[#This Row],[Total_Amount_Whitespace_Removed]]/Working_Sales[[#This Row],[Price_Per_Unit_Decimal_Separator_Fixed]])</f>
        <v>4</v>
      </c>
      <c r="Z779" t="s">
        <v>57</v>
      </c>
      <c r="AA779" s="2" t="str">
        <f>CLEAN(TRIM(Working_Sales[[#This Row],[Price per Unit]]))</f>
        <v>500</v>
      </c>
      <c r="AB779" s="2">
        <f>INT(
   SUBSTITUTE(Working_Sales[[#This Row],[Price_Per_Unit_Whitespace_Removed]],
   "$",
   ""
   )
)</f>
        <v>500</v>
      </c>
      <c r="AC779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779" s="8">
        <f>IFERROR(
   Working_Sales[[#This Row],[Price_Per_Unit_Decimal_Separator_Fixed]],
   Working_Sales[[#This Row],[Total_Amount_Converted_To_Integer]]/Working_Sales[[#This Row],[Quantity_Converted_To_Integer]]
)</f>
        <v>500</v>
      </c>
      <c r="AE779" t="s">
        <v>232</v>
      </c>
      <c r="AF779" s="2" t="str">
        <f>CLEAN(TRIM(Working_Sales[[#This Row],[Total Amount]]))</f>
        <v>2000</v>
      </c>
      <c r="AG779" s="2">
        <f>INT(Working_Sales[[#This Row],[Total_Amount_Whitespace_Removed]])</f>
        <v>2000</v>
      </c>
      <c r="AH77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780" spans="1:34" x14ac:dyDescent="0.35">
      <c r="A780" t="s">
        <v>1624</v>
      </c>
      <c r="B780" s="6" t="str">
        <f>CLEAN(TRIM(Working_Sales[[#This Row],[Transaction ID]]))</f>
        <v>209</v>
      </c>
      <c r="C780" t="s">
        <v>1625</v>
      </c>
      <c r="D780" s="2" t="str">
        <f>CLEAN(TRIM(Working_Sales[[#This Row],[Date]]))</f>
        <v>2023-12-20</v>
      </c>
      <c r="E78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45280</v>
      </c>
      <c r="F78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45280</v>
      </c>
      <c r="G78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45280</v>
      </c>
      <c r="H780" t="s">
        <v>2964</v>
      </c>
      <c r="I780" s="2" t="str">
        <f>CLEAN(TRIM(Working_Sales[[#This Row],[Customer ID]]))</f>
        <v>CUST048</v>
      </c>
      <c r="J78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CUST048</v>
      </c>
      <c r="K78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CUST048</v>
      </c>
      <c r="L780" t="s">
        <v>46</v>
      </c>
      <c r="M780" s="4" t="str">
        <f>CLEAN(TRIM(Working_Sales[[#This Row],[Gender]]))</f>
        <v>F</v>
      </c>
      <c r="N780" s="4" t="str" cm="1">
        <f t="array" ref="N780">_xlfn.SWITCH(
   Working_Sales[[#This Row],[Gender_Whitespace_Removed]],
   "m", "Male",
   "f", "Female",
   Working_Sales[[#This Row],[Gender_Whitespace_Removed]]
)</f>
        <v>Female</v>
      </c>
      <c r="O780" s="6" t="str">
        <f>PROPER(Working_Sales[[#This Row],[Gender_Abbreviation_Expanded]])</f>
        <v>Female</v>
      </c>
      <c r="P780">
        <v>30</v>
      </c>
      <c r="Q780" s="2" t="str">
        <f>CLEAN(TRIM(Working_Sales[[#This Row],[Age]]))</f>
        <v>30</v>
      </c>
      <c r="R780" s="6">
        <f>INT(SUBSTITUTE(Working_Sales[[#This Row],[Age_Whitespace_Removed]],".",","))</f>
        <v>30</v>
      </c>
      <c r="S780" t="s">
        <v>13</v>
      </c>
      <c r="T780" s="2" t="str">
        <f>CLEAN(TRIM(Working_Sales[[#This Row],[Product Category]]))</f>
        <v>Electronics</v>
      </c>
      <c r="U780" s="6" t="str">
        <f>PROPER(Working_Sales[[#This Row],[Product_Category_Whitespace_Removed]])</f>
        <v>Electronics</v>
      </c>
      <c r="V780" t="s">
        <v>14</v>
      </c>
      <c r="W780" s="2" t="str">
        <f>CLEAN(TRIM(Working_Sales[[#This Row],[Quantity]]))</f>
        <v>4</v>
      </c>
      <c r="X780" s="2">
        <f>INT(Working_Sales[[#This Row],[`]])</f>
        <v>4</v>
      </c>
      <c r="Y780" s="6">
        <f>IFERROR(
   Working_Sales[[#This Row],[Quantity_Converted_To_Integer]],
   Working_Sales[[#This Row],[Total_Amount_Whitespace_Removed]]/Working_Sales[[#This Row],[Price_Per_Unit_Decimal_Separator_Fixed]])</f>
        <v>4</v>
      </c>
      <c r="Z780" t="s">
        <v>15</v>
      </c>
      <c r="AA780" s="2" t="str">
        <f>CLEAN(TRIM(Working_Sales[[#This Row],[Price per Unit]]))</f>
        <v>50</v>
      </c>
      <c r="AB780" s="2">
        <f>INT(
   SUBSTITUTE(Working_Sales[[#This Row],[Price_Per_Unit_Whitespace_Removed]],
   "$",
   ""
   )
)</f>
        <v>50</v>
      </c>
      <c r="AC780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780" s="8">
        <f>IFERROR(
   Working_Sales[[#This Row],[Price_Per_Unit_Decimal_Separator_Fixed]],
   Working_Sales[[#This Row],[Total_Amount_Converted_To_Integer]]/Working_Sales[[#This Row],[Quantity_Converted_To_Integer]]
)</f>
        <v>50</v>
      </c>
      <c r="AE780" t="s">
        <v>16</v>
      </c>
      <c r="AF780" s="2" t="str">
        <f>CLEAN(TRIM(Working_Sales[[#This Row],[Total Amount]]))</f>
        <v>200</v>
      </c>
      <c r="AG780" s="2">
        <f>INT(Working_Sales[[#This Row],[Total_Amount_Whitespace_Removed]])</f>
        <v>200</v>
      </c>
      <c r="AH78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781" spans="1:34" x14ac:dyDescent="0.35">
      <c r="A781" t="s">
        <v>1627</v>
      </c>
      <c r="B781" s="6" t="str">
        <f>CLEAN(TRIM(Working_Sales[[#This Row],[Transaction ID]]))</f>
        <v>288</v>
      </c>
      <c r="C781" t="s">
        <v>1458</v>
      </c>
      <c r="D781" s="2" t="str">
        <f>CLEAN(TRIM(Working_Sales[[#This Row],[Date]]))</f>
        <v>2023-01-26</v>
      </c>
      <c r="E78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44952</v>
      </c>
      <c r="F78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44952</v>
      </c>
      <c r="G78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44952</v>
      </c>
      <c r="H781" t="s">
        <v>2965</v>
      </c>
      <c r="I781" s="2" t="str">
        <f>CLEAN(TRIM(Working_Sales[[#This Row],[Customer ID]]))</f>
        <v>CUST457</v>
      </c>
      <c r="J78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CUST457</v>
      </c>
      <c r="K78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CUST457</v>
      </c>
      <c r="L781" t="s">
        <v>11</v>
      </c>
      <c r="M781" s="4" t="str">
        <f>CLEAN(TRIM(Working_Sales[[#This Row],[Gender]]))</f>
        <v>MALE</v>
      </c>
      <c r="N781" s="4" t="str" cm="1">
        <f t="array" ref="N781">_xlfn.SWITCH(
   Working_Sales[[#This Row],[Gender_Whitespace_Removed]],
   "m", "Male",
   "f", "Female",
   Working_Sales[[#This Row],[Gender_Whitespace_Removed]]
)</f>
        <v>MALE</v>
      </c>
      <c r="O781" s="6" t="str">
        <f>PROPER(Working_Sales[[#This Row],[Gender_Abbreviation_Expanded]])</f>
        <v>Male</v>
      </c>
      <c r="P781">
        <v>28</v>
      </c>
      <c r="Q781" s="2" t="str">
        <f>CLEAN(TRIM(Working_Sales[[#This Row],[Age]]))</f>
        <v>28</v>
      </c>
      <c r="R781" s="6">
        <f>INT(SUBSTITUTE(Working_Sales[[#This Row],[Age_Whitespace_Removed]],".",","))</f>
        <v>28</v>
      </c>
      <c r="S781" t="s">
        <v>56</v>
      </c>
      <c r="T781" s="2" t="str">
        <f>CLEAN(TRIM(Working_Sales[[#This Row],[Product Category]]))</f>
        <v>Clothing</v>
      </c>
      <c r="U781" s="6" t="str">
        <f>PROPER(Working_Sales[[#This Row],[Product_Category_Whitespace_Removed]])</f>
        <v>Clothing</v>
      </c>
      <c r="V781" t="s">
        <v>14</v>
      </c>
      <c r="W781" s="2" t="str">
        <f>CLEAN(TRIM(Working_Sales[[#This Row],[Quantity]]))</f>
        <v>4</v>
      </c>
      <c r="X781" s="2">
        <f>INT(Working_Sales[[#This Row],[`]])</f>
        <v>4</v>
      </c>
      <c r="Y781" s="6">
        <f>IFERROR(
   Working_Sales[[#This Row],[Quantity_Converted_To_Integer]],
   Working_Sales[[#This Row],[Total_Amount_Whitespace_Removed]]/Working_Sales[[#This Row],[Price_Per_Unit_Decimal_Separator_Fixed]])</f>
        <v>4</v>
      </c>
      <c r="Z781" t="s">
        <v>70</v>
      </c>
      <c r="AA781" s="2" t="str">
        <f>CLEAN(TRIM(Working_Sales[[#This Row],[Price per Unit]]))</f>
        <v>30</v>
      </c>
      <c r="AB781" s="2">
        <f>INT(
   SUBSTITUTE(Working_Sales[[#This Row],[Price_Per_Unit_Whitespace_Removed]],
   "$",
   ""
   )
)</f>
        <v>30</v>
      </c>
      <c r="AC781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781" s="8">
        <f>IFERROR(
   Working_Sales[[#This Row],[Price_Per_Unit_Decimal_Separator_Fixed]],
   Working_Sales[[#This Row],[Total_Amount_Converted_To_Integer]]/Working_Sales[[#This Row],[Quantity_Converted_To_Integer]]
)</f>
        <v>30</v>
      </c>
      <c r="AE781" t="s">
        <v>44</v>
      </c>
      <c r="AF781" s="2" t="str">
        <f>CLEAN(TRIM(Working_Sales[[#This Row],[Total Amount]]))</f>
        <v>120</v>
      </c>
      <c r="AG781" s="2">
        <f>INT(Working_Sales[[#This Row],[Total_Amount_Whitespace_Removed]])</f>
        <v>120</v>
      </c>
      <c r="AH78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782" spans="1:34" x14ac:dyDescent="0.35">
      <c r="A782" t="s">
        <v>37</v>
      </c>
      <c r="B782" s="6" t="str">
        <f>CLEAN(TRIM(Working_Sales[[#This Row],[Transaction ID]]))</f>
        <v>2</v>
      </c>
      <c r="C782" t="s">
        <v>64</v>
      </c>
      <c r="D782" s="2" t="str">
        <f>CLEAN(TRIM(Working_Sales[[#This Row],[Date]]))</f>
        <v>2023-02-27</v>
      </c>
      <c r="E78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44984</v>
      </c>
      <c r="F78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44984</v>
      </c>
      <c r="G78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44984</v>
      </c>
      <c r="H782" t="s">
        <v>2622</v>
      </c>
      <c r="I782" s="2" t="str">
        <f>CLEAN(TRIM(Working_Sales[[#This Row],[Customer ID]]))</f>
        <v>Cust277</v>
      </c>
      <c r="J78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8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CUST277</v>
      </c>
      <c r="L782" t="s">
        <v>140</v>
      </c>
      <c r="M782" s="4" t="str">
        <f>CLEAN(TRIM(Working_Sales[[#This Row],[Gender]]))</f>
        <v>FEMALE</v>
      </c>
      <c r="N782" s="4" t="str" cm="1">
        <f t="array" ref="N782">_xlfn.SWITCH(
   Working_Sales[[#This Row],[Gender_Whitespace_Removed]],
   "m", "Male",
   "f", "Female",
   Working_Sales[[#This Row],[Gender_Whitespace_Removed]]
)</f>
        <v>FEMALE</v>
      </c>
      <c r="O782" s="6" t="str">
        <f>PROPER(Working_Sales[[#This Row],[Gender_Abbreviation_Expanded]])</f>
        <v>Female</v>
      </c>
      <c r="P782">
        <v>26</v>
      </c>
      <c r="Q782" s="2" t="str">
        <f>CLEAN(TRIM(Working_Sales[[#This Row],[Age]]))</f>
        <v>26</v>
      </c>
      <c r="R782" s="6">
        <f>INT(SUBSTITUTE(Working_Sales[[#This Row],[Age_Whitespace_Removed]],".",","))</f>
        <v>26</v>
      </c>
      <c r="S782" t="s">
        <v>56</v>
      </c>
      <c r="T782" s="2" t="str">
        <f>CLEAN(TRIM(Working_Sales[[#This Row],[Product Category]]))</f>
        <v>Clothing</v>
      </c>
      <c r="U782" s="6" t="str">
        <f>PROPER(Working_Sales[[#This Row],[Product_Category_Whitespace_Removed]])</f>
        <v>Clothing</v>
      </c>
      <c r="V782" t="s">
        <v>37</v>
      </c>
      <c r="W782" s="2" t="str">
        <f>CLEAN(TRIM(Working_Sales[[#This Row],[Quantity]]))</f>
        <v>2</v>
      </c>
      <c r="X782" s="2">
        <f>INT(Working_Sales[[#This Row],[`]])</f>
        <v>2</v>
      </c>
      <c r="Y782" s="6">
        <f>IFERROR(
   Working_Sales[[#This Row],[Quantity_Converted_To_Integer]],
   Working_Sales[[#This Row],[Total_Amount_Whitespace_Removed]]/Working_Sales[[#This Row],[Price_Per_Unit_Decimal_Separator_Fixed]])</f>
        <v>2</v>
      </c>
      <c r="Z782" t="s">
        <v>57</v>
      </c>
      <c r="AA782" s="2" t="str">
        <f>CLEAN(TRIM(Working_Sales[[#This Row],[Price per Unit]]))</f>
        <v>500</v>
      </c>
      <c r="AB782" s="2">
        <f>INT(
   SUBSTITUTE(Working_Sales[[#This Row],[Price_Per_Unit_Whitespace_Removed]],
   "$",
   ""
   )
)</f>
        <v>500</v>
      </c>
      <c r="AC782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782" s="8">
        <f>IFERROR(
   Working_Sales[[#This Row],[Price_Per_Unit_Decimal_Separator_Fixed]],
   Working_Sales[[#This Row],[Total_Amount_Converted_To_Integer]]/Working_Sales[[#This Row],[Quantity_Converted_To_Integer]]
)</f>
        <v>500</v>
      </c>
      <c r="AE782" t="s">
        <v>163</v>
      </c>
      <c r="AF782" s="2" t="str">
        <f>CLEAN(TRIM(Working_Sales[[#This Row],[Total Amount]]))</f>
        <v>1000</v>
      </c>
      <c r="AG782" s="2">
        <f>INT(Working_Sales[[#This Row],[Total_Amount_Whitespace_Removed]])</f>
        <v>1000</v>
      </c>
      <c r="AH78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783" spans="1:34" x14ac:dyDescent="0.35">
      <c r="A783" t="s">
        <v>1629</v>
      </c>
      <c r="B783" s="6" t="str">
        <f>CLEAN(TRIM(Working_Sales[[#This Row],[Transaction ID]]))</f>
        <v>342</v>
      </c>
      <c r="C783" t="s">
        <v>431</v>
      </c>
      <c r="D783" s="2" t="str">
        <f>CLEAN(TRIM(Working_Sales[[#This Row],[Date]]))</f>
        <v>2023-10-24</v>
      </c>
      <c r="E78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45223</v>
      </c>
      <c r="F78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45223</v>
      </c>
      <c r="G78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45223</v>
      </c>
      <c r="H783" t="s">
        <v>2966</v>
      </c>
      <c r="I783" s="2" t="str">
        <f>CLEAN(TRIM(Working_Sales[[#This Row],[Customer ID]]))</f>
        <v>CUST458</v>
      </c>
      <c r="J78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CUST458</v>
      </c>
      <c r="K78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CUST458</v>
      </c>
      <c r="L783" t="s">
        <v>26</v>
      </c>
      <c r="M783" s="4" t="str">
        <f>CLEAN(TRIM(Working_Sales[[#This Row],[Gender]]))</f>
        <v>Female</v>
      </c>
      <c r="N783" s="4" t="str" cm="1">
        <f t="array" ref="N783">_xlfn.SWITCH(
   Working_Sales[[#This Row],[Gender_Whitespace_Removed]],
   "m", "Male",
   "f", "Female",
   Working_Sales[[#This Row],[Gender_Whitespace_Removed]]
)</f>
        <v>Female</v>
      </c>
      <c r="O783" s="6" t="str">
        <f>PROPER(Working_Sales[[#This Row],[Gender_Abbreviation_Expanded]])</f>
        <v>Female</v>
      </c>
      <c r="P783">
        <v>43</v>
      </c>
      <c r="Q783" s="2" t="str">
        <f>CLEAN(TRIM(Working_Sales[[#This Row],[Age]]))</f>
        <v>43</v>
      </c>
      <c r="R783" s="6">
        <f>INT(SUBSTITUTE(Working_Sales[[#This Row],[Age_Whitespace_Removed]],".",","))</f>
        <v>43</v>
      </c>
      <c r="S783" t="s">
        <v>56</v>
      </c>
      <c r="T783" s="2" t="str">
        <f>CLEAN(TRIM(Working_Sales[[#This Row],[Product Category]]))</f>
        <v>Clothing</v>
      </c>
      <c r="U783" s="6" t="str">
        <f>PROPER(Working_Sales[[#This Row],[Product_Category_Whitespace_Removed]])</f>
        <v>Clothing</v>
      </c>
      <c r="V783" t="s">
        <v>14</v>
      </c>
      <c r="W783" s="2" t="str">
        <f>CLEAN(TRIM(Working_Sales[[#This Row],[Quantity]]))</f>
        <v>4</v>
      </c>
      <c r="X783" s="2">
        <f>INT(Working_Sales[[#This Row],[`]])</f>
        <v>4</v>
      </c>
      <c r="Y783" s="6">
        <f>IFERROR(
   Working_Sales[[#This Row],[Quantity_Converted_To_Integer]],
   Working_Sales[[#This Row],[Total_Amount_Whitespace_Removed]]/Working_Sales[[#This Row],[Price_Per_Unit_Decimal_Separator_Fixed]])</f>
        <v>4</v>
      </c>
      <c r="Z783" t="s">
        <v>57</v>
      </c>
      <c r="AA783" s="2" t="str">
        <f>CLEAN(TRIM(Working_Sales[[#This Row],[Price per Unit]]))</f>
        <v>500</v>
      </c>
      <c r="AB783" s="2">
        <f>INT(
   SUBSTITUTE(Working_Sales[[#This Row],[Price_Per_Unit_Whitespace_Removed]],
   "$",
   ""
   )
)</f>
        <v>500</v>
      </c>
      <c r="AC783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783" s="8">
        <f>IFERROR(
   Working_Sales[[#This Row],[Price_Per_Unit_Decimal_Separator_Fixed]],
   Working_Sales[[#This Row],[Total_Amount_Converted_To_Integer]]/Working_Sales[[#This Row],[Quantity_Converted_To_Integer]]
)</f>
        <v>500</v>
      </c>
      <c r="AE783" t="s">
        <v>232</v>
      </c>
      <c r="AF783" s="2" t="str">
        <f>CLEAN(TRIM(Working_Sales[[#This Row],[Total Amount]]))</f>
        <v>2000</v>
      </c>
      <c r="AG783" s="2">
        <f>INT(Working_Sales[[#This Row],[Total_Amount_Whitespace_Removed]])</f>
        <v>2000</v>
      </c>
      <c r="AH78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784" spans="1:34" x14ac:dyDescent="0.35">
      <c r="A784" t="s">
        <v>1631</v>
      </c>
      <c r="B784" s="6" t="str">
        <f>CLEAN(TRIM(Working_Sales[[#This Row],[Transaction ID]]))</f>
        <v>270</v>
      </c>
      <c r="C784" t="s">
        <v>267</v>
      </c>
      <c r="D784" s="2" t="str">
        <f>CLEAN(TRIM(Working_Sales[[#This Row],[Date]]))</f>
        <v>2023-07-26</v>
      </c>
      <c r="E78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45133</v>
      </c>
      <c r="F78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45133</v>
      </c>
      <c r="G78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45133</v>
      </c>
      <c r="H784" t="s">
        <v>2967</v>
      </c>
      <c r="I784" s="2" t="str">
        <f>CLEAN(TRIM(Working_Sales[[#This Row],[Customer ID]]))</f>
        <v>CUST279</v>
      </c>
      <c r="J78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CUST279</v>
      </c>
      <c r="K78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CUST279</v>
      </c>
      <c r="L784" t="s">
        <v>34</v>
      </c>
      <c r="M784" s="4" t="str">
        <f>CLEAN(TRIM(Working_Sales[[#This Row],[Gender]]))</f>
        <v>Male</v>
      </c>
      <c r="N784" s="4" t="str" cm="1">
        <f t="array" ref="N784">_xlfn.SWITCH(
   Working_Sales[[#This Row],[Gender_Whitespace_Removed]],
   "m", "Male",
   "f", "Female",
   Working_Sales[[#This Row],[Gender_Whitespace_Removed]]
)</f>
        <v>Male</v>
      </c>
      <c r="O784" s="6" t="str">
        <f>PROPER(Working_Sales[[#This Row],[Gender_Abbreviation_Expanded]])</f>
        <v>Male</v>
      </c>
      <c r="P784">
        <v>43</v>
      </c>
      <c r="Q784" s="2" t="str">
        <f>CLEAN(TRIM(Working_Sales[[#This Row],[Age]]))</f>
        <v>43</v>
      </c>
      <c r="R784" s="6">
        <f>INT(SUBSTITUTE(Working_Sales[[#This Row],[Age_Whitespace_Removed]],".",","))</f>
        <v>43</v>
      </c>
      <c r="S784" t="s">
        <v>99</v>
      </c>
      <c r="T784" s="2" t="str">
        <f>CLEAN(TRIM(Working_Sales[[#This Row],[Product Category]]))</f>
        <v>ELECTRONICS</v>
      </c>
      <c r="U784" s="6" t="str">
        <f>PROPER(Working_Sales[[#This Row],[Product_Category_Whitespace_Removed]])</f>
        <v>Electronics</v>
      </c>
      <c r="V784" t="s">
        <v>22</v>
      </c>
      <c r="W784" s="2" t="str">
        <f>CLEAN(TRIM(Working_Sales[[#This Row],[Quantity]]))</f>
        <v>1</v>
      </c>
      <c r="X784" s="2">
        <f>INT(Working_Sales[[#This Row],[`]])</f>
        <v>1</v>
      </c>
      <c r="Y784" s="6">
        <f>IFERROR(
   Working_Sales[[#This Row],[Quantity_Converted_To_Integer]],
   Working_Sales[[#This Row],[Total_Amount_Whitespace_Removed]]/Working_Sales[[#This Row],[Price_Per_Unit_Decimal_Separator_Fixed]])</f>
        <v>1</v>
      </c>
      <c r="Z784" t="s">
        <v>23</v>
      </c>
      <c r="AA784" s="2" t="str">
        <f>CLEAN(TRIM(Working_Sales[[#This Row],[Price per Unit]]))</f>
        <v>300</v>
      </c>
      <c r="AB784" s="2">
        <f>INT(
   SUBSTITUTE(Working_Sales[[#This Row],[Price_Per_Unit_Whitespace_Removed]],
   "$",
   ""
   )
)</f>
        <v>300</v>
      </c>
      <c r="AC784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784" s="8">
        <f>IFERROR(
   Working_Sales[[#This Row],[Price_Per_Unit_Decimal_Separator_Fixed]],
   Working_Sales[[#This Row],[Total_Amount_Converted_To_Integer]]/Working_Sales[[#This Row],[Quantity_Converted_To_Integer]]
)</f>
        <v>300</v>
      </c>
      <c r="AE784" t="s">
        <v>23</v>
      </c>
      <c r="AF784" s="2" t="str">
        <f>CLEAN(TRIM(Working_Sales[[#This Row],[Total Amount]]))</f>
        <v>300</v>
      </c>
      <c r="AG784" s="2">
        <f>INT(Working_Sales[[#This Row],[Total_Amount_Whitespace_Removed]])</f>
        <v>300</v>
      </c>
      <c r="AH78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785" spans="1:34" x14ac:dyDescent="0.35">
      <c r="A785" t="s">
        <v>1633</v>
      </c>
      <c r="B785" s="6" t="str">
        <f>CLEAN(TRIM(Working_Sales[[#This Row],[Transaction ID]]))</f>
        <v>266</v>
      </c>
      <c r="C785" t="s">
        <v>2151</v>
      </c>
      <c r="D785" s="2" t="str">
        <f>CLEAN(TRIM(Working_Sales[[#This Row],[Date]]))</f>
        <v>01-Dec-2023</v>
      </c>
      <c r="E78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45261</v>
      </c>
      <c r="F78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45261</v>
      </c>
      <c r="G78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45261</v>
      </c>
      <c r="H785" t="s">
        <v>1194</v>
      </c>
      <c r="I785" s="2" t="str">
        <f>CLEAN(TRIM(Working_Sales[[#This Row],[Customer ID]]))</f>
        <v>CUST393</v>
      </c>
      <c r="J78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CUST393</v>
      </c>
      <c r="K78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CUST393</v>
      </c>
      <c r="L785" t="s">
        <v>26</v>
      </c>
      <c r="M785" s="4" t="str">
        <f>CLEAN(TRIM(Working_Sales[[#This Row],[Gender]]))</f>
        <v>Female</v>
      </c>
      <c r="N785" s="4" t="str" cm="1">
        <f t="array" ref="N785">_xlfn.SWITCH(
   Working_Sales[[#This Row],[Gender_Whitespace_Removed]],
   "m", "Male",
   "f", "Female",
   Working_Sales[[#This Row],[Gender_Whitespace_Removed]]
)</f>
        <v>Female</v>
      </c>
      <c r="O785" s="6" t="str">
        <f>PROPER(Working_Sales[[#This Row],[Gender_Abbreviation_Expanded]])</f>
        <v>Female</v>
      </c>
      <c r="P785">
        <v>19</v>
      </c>
      <c r="Q785" s="2" t="str">
        <f>CLEAN(TRIM(Working_Sales[[#This Row],[Age]]))</f>
        <v>19</v>
      </c>
      <c r="R785" s="6">
        <f>INT(SUBSTITUTE(Working_Sales[[#This Row],[Age_Whitespace_Removed]],".",","))</f>
        <v>19</v>
      </c>
      <c r="S785" t="s">
        <v>13</v>
      </c>
      <c r="T785" s="2" t="str">
        <f>CLEAN(TRIM(Working_Sales[[#This Row],[Product Category]]))</f>
        <v>Electronics</v>
      </c>
      <c r="U785" s="6" t="str">
        <f>PROPER(Working_Sales[[#This Row],[Product_Category_Whitespace_Removed]])</f>
        <v>Electronics</v>
      </c>
      <c r="V785" t="s">
        <v>37</v>
      </c>
      <c r="W785" s="2" t="str">
        <f>CLEAN(TRIM(Working_Sales[[#This Row],[Quantity]]))</f>
        <v>2</v>
      </c>
      <c r="X785" s="2">
        <f>INT(Working_Sales[[#This Row],[`]])</f>
        <v>2</v>
      </c>
      <c r="Y785" s="6">
        <f>IFERROR(
   Working_Sales[[#This Row],[Quantity_Converted_To_Integer]],
   Working_Sales[[#This Row],[Total_Amount_Whitespace_Removed]]/Working_Sales[[#This Row],[Price_Per_Unit_Decimal_Separator_Fixed]])</f>
        <v>2</v>
      </c>
      <c r="Z785" t="s">
        <v>70</v>
      </c>
      <c r="AA785" s="2" t="str">
        <f>CLEAN(TRIM(Working_Sales[[#This Row],[Price per Unit]]))</f>
        <v>30</v>
      </c>
      <c r="AB785" s="2">
        <f>INT(
   SUBSTITUTE(Working_Sales[[#This Row],[Price_Per_Unit_Whitespace_Removed]],
   "$",
   ""
   )
)</f>
        <v>30</v>
      </c>
      <c r="AC785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785" s="8">
        <f>IFERROR(
   Working_Sales[[#This Row],[Price_Per_Unit_Decimal_Separator_Fixed]],
   Working_Sales[[#This Row],[Total_Amount_Converted_To_Integer]]/Working_Sales[[#This Row],[Quantity_Converted_To_Integer]]
)</f>
        <v>30</v>
      </c>
      <c r="AE785" t="s">
        <v>71</v>
      </c>
      <c r="AF785" s="2" t="str">
        <f>CLEAN(TRIM(Working_Sales[[#This Row],[Total Amount]]))</f>
        <v>60</v>
      </c>
      <c r="AG785" s="2">
        <f>INT(Working_Sales[[#This Row],[Total_Amount_Whitespace_Removed]])</f>
        <v>60</v>
      </c>
      <c r="AH78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786" spans="1:34" x14ac:dyDescent="0.35">
      <c r="A786" t="s">
        <v>1634</v>
      </c>
      <c r="B786" s="6" t="str">
        <f>CLEAN(TRIM(Working_Sales[[#This Row],[Transaction ID]]))</f>
        <v>821</v>
      </c>
      <c r="C786" t="s">
        <v>2152</v>
      </c>
      <c r="D786" s="2" t="str">
        <f>CLEAN(TRIM(Working_Sales[[#This Row],[Date]]))</f>
        <v>02/14/2023</v>
      </c>
      <c r="E786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78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44971</v>
      </c>
      <c r="G78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44971</v>
      </c>
      <c r="H786" t="s">
        <v>1952</v>
      </c>
      <c r="I786" s="2" t="str">
        <f>CLEAN(TRIM(Working_Sales[[#This Row],[Customer ID]]))</f>
        <v>CUST251</v>
      </c>
      <c r="J78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CUST251</v>
      </c>
      <c r="K78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CUST251</v>
      </c>
      <c r="L786" t="s">
        <v>11</v>
      </c>
      <c r="M786" s="4" t="str">
        <f>CLEAN(TRIM(Working_Sales[[#This Row],[Gender]]))</f>
        <v>MALE</v>
      </c>
      <c r="N786" s="4" t="str" cm="1">
        <f t="array" ref="N786">_xlfn.SWITCH(
   Working_Sales[[#This Row],[Gender_Whitespace_Removed]],
   "m", "Male",
   "f", "Female",
   Working_Sales[[#This Row],[Gender_Whitespace_Removed]]
)</f>
        <v>MALE</v>
      </c>
      <c r="O786" s="6" t="str">
        <f>PROPER(Working_Sales[[#This Row],[Gender_Abbreviation_Expanded]])</f>
        <v>Male</v>
      </c>
      <c r="P786">
        <v>49</v>
      </c>
      <c r="Q786" s="2" t="str">
        <f>CLEAN(TRIM(Working_Sales[[#This Row],[Age]]))</f>
        <v>49</v>
      </c>
      <c r="R786" s="6">
        <f>INT(SUBSTITUTE(Working_Sales[[#This Row],[Age_Whitespace_Removed]],".",","))</f>
        <v>49</v>
      </c>
      <c r="S786" t="s">
        <v>99</v>
      </c>
      <c r="T786" s="2" t="str">
        <f>CLEAN(TRIM(Working_Sales[[#This Row],[Product Category]]))</f>
        <v>ELECTRONICS</v>
      </c>
      <c r="U786" s="6" t="str">
        <f>PROPER(Working_Sales[[#This Row],[Product_Category_Whitespace_Removed]])</f>
        <v>Electronics</v>
      </c>
      <c r="V786" t="s">
        <v>22</v>
      </c>
      <c r="W786" s="2" t="str">
        <f>CLEAN(TRIM(Working_Sales[[#This Row],[Quantity]]))</f>
        <v>1</v>
      </c>
      <c r="X786" s="2">
        <f>INT(Working_Sales[[#This Row],[`]])</f>
        <v>1</v>
      </c>
      <c r="Y786" s="6">
        <f>IFERROR(
   Working_Sales[[#This Row],[Quantity_Converted_To_Integer]],
   Working_Sales[[#This Row],[Total_Amount_Whitespace_Removed]]/Working_Sales[[#This Row],[Price_Per_Unit_Decimal_Separator_Fixed]])</f>
        <v>1</v>
      </c>
      <c r="Z786" t="s">
        <v>23</v>
      </c>
      <c r="AA786" s="2" t="str">
        <f>CLEAN(TRIM(Working_Sales[[#This Row],[Price per Unit]]))</f>
        <v>300</v>
      </c>
      <c r="AB786" s="2">
        <f>INT(
   SUBSTITUTE(Working_Sales[[#This Row],[Price_Per_Unit_Whitespace_Removed]],
   "$",
   ""
   )
)</f>
        <v>300</v>
      </c>
      <c r="AC786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786" s="8">
        <f>IFERROR(
   Working_Sales[[#This Row],[Price_Per_Unit_Decimal_Separator_Fixed]],
   Working_Sales[[#This Row],[Total_Amount_Converted_To_Integer]]/Working_Sales[[#This Row],[Quantity_Converted_To_Integer]]
)</f>
        <v>300</v>
      </c>
      <c r="AE786" t="s">
        <v>23</v>
      </c>
      <c r="AF786" s="2" t="str">
        <f>CLEAN(TRIM(Working_Sales[[#This Row],[Total Amount]]))</f>
        <v>300</v>
      </c>
      <c r="AG786" s="2">
        <f>INT(Working_Sales[[#This Row],[Total_Amount_Whitespace_Removed]])</f>
        <v>300</v>
      </c>
      <c r="AH78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787" spans="1:34" x14ac:dyDescent="0.35">
      <c r="A787" t="s">
        <v>1635</v>
      </c>
      <c r="B787" s="6" t="str">
        <f>CLEAN(TRIM(Working_Sales[[#This Row],[Transaction ID]]))</f>
        <v>903</v>
      </c>
      <c r="C787" t="s">
        <v>1636</v>
      </c>
      <c r="D787" s="2" t="str">
        <f>CLEAN(TRIM(Working_Sales[[#This Row],[Date]]))</f>
        <v>April 27, 2023</v>
      </c>
      <c r="E787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787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78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45043</v>
      </c>
      <c r="H787" t="s">
        <v>2968</v>
      </c>
      <c r="I787" s="2" t="str">
        <f>CLEAN(TRIM(Working_Sales[[#This Row],[Customer ID]]))</f>
        <v>CUST428</v>
      </c>
      <c r="J78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CUST428</v>
      </c>
      <c r="K78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CUST428</v>
      </c>
      <c r="L787" t="s">
        <v>26</v>
      </c>
      <c r="M787" s="4" t="str">
        <f>CLEAN(TRIM(Working_Sales[[#This Row],[Gender]]))</f>
        <v>Female</v>
      </c>
      <c r="N787" s="4" t="str" cm="1">
        <f t="array" ref="N787">_xlfn.SWITCH(
   Working_Sales[[#This Row],[Gender_Whitespace_Removed]],
   "m", "Male",
   "f", "Female",
   Working_Sales[[#This Row],[Gender_Whitespace_Removed]]
)</f>
        <v>Female</v>
      </c>
      <c r="O787" s="6" t="str">
        <f>PROPER(Working_Sales[[#This Row],[Gender_Abbreviation_Expanded]])</f>
        <v>Female</v>
      </c>
      <c r="P787" t="s">
        <v>1150</v>
      </c>
      <c r="Q787" s="2" t="str">
        <f>CLEAN(TRIM(Working_Sales[[#This Row],[Age]]))</f>
        <v>51</v>
      </c>
      <c r="R787" s="6">
        <f>INT(SUBSTITUTE(Working_Sales[[#This Row],[Age_Whitespace_Removed]],".",","))</f>
        <v>51</v>
      </c>
      <c r="S787" t="s">
        <v>36</v>
      </c>
      <c r="T787" s="2" t="str">
        <f>CLEAN(TRIM(Working_Sales[[#This Row],[Product Category]]))</f>
        <v>Beauty</v>
      </c>
      <c r="U787" s="6" t="str">
        <f>PROPER(Working_Sales[[#This Row],[Product_Category_Whitespace_Removed]])</f>
        <v>Beauty</v>
      </c>
      <c r="V787" t="s">
        <v>14</v>
      </c>
      <c r="W787" s="2" t="str">
        <f>CLEAN(TRIM(Working_Sales[[#This Row],[Quantity]]))</f>
        <v>4</v>
      </c>
      <c r="X787" s="2">
        <f>INT(Working_Sales[[#This Row],[`]])</f>
        <v>4</v>
      </c>
      <c r="Y787" s="6">
        <f>IFERROR(
   Working_Sales[[#This Row],[Quantity_Converted_To_Integer]],
   Working_Sales[[#This Row],[Total_Amount_Whitespace_Removed]]/Working_Sales[[#This Row],[Price_Per_Unit_Decimal_Separator_Fixed]])</f>
        <v>4</v>
      </c>
      <c r="Z787" t="s">
        <v>15</v>
      </c>
      <c r="AA787" s="2" t="str">
        <f>CLEAN(TRIM(Working_Sales[[#This Row],[Price per Unit]]))</f>
        <v>50</v>
      </c>
      <c r="AB787" s="2">
        <f>INT(
   SUBSTITUTE(Working_Sales[[#This Row],[Price_Per_Unit_Whitespace_Removed]],
   "$",
   ""
   )
)</f>
        <v>50</v>
      </c>
      <c r="AC787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787" s="8">
        <f>IFERROR(
   Working_Sales[[#This Row],[Price_Per_Unit_Decimal_Separator_Fixed]],
   Working_Sales[[#This Row],[Total_Amount_Converted_To_Integer]]/Working_Sales[[#This Row],[Quantity_Converted_To_Integer]]
)</f>
        <v>50</v>
      </c>
      <c r="AE787" t="s">
        <v>16</v>
      </c>
      <c r="AF787" s="2" t="str">
        <f>CLEAN(TRIM(Working_Sales[[#This Row],[Total Amount]]))</f>
        <v>200</v>
      </c>
      <c r="AG787" s="2">
        <f>INT(Working_Sales[[#This Row],[Total_Amount_Whitespace_Removed]])</f>
        <v>200</v>
      </c>
      <c r="AH78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788" spans="1:34" x14ac:dyDescent="0.35">
      <c r="A788" t="s">
        <v>1637</v>
      </c>
      <c r="B788" s="6" t="str">
        <f>CLEAN(TRIM(Working_Sales[[#This Row],[Transaction ID]]))</f>
        <v>96</v>
      </c>
      <c r="C788" t="s">
        <v>1371</v>
      </c>
      <c r="D788" s="2" t="str">
        <f>CLEAN(TRIM(Working_Sales[[#This Row],[Date]]))</f>
        <v>2023-12-19</v>
      </c>
      <c r="E78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45279</v>
      </c>
      <c r="F78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45279</v>
      </c>
      <c r="G78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45279</v>
      </c>
      <c r="H788" t="s">
        <v>2969</v>
      </c>
      <c r="I788" s="2" t="str">
        <f>CLEAN(TRIM(Working_Sales[[#This Row],[Customer ID]]))</f>
        <v>CUST186</v>
      </c>
      <c r="J78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CUST186</v>
      </c>
      <c r="K78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CUST186</v>
      </c>
      <c r="L788" t="s">
        <v>26</v>
      </c>
      <c r="M788" s="4" t="str">
        <f>CLEAN(TRIM(Working_Sales[[#This Row],[Gender]]))</f>
        <v>Female</v>
      </c>
      <c r="N788" s="4" t="str" cm="1">
        <f t="array" ref="N788">_xlfn.SWITCH(
   Working_Sales[[#This Row],[Gender_Whitespace_Removed]],
   "m", "Male",
   "f", "Female",
   Working_Sales[[#This Row],[Gender_Whitespace_Removed]]
)</f>
        <v>Female</v>
      </c>
      <c r="O788" s="6" t="str">
        <f>PROPER(Working_Sales[[#This Row],[Gender_Abbreviation_Expanded]])</f>
        <v>Female</v>
      </c>
      <c r="P788">
        <v>44</v>
      </c>
      <c r="Q788" s="2" t="str">
        <f>CLEAN(TRIM(Working_Sales[[#This Row],[Age]]))</f>
        <v>44</v>
      </c>
      <c r="R788" s="6">
        <f>INT(SUBSTITUTE(Working_Sales[[#This Row],[Age_Whitespace_Removed]],".",","))</f>
        <v>44</v>
      </c>
      <c r="S788" t="s">
        <v>400</v>
      </c>
      <c r="T788" s="2" t="str">
        <f>CLEAN(TRIM(Working_Sales[[#This Row],[Product Category]]))</f>
        <v>Clothing</v>
      </c>
      <c r="U788" s="6" t="str">
        <f>PROPER(Working_Sales[[#This Row],[Product_Category_Whitespace_Removed]])</f>
        <v>Clothing</v>
      </c>
      <c r="V788" t="s">
        <v>37</v>
      </c>
      <c r="W788" s="2" t="str">
        <f>CLEAN(TRIM(Working_Sales[[#This Row],[Quantity]]))</f>
        <v>2</v>
      </c>
      <c r="X788" s="2">
        <f>INT(Working_Sales[[#This Row],[`]])</f>
        <v>2</v>
      </c>
      <c r="Y788" s="6">
        <f>IFERROR(
   Working_Sales[[#This Row],[Quantity_Converted_To_Integer]],
   Working_Sales[[#This Row],[Total_Amount_Whitespace_Removed]]/Working_Sales[[#This Row],[Price_Per_Unit_Decimal_Separator_Fixed]])</f>
        <v>2</v>
      </c>
      <c r="Z788" t="s">
        <v>23</v>
      </c>
      <c r="AA788" s="2" t="str">
        <f>CLEAN(TRIM(Working_Sales[[#This Row],[Price per Unit]]))</f>
        <v>300</v>
      </c>
      <c r="AB788" s="2">
        <f>INT(
   SUBSTITUTE(Working_Sales[[#This Row],[Price_Per_Unit_Whitespace_Removed]],
   "$",
   ""
   )
)</f>
        <v>300</v>
      </c>
      <c r="AC788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788" s="8">
        <f>IFERROR(
   Working_Sales[[#This Row],[Price_Per_Unit_Decimal_Separator_Fixed]],
   Working_Sales[[#This Row],[Total_Amount_Converted_To_Integer]]/Working_Sales[[#This Row],[Quantity_Converted_To_Integer]]
)</f>
        <v>300</v>
      </c>
      <c r="AE788" t="s">
        <v>107</v>
      </c>
      <c r="AF788" s="2" t="str">
        <f>CLEAN(TRIM(Working_Sales[[#This Row],[Total Amount]]))</f>
        <v>600</v>
      </c>
      <c r="AG788" s="2">
        <f>INT(Working_Sales[[#This Row],[Total_Amount_Whitespace_Removed]])</f>
        <v>600</v>
      </c>
      <c r="AH78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600</v>
      </c>
    </row>
    <row r="789" spans="1:34" x14ac:dyDescent="0.35">
      <c r="A789" t="s">
        <v>1638</v>
      </c>
      <c r="B789" s="6" t="str">
        <f>CLEAN(TRIM(Working_Sales[[#This Row],[Transaction ID]]))</f>
        <v>979</v>
      </c>
      <c r="C789" t="s">
        <v>1246</v>
      </c>
      <c r="D789" s="2" t="str">
        <f>CLEAN(TRIM(Working_Sales[[#This Row],[Date]]))</f>
        <v>2023-01-02</v>
      </c>
      <c r="E78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44928</v>
      </c>
      <c r="F78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44928</v>
      </c>
      <c r="G78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44928</v>
      </c>
      <c r="H789" t="s">
        <v>2970</v>
      </c>
      <c r="I789" s="2" t="str">
        <f>CLEAN(TRIM(Working_Sales[[#This Row],[Customer ID]]))</f>
        <v>cust459</v>
      </c>
      <c r="J78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8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CUST459</v>
      </c>
      <c r="L789" t="s">
        <v>46</v>
      </c>
      <c r="M789" s="4" t="str">
        <f>CLEAN(TRIM(Working_Sales[[#This Row],[Gender]]))</f>
        <v>F</v>
      </c>
      <c r="N789" s="4" t="str" cm="1">
        <f t="array" ref="N789">_xlfn.SWITCH(
   Working_Sales[[#This Row],[Gender_Whitespace_Removed]],
   "m", "Male",
   "f", "Female",
   Working_Sales[[#This Row],[Gender_Whitespace_Removed]]
)</f>
        <v>Female</v>
      </c>
      <c r="O789" s="6" t="str">
        <f>PROPER(Working_Sales[[#This Row],[Gender_Abbreviation_Expanded]])</f>
        <v>Female</v>
      </c>
      <c r="P789">
        <v>19</v>
      </c>
      <c r="Q789" s="2" t="str">
        <f>CLEAN(TRIM(Working_Sales[[#This Row],[Age]]))</f>
        <v>19</v>
      </c>
      <c r="R789" s="6">
        <f>INT(SUBSTITUTE(Working_Sales[[#This Row],[Age_Whitespace_Removed]],".",","))</f>
        <v>19</v>
      </c>
      <c r="S789" t="s">
        <v>36</v>
      </c>
      <c r="T789" s="2" t="str">
        <f>CLEAN(TRIM(Working_Sales[[#This Row],[Product Category]]))</f>
        <v>Beauty</v>
      </c>
      <c r="U789" s="6" t="str">
        <f>PROPER(Working_Sales[[#This Row],[Product_Category_Whitespace_Removed]])</f>
        <v>Beauty</v>
      </c>
      <c r="V789" t="s">
        <v>22</v>
      </c>
      <c r="W789" s="2" t="str">
        <f>CLEAN(TRIM(Working_Sales[[#This Row],[Quantity]]))</f>
        <v>1</v>
      </c>
      <c r="X789" s="2">
        <f>INT(Working_Sales[[#This Row],[`]])</f>
        <v>1</v>
      </c>
      <c r="Y789" s="6">
        <f>IFERROR(
   Working_Sales[[#This Row],[Quantity_Converted_To_Integer]],
   Working_Sales[[#This Row],[Total_Amount_Whitespace_Removed]]/Working_Sales[[#This Row],[Price_Per_Unit_Decimal_Separator_Fixed]])</f>
        <v>1</v>
      </c>
      <c r="Z789" t="s">
        <v>30</v>
      </c>
      <c r="AA789" s="2" t="str">
        <f>CLEAN(TRIM(Working_Sales[[#This Row],[Price per Unit]]))</f>
        <v>25</v>
      </c>
      <c r="AB789" s="2">
        <f>INT(
   SUBSTITUTE(Working_Sales[[#This Row],[Price_Per_Unit_Whitespace_Removed]],
   "$",
   ""
   )
)</f>
        <v>25</v>
      </c>
      <c r="AC789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789" s="8">
        <f>IFERROR(
   Working_Sales[[#This Row],[Price_Per_Unit_Decimal_Separator_Fixed]],
   Working_Sales[[#This Row],[Total_Amount_Converted_To_Integer]]/Working_Sales[[#This Row],[Quantity_Converted_To_Integer]]
)</f>
        <v>25</v>
      </c>
      <c r="AF789" s="2" t="str">
        <f>CLEAN(TRIM(Working_Sales[[#This Row],[Total Amount]]))</f>
        <v/>
      </c>
      <c r="AG789" s="2" t="e">
        <f>INT(Working_Sales[[#This Row],[Total_Amount_Whitespace_Removed]])</f>
        <v>#VALUE!</v>
      </c>
      <c r="AH78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790" spans="1:34" x14ac:dyDescent="0.35">
      <c r="A790" t="s">
        <v>462</v>
      </c>
      <c r="B790" s="6" t="str">
        <f>CLEAN(TRIM(Working_Sales[[#This Row],[Transaction ID]]))</f>
        <v>43</v>
      </c>
      <c r="C790" t="s">
        <v>91</v>
      </c>
      <c r="D790" s="2" t="str">
        <f>CLEAN(TRIM(Working_Sales[[#This Row],[Date]]))</f>
        <v>2023-07-14</v>
      </c>
      <c r="E79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45121</v>
      </c>
      <c r="F79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45121</v>
      </c>
      <c r="G79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45121</v>
      </c>
      <c r="H790" t="s">
        <v>2971</v>
      </c>
      <c r="I790" s="2" t="str">
        <f>CLEAN(TRIM(Working_Sales[[#This Row],[Customer ID]]))</f>
        <v>CUST257</v>
      </c>
      <c r="J79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CUST257</v>
      </c>
      <c r="K79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CUST257</v>
      </c>
      <c r="L790" t="s">
        <v>26</v>
      </c>
      <c r="M790" s="4" t="str">
        <f>CLEAN(TRIM(Working_Sales[[#This Row],[Gender]]))</f>
        <v>Female</v>
      </c>
      <c r="N790" s="4" t="str" cm="1">
        <f t="array" ref="N790">_xlfn.SWITCH(
   Working_Sales[[#This Row],[Gender_Whitespace_Removed]],
   "m", "Male",
   "f", "Female",
   Working_Sales[[#This Row],[Gender_Whitespace_Removed]]
)</f>
        <v>Female</v>
      </c>
      <c r="O790" s="6" t="str">
        <f>PROPER(Working_Sales[[#This Row],[Gender_Abbreviation_Expanded]])</f>
        <v>Female</v>
      </c>
      <c r="P790">
        <v>48</v>
      </c>
      <c r="Q790" s="2" t="str">
        <f>CLEAN(TRIM(Working_Sales[[#This Row],[Age]]))</f>
        <v>48</v>
      </c>
      <c r="R790" s="6">
        <f>INT(SUBSTITUTE(Working_Sales[[#This Row],[Age_Whitespace_Removed]],".",","))</f>
        <v>48</v>
      </c>
      <c r="S790" t="s">
        <v>56</v>
      </c>
      <c r="T790" s="2" t="str">
        <f>CLEAN(TRIM(Working_Sales[[#This Row],[Product Category]]))</f>
        <v>Clothing</v>
      </c>
      <c r="U790" s="6" t="str">
        <f>PROPER(Working_Sales[[#This Row],[Product_Category_Whitespace_Removed]])</f>
        <v>Clothing</v>
      </c>
      <c r="V790" t="s">
        <v>22</v>
      </c>
      <c r="W790" s="2" t="str">
        <f>CLEAN(TRIM(Working_Sales[[#This Row],[Quantity]]))</f>
        <v>1</v>
      </c>
      <c r="X790" s="2">
        <f>INT(Working_Sales[[#This Row],[`]])</f>
        <v>1</v>
      </c>
      <c r="Y790" s="6">
        <f>IFERROR(
   Working_Sales[[#This Row],[Quantity_Converted_To_Integer]],
   Working_Sales[[#This Row],[Total_Amount_Whitespace_Removed]]/Working_Sales[[#This Row],[Price_Per_Unit_Decimal_Separator_Fixed]])</f>
        <v>1</v>
      </c>
      <c r="Z790" t="s">
        <v>23</v>
      </c>
      <c r="AA790" s="2" t="str">
        <f>CLEAN(TRIM(Working_Sales[[#This Row],[Price per Unit]]))</f>
        <v>300</v>
      </c>
      <c r="AB790" s="2">
        <f>INT(
   SUBSTITUTE(Working_Sales[[#This Row],[Price_Per_Unit_Whitespace_Removed]],
   "$",
   ""
   )
)</f>
        <v>300</v>
      </c>
      <c r="AC790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790" s="8">
        <f>IFERROR(
   Working_Sales[[#This Row],[Price_Per_Unit_Decimal_Separator_Fixed]],
   Working_Sales[[#This Row],[Total_Amount_Converted_To_Integer]]/Working_Sales[[#This Row],[Quantity_Converted_To_Integer]]
)</f>
        <v>300</v>
      </c>
      <c r="AE790" t="s">
        <v>23</v>
      </c>
      <c r="AF790" s="2" t="str">
        <f>CLEAN(TRIM(Working_Sales[[#This Row],[Total Amount]]))</f>
        <v>300</v>
      </c>
      <c r="AG790" s="2">
        <f>INT(Working_Sales[[#This Row],[Total_Amount_Whitespace_Removed]])</f>
        <v>300</v>
      </c>
      <c r="AH79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791" spans="1:34" x14ac:dyDescent="0.35">
      <c r="A791" t="s">
        <v>1640</v>
      </c>
      <c r="B791" s="6" t="str">
        <f>CLEAN(TRIM(Working_Sales[[#This Row],[Transaction ID]]))</f>
        <v>822</v>
      </c>
      <c r="C791" t="s">
        <v>995</v>
      </c>
      <c r="D791" s="2" t="str">
        <f>CLEAN(TRIM(Working_Sales[[#This Row],[Date]]))</f>
        <v>2023-05-23</v>
      </c>
      <c r="E79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45069</v>
      </c>
      <c r="F79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45069</v>
      </c>
      <c r="G79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45069</v>
      </c>
      <c r="H791" t="s">
        <v>2972</v>
      </c>
      <c r="I791" s="2" t="str">
        <f>CLEAN(TRIM(Working_Sales[[#This Row],[Customer ID]]))</f>
        <v>CUST-101</v>
      </c>
      <c r="J79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9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CUST101</v>
      </c>
      <c r="L791" t="s">
        <v>140</v>
      </c>
      <c r="M791" s="4" t="str">
        <f>CLEAN(TRIM(Working_Sales[[#This Row],[Gender]]))</f>
        <v>FEMALE</v>
      </c>
      <c r="N791" s="4" t="str" cm="1">
        <f t="array" ref="N791">_xlfn.SWITCH(
   Working_Sales[[#This Row],[Gender_Whitespace_Removed]],
   "m", "Male",
   "f", "Female",
   Working_Sales[[#This Row],[Gender_Whitespace_Removed]]
)</f>
        <v>FEMALE</v>
      </c>
      <c r="O791" s="6" t="str">
        <f>PROPER(Working_Sales[[#This Row],[Gender_Abbreviation_Expanded]])</f>
        <v>Female</v>
      </c>
      <c r="P791">
        <v>52</v>
      </c>
      <c r="Q791" s="2" t="str">
        <f>CLEAN(TRIM(Working_Sales[[#This Row],[Age]]))</f>
        <v>52</v>
      </c>
      <c r="R791" s="6">
        <f>INT(SUBSTITUTE(Working_Sales[[#This Row],[Age_Whitespace_Removed]],".",","))</f>
        <v>52</v>
      </c>
      <c r="S791" t="s">
        <v>62</v>
      </c>
      <c r="T791" s="2" t="str">
        <f>CLEAN(TRIM(Working_Sales[[#This Row],[Product Category]]))</f>
        <v>beauty</v>
      </c>
      <c r="U791" s="6" t="str">
        <f>PROPER(Working_Sales[[#This Row],[Product_Category_Whitespace_Removed]])</f>
        <v>Beauty</v>
      </c>
      <c r="V791" t="s">
        <v>29</v>
      </c>
      <c r="W791" s="2" t="str">
        <f>CLEAN(TRIM(Working_Sales[[#This Row],[Quantity]]))</f>
        <v>3</v>
      </c>
      <c r="X791" s="2">
        <f>INT(Working_Sales[[#This Row],[`]])</f>
        <v>3</v>
      </c>
      <c r="Y791" s="6">
        <f>IFERROR(
   Working_Sales[[#This Row],[Quantity_Converted_To_Integer]],
   Working_Sales[[#This Row],[Total_Amount_Whitespace_Removed]]/Working_Sales[[#This Row],[Price_Per_Unit_Decimal_Separator_Fixed]])</f>
        <v>3</v>
      </c>
      <c r="Z791" t="s">
        <v>96</v>
      </c>
      <c r="AA791" s="2" t="str">
        <f>CLEAN(TRIM(Working_Sales[[#This Row],[Price per Unit]]))</f>
        <v>$50</v>
      </c>
      <c r="AB791" s="2">
        <f>INT(
   SUBSTITUTE(Working_Sales[[#This Row],[Price_Per_Unit_Whitespace_Removed]],
   "$",
   ""
   )
)</f>
        <v>50</v>
      </c>
      <c r="AC791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791" s="8">
        <f>IFERROR(
   Working_Sales[[#This Row],[Price_Per_Unit_Decimal_Separator_Fixed]],
   Working_Sales[[#This Row],[Total_Amount_Converted_To_Integer]]/Working_Sales[[#This Row],[Quantity_Converted_To_Integer]]
)</f>
        <v>50</v>
      </c>
      <c r="AE791" t="s">
        <v>130</v>
      </c>
      <c r="AF791" s="2" t="str">
        <f>CLEAN(TRIM(Working_Sales[[#This Row],[Total Amount]]))</f>
        <v>150</v>
      </c>
      <c r="AG791" s="2">
        <f>INT(Working_Sales[[#This Row],[Total_Amount_Whitespace_Removed]])</f>
        <v>150</v>
      </c>
      <c r="AH79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792" spans="1:34" x14ac:dyDescent="0.35">
      <c r="A792" t="s">
        <v>1641</v>
      </c>
      <c r="B792" s="6" t="str">
        <f>CLEAN(TRIM(Working_Sales[[#This Row],[Transaction ID]]))</f>
        <v>845</v>
      </c>
      <c r="C792" t="s">
        <v>2153</v>
      </c>
      <c r="D792" s="2" t="str">
        <f>CLEAN(TRIM(Working_Sales[[#This Row],[Date]]))</f>
        <v>January 06, 2023</v>
      </c>
      <c r="E792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792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79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44932</v>
      </c>
      <c r="H792" t="s">
        <v>2973</v>
      </c>
      <c r="I792" s="2" t="str">
        <f>CLEAN(TRIM(Working_Sales[[#This Row],[Customer ID]]))</f>
        <v>CUST098</v>
      </c>
      <c r="J79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CUST098</v>
      </c>
      <c r="K79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CUST098</v>
      </c>
      <c r="L792" t="s">
        <v>20</v>
      </c>
      <c r="M792" s="4" t="str">
        <f>CLEAN(TRIM(Working_Sales[[#This Row],[Gender]]))</f>
        <v>male</v>
      </c>
      <c r="N792" s="4" t="str" cm="1">
        <f t="array" ref="N792">_xlfn.SWITCH(
   Working_Sales[[#This Row],[Gender_Whitespace_Removed]],
   "m", "Male",
   "f", "Female",
   Working_Sales[[#This Row],[Gender_Whitespace_Removed]]
)</f>
        <v>male</v>
      </c>
      <c r="O792" s="6" t="str">
        <f>PROPER(Working_Sales[[#This Row],[Gender_Abbreviation_Expanded]])</f>
        <v>Male</v>
      </c>
      <c r="P792">
        <v>54</v>
      </c>
      <c r="Q792" s="2" t="str">
        <f>CLEAN(TRIM(Working_Sales[[#This Row],[Age]]))</f>
        <v>54</v>
      </c>
      <c r="R792" s="6">
        <f>INT(SUBSTITUTE(Working_Sales[[#This Row],[Age_Whitespace_Removed]],".",","))</f>
        <v>54</v>
      </c>
      <c r="S792" t="s">
        <v>56</v>
      </c>
      <c r="T792" s="2" t="str">
        <f>CLEAN(TRIM(Working_Sales[[#This Row],[Product Category]]))</f>
        <v>Clothing</v>
      </c>
      <c r="U792" s="6" t="str">
        <f>PROPER(Working_Sales[[#This Row],[Product_Category_Whitespace_Removed]])</f>
        <v>Clothing</v>
      </c>
      <c r="V792" t="s">
        <v>22</v>
      </c>
      <c r="W792" s="2" t="str">
        <f>CLEAN(TRIM(Working_Sales[[#This Row],[Quantity]]))</f>
        <v>1</v>
      </c>
      <c r="X792" s="2">
        <f>INT(Working_Sales[[#This Row],[`]])</f>
        <v>1</v>
      </c>
      <c r="Y792" s="6">
        <f>IFERROR(
   Working_Sales[[#This Row],[Quantity_Converted_To_Integer]],
   Working_Sales[[#This Row],[Total_Amount_Whitespace_Removed]]/Working_Sales[[#This Row],[Price_Per_Unit_Decimal_Separator_Fixed]])</f>
        <v>1</v>
      </c>
      <c r="Z792" t="s">
        <v>57</v>
      </c>
      <c r="AA792" s="2" t="str">
        <f>CLEAN(TRIM(Working_Sales[[#This Row],[Price per Unit]]))</f>
        <v>500</v>
      </c>
      <c r="AB792" s="2">
        <f>INT(
   SUBSTITUTE(Working_Sales[[#This Row],[Price_Per_Unit_Whitespace_Removed]],
   "$",
   ""
   )
)</f>
        <v>500</v>
      </c>
      <c r="AC792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792" s="8">
        <f>IFERROR(
   Working_Sales[[#This Row],[Price_Per_Unit_Decimal_Separator_Fixed]],
   Working_Sales[[#This Row],[Total_Amount_Converted_To_Integer]]/Working_Sales[[#This Row],[Quantity_Converted_To_Integer]]
)</f>
        <v>500</v>
      </c>
      <c r="AE792" t="s">
        <v>57</v>
      </c>
      <c r="AF792" s="2" t="str">
        <f>CLEAN(TRIM(Working_Sales[[#This Row],[Total Amount]]))</f>
        <v>500</v>
      </c>
      <c r="AG792" s="2">
        <f>INT(Working_Sales[[#This Row],[Total_Amount_Whitespace_Removed]])</f>
        <v>500</v>
      </c>
      <c r="AH79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793" spans="1:34" x14ac:dyDescent="0.35">
      <c r="A793" t="s">
        <v>1642</v>
      </c>
      <c r="B793" s="6" t="str">
        <f>CLEAN(TRIM(Working_Sales[[#This Row],[Transaction ID]]))</f>
        <v>841</v>
      </c>
      <c r="C793" t="s">
        <v>1404</v>
      </c>
      <c r="D793" s="2" t="str">
        <f>CLEAN(TRIM(Working_Sales[[#This Row],[Date]]))</f>
        <v>2023-11-02</v>
      </c>
      <c r="E79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45232</v>
      </c>
      <c r="F79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45232</v>
      </c>
      <c r="G79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45232</v>
      </c>
      <c r="H793" t="s">
        <v>2974</v>
      </c>
      <c r="I793" s="2" t="str">
        <f>CLEAN(TRIM(Working_Sales[[#This Row],[Customer ID]]))</f>
        <v>cust183</v>
      </c>
      <c r="J79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9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CUST183</v>
      </c>
      <c r="L793" t="s">
        <v>34</v>
      </c>
      <c r="M793" s="4" t="str">
        <f>CLEAN(TRIM(Working_Sales[[#This Row],[Gender]]))</f>
        <v>Male</v>
      </c>
      <c r="N793" s="4" t="str" cm="1">
        <f t="array" ref="N793">_xlfn.SWITCH(
   Working_Sales[[#This Row],[Gender_Whitespace_Removed]],
   "m", "Male",
   "f", "Female",
   Working_Sales[[#This Row],[Gender_Whitespace_Removed]]
)</f>
        <v>Male</v>
      </c>
      <c r="O793" s="6" t="str">
        <f>PROPER(Working_Sales[[#This Row],[Gender_Abbreviation_Expanded]])</f>
        <v>Male</v>
      </c>
      <c r="P793">
        <v>31</v>
      </c>
      <c r="Q793" s="2" t="str">
        <f>CLEAN(TRIM(Working_Sales[[#This Row],[Age]]))</f>
        <v>31</v>
      </c>
      <c r="R793" s="6">
        <f>INT(SUBSTITUTE(Working_Sales[[#This Row],[Age_Whitespace_Removed]],".",","))</f>
        <v>31</v>
      </c>
      <c r="S793" t="s">
        <v>13</v>
      </c>
      <c r="T793" s="2" t="str">
        <f>CLEAN(TRIM(Working_Sales[[#This Row],[Product Category]]))</f>
        <v>Electronics</v>
      </c>
      <c r="U793" s="6" t="str">
        <f>PROPER(Working_Sales[[#This Row],[Product_Category_Whitespace_Removed]])</f>
        <v>Electronics</v>
      </c>
      <c r="V793" t="s">
        <v>14</v>
      </c>
      <c r="W793" s="2" t="str">
        <f>CLEAN(TRIM(Working_Sales[[#This Row],[Quantity]]))</f>
        <v>4</v>
      </c>
      <c r="X793" s="2">
        <f>INT(Working_Sales[[#This Row],[`]])</f>
        <v>4</v>
      </c>
      <c r="Y793" s="6">
        <f>IFERROR(
   Working_Sales[[#This Row],[Quantity_Converted_To_Integer]],
   Working_Sales[[#This Row],[Total_Amount_Whitespace_Removed]]/Working_Sales[[#This Row],[Price_Per_Unit_Decimal_Separator_Fixed]])</f>
        <v>4</v>
      </c>
      <c r="Z793" t="s">
        <v>30</v>
      </c>
      <c r="AA793" s="2" t="str">
        <f>CLEAN(TRIM(Working_Sales[[#This Row],[Price per Unit]]))</f>
        <v>25</v>
      </c>
      <c r="AB793" s="2">
        <f>INT(
   SUBSTITUTE(Working_Sales[[#This Row],[Price_Per_Unit_Whitespace_Removed]],
   "$",
   ""
   )
)</f>
        <v>25</v>
      </c>
      <c r="AC793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793" s="8">
        <f>IFERROR(
   Working_Sales[[#This Row],[Price_Per_Unit_Decimal_Separator_Fixed]],
   Working_Sales[[#This Row],[Total_Amount_Converted_To_Integer]]/Working_Sales[[#This Row],[Quantity_Converted_To_Integer]]
)</f>
        <v>25</v>
      </c>
      <c r="AE793" t="s">
        <v>38</v>
      </c>
      <c r="AF793" s="2" t="str">
        <f>CLEAN(TRIM(Working_Sales[[#This Row],[Total Amount]]))</f>
        <v>100</v>
      </c>
      <c r="AG793" s="2">
        <f>INT(Working_Sales[[#This Row],[Total_Amount_Whitespace_Removed]])</f>
        <v>100</v>
      </c>
      <c r="AH79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794" spans="1:34" x14ac:dyDescent="0.35">
      <c r="A794" t="s">
        <v>1643</v>
      </c>
      <c r="B794" s="6" t="str">
        <f>CLEAN(TRIM(Working_Sales[[#This Row],[Transaction ID]]))</f>
        <v>629</v>
      </c>
      <c r="C794" t="s">
        <v>2154</v>
      </c>
      <c r="D794" s="2" t="str">
        <f>CLEAN(TRIM(Working_Sales[[#This Row],[Date]]))</f>
        <v>12-Jun-2023</v>
      </c>
      <c r="E79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45089</v>
      </c>
      <c r="F79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45089</v>
      </c>
      <c r="G79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45089</v>
      </c>
      <c r="H794" t="s">
        <v>2975</v>
      </c>
      <c r="I794" s="2" t="str">
        <f>CLEAN(TRIM(Working_Sales[[#This Row],[Customer ID]]))</f>
        <v>CUST460</v>
      </c>
      <c r="J79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CUST460</v>
      </c>
      <c r="K79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CUST460</v>
      </c>
      <c r="L794" t="s">
        <v>34</v>
      </c>
      <c r="M794" s="4" t="str">
        <f>CLEAN(TRIM(Working_Sales[[#This Row],[Gender]]))</f>
        <v>Male</v>
      </c>
      <c r="N794" s="4" t="str" cm="1">
        <f t="array" ref="N794">_xlfn.SWITCH(
   Working_Sales[[#This Row],[Gender_Whitespace_Removed]],
   "m", "Male",
   "f", "Female",
   Working_Sales[[#This Row],[Gender_Whitespace_Removed]]
)</f>
        <v>Male</v>
      </c>
      <c r="O794" s="6" t="str">
        <f>PROPER(Working_Sales[[#This Row],[Gender_Abbreviation_Expanded]])</f>
        <v>Male</v>
      </c>
      <c r="P794">
        <v>62</v>
      </c>
      <c r="Q794" s="2" t="str">
        <f>CLEAN(TRIM(Working_Sales[[#This Row],[Age]]))</f>
        <v>62</v>
      </c>
      <c r="R794" s="6">
        <f>INT(SUBSTITUTE(Working_Sales[[#This Row],[Age_Whitespace_Removed]],".",","))</f>
        <v>62</v>
      </c>
      <c r="S794" t="s">
        <v>13</v>
      </c>
      <c r="T794" s="2" t="str">
        <f>CLEAN(TRIM(Working_Sales[[#This Row],[Product Category]]))</f>
        <v>Electronics</v>
      </c>
      <c r="U794" s="6" t="str">
        <f>PROPER(Working_Sales[[#This Row],[Product_Category_Whitespace_Removed]])</f>
        <v>Electronics</v>
      </c>
      <c r="V794" t="s">
        <v>37</v>
      </c>
      <c r="W794" s="2" t="str">
        <f>CLEAN(TRIM(Working_Sales[[#This Row],[Quantity]]))</f>
        <v>2</v>
      </c>
      <c r="X794" s="2">
        <f>INT(Working_Sales[[#This Row],[`]])</f>
        <v>2</v>
      </c>
      <c r="Y794" s="6">
        <f>IFERROR(
   Working_Sales[[#This Row],[Quantity_Converted_To_Integer]],
   Working_Sales[[#This Row],[Total_Amount_Whitespace_Removed]]/Working_Sales[[#This Row],[Price_Per_Unit_Decimal_Separator_Fixed]])</f>
        <v>2</v>
      </c>
      <c r="Z794" t="s">
        <v>30</v>
      </c>
      <c r="AA794" s="2" t="str">
        <f>CLEAN(TRIM(Working_Sales[[#This Row],[Price per Unit]]))</f>
        <v>25</v>
      </c>
      <c r="AB794" s="2">
        <f>INT(
   SUBSTITUTE(Working_Sales[[#This Row],[Price_Per_Unit_Whitespace_Removed]],
   "$",
   ""
   )
)</f>
        <v>25</v>
      </c>
      <c r="AC794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794" s="8">
        <f>IFERROR(
   Working_Sales[[#This Row],[Price_Per_Unit_Decimal_Separator_Fixed]],
   Working_Sales[[#This Row],[Total_Amount_Converted_To_Integer]]/Working_Sales[[#This Row],[Quantity_Converted_To_Integer]]
)</f>
        <v>25</v>
      </c>
      <c r="AE794" t="s">
        <v>15</v>
      </c>
      <c r="AF794" s="2" t="str">
        <f>CLEAN(TRIM(Working_Sales[[#This Row],[Total Amount]]))</f>
        <v>50</v>
      </c>
      <c r="AG794" s="2">
        <f>INT(Working_Sales[[#This Row],[Total_Amount_Whitespace_Removed]])</f>
        <v>50</v>
      </c>
      <c r="AH79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795" spans="1:34" x14ac:dyDescent="0.35">
      <c r="A795" t="s">
        <v>47</v>
      </c>
      <c r="B795" s="6" t="str">
        <f>CLEAN(TRIM(Working_Sales[[#This Row],[Transaction ID]]))</f>
        <v>46</v>
      </c>
      <c r="C795" t="s">
        <v>965</v>
      </c>
      <c r="D795" s="2" t="str">
        <f>CLEAN(TRIM(Working_Sales[[#This Row],[Date]]))</f>
        <v>2023-06-26</v>
      </c>
      <c r="E79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45103</v>
      </c>
      <c r="F79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45103</v>
      </c>
      <c r="G79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45103</v>
      </c>
      <c r="H795" t="s">
        <v>2976</v>
      </c>
      <c r="I795" s="2" t="str">
        <f>CLEAN(TRIM(Working_Sales[[#This Row],[Customer ID]]))</f>
        <v>CUST216</v>
      </c>
      <c r="J79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CUST216</v>
      </c>
      <c r="K79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CUST216</v>
      </c>
      <c r="L795" t="s">
        <v>26</v>
      </c>
      <c r="M795" s="4" t="str">
        <f>CLEAN(TRIM(Working_Sales[[#This Row],[Gender]]))</f>
        <v>Female</v>
      </c>
      <c r="N795" s="4" t="str" cm="1">
        <f t="array" ref="N795">_xlfn.SWITCH(
   Working_Sales[[#This Row],[Gender_Whitespace_Removed]],
   "m", "Male",
   "f", "Female",
   Working_Sales[[#This Row],[Gender_Whitespace_Removed]]
)</f>
        <v>Female</v>
      </c>
      <c r="O795" s="6" t="str">
        <f>PROPER(Working_Sales[[#This Row],[Gender_Abbreviation_Expanded]])</f>
        <v>Female</v>
      </c>
      <c r="P795">
        <v>20</v>
      </c>
      <c r="Q795" s="2" t="str">
        <f>CLEAN(TRIM(Working_Sales[[#This Row],[Age]]))</f>
        <v>20</v>
      </c>
      <c r="R795" s="6">
        <f>INT(SUBSTITUTE(Working_Sales[[#This Row],[Age_Whitespace_Removed]],".",","))</f>
        <v>20</v>
      </c>
      <c r="S795" t="s">
        <v>13</v>
      </c>
      <c r="T795" s="2" t="str">
        <f>CLEAN(TRIM(Working_Sales[[#This Row],[Product Category]]))</f>
        <v>Electronics</v>
      </c>
      <c r="U795" s="6" t="str">
        <f>PROPER(Working_Sales[[#This Row],[Product_Category_Whitespace_Removed]])</f>
        <v>Electronics</v>
      </c>
      <c r="V795" t="s">
        <v>14</v>
      </c>
      <c r="W795" s="2" t="str">
        <f>CLEAN(TRIM(Working_Sales[[#This Row],[Quantity]]))</f>
        <v>4</v>
      </c>
      <c r="X795" s="2">
        <f>INT(Working_Sales[[#This Row],[`]])</f>
        <v>4</v>
      </c>
      <c r="Y795" s="6">
        <f>IFERROR(
   Working_Sales[[#This Row],[Quantity_Converted_To_Integer]],
   Working_Sales[[#This Row],[Total_Amount_Whitespace_Removed]]/Working_Sales[[#This Row],[Price_Per_Unit_Decimal_Separator_Fixed]])</f>
        <v>4</v>
      </c>
      <c r="Z795" t="s">
        <v>23</v>
      </c>
      <c r="AA795" s="2" t="str">
        <f>CLEAN(TRIM(Working_Sales[[#This Row],[Price per Unit]]))</f>
        <v>300</v>
      </c>
      <c r="AB795" s="2">
        <f>INT(
   SUBSTITUTE(Working_Sales[[#This Row],[Price_Per_Unit_Whitespace_Removed]],
   "$",
   ""
   )
)</f>
        <v>300</v>
      </c>
      <c r="AC795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795" s="8">
        <f>IFERROR(
   Working_Sales[[#This Row],[Price_Per_Unit_Decimal_Separator_Fixed]],
   Working_Sales[[#This Row],[Total_Amount_Converted_To_Integer]]/Working_Sales[[#This Row],[Quantity_Converted_To_Integer]]
)</f>
        <v>300</v>
      </c>
      <c r="AE795" t="s">
        <v>79</v>
      </c>
      <c r="AF795" s="2" t="str">
        <f>CLEAN(TRIM(Working_Sales[[#This Row],[Total Amount]]))</f>
        <v>1200</v>
      </c>
      <c r="AG795" s="2">
        <f>INT(Working_Sales[[#This Row],[Total_Amount_Whitespace_Removed]])</f>
        <v>1200</v>
      </c>
      <c r="AH79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796" spans="1:34" x14ac:dyDescent="0.35">
      <c r="A796" t="s">
        <v>1645</v>
      </c>
      <c r="B796" s="6" t="str">
        <f>CLEAN(TRIM(Working_Sales[[#This Row],[Transaction ID]]))</f>
        <v>162</v>
      </c>
      <c r="C796" t="s">
        <v>1701</v>
      </c>
      <c r="D796" s="2" t="str">
        <f>CLEAN(TRIM(Working_Sales[[#This Row],[Date]]))</f>
        <v>21/08/2023</v>
      </c>
      <c r="E79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45159</v>
      </c>
      <c r="F79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45159</v>
      </c>
      <c r="G79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45159</v>
      </c>
      <c r="H796" t="s">
        <v>2977</v>
      </c>
      <c r="I796" s="2" t="str">
        <f>CLEAN(TRIM(Working_Sales[[#This Row],[Customer ID]]))</f>
        <v>CUST263</v>
      </c>
      <c r="J79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CUST263</v>
      </c>
      <c r="K79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CUST263</v>
      </c>
      <c r="L796" t="s">
        <v>20</v>
      </c>
      <c r="M796" s="4" t="str">
        <f>CLEAN(TRIM(Working_Sales[[#This Row],[Gender]]))</f>
        <v>male</v>
      </c>
      <c r="N796" s="4" t="str" cm="1">
        <f t="array" ref="N796">_xlfn.SWITCH(
   Working_Sales[[#This Row],[Gender_Whitespace_Removed]],
   "m", "Male",
   "f", "Female",
   Working_Sales[[#This Row],[Gender_Whitespace_Removed]]
)</f>
        <v>male</v>
      </c>
      <c r="O796" s="6" t="str">
        <f>PROPER(Working_Sales[[#This Row],[Gender_Abbreviation_Expanded]])</f>
        <v>Male</v>
      </c>
      <c r="P796">
        <v>39</v>
      </c>
      <c r="Q796" s="2" t="str">
        <f>CLEAN(TRIM(Working_Sales[[#This Row],[Age]]))</f>
        <v>39</v>
      </c>
      <c r="R796" s="6">
        <f>INT(SUBSTITUTE(Working_Sales[[#This Row],[Age_Whitespace_Removed]],".",","))</f>
        <v>39</v>
      </c>
      <c r="S796" t="s">
        <v>56</v>
      </c>
      <c r="T796" s="2" t="str">
        <f>CLEAN(TRIM(Working_Sales[[#This Row],[Product Category]]))</f>
        <v>Clothing</v>
      </c>
      <c r="U796" s="6" t="str">
        <f>PROPER(Working_Sales[[#This Row],[Product_Category_Whitespace_Removed]])</f>
        <v>Clothing</v>
      </c>
      <c r="V796" t="s">
        <v>37</v>
      </c>
      <c r="W796" s="2" t="str">
        <f>CLEAN(TRIM(Working_Sales[[#This Row],[Quantity]]))</f>
        <v>2</v>
      </c>
      <c r="X796" s="2">
        <f>INT(Working_Sales[[#This Row],[`]])</f>
        <v>2</v>
      </c>
      <c r="Y796" s="6">
        <f>IFERROR(
   Working_Sales[[#This Row],[Quantity_Converted_To_Integer]],
   Working_Sales[[#This Row],[Total_Amount_Whitespace_Removed]]/Working_Sales[[#This Row],[Price_Per_Unit_Decimal_Separator_Fixed]])</f>
        <v>2</v>
      </c>
      <c r="Z796" t="s">
        <v>147</v>
      </c>
      <c r="AA796" s="2" t="str">
        <f>CLEAN(TRIM(Working_Sales[[#This Row],[Price per Unit]]))</f>
        <v>$30</v>
      </c>
      <c r="AB796" s="2">
        <f>INT(
   SUBSTITUTE(Working_Sales[[#This Row],[Price_Per_Unit_Whitespace_Removed]],
   "$",
   ""
   )
)</f>
        <v>30</v>
      </c>
      <c r="AC796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796" s="8">
        <f>IFERROR(
   Working_Sales[[#This Row],[Price_Per_Unit_Decimal_Separator_Fixed]],
   Working_Sales[[#This Row],[Total_Amount_Converted_To_Integer]]/Working_Sales[[#This Row],[Quantity_Converted_To_Integer]]
)</f>
        <v>30</v>
      </c>
      <c r="AE796" t="s">
        <v>71</v>
      </c>
      <c r="AF796" s="2" t="str">
        <f>CLEAN(TRIM(Working_Sales[[#This Row],[Total Amount]]))</f>
        <v>60</v>
      </c>
      <c r="AG796" s="2">
        <f>INT(Working_Sales[[#This Row],[Total_Amount_Whitespace_Removed]])</f>
        <v>60</v>
      </c>
      <c r="AH79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797" spans="1:34" x14ac:dyDescent="0.35">
      <c r="A797" t="s">
        <v>1648</v>
      </c>
      <c r="B797" s="6" t="str">
        <f>CLEAN(TRIM(Working_Sales[[#This Row],[Transaction ID]]))</f>
        <v>728</v>
      </c>
      <c r="C797" t="s">
        <v>91</v>
      </c>
      <c r="D797" s="2" t="str">
        <f>CLEAN(TRIM(Working_Sales[[#This Row],[Date]]))</f>
        <v>2023-07-14</v>
      </c>
      <c r="E79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45121</v>
      </c>
      <c r="F79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45121</v>
      </c>
      <c r="G79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45121</v>
      </c>
      <c r="H797" t="s">
        <v>238</v>
      </c>
      <c r="I797" s="2" t="str">
        <f>CLEAN(TRIM(Working_Sales[[#This Row],[Customer ID]]))</f>
        <v>CUST454</v>
      </c>
      <c r="J79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CUST454</v>
      </c>
      <c r="K79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CUST454</v>
      </c>
      <c r="L797" t="s">
        <v>34</v>
      </c>
      <c r="M797" s="4" t="str">
        <f>CLEAN(TRIM(Working_Sales[[#This Row],[Gender]]))</f>
        <v>Male</v>
      </c>
      <c r="N797" s="4" t="str" cm="1">
        <f t="array" ref="N797">_xlfn.SWITCH(
   Working_Sales[[#This Row],[Gender_Whitespace_Removed]],
   "m", "Male",
   "f", "Female",
   Working_Sales[[#This Row],[Gender_Whitespace_Removed]]
)</f>
        <v>Male</v>
      </c>
      <c r="O797" s="6" t="str">
        <f>PROPER(Working_Sales[[#This Row],[Gender_Abbreviation_Expanded]])</f>
        <v>Male</v>
      </c>
      <c r="P797">
        <v>51</v>
      </c>
      <c r="Q797" s="2" t="str">
        <f>CLEAN(TRIM(Working_Sales[[#This Row],[Age]]))</f>
        <v>51</v>
      </c>
      <c r="R797" s="6">
        <f>INT(SUBSTITUTE(Working_Sales[[#This Row],[Age_Whitespace_Removed]],".",","))</f>
        <v>51</v>
      </c>
      <c r="S797" t="s">
        <v>13</v>
      </c>
      <c r="T797" s="2" t="str">
        <f>CLEAN(TRIM(Working_Sales[[#This Row],[Product Category]]))</f>
        <v>Electronics</v>
      </c>
      <c r="U797" s="6" t="str">
        <f>PROPER(Working_Sales[[#This Row],[Product_Category_Whitespace_Removed]])</f>
        <v>Electronics</v>
      </c>
      <c r="V797" t="s">
        <v>29</v>
      </c>
      <c r="W797" s="2" t="str">
        <f>CLEAN(TRIM(Working_Sales[[#This Row],[Quantity]]))</f>
        <v>3</v>
      </c>
      <c r="X797" s="2">
        <f>INT(Working_Sales[[#This Row],[`]])</f>
        <v>3</v>
      </c>
      <c r="Y797" s="6">
        <f>IFERROR(
   Working_Sales[[#This Row],[Quantity_Converted_To_Integer]],
   Working_Sales[[#This Row],[Total_Amount_Whitespace_Removed]]/Working_Sales[[#This Row],[Price_Per_Unit_Decimal_Separator_Fixed]])</f>
        <v>3</v>
      </c>
      <c r="Z797" t="s">
        <v>15</v>
      </c>
      <c r="AA797" s="2" t="str">
        <f>CLEAN(TRIM(Working_Sales[[#This Row],[Price per Unit]]))</f>
        <v>50</v>
      </c>
      <c r="AB797" s="2">
        <f>INT(
   SUBSTITUTE(Working_Sales[[#This Row],[Price_Per_Unit_Whitespace_Removed]],
   "$",
   ""
   )
)</f>
        <v>50</v>
      </c>
      <c r="AC797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797" s="8">
        <f>IFERROR(
   Working_Sales[[#This Row],[Price_Per_Unit_Decimal_Separator_Fixed]],
   Working_Sales[[#This Row],[Total_Amount_Converted_To_Integer]]/Working_Sales[[#This Row],[Quantity_Converted_To_Integer]]
)</f>
        <v>50</v>
      </c>
      <c r="AE797" t="s">
        <v>130</v>
      </c>
      <c r="AF797" s="2" t="str">
        <f>CLEAN(TRIM(Working_Sales[[#This Row],[Total Amount]]))</f>
        <v>150</v>
      </c>
      <c r="AG797" s="2">
        <f>INT(Working_Sales[[#This Row],[Total_Amount_Whitespace_Removed]])</f>
        <v>150</v>
      </c>
      <c r="AH79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798" spans="1:34" x14ac:dyDescent="0.35">
      <c r="A798" t="s">
        <v>1649</v>
      </c>
      <c r="B798" s="6" t="str">
        <f>CLEAN(TRIM(Working_Sales[[#This Row],[Transaction ID]]))</f>
        <v>630</v>
      </c>
      <c r="C798" t="s">
        <v>10</v>
      </c>
      <c r="D798" s="2" t="str">
        <f>CLEAN(TRIM(Working_Sales[[#This Row],[Date]]))</f>
        <v>08/15/2023</v>
      </c>
      <c r="E798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79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45153</v>
      </c>
      <c r="G79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45153</v>
      </c>
      <c r="H798" t="s">
        <v>1780</v>
      </c>
      <c r="I798" s="2" t="str">
        <f>CLEAN(TRIM(Working_Sales[[#This Row],[Customer ID]]))</f>
        <v>CUST461</v>
      </c>
      <c r="J79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CUST461</v>
      </c>
      <c r="K79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CUST461</v>
      </c>
      <c r="L798" t="s">
        <v>34</v>
      </c>
      <c r="M798" s="4" t="str">
        <f>CLEAN(TRIM(Working_Sales[[#This Row],[Gender]]))</f>
        <v>Male</v>
      </c>
      <c r="N798" s="4" t="str" cm="1">
        <f t="array" ref="N798">_xlfn.SWITCH(
   Working_Sales[[#This Row],[Gender_Whitespace_Removed]],
   "m", "Male",
   "f", "Female",
   Working_Sales[[#This Row],[Gender_Whitespace_Removed]]
)</f>
        <v>Male</v>
      </c>
      <c r="O798" s="6" t="str">
        <f>PROPER(Working_Sales[[#This Row],[Gender_Abbreviation_Expanded]])</f>
        <v>Male</v>
      </c>
      <c r="P798">
        <v>42</v>
      </c>
      <c r="Q798" s="2" t="str">
        <f>CLEAN(TRIM(Working_Sales[[#This Row],[Age]]))</f>
        <v>42</v>
      </c>
      <c r="R798" s="6">
        <f>INT(SUBSTITUTE(Working_Sales[[#This Row],[Age_Whitespace_Removed]],".",","))</f>
        <v>42</v>
      </c>
      <c r="S798" t="s">
        <v>56</v>
      </c>
      <c r="T798" s="2" t="str">
        <f>CLEAN(TRIM(Working_Sales[[#This Row],[Product Category]]))</f>
        <v>Clothing</v>
      </c>
      <c r="U798" s="6" t="str">
        <f>PROPER(Working_Sales[[#This Row],[Product_Category_Whitespace_Removed]])</f>
        <v>Clothing</v>
      </c>
      <c r="V798" t="s">
        <v>37</v>
      </c>
      <c r="W798" s="2" t="str">
        <f>CLEAN(TRIM(Working_Sales[[#This Row],[Quantity]]))</f>
        <v>2</v>
      </c>
      <c r="X798" s="2">
        <f>INT(Working_Sales[[#This Row],[`]])</f>
        <v>2</v>
      </c>
      <c r="Y798" s="6">
        <f>IFERROR(
   Working_Sales[[#This Row],[Quantity_Converted_To_Integer]],
   Working_Sales[[#This Row],[Total_Amount_Whitespace_Removed]]/Working_Sales[[#This Row],[Price_Per_Unit_Decimal_Separator_Fixed]])</f>
        <v>2</v>
      </c>
      <c r="Z798" t="s">
        <v>15</v>
      </c>
      <c r="AA798" s="2" t="str">
        <f>CLEAN(TRIM(Working_Sales[[#This Row],[Price per Unit]]))</f>
        <v>50</v>
      </c>
      <c r="AB798" s="2">
        <f>INT(
   SUBSTITUTE(Working_Sales[[#This Row],[Price_Per_Unit_Whitespace_Removed]],
   "$",
   ""
   )
)</f>
        <v>50</v>
      </c>
      <c r="AC798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798" s="8">
        <f>IFERROR(
   Working_Sales[[#This Row],[Price_Per_Unit_Decimal_Separator_Fixed]],
   Working_Sales[[#This Row],[Total_Amount_Converted_To_Integer]]/Working_Sales[[#This Row],[Quantity_Converted_To_Integer]]
)</f>
        <v>50</v>
      </c>
      <c r="AE798" t="s">
        <v>38</v>
      </c>
      <c r="AF798" s="2" t="str">
        <f>CLEAN(TRIM(Working_Sales[[#This Row],[Total Amount]]))</f>
        <v>100</v>
      </c>
      <c r="AG798" s="2">
        <f>INT(Working_Sales[[#This Row],[Total_Amount_Whitespace_Removed]])</f>
        <v>100</v>
      </c>
      <c r="AH79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799" spans="1:34" x14ac:dyDescent="0.35">
      <c r="A799" t="s">
        <v>1650</v>
      </c>
      <c r="B799" s="6" t="str">
        <f>CLEAN(TRIM(Working_Sales[[#This Row],[Transaction ID]]))</f>
        <v>289</v>
      </c>
      <c r="C799" t="s">
        <v>1651</v>
      </c>
      <c r="D799" s="2" t="str">
        <f>CLEAN(TRIM(Working_Sales[[#This Row],[Date]]))</f>
        <v>30/11/2023</v>
      </c>
      <c r="E79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45260</v>
      </c>
      <c r="F79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45260</v>
      </c>
      <c r="G79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45260</v>
      </c>
      <c r="H799" t="s">
        <v>2978</v>
      </c>
      <c r="I799" s="2" t="str">
        <f>CLEAN(TRIM(Working_Sales[[#This Row],[Customer ID]]))</f>
        <v>Cust242</v>
      </c>
      <c r="J79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79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CUST242</v>
      </c>
      <c r="L799" t="s">
        <v>34</v>
      </c>
      <c r="M799" s="4" t="str">
        <f>CLEAN(TRIM(Working_Sales[[#This Row],[Gender]]))</f>
        <v>Male</v>
      </c>
      <c r="N799" s="4" t="str" cm="1">
        <f t="array" ref="N799">_xlfn.SWITCH(
   Working_Sales[[#This Row],[Gender_Whitespace_Removed]],
   "m", "Male",
   "f", "Female",
   Working_Sales[[#This Row],[Gender_Whitespace_Removed]]
)</f>
        <v>Male</v>
      </c>
      <c r="O799" s="6" t="str">
        <f>PROPER(Working_Sales[[#This Row],[Gender_Abbreviation_Expanded]])</f>
        <v>Male</v>
      </c>
      <c r="P799">
        <v>53</v>
      </c>
      <c r="Q799" s="2" t="str">
        <f>CLEAN(TRIM(Working_Sales[[#This Row],[Age]]))</f>
        <v>53</v>
      </c>
      <c r="R799" s="6">
        <f>INT(SUBSTITUTE(Working_Sales[[#This Row],[Age_Whitespace_Removed]],".",","))</f>
        <v>53</v>
      </c>
      <c r="S799" t="s">
        <v>13</v>
      </c>
      <c r="T799" s="2" t="str">
        <f>CLEAN(TRIM(Working_Sales[[#This Row],[Product Category]]))</f>
        <v>Electronics</v>
      </c>
      <c r="U799" s="6" t="str">
        <f>PROPER(Working_Sales[[#This Row],[Product_Category_Whitespace_Removed]])</f>
        <v>Electronics</v>
      </c>
      <c r="V799" t="s">
        <v>37</v>
      </c>
      <c r="W799" s="2" t="str">
        <f>CLEAN(TRIM(Working_Sales[[#This Row],[Quantity]]))</f>
        <v>2</v>
      </c>
      <c r="X799" s="2">
        <f>INT(Working_Sales[[#This Row],[`]])</f>
        <v>2</v>
      </c>
      <c r="Y799" s="6">
        <f>IFERROR(
   Working_Sales[[#This Row],[Quantity_Converted_To_Integer]],
   Working_Sales[[#This Row],[Total_Amount_Whitespace_Removed]]/Working_Sales[[#This Row],[Price_Per_Unit_Decimal_Separator_Fixed]])</f>
        <v>2</v>
      </c>
      <c r="Z799" t="s">
        <v>70</v>
      </c>
      <c r="AA799" s="2" t="str">
        <f>CLEAN(TRIM(Working_Sales[[#This Row],[Price per Unit]]))</f>
        <v>30</v>
      </c>
      <c r="AB799" s="2">
        <f>INT(
   SUBSTITUTE(Working_Sales[[#This Row],[Price_Per_Unit_Whitespace_Removed]],
   "$",
   ""
   )
)</f>
        <v>30</v>
      </c>
      <c r="AC799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799" s="8">
        <f>IFERROR(
   Working_Sales[[#This Row],[Price_Per_Unit_Decimal_Separator_Fixed]],
   Working_Sales[[#This Row],[Total_Amount_Converted_To_Integer]]/Working_Sales[[#This Row],[Quantity_Converted_To_Integer]]
)</f>
        <v>30</v>
      </c>
      <c r="AE799" t="s">
        <v>71</v>
      </c>
      <c r="AF799" s="2" t="str">
        <f>CLEAN(TRIM(Working_Sales[[#This Row],[Total Amount]]))</f>
        <v>60</v>
      </c>
      <c r="AG799" s="2">
        <f>INT(Working_Sales[[#This Row],[Total_Amount_Whitespace_Removed]])</f>
        <v>60</v>
      </c>
      <c r="AH79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800" spans="1:34" x14ac:dyDescent="0.35">
      <c r="A800" t="s">
        <v>1653</v>
      </c>
      <c r="B800" s="6" t="str">
        <f>CLEAN(TRIM(Working_Sales[[#This Row],[Transaction ID]]))</f>
        <v>590</v>
      </c>
      <c r="C800" t="s">
        <v>1654</v>
      </c>
      <c r="D800" s="2" t="str">
        <f>CLEAN(TRIM(Working_Sales[[#This Row],[Date]]))</f>
        <v>2023-03-17</v>
      </c>
      <c r="E80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45002</v>
      </c>
      <c r="F80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45002</v>
      </c>
      <c r="G80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45002</v>
      </c>
      <c r="H800" t="s">
        <v>2979</v>
      </c>
      <c r="I800" s="2" t="str">
        <f>CLEAN(TRIM(Working_Sales[[#This Row],[Customer ID]]))</f>
        <v>CUST358</v>
      </c>
      <c r="J80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CUST358</v>
      </c>
      <c r="K80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CUST358</v>
      </c>
      <c r="L800" t="s">
        <v>34</v>
      </c>
      <c r="M800" s="4" t="str">
        <f>CLEAN(TRIM(Working_Sales[[#This Row],[Gender]]))</f>
        <v>Male</v>
      </c>
      <c r="N800" s="4" t="str" cm="1">
        <f t="array" ref="N800">_xlfn.SWITCH(
   Working_Sales[[#This Row],[Gender_Whitespace_Removed]],
   "m", "Male",
   "f", "Female",
   Working_Sales[[#This Row],[Gender_Whitespace_Removed]]
)</f>
        <v>Male</v>
      </c>
      <c r="O800" s="6" t="str">
        <f>PROPER(Working_Sales[[#This Row],[Gender_Abbreviation_Expanded]])</f>
        <v>Male</v>
      </c>
      <c r="P800">
        <v>36</v>
      </c>
      <c r="Q800" s="2" t="str">
        <f>CLEAN(TRIM(Working_Sales[[#This Row],[Age]]))</f>
        <v>36</v>
      </c>
      <c r="R800" s="6">
        <f>INT(SUBSTITUTE(Working_Sales[[#This Row],[Age_Whitespace_Removed]],".",","))</f>
        <v>36</v>
      </c>
      <c r="S800" t="s">
        <v>28</v>
      </c>
      <c r="T800" s="2" t="str">
        <f>CLEAN(TRIM(Working_Sales[[#This Row],[Product Category]]))</f>
        <v>clothing</v>
      </c>
      <c r="U800" s="6" t="str">
        <f>PROPER(Working_Sales[[#This Row],[Product_Category_Whitespace_Removed]])</f>
        <v>Clothing</v>
      </c>
      <c r="V800" t="s">
        <v>29</v>
      </c>
      <c r="W800" s="2" t="str">
        <f>CLEAN(TRIM(Working_Sales[[#This Row],[Quantity]]))</f>
        <v>3</v>
      </c>
      <c r="X800" s="2">
        <f>INT(Working_Sales[[#This Row],[`]])</f>
        <v>3</v>
      </c>
      <c r="Y800" s="6">
        <f>IFERROR(
   Working_Sales[[#This Row],[Quantity_Converted_To_Integer]],
   Working_Sales[[#This Row],[Total_Amount_Whitespace_Removed]]/Working_Sales[[#This Row],[Price_Per_Unit_Decimal_Separator_Fixed]])</f>
        <v>3</v>
      </c>
      <c r="Z800" t="s">
        <v>23</v>
      </c>
      <c r="AA800" s="2" t="str">
        <f>CLEAN(TRIM(Working_Sales[[#This Row],[Price per Unit]]))</f>
        <v>300</v>
      </c>
      <c r="AB800" s="2">
        <f>INT(
   SUBSTITUTE(Working_Sales[[#This Row],[Price_Per_Unit_Whitespace_Removed]],
   "$",
   ""
   )
)</f>
        <v>300</v>
      </c>
      <c r="AC800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800" s="8">
        <f>IFERROR(
   Working_Sales[[#This Row],[Price_Per_Unit_Decimal_Separator_Fixed]],
   Working_Sales[[#This Row],[Total_Amount_Converted_To_Integer]]/Working_Sales[[#This Row],[Quantity_Converted_To_Integer]]
)</f>
        <v>300</v>
      </c>
      <c r="AE800" t="s">
        <v>128</v>
      </c>
      <c r="AF800" s="2" t="str">
        <f>CLEAN(TRIM(Working_Sales[[#This Row],[Total Amount]]))</f>
        <v>900</v>
      </c>
      <c r="AG800" s="2">
        <f>INT(Working_Sales[[#This Row],[Total_Amount_Whitespace_Removed]])</f>
        <v>900</v>
      </c>
      <c r="AH80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801" spans="1:34" x14ac:dyDescent="0.35">
      <c r="A801" t="s">
        <v>1655</v>
      </c>
      <c r="B801" s="6" t="str">
        <f>CLEAN(TRIM(Working_Sales[[#This Row],[Transaction ID]]))</f>
        <v>902</v>
      </c>
      <c r="C801" t="s">
        <v>696</v>
      </c>
      <c r="D801" s="2" t="str">
        <f>CLEAN(TRIM(Working_Sales[[#This Row],[Date]]))</f>
        <v>2023-06-01</v>
      </c>
      <c r="E80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45078</v>
      </c>
      <c r="F80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45078</v>
      </c>
      <c r="G80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45078</v>
      </c>
      <c r="H801" t="s">
        <v>679</v>
      </c>
      <c r="I801" s="2" t="str">
        <f>CLEAN(TRIM(Working_Sales[[#This Row],[Customer ID]]))</f>
        <v>CUST082</v>
      </c>
      <c r="J80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CUST082</v>
      </c>
      <c r="K80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CUST082</v>
      </c>
      <c r="L801" t="s">
        <v>26</v>
      </c>
      <c r="M801" s="4" t="str">
        <f>CLEAN(TRIM(Working_Sales[[#This Row],[Gender]]))</f>
        <v>Female</v>
      </c>
      <c r="N801" s="4" t="str" cm="1">
        <f t="array" ref="N801">_xlfn.SWITCH(
   Working_Sales[[#This Row],[Gender_Whitespace_Removed]],
   "m", "Male",
   "f", "Female",
   Working_Sales[[#This Row],[Gender_Whitespace_Removed]]
)</f>
        <v>Female</v>
      </c>
      <c r="O801" s="6" t="str">
        <f>PROPER(Working_Sales[[#This Row],[Gender_Abbreviation_Expanded]])</f>
        <v>Female</v>
      </c>
      <c r="P801">
        <v>54</v>
      </c>
      <c r="Q801" s="2" t="str">
        <f>CLEAN(TRIM(Working_Sales[[#This Row],[Age]]))</f>
        <v>54</v>
      </c>
      <c r="R801" s="6">
        <f>INT(SUBSTITUTE(Working_Sales[[#This Row],[Age_Whitespace_Removed]],".",","))</f>
        <v>54</v>
      </c>
      <c r="S801" t="s">
        <v>62</v>
      </c>
      <c r="T801" s="2" t="str">
        <f>CLEAN(TRIM(Working_Sales[[#This Row],[Product Category]]))</f>
        <v>beauty</v>
      </c>
      <c r="U801" s="6" t="str">
        <f>PROPER(Working_Sales[[#This Row],[Product_Category_Whitespace_Removed]])</f>
        <v>Beauty</v>
      </c>
      <c r="V801" t="s">
        <v>22</v>
      </c>
      <c r="W801" s="2" t="str">
        <f>CLEAN(TRIM(Working_Sales[[#This Row],[Quantity]]))</f>
        <v>1</v>
      </c>
      <c r="X801" s="2">
        <f>INT(Working_Sales[[#This Row],[`]])</f>
        <v>1</v>
      </c>
      <c r="Y801" s="6">
        <f>IFERROR(
   Working_Sales[[#This Row],[Quantity_Converted_To_Integer]],
   Working_Sales[[#This Row],[Total_Amount_Whitespace_Removed]]/Working_Sales[[#This Row],[Price_Per_Unit_Decimal_Separator_Fixed]])</f>
        <v>1</v>
      </c>
      <c r="Z801" t="s">
        <v>15</v>
      </c>
      <c r="AA801" s="2" t="str">
        <f>CLEAN(TRIM(Working_Sales[[#This Row],[Price per Unit]]))</f>
        <v>50</v>
      </c>
      <c r="AB801" s="2">
        <f>INT(
   SUBSTITUTE(Working_Sales[[#This Row],[Price_Per_Unit_Whitespace_Removed]],
   "$",
   ""
   )
)</f>
        <v>50</v>
      </c>
      <c r="AC801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801" s="8">
        <f>IFERROR(
   Working_Sales[[#This Row],[Price_Per_Unit_Decimal_Separator_Fixed]],
   Working_Sales[[#This Row],[Total_Amount_Converted_To_Integer]]/Working_Sales[[#This Row],[Quantity_Converted_To_Integer]]
)</f>
        <v>50</v>
      </c>
      <c r="AE801" t="s">
        <v>15</v>
      </c>
      <c r="AF801" s="2" t="str">
        <f>CLEAN(TRIM(Working_Sales[[#This Row],[Total Amount]]))</f>
        <v>50</v>
      </c>
      <c r="AG801" s="2">
        <f>INT(Working_Sales[[#This Row],[Total_Amount_Whitespace_Removed]])</f>
        <v>50</v>
      </c>
      <c r="AH80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802" spans="1:34" x14ac:dyDescent="0.35">
      <c r="A802" t="s">
        <v>1656</v>
      </c>
      <c r="B802" s="6" t="str">
        <f>CLEAN(TRIM(Working_Sales[[#This Row],[Transaction ID]]))</f>
        <v>963</v>
      </c>
      <c r="C802" t="s">
        <v>2128</v>
      </c>
      <c r="D802" s="2" t="str">
        <f>CLEAN(TRIM(Working_Sales[[#This Row],[Date]]))</f>
        <v>11/14/2023</v>
      </c>
      <c r="E802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80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45244</v>
      </c>
      <c r="G80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45244</v>
      </c>
      <c r="H802" t="s">
        <v>2196</v>
      </c>
      <c r="I802" s="2" t="str">
        <f>CLEAN(TRIM(Working_Sales[[#This Row],[Customer ID]]))</f>
        <v>CUST331</v>
      </c>
      <c r="J80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CUST331</v>
      </c>
      <c r="K80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CUST331</v>
      </c>
      <c r="L802" t="s">
        <v>26</v>
      </c>
      <c r="M802" s="4" t="str">
        <f>CLEAN(TRIM(Working_Sales[[#This Row],[Gender]]))</f>
        <v>Female</v>
      </c>
      <c r="N802" s="4" t="str" cm="1">
        <f t="array" ref="N802">_xlfn.SWITCH(
   Working_Sales[[#This Row],[Gender_Whitespace_Removed]],
   "m", "Male",
   "f", "Female",
   Working_Sales[[#This Row],[Gender_Whitespace_Removed]]
)</f>
        <v>Female</v>
      </c>
      <c r="O802" s="6" t="str">
        <f>PROPER(Working_Sales[[#This Row],[Gender_Abbreviation_Expanded]])</f>
        <v>Female</v>
      </c>
      <c r="P802">
        <v>55</v>
      </c>
      <c r="Q802" s="2" t="str">
        <f>CLEAN(TRIM(Working_Sales[[#This Row],[Age]]))</f>
        <v>55</v>
      </c>
      <c r="R802" s="6">
        <f>INT(SUBSTITUTE(Working_Sales[[#This Row],[Age_Whitespace_Removed]],".",","))</f>
        <v>55</v>
      </c>
      <c r="S802" t="s">
        <v>36</v>
      </c>
      <c r="T802" s="2" t="str">
        <f>CLEAN(TRIM(Working_Sales[[#This Row],[Product Category]]))</f>
        <v>Beauty</v>
      </c>
      <c r="U802" s="6" t="str">
        <f>PROPER(Working_Sales[[#This Row],[Product_Category_Whitespace_Removed]])</f>
        <v>Beauty</v>
      </c>
      <c r="V802" t="s">
        <v>22</v>
      </c>
      <c r="W802" s="2" t="str">
        <f>CLEAN(TRIM(Working_Sales[[#This Row],[Quantity]]))</f>
        <v>1</v>
      </c>
      <c r="X802" s="2">
        <f>INT(Working_Sales[[#This Row],[`]])</f>
        <v>1</v>
      </c>
      <c r="Y802" s="6">
        <f>IFERROR(
   Working_Sales[[#This Row],[Quantity_Converted_To_Integer]],
   Working_Sales[[#This Row],[Total_Amount_Whitespace_Removed]]/Working_Sales[[#This Row],[Price_Per_Unit_Decimal_Separator_Fixed]])</f>
        <v>1</v>
      </c>
      <c r="Z802" t="s">
        <v>15</v>
      </c>
      <c r="AA802" s="2" t="str">
        <f>CLEAN(TRIM(Working_Sales[[#This Row],[Price per Unit]]))</f>
        <v>50</v>
      </c>
      <c r="AB802" s="2">
        <f>INT(
   SUBSTITUTE(Working_Sales[[#This Row],[Price_Per_Unit_Whitespace_Removed]],
   "$",
   ""
   )
)</f>
        <v>50</v>
      </c>
      <c r="AC802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802" s="8">
        <f>IFERROR(
   Working_Sales[[#This Row],[Price_Per_Unit_Decimal_Separator_Fixed]],
   Working_Sales[[#This Row],[Total_Amount_Converted_To_Integer]]/Working_Sales[[#This Row],[Quantity_Converted_To_Integer]]
)</f>
        <v>50</v>
      </c>
      <c r="AE802" t="s">
        <v>15</v>
      </c>
      <c r="AF802" s="2" t="str">
        <f>CLEAN(TRIM(Working_Sales[[#This Row],[Total Amount]]))</f>
        <v>50</v>
      </c>
      <c r="AG802" s="2">
        <f>INT(Working_Sales[[#This Row],[Total_Amount_Whitespace_Removed]])</f>
        <v>50</v>
      </c>
      <c r="AH80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803" spans="1:34" x14ac:dyDescent="0.35">
      <c r="A803" t="s">
        <v>1657</v>
      </c>
      <c r="B803" s="6" t="str">
        <f>CLEAN(TRIM(Working_Sales[[#This Row],[Transaction ID]]))</f>
        <v>576</v>
      </c>
      <c r="C803" t="s">
        <v>1416</v>
      </c>
      <c r="D803" s="2" t="str">
        <f>CLEAN(TRIM(Working_Sales[[#This Row],[Date]]))</f>
        <v>December 04, 2023</v>
      </c>
      <c r="E803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803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80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45264</v>
      </c>
      <c r="H803" t="s">
        <v>2980</v>
      </c>
      <c r="I803" s="2" t="str">
        <f>CLEAN(TRIM(Working_Sales[[#This Row],[Customer ID]]))</f>
        <v>CUST462</v>
      </c>
      <c r="J80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CUST462</v>
      </c>
      <c r="K80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CUST462</v>
      </c>
      <c r="L803" t="s">
        <v>46</v>
      </c>
      <c r="M803" s="4" t="str">
        <f>CLEAN(TRIM(Working_Sales[[#This Row],[Gender]]))</f>
        <v>F</v>
      </c>
      <c r="N803" s="4" t="str" cm="1">
        <f t="array" ref="N803">_xlfn.SWITCH(
   Working_Sales[[#This Row],[Gender_Whitespace_Removed]],
   "m", "Male",
   "f", "Female",
   Working_Sales[[#This Row],[Gender_Whitespace_Removed]]
)</f>
        <v>Female</v>
      </c>
      <c r="O803" s="6" t="str">
        <f>PROPER(Working_Sales[[#This Row],[Gender_Abbreviation_Expanded]])</f>
        <v>Female</v>
      </c>
      <c r="P803">
        <v>33</v>
      </c>
      <c r="Q803" s="2" t="str">
        <f>CLEAN(TRIM(Working_Sales[[#This Row],[Age]]))</f>
        <v>33</v>
      </c>
      <c r="R803" s="6">
        <f>INT(SUBSTITUTE(Working_Sales[[#This Row],[Age_Whitespace_Removed]],".",","))</f>
        <v>33</v>
      </c>
      <c r="S803" t="s">
        <v>36</v>
      </c>
      <c r="T803" s="2" t="str">
        <f>CLEAN(TRIM(Working_Sales[[#This Row],[Product Category]]))</f>
        <v>Beauty</v>
      </c>
      <c r="U803" s="6" t="str">
        <f>PROPER(Working_Sales[[#This Row],[Product_Category_Whitespace_Removed]])</f>
        <v>Beauty</v>
      </c>
      <c r="V803" t="s">
        <v>29</v>
      </c>
      <c r="W803" s="2" t="str">
        <f>CLEAN(TRIM(Working_Sales[[#This Row],[Quantity]]))</f>
        <v>3</v>
      </c>
      <c r="X803" s="2">
        <f>INT(Working_Sales[[#This Row],[`]])</f>
        <v>3</v>
      </c>
      <c r="Y803" s="6">
        <f>IFERROR(
   Working_Sales[[#This Row],[Quantity_Converted_To_Integer]],
   Working_Sales[[#This Row],[Total_Amount_Whitespace_Removed]]/Working_Sales[[#This Row],[Price_Per_Unit_Decimal_Separator_Fixed]])</f>
        <v>3</v>
      </c>
      <c r="Z803" t="s">
        <v>15</v>
      </c>
      <c r="AA803" s="2" t="str">
        <f>CLEAN(TRIM(Working_Sales[[#This Row],[Price per Unit]]))</f>
        <v>50</v>
      </c>
      <c r="AB803" s="2">
        <f>INT(
   SUBSTITUTE(Working_Sales[[#This Row],[Price_Per_Unit_Whitespace_Removed]],
   "$",
   ""
   )
)</f>
        <v>50</v>
      </c>
      <c r="AC803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803" s="8">
        <f>IFERROR(
   Working_Sales[[#This Row],[Price_Per_Unit_Decimal_Separator_Fixed]],
   Working_Sales[[#This Row],[Total_Amount_Converted_To_Integer]]/Working_Sales[[#This Row],[Quantity_Converted_To_Integer]]
)</f>
        <v>50</v>
      </c>
      <c r="AE803" t="s">
        <v>130</v>
      </c>
      <c r="AF803" s="2" t="str">
        <f>CLEAN(TRIM(Working_Sales[[#This Row],[Total Amount]]))</f>
        <v>150</v>
      </c>
      <c r="AG803" s="2">
        <f>INT(Working_Sales[[#This Row],[Total_Amount_Whitespace_Removed]])</f>
        <v>150</v>
      </c>
      <c r="AH80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804" spans="1:34" x14ac:dyDescent="0.35">
      <c r="A804" t="s">
        <v>1658</v>
      </c>
      <c r="B804" s="6" t="str">
        <f>CLEAN(TRIM(Working_Sales[[#This Row],[Transaction ID]]))</f>
        <v>316</v>
      </c>
      <c r="C804" t="s">
        <v>2155</v>
      </c>
      <c r="D804" s="2" t="str">
        <f>CLEAN(TRIM(Working_Sales[[#This Row],[Date]]))</f>
        <v>04/22/2023</v>
      </c>
      <c r="E804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80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45038</v>
      </c>
      <c r="G80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45038</v>
      </c>
      <c r="H804" t="s">
        <v>2981</v>
      </c>
      <c r="I804" s="2" t="str">
        <f>CLEAN(TRIM(Working_Sales[[#This Row],[Customer ID]]))</f>
        <v>cust136</v>
      </c>
      <c r="J80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0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CUST136</v>
      </c>
      <c r="L804" t="s">
        <v>140</v>
      </c>
      <c r="M804" s="4" t="str">
        <f>CLEAN(TRIM(Working_Sales[[#This Row],[Gender]]))</f>
        <v>FEMALE</v>
      </c>
      <c r="N804" s="4" t="str" cm="1">
        <f t="array" ref="N804">_xlfn.SWITCH(
   Working_Sales[[#This Row],[Gender_Whitespace_Removed]],
   "m", "Male",
   "f", "Female",
   Working_Sales[[#This Row],[Gender_Whitespace_Removed]]
)</f>
        <v>FEMALE</v>
      </c>
      <c r="O804" s="6" t="str">
        <f>PROPER(Working_Sales[[#This Row],[Gender_Abbreviation_Expanded]])</f>
        <v>Female</v>
      </c>
      <c r="P804">
        <v>48</v>
      </c>
      <c r="Q804" s="2" t="str">
        <f>CLEAN(TRIM(Working_Sales[[#This Row],[Age]]))</f>
        <v>48</v>
      </c>
      <c r="R804" s="6">
        <f>INT(SUBSTITUTE(Working_Sales[[#This Row],[Age_Whitespace_Removed]],".",","))</f>
        <v>48</v>
      </c>
      <c r="S804" t="s">
        <v>124</v>
      </c>
      <c r="T804" s="2" t="str">
        <f>CLEAN(TRIM(Working_Sales[[#This Row],[Product Category]]))</f>
        <v>Clothing</v>
      </c>
      <c r="U804" s="6" t="str">
        <f>PROPER(Working_Sales[[#This Row],[Product_Category_Whitespace_Removed]])</f>
        <v>Clothing</v>
      </c>
      <c r="V804" t="s">
        <v>37</v>
      </c>
      <c r="W804" s="2" t="str">
        <f>CLEAN(TRIM(Working_Sales[[#This Row],[Quantity]]))</f>
        <v>2</v>
      </c>
      <c r="X804" s="2">
        <f>INT(Working_Sales[[#This Row],[`]])</f>
        <v>2</v>
      </c>
      <c r="Y804" s="6">
        <f>IFERROR(
   Working_Sales[[#This Row],[Quantity_Converted_To_Integer]],
   Working_Sales[[#This Row],[Total_Amount_Whitespace_Removed]]/Working_Sales[[#This Row],[Price_Per_Unit_Decimal_Separator_Fixed]])</f>
        <v>2</v>
      </c>
      <c r="Z804" t="s">
        <v>30</v>
      </c>
      <c r="AA804" s="2" t="str">
        <f>CLEAN(TRIM(Working_Sales[[#This Row],[Price per Unit]]))</f>
        <v>25</v>
      </c>
      <c r="AB804" s="2">
        <f>INT(
   SUBSTITUTE(Working_Sales[[#This Row],[Price_Per_Unit_Whitespace_Removed]],
   "$",
   ""
   )
)</f>
        <v>25</v>
      </c>
      <c r="AC804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804" s="8">
        <f>IFERROR(
   Working_Sales[[#This Row],[Price_Per_Unit_Decimal_Separator_Fixed]],
   Working_Sales[[#This Row],[Total_Amount_Converted_To_Integer]]/Working_Sales[[#This Row],[Quantity_Converted_To_Integer]]
)</f>
        <v>25</v>
      </c>
      <c r="AE804" t="s">
        <v>15</v>
      </c>
      <c r="AF804" s="2" t="str">
        <f>CLEAN(TRIM(Working_Sales[[#This Row],[Total Amount]]))</f>
        <v>50</v>
      </c>
      <c r="AG804" s="2">
        <f>INT(Working_Sales[[#This Row],[Total_Amount_Whitespace_Removed]])</f>
        <v>50</v>
      </c>
      <c r="AH80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805" spans="1:34" x14ac:dyDescent="0.35">
      <c r="A805" t="s">
        <v>1660</v>
      </c>
      <c r="B805" s="6" t="str">
        <f>CLEAN(TRIM(Working_Sales[[#This Row],[Transaction ID]]))</f>
        <v>899</v>
      </c>
      <c r="C805" t="s">
        <v>1661</v>
      </c>
      <c r="D805" s="2" t="str">
        <f>CLEAN(TRIM(Working_Sales[[#This Row],[Date]]))</f>
        <v>25/05/2023</v>
      </c>
      <c r="E80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45071</v>
      </c>
      <c r="F80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45071</v>
      </c>
      <c r="G80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45071</v>
      </c>
      <c r="H805" t="s">
        <v>2982</v>
      </c>
      <c r="I805" s="2" t="str">
        <f>CLEAN(TRIM(Working_Sales[[#This Row],[Customer ID]]))</f>
        <v>Cust074</v>
      </c>
      <c r="J80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0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CUST074</v>
      </c>
      <c r="L805" t="s">
        <v>34</v>
      </c>
      <c r="M805" s="4" t="str">
        <f>CLEAN(TRIM(Working_Sales[[#This Row],[Gender]]))</f>
        <v>Male</v>
      </c>
      <c r="N805" s="4" t="str" cm="1">
        <f t="array" ref="N805">_xlfn.SWITCH(
   Working_Sales[[#This Row],[Gender_Whitespace_Removed]],
   "m", "Male",
   "f", "Female",
   Working_Sales[[#This Row],[Gender_Whitespace_Removed]]
)</f>
        <v>Male</v>
      </c>
      <c r="O805" s="6" t="str">
        <f>PROPER(Working_Sales[[#This Row],[Gender_Abbreviation_Expanded]])</f>
        <v>Male</v>
      </c>
      <c r="P805">
        <v>26</v>
      </c>
      <c r="Q805" s="2" t="str">
        <f>CLEAN(TRIM(Working_Sales[[#This Row],[Age]]))</f>
        <v>26</v>
      </c>
      <c r="R805" s="6">
        <f>INT(SUBSTITUTE(Working_Sales[[#This Row],[Age_Whitespace_Removed]],".",","))</f>
        <v>26</v>
      </c>
      <c r="S805" t="s">
        <v>56</v>
      </c>
      <c r="T805" s="2" t="str">
        <f>CLEAN(TRIM(Working_Sales[[#This Row],[Product Category]]))</f>
        <v>Clothing</v>
      </c>
      <c r="U805" s="6" t="str">
        <f>PROPER(Working_Sales[[#This Row],[Product_Category_Whitespace_Removed]])</f>
        <v>Clothing</v>
      </c>
      <c r="V805" t="s">
        <v>37</v>
      </c>
      <c r="W805" s="2" t="str">
        <f>CLEAN(TRIM(Working_Sales[[#This Row],[Quantity]]))</f>
        <v>2</v>
      </c>
      <c r="X805" s="2">
        <f>INT(Working_Sales[[#This Row],[`]])</f>
        <v>2</v>
      </c>
      <c r="Y805" s="6">
        <f>IFERROR(
   Working_Sales[[#This Row],[Quantity_Converted_To_Integer]],
   Working_Sales[[#This Row],[Total_Amount_Whitespace_Removed]]/Working_Sales[[#This Row],[Price_Per_Unit_Decimal_Separator_Fixed]])</f>
        <v>2</v>
      </c>
      <c r="Z805" t="s">
        <v>23</v>
      </c>
      <c r="AA805" s="2" t="str">
        <f>CLEAN(TRIM(Working_Sales[[#This Row],[Price per Unit]]))</f>
        <v>300</v>
      </c>
      <c r="AB805" s="2">
        <f>INT(
   SUBSTITUTE(Working_Sales[[#This Row],[Price_Per_Unit_Whitespace_Removed]],
   "$",
   ""
   )
)</f>
        <v>300</v>
      </c>
      <c r="AC805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805" s="8">
        <f>IFERROR(
   Working_Sales[[#This Row],[Price_Per_Unit_Decimal_Separator_Fixed]],
   Working_Sales[[#This Row],[Total_Amount_Converted_To_Integer]]/Working_Sales[[#This Row],[Quantity_Converted_To_Integer]]
)</f>
        <v>300</v>
      </c>
      <c r="AE805" t="s">
        <v>107</v>
      </c>
      <c r="AF805" s="2" t="str">
        <f>CLEAN(TRIM(Working_Sales[[#This Row],[Total Amount]]))</f>
        <v>600</v>
      </c>
      <c r="AG805" s="2">
        <f>INT(Working_Sales[[#This Row],[Total_Amount_Whitespace_Removed]])</f>
        <v>600</v>
      </c>
      <c r="AH80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600</v>
      </c>
    </row>
    <row r="806" spans="1:34" x14ac:dyDescent="0.35">
      <c r="A806" t="s">
        <v>1662</v>
      </c>
      <c r="B806" s="6" t="str">
        <f>CLEAN(TRIM(Working_Sales[[#This Row],[Transaction ID]]))</f>
        <v>231</v>
      </c>
      <c r="C806" t="s">
        <v>818</v>
      </c>
      <c r="D806" s="2" t="str">
        <f>CLEAN(TRIM(Working_Sales[[#This Row],[Date]]))</f>
        <v>2023-01-04</v>
      </c>
      <c r="E80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44930</v>
      </c>
      <c r="F80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44930</v>
      </c>
      <c r="G80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44930</v>
      </c>
      <c r="H806" t="s">
        <v>2983</v>
      </c>
      <c r="I806" s="2" t="str">
        <f>CLEAN(TRIM(Working_Sales[[#This Row],[Customer ID]]))</f>
        <v>cust192</v>
      </c>
      <c r="J80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0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CUST192</v>
      </c>
      <c r="L806" t="s">
        <v>46</v>
      </c>
      <c r="M806" s="4" t="str">
        <f>CLEAN(TRIM(Working_Sales[[#This Row],[Gender]]))</f>
        <v>F</v>
      </c>
      <c r="N806" s="4" t="str" cm="1">
        <f t="array" ref="N806">_xlfn.SWITCH(
   Working_Sales[[#This Row],[Gender_Whitespace_Removed]],
   "m", "Male",
   "f", "Female",
   Working_Sales[[#This Row],[Gender_Whitespace_Removed]]
)</f>
        <v>Female</v>
      </c>
      <c r="O806" s="6" t="str">
        <f>PROPER(Working_Sales[[#This Row],[Gender_Abbreviation_Expanded]])</f>
        <v>Female</v>
      </c>
      <c r="P806">
        <v>23</v>
      </c>
      <c r="Q806" s="2" t="str">
        <f>CLEAN(TRIM(Working_Sales[[#This Row],[Age]]))</f>
        <v>23</v>
      </c>
      <c r="R806" s="6">
        <f>INT(SUBSTITUTE(Working_Sales[[#This Row],[Age_Whitespace_Removed]],".",","))</f>
        <v>23</v>
      </c>
      <c r="S806" t="s">
        <v>56</v>
      </c>
      <c r="T806" s="2" t="str">
        <f>CLEAN(TRIM(Working_Sales[[#This Row],[Product Category]]))</f>
        <v>Clothing</v>
      </c>
      <c r="U806" s="6" t="str">
        <f>PROPER(Working_Sales[[#This Row],[Product_Category_Whitespace_Removed]])</f>
        <v>Clothing</v>
      </c>
      <c r="V806" t="s">
        <v>29</v>
      </c>
      <c r="W806" s="2" t="str">
        <f>CLEAN(TRIM(Working_Sales[[#This Row],[Quantity]]))</f>
        <v>3</v>
      </c>
      <c r="X806" s="2">
        <f>INT(Working_Sales[[#This Row],[`]])</f>
        <v>3</v>
      </c>
      <c r="Y806" s="6">
        <f>IFERROR(
   Working_Sales[[#This Row],[Quantity_Converted_To_Integer]],
   Working_Sales[[#This Row],[Total_Amount_Whitespace_Removed]]/Working_Sales[[#This Row],[Price_Per_Unit_Decimal_Separator_Fixed]])</f>
        <v>3</v>
      </c>
      <c r="Z806" t="s">
        <v>15</v>
      </c>
      <c r="AA806" s="2" t="str">
        <f>CLEAN(TRIM(Working_Sales[[#This Row],[Price per Unit]]))</f>
        <v>50</v>
      </c>
      <c r="AB806" s="2">
        <f>INT(
   SUBSTITUTE(Working_Sales[[#This Row],[Price_Per_Unit_Whitespace_Removed]],
   "$",
   ""
   )
)</f>
        <v>50</v>
      </c>
      <c r="AC806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806" s="8">
        <f>IFERROR(
   Working_Sales[[#This Row],[Price_Per_Unit_Decimal_Separator_Fixed]],
   Working_Sales[[#This Row],[Total_Amount_Converted_To_Integer]]/Working_Sales[[#This Row],[Quantity_Converted_To_Integer]]
)</f>
        <v>50</v>
      </c>
      <c r="AE806" t="s">
        <v>130</v>
      </c>
      <c r="AF806" s="2" t="str">
        <f>CLEAN(TRIM(Working_Sales[[#This Row],[Total Amount]]))</f>
        <v>150</v>
      </c>
      <c r="AG806" s="2">
        <f>INT(Working_Sales[[#This Row],[Total_Amount_Whitespace_Removed]])</f>
        <v>150</v>
      </c>
      <c r="AH80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807" spans="1:34" x14ac:dyDescent="0.35">
      <c r="A807" t="s">
        <v>1664</v>
      </c>
      <c r="B807" s="6" t="str">
        <f>CLEAN(TRIM(Working_Sales[[#This Row],[Transaction ID]]))</f>
        <v>810</v>
      </c>
      <c r="C807" t="s">
        <v>1651</v>
      </c>
      <c r="D807" s="2" t="str">
        <f>CLEAN(TRIM(Working_Sales[[#This Row],[Date]]))</f>
        <v>30/11/2023</v>
      </c>
      <c r="E80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45260</v>
      </c>
      <c r="F80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45260</v>
      </c>
      <c r="G80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45260</v>
      </c>
      <c r="H807" t="s">
        <v>2984</v>
      </c>
      <c r="I807" s="2" t="str">
        <f>CLEAN(TRIM(Working_Sales[[#This Row],[Customer ID]]))</f>
        <v>CUST007</v>
      </c>
      <c r="J80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CUST007</v>
      </c>
      <c r="K80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CUST007</v>
      </c>
      <c r="L807" t="s">
        <v>34</v>
      </c>
      <c r="M807" s="4" t="str">
        <f>CLEAN(TRIM(Working_Sales[[#This Row],[Gender]]))</f>
        <v>Male</v>
      </c>
      <c r="N807" s="4" t="str" cm="1">
        <f t="array" ref="N807">_xlfn.SWITCH(
   Working_Sales[[#This Row],[Gender_Whitespace_Removed]],
   "m", "Male",
   "f", "Female",
   Working_Sales[[#This Row],[Gender_Whitespace_Removed]]
)</f>
        <v>Male</v>
      </c>
      <c r="O807" s="6" t="str">
        <f>PROPER(Working_Sales[[#This Row],[Gender_Abbreviation_Expanded]])</f>
        <v>Male</v>
      </c>
      <c r="P807">
        <v>59</v>
      </c>
      <c r="Q807" s="2" t="str">
        <f>CLEAN(TRIM(Working_Sales[[#This Row],[Age]]))</f>
        <v>59</v>
      </c>
      <c r="R807" s="6">
        <f>INT(SUBSTITUTE(Working_Sales[[#This Row],[Age_Whitespace_Removed]],".",","))</f>
        <v>59</v>
      </c>
      <c r="S807" t="s">
        <v>13</v>
      </c>
      <c r="T807" s="2" t="str">
        <f>CLEAN(TRIM(Working_Sales[[#This Row],[Product Category]]))</f>
        <v>Electronics</v>
      </c>
      <c r="U807" s="6" t="str">
        <f>PROPER(Working_Sales[[#This Row],[Product_Category_Whitespace_Removed]])</f>
        <v>Electronics</v>
      </c>
      <c r="V807" t="s">
        <v>14</v>
      </c>
      <c r="W807" s="2" t="str">
        <f>CLEAN(TRIM(Working_Sales[[#This Row],[Quantity]]))</f>
        <v>4</v>
      </c>
      <c r="X807" s="2">
        <f>INT(Working_Sales[[#This Row],[`]])</f>
        <v>4</v>
      </c>
      <c r="Y807" s="6">
        <f>IFERROR(
   Working_Sales[[#This Row],[Quantity_Converted_To_Integer]],
   Working_Sales[[#This Row],[Total_Amount_Whitespace_Removed]]/Working_Sales[[#This Row],[Price_Per_Unit_Decimal_Separator_Fixed]])</f>
        <v>4</v>
      </c>
      <c r="Z807" t="s">
        <v>30</v>
      </c>
      <c r="AA807" s="2" t="str">
        <f>CLEAN(TRIM(Working_Sales[[#This Row],[Price per Unit]]))</f>
        <v>25</v>
      </c>
      <c r="AB807" s="2">
        <f>INT(
   SUBSTITUTE(Working_Sales[[#This Row],[Price_Per_Unit_Whitespace_Removed]],
   "$",
   ""
   )
)</f>
        <v>25</v>
      </c>
      <c r="AC807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807" s="8">
        <f>IFERROR(
   Working_Sales[[#This Row],[Price_Per_Unit_Decimal_Separator_Fixed]],
   Working_Sales[[#This Row],[Total_Amount_Converted_To_Integer]]/Working_Sales[[#This Row],[Quantity_Converted_To_Integer]]
)</f>
        <v>25</v>
      </c>
      <c r="AE807" t="s">
        <v>38</v>
      </c>
      <c r="AF807" s="2" t="str">
        <f>CLEAN(TRIM(Working_Sales[[#This Row],[Total Amount]]))</f>
        <v>100</v>
      </c>
      <c r="AG807" s="2">
        <f>INT(Working_Sales[[#This Row],[Total_Amount_Whitespace_Removed]])</f>
        <v>100</v>
      </c>
      <c r="AH80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808" spans="1:34" x14ac:dyDescent="0.35">
      <c r="A808" t="s">
        <v>1665</v>
      </c>
      <c r="B808" s="6" t="str">
        <f>CLEAN(TRIM(Working_Sales[[#This Row],[Transaction ID]]))</f>
        <v>699</v>
      </c>
      <c r="C808" t="s">
        <v>1666</v>
      </c>
      <c r="D808" s="2" t="str">
        <f>CLEAN(TRIM(Working_Sales[[#This Row],[Date]]))</f>
        <v>22/06/2023</v>
      </c>
      <c r="E80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45099</v>
      </c>
      <c r="F80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45099</v>
      </c>
      <c r="G80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45099</v>
      </c>
      <c r="H808" t="s">
        <v>2985</v>
      </c>
      <c r="I808" s="2" t="str">
        <f>CLEAN(TRIM(Working_Sales[[#This Row],[Customer ID]]))</f>
        <v>CUST463</v>
      </c>
      <c r="J80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CUST463</v>
      </c>
      <c r="K80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CUST463</v>
      </c>
      <c r="L808" t="s">
        <v>26</v>
      </c>
      <c r="M808" s="4" t="str">
        <f>CLEAN(TRIM(Working_Sales[[#This Row],[Gender]]))</f>
        <v>Female</v>
      </c>
      <c r="N808" s="4" t="str" cm="1">
        <f t="array" ref="N808">_xlfn.SWITCH(
   Working_Sales[[#This Row],[Gender_Whitespace_Removed]],
   "m", "Male",
   "f", "Female",
   Working_Sales[[#This Row],[Gender_Whitespace_Removed]]
)</f>
        <v>Female</v>
      </c>
      <c r="O808" s="6" t="str">
        <f>PROPER(Working_Sales[[#This Row],[Gender_Abbreviation_Expanded]])</f>
        <v>Female</v>
      </c>
      <c r="P808">
        <v>37</v>
      </c>
      <c r="Q808" s="2" t="str">
        <f>CLEAN(TRIM(Working_Sales[[#This Row],[Age]]))</f>
        <v>37</v>
      </c>
      <c r="R808" s="6">
        <f>INT(SUBSTITUTE(Working_Sales[[#This Row],[Age_Whitespace_Removed]],".",","))</f>
        <v>37</v>
      </c>
      <c r="S808" t="s">
        <v>89</v>
      </c>
      <c r="T808" s="2" t="str">
        <f>CLEAN(TRIM(Working_Sales[[#This Row],[Product Category]]))</f>
        <v>CLOTHING</v>
      </c>
      <c r="U808" s="6" t="str">
        <f>PROPER(Working_Sales[[#This Row],[Product_Category_Whitespace_Removed]])</f>
        <v>Clothing</v>
      </c>
      <c r="V808" t="s">
        <v>14</v>
      </c>
      <c r="W808" s="2" t="str">
        <f>CLEAN(TRIM(Working_Sales[[#This Row],[Quantity]]))</f>
        <v>4</v>
      </c>
      <c r="X808" s="2">
        <f>INT(Working_Sales[[#This Row],[`]])</f>
        <v>4</v>
      </c>
      <c r="Y808" s="6">
        <f>IFERROR(
   Working_Sales[[#This Row],[Quantity_Converted_To_Integer]],
   Working_Sales[[#This Row],[Total_Amount_Whitespace_Removed]]/Working_Sales[[#This Row],[Price_Per_Unit_Decimal_Separator_Fixed]])</f>
        <v>4</v>
      </c>
      <c r="Z808" t="s">
        <v>70</v>
      </c>
      <c r="AA808" s="2" t="str">
        <f>CLEAN(TRIM(Working_Sales[[#This Row],[Price per Unit]]))</f>
        <v>30</v>
      </c>
      <c r="AB808" s="2">
        <f>INT(
   SUBSTITUTE(Working_Sales[[#This Row],[Price_Per_Unit_Whitespace_Removed]],
   "$",
   ""
   )
)</f>
        <v>30</v>
      </c>
      <c r="AC808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808" s="8">
        <f>IFERROR(
   Working_Sales[[#This Row],[Price_Per_Unit_Decimal_Separator_Fixed]],
   Working_Sales[[#This Row],[Total_Amount_Converted_To_Integer]]/Working_Sales[[#This Row],[Quantity_Converted_To_Integer]]
)</f>
        <v>30</v>
      </c>
      <c r="AE808" t="s">
        <v>44</v>
      </c>
      <c r="AF808" s="2" t="str">
        <f>CLEAN(TRIM(Working_Sales[[#This Row],[Total Amount]]))</f>
        <v>120</v>
      </c>
      <c r="AG808" s="2">
        <f>INT(Working_Sales[[#This Row],[Total_Amount_Whitespace_Removed]])</f>
        <v>120</v>
      </c>
      <c r="AH80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809" spans="1:34" x14ac:dyDescent="0.35">
      <c r="A809" t="s">
        <v>1667</v>
      </c>
      <c r="B809" s="6" t="str">
        <f>CLEAN(TRIM(Working_Sales[[#This Row],[Transaction ID]]))</f>
        <v>834</v>
      </c>
      <c r="C809" t="s">
        <v>2156</v>
      </c>
      <c r="D809" s="2" t="str">
        <f>CLEAN(TRIM(Working_Sales[[#This Row],[Date]]))</f>
        <v>04-Apr-2023</v>
      </c>
      <c r="E80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45020</v>
      </c>
      <c r="F80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45020</v>
      </c>
      <c r="G80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45020</v>
      </c>
      <c r="H809" t="s">
        <v>2986</v>
      </c>
      <c r="I809" s="2" t="str">
        <f>CLEAN(TRIM(Working_Sales[[#This Row],[Customer ID]]))</f>
        <v>Cust021</v>
      </c>
      <c r="J80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0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CUST021</v>
      </c>
      <c r="L809" t="s">
        <v>26</v>
      </c>
      <c r="M809" s="4" t="str">
        <f>CLEAN(TRIM(Working_Sales[[#This Row],[Gender]]))</f>
        <v>Female</v>
      </c>
      <c r="N809" s="4" t="str" cm="1">
        <f t="array" ref="N809">_xlfn.SWITCH(
   Working_Sales[[#This Row],[Gender_Whitespace_Removed]],
   "m", "Male",
   "f", "Female",
   Working_Sales[[#This Row],[Gender_Whitespace_Removed]]
)</f>
        <v>Female</v>
      </c>
      <c r="O809" s="6" t="str">
        <f>PROPER(Working_Sales[[#This Row],[Gender_Abbreviation_Expanded]])</f>
        <v>Female</v>
      </c>
      <c r="P809" t="s">
        <v>754</v>
      </c>
      <c r="Q809" s="2" t="str">
        <f>CLEAN(TRIM(Working_Sales[[#This Row],[Age]]))</f>
        <v>56</v>
      </c>
      <c r="R809" s="6">
        <f>INT(SUBSTITUTE(Working_Sales[[#This Row],[Age_Whitespace_Removed]],".",","))</f>
        <v>56</v>
      </c>
      <c r="S809" t="s">
        <v>69</v>
      </c>
      <c r="T809" s="2" t="str">
        <f>CLEAN(TRIM(Working_Sales[[#This Row],[Product Category]]))</f>
        <v>BEAUTY</v>
      </c>
      <c r="U809" s="6" t="str">
        <f>PROPER(Working_Sales[[#This Row],[Product_Category_Whitespace_Removed]])</f>
        <v>Beauty</v>
      </c>
      <c r="V809" t="s">
        <v>37</v>
      </c>
      <c r="W809" s="2" t="str">
        <f>CLEAN(TRIM(Working_Sales[[#This Row],[Quantity]]))</f>
        <v>2</v>
      </c>
      <c r="X809" s="2">
        <f>INT(Working_Sales[[#This Row],[`]])</f>
        <v>2</v>
      </c>
      <c r="Y809" s="6">
        <f>IFERROR(
   Working_Sales[[#This Row],[Quantity_Converted_To_Integer]],
   Working_Sales[[#This Row],[Total_Amount_Whitespace_Removed]]/Working_Sales[[#This Row],[Price_Per_Unit_Decimal_Separator_Fixed]])</f>
        <v>2</v>
      </c>
      <c r="Z809" t="s">
        <v>70</v>
      </c>
      <c r="AA809" s="2" t="str">
        <f>CLEAN(TRIM(Working_Sales[[#This Row],[Price per Unit]]))</f>
        <v>30</v>
      </c>
      <c r="AB809" s="2">
        <f>INT(
   SUBSTITUTE(Working_Sales[[#This Row],[Price_Per_Unit_Whitespace_Removed]],
   "$",
   ""
   )
)</f>
        <v>30</v>
      </c>
      <c r="AC809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809" s="8">
        <f>IFERROR(
   Working_Sales[[#This Row],[Price_Per_Unit_Decimal_Separator_Fixed]],
   Working_Sales[[#This Row],[Total_Amount_Converted_To_Integer]]/Working_Sales[[#This Row],[Quantity_Converted_To_Integer]]
)</f>
        <v>30</v>
      </c>
      <c r="AE809" t="s">
        <v>71</v>
      </c>
      <c r="AF809" s="2" t="str">
        <f>CLEAN(TRIM(Working_Sales[[#This Row],[Total Amount]]))</f>
        <v>60</v>
      </c>
      <c r="AG809" s="2">
        <f>INT(Working_Sales[[#This Row],[Total_Amount_Whitespace_Removed]])</f>
        <v>60</v>
      </c>
      <c r="AH80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810" spans="1:34" x14ac:dyDescent="0.35">
      <c r="A810" t="s">
        <v>1668</v>
      </c>
      <c r="B810" s="6" t="str">
        <f>CLEAN(TRIM(Working_Sales[[#This Row],[Transaction ID]]))</f>
        <v>712</v>
      </c>
      <c r="C810" t="s">
        <v>2082</v>
      </c>
      <c r="D810" s="2" t="str">
        <f>CLEAN(TRIM(Working_Sales[[#This Row],[Date]]))</f>
        <v>06-Dec-2023</v>
      </c>
      <c r="E81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45266</v>
      </c>
      <c r="F81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45266</v>
      </c>
      <c r="G81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45266</v>
      </c>
      <c r="H810" t="s">
        <v>2987</v>
      </c>
      <c r="I810" s="2" t="str">
        <f>CLEAN(TRIM(Working_Sales[[#This Row],[Customer ID]]))</f>
        <v>CUST-068</v>
      </c>
      <c r="J81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1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CUST068</v>
      </c>
      <c r="L810" t="s">
        <v>112</v>
      </c>
      <c r="M810" s="4" t="str">
        <f>CLEAN(TRIM(Working_Sales[[#This Row],[Gender]]))</f>
        <v>female</v>
      </c>
      <c r="N810" s="4" t="str" cm="1">
        <f t="array" ref="N810">_xlfn.SWITCH(
   Working_Sales[[#This Row],[Gender_Whitespace_Removed]],
   "m", "Male",
   "f", "Female",
   Working_Sales[[#This Row],[Gender_Whitespace_Removed]]
)</f>
        <v>female</v>
      </c>
      <c r="O810" s="6" t="str">
        <f>PROPER(Working_Sales[[#This Row],[Gender_Abbreviation_Expanded]])</f>
        <v>Female</v>
      </c>
      <c r="P810">
        <v>57</v>
      </c>
      <c r="Q810" s="2" t="str">
        <f>CLEAN(TRIM(Working_Sales[[#This Row],[Age]]))</f>
        <v>57</v>
      </c>
      <c r="R810" s="6">
        <f>INT(SUBSTITUTE(Working_Sales[[#This Row],[Age_Whitespace_Removed]],".",","))</f>
        <v>57</v>
      </c>
      <c r="S810" t="s">
        <v>36</v>
      </c>
      <c r="T810" s="2" t="str">
        <f>CLEAN(TRIM(Working_Sales[[#This Row],[Product Category]]))</f>
        <v>Beauty</v>
      </c>
      <c r="U810" s="6" t="str">
        <f>PROPER(Working_Sales[[#This Row],[Product_Category_Whitespace_Removed]])</f>
        <v>Beauty</v>
      </c>
      <c r="V810" t="s">
        <v>37</v>
      </c>
      <c r="W810" s="2" t="str">
        <f>CLEAN(TRIM(Working_Sales[[#This Row],[Quantity]]))</f>
        <v>2</v>
      </c>
      <c r="X810" s="2">
        <f>INT(Working_Sales[[#This Row],[`]])</f>
        <v>2</v>
      </c>
      <c r="Y810" s="6">
        <f>IFERROR(
   Working_Sales[[#This Row],[Quantity_Converted_To_Integer]],
   Working_Sales[[#This Row],[Total_Amount_Whitespace_Removed]]/Working_Sales[[#This Row],[Price_Per_Unit_Decimal_Separator_Fixed]])</f>
        <v>2</v>
      </c>
      <c r="Z810" t="s">
        <v>371</v>
      </c>
      <c r="AA810" s="2" t="str">
        <f>CLEAN(TRIM(Working_Sales[[#This Row],[Price per Unit]]))</f>
        <v>25.00</v>
      </c>
      <c r="AB810" s="2" t="e">
        <f>INT(
   SUBSTITUTE(Working_Sales[[#This Row],[Price_Per_Unit_Whitespace_Removed]],
   "$",
   ""
   )
)</f>
        <v>#VALUE!</v>
      </c>
      <c r="AC810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810" s="8">
        <f>IFERROR(
   Working_Sales[[#This Row],[Price_Per_Unit_Decimal_Separator_Fixed]],
   Working_Sales[[#This Row],[Total_Amount_Converted_To_Integer]]/Working_Sales[[#This Row],[Quantity_Converted_To_Integer]]
)</f>
        <v>25</v>
      </c>
      <c r="AE810" t="s">
        <v>15</v>
      </c>
      <c r="AF810" s="2" t="str">
        <f>CLEAN(TRIM(Working_Sales[[#This Row],[Total Amount]]))</f>
        <v>50</v>
      </c>
      <c r="AG810" s="2">
        <f>INT(Working_Sales[[#This Row],[Total_Amount_Whitespace_Removed]])</f>
        <v>50</v>
      </c>
      <c r="AH81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811" spans="1:34" x14ac:dyDescent="0.35">
      <c r="A811" t="s">
        <v>1669</v>
      </c>
      <c r="B811" s="6" t="str">
        <f>CLEAN(TRIM(Working_Sales[[#This Row],[Transaction ID]]))</f>
        <v>77</v>
      </c>
      <c r="C811" t="s">
        <v>1670</v>
      </c>
      <c r="D811" s="2" t="str">
        <f>CLEAN(TRIM(Working_Sales[[#This Row],[Date]]))</f>
        <v>July 09, 2023</v>
      </c>
      <c r="E811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811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81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45116</v>
      </c>
      <c r="H811" t="s">
        <v>2988</v>
      </c>
      <c r="I811" s="2" t="str">
        <f>CLEAN(TRIM(Working_Sales[[#This Row],[Customer ID]]))</f>
        <v>CUST246</v>
      </c>
      <c r="J81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CUST246</v>
      </c>
      <c r="K81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CUST246</v>
      </c>
      <c r="L811" t="s">
        <v>26</v>
      </c>
      <c r="M811" s="4" t="str">
        <f>CLEAN(TRIM(Working_Sales[[#This Row],[Gender]]))</f>
        <v>Female</v>
      </c>
      <c r="N811" s="4" t="str" cm="1">
        <f t="array" ref="N811">_xlfn.SWITCH(
   Working_Sales[[#This Row],[Gender_Whitespace_Removed]],
   "m", "Male",
   "f", "Female",
   Working_Sales[[#This Row],[Gender_Whitespace_Removed]]
)</f>
        <v>Female</v>
      </c>
      <c r="O811" s="6" t="str">
        <f>PROPER(Working_Sales[[#This Row],[Gender_Abbreviation_Expanded]])</f>
        <v>Female</v>
      </c>
      <c r="P811">
        <v>47</v>
      </c>
      <c r="Q811" s="2" t="str">
        <f>CLEAN(TRIM(Working_Sales[[#This Row],[Age]]))</f>
        <v>47</v>
      </c>
      <c r="R811" s="6">
        <f>INT(SUBSTITUTE(Working_Sales[[#This Row],[Age_Whitespace_Removed]],".",","))</f>
        <v>47</v>
      </c>
      <c r="S811" t="s">
        <v>56</v>
      </c>
      <c r="T811" s="2" t="str">
        <f>CLEAN(TRIM(Working_Sales[[#This Row],[Product Category]]))</f>
        <v>Clothing</v>
      </c>
      <c r="U811" s="6" t="str">
        <f>PROPER(Working_Sales[[#This Row],[Product_Category_Whitespace_Removed]])</f>
        <v>Clothing</v>
      </c>
      <c r="V811" t="s">
        <v>37</v>
      </c>
      <c r="W811" s="2" t="str">
        <f>CLEAN(TRIM(Working_Sales[[#This Row],[Quantity]]))</f>
        <v>2</v>
      </c>
      <c r="X811" s="2">
        <f>INT(Working_Sales[[#This Row],[`]])</f>
        <v>2</v>
      </c>
      <c r="Y811" s="6">
        <f>IFERROR(
   Working_Sales[[#This Row],[Quantity_Converted_To_Integer]],
   Working_Sales[[#This Row],[Total_Amount_Whitespace_Removed]]/Working_Sales[[#This Row],[Price_Per_Unit_Decimal_Separator_Fixed]])</f>
        <v>2</v>
      </c>
      <c r="Z811" t="s">
        <v>15</v>
      </c>
      <c r="AA811" s="2" t="str">
        <f>CLEAN(TRIM(Working_Sales[[#This Row],[Price per Unit]]))</f>
        <v>50</v>
      </c>
      <c r="AB811" s="2">
        <f>INT(
   SUBSTITUTE(Working_Sales[[#This Row],[Price_Per_Unit_Whitespace_Removed]],
   "$",
   ""
   )
)</f>
        <v>50</v>
      </c>
      <c r="AC811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811" s="8">
        <f>IFERROR(
   Working_Sales[[#This Row],[Price_Per_Unit_Decimal_Separator_Fixed]],
   Working_Sales[[#This Row],[Total_Amount_Converted_To_Integer]]/Working_Sales[[#This Row],[Quantity_Converted_To_Integer]]
)</f>
        <v>50</v>
      </c>
      <c r="AE811" t="s">
        <v>38</v>
      </c>
      <c r="AF811" s="2" t="str">
        <f>CLEAN(TRIM(Working_Sales[[#This Row],[Total Amount]]))</f>
        <v>100</v>
      </c>
      <c r="AG811" s="2">
        <f>INT(Working_Sales[[#This Row],[Total_Amount_Whitespace_Removed]])</f>
        <v>100</v>
      </c>
      <c r="AH81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812" spans="1:34" x14ac:dyDescent="0.35">
      <c r="A812" t="s">
        <v>1672</v>
      </c>
      <c r="B812" s="6" t="str">
        <f>CLEAN(TRIM(Working_Sales[[#This Row],[Transaction ID]]))</f>
        <v>634</v>
      </c>
      <c r="C812" t="s">
        <v>1673</v>
      </c>
      <c r="D812" s="2" t="str">
        <f>CLEAN(TRIM(Working_Sales[[#This Row],[Date]]))</f>
        <v>2023-10-08</v>
      </c>
      <c r="E81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45207</v>
      </c>
      <c r="F81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45207</v>
      </c>
      <c r="G81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45207</v>
      </c>
      <c r="H812" t="s">
        <v>2989</v>
      </c>
      <c r="I812" s="2" t="str">
        <f>CLEAN(TRIM(Working_Sales[[#This Row],[Customer ID]]))</f>
        <v>cust215</v>
      </c>
      <c r="J81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1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CUST215</v>
      </c>
      <c r="L812" t="s">
        <v>34</v>
      </c>
      <c r="M812" s="4" t="str">
        <f>CLEAN(TRIM(Working_Sales[[#This Row],[Gender]]))</f>
        <v>Male</v>
      </c>
      <c r="N812" s="4" t="str" cm="1">
        <f t="array" ref="N812">_xlfn.SWITCH(
   Working_Sales[[#This Row],[Gender_Whitespace_Removed]],
   "m", "Male",
   "f", "Female",
   Working_Sales[[#This Row],[Gender_Whitespace_Removed]]
)</f>
        <v>Male</v>
      </c>
      <c r="O812" s="6" t="str">
        <f>PROPER(Working_Sales[[#This Row],[Gender_Abbreviation_Expanded]])</f>
        <v>Male</v>
      </c>
      <c r="P812">
        <v>60</v>
      </c>
      <c r="Q812" s="2" t="str">
        <f>CLEAN(TRIM(Working_Sales[[#This Row],[Age]]))</f>
        <v>60</v>
      </c>
      <c r="R812" s="6">
        <f>INT(SUBSTITUTE(Working_Sales[[#This Row],[Age_Whitespace_Removed]],".",","))</f>
        <v>60</v>
      </c>
      <c r="S812" t="s">
        <v>13</v>
      </c>
      <c r="T812" s="2" t="str">
        <f>CLEAN(TRIM(Working_Sales[[#This Row],[Product Category]]))</f>
        <v>Electronics</v>
      </c>
      <c r="U812" s="6" t="str">
        <f>PROPER(Working_Sales[[#This Row],[Product_Category_Whitespace_Removed]])</f>
        <v>Electronics</v>
      </c>
      <c r="V812" t="s">
        <v>14</v>
      </c>
      <c r="W812" s="2" t="str">
        <f>CLEAN(TRIM(Working_Sales[[#This Row],[Quantity]]))</f>
        <v>4</v>
      </c>
      <c r="X812" s="2">
        <f>INT(Working_Sales[[#This Row],[`]])</f>
        <v>4</v>
      </c>
      <c r="Y812" s="6">
        <f>IFERROR(
   Working_Sales[[#This Row],[Quantity_Converted_To_Integer]],
   Working_Sales[[#This Row],[Total_Amount_Whitespace_Removed]]/Working_Sales[[#This Row],[Price_Per_Unit_Decimal_Separator_Fixed]])</f>
        <v>4</v>
      </c>
      <c r="Z812" t="s">
        <v>282</v>
      </c>
      <c r="AA812" s="2" t="str">
        <f>CLEAN(TRIM(Working_Sales[[#This Row],[Price per Unit]]))</f>
        <v>500</v>
      </c>
      <c r="AB812" s="2">
        <f>INT(
   SUBSTITUTE(Working_Sales[[#This Row],[Price_Per_Unit_Whitespace_Removed]],
   "$",
   ""
   )
)</f>
        <v>500</v>
      </c>
      <c r="AC812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812" s="8">
        <f>IFERROR(
   Working_Sales[[#This Row],[Price_Per_Unit_Decimal_Separator_Fixed]],
   Working_Sales[[#This Row],[Total_Amount_Converted_To_Integer]]/Working_Sales[[#This Row],[Quantity_Converted_To_Integer]]
)</f>
        <v>500</v>
      </c>
      <c r="AE812" t="s">
        <v>232</v>
      </c>
      <c r="AF812" s="2" t="str">
        <f>CLEAN(TRIM(Working_Sales[[#This Row],[Total Amount]]))</f>
        <v>2000</v>
      </c>
      <c r="AG812" s="2">
        <f>INT(Working_Sales[[#This Row],[Total_Amount_Whitespace_Removed]])</f>
        <v>2000</v>
      </c>
      <c r="AH81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813" spans="1:34" x14ac:dyDescent="0.35">
      <c r="A813" t="s">
        <v>1674</v>
      </c>
      <c r="B813" s="6" t="str">
        <f>CLEAN(TRIM(Working_Sales[[#This Row],[Transaction ID]]))</f>
        <v>985</v>
      </c>
      <c r="C813" t="s">
        <v>870</v>
      </c>
      <c r="D813" s="2" t="str">
        <f>CLEAN(TRIM(Working_Sales[[#This Row],[Date]]))</f>
        <v>05/30/2023</v>
      </c>
      <c r="E813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81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45076</v>
      </c>
      <c r="G81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45076</v>
      </c>
      <c r="H813" t="s">
        <v>2277</v>
      </c>
      <c r="I813" s="2" t="str">
        <f>CLEAN(TRIM(Working_Sales[[#This Row],[Customer ID]]))</f>
        <v>CUST440</v>
      </c>
      <c r="J81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CUST440</v>
      </c>
      <c r="K81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CUST440</v>
      </c>
      <c r="L813" t="s">
        <v>140</v>
      </c>
      <c r="M813" s="4" t="str">
        <f>CLEAN(TRIM(Working_Sales[[#This Row],[Gender]]))</f>
        <v>FEMALE</v>
      </c>
      <c r="N813" s="4" t="str" cm="1">
        <f t="array" ref="N813">_xlfn.SWITCH(
   Working_Sales[[#This Row],[Gender_Whitespace_Removed]],
   "m", "Male",
   "f", "Female",
   Working_Sales[[#This Row],[Gender_Whitespace_Removed]]
)</f>
        <v>FEMALE</v>
      </c>
      <c r="O813" s="6" t="str">
        <f>PROPER(Working_Sales[[#This Row],[Gender_Abbreviation_Expanded]])</f>
        <v>Female</v>
      </c>
      <c r="P813">
        <v>19</v>
      </c>
      <c r="Q813" s="2" t="str">
        <f>CLEAN(TRIM(Working_Sales[[#This Row],[Age]]))</f>
        <v>19</v>
      </c>
      <c r="R813" s="6">
        <f>INT(SUBSTITUTE(Working_Sales[[#This Row],[Age_Whitespace_Removed]],".",","))</f>
        <v>19</v>
      </c>
      <c r="S813" t="s">
        <v>13</v>
      </c>
      <c r="T813" s="2" t="str">
        <f>CLEAN(TRIM(Working_Sales[[#This Row],[Product Category]]))</f>
        <v>Electronics</v>
      </c>
      <c r="U813" s="6" t="str">
        <f>PROPER(Working_Sales[[#This Row],[Product_Category_Whitespace_Removed]])</f>
        <v>Electronics</v>
      </c>
      <c r="V813" t="s">
        <v>37</v>
      </c>
      <c r="W813" s="2" t="str">
        <f>CLEAN(TRIM(Working_Sales[[#This Row],[Quantity]]))</f>
        <v>2</v>
      </c>
      <c r="X813" s="2">
        <f>INT(Working_Sales[[#This Row],[`]])</f>
        <v>2</v>
      </c>
      <c r="Y813" s="6">
        <f>IFERROR(
   Working_Sales[[#This Row],[Quantity_Converted_To_Integer]],
   Working_Sales[[#This Row],[Total_Amount_Whitespace_Removed]]/Working_Sales[[#This Row],[Price_Per_Unit_Decimal_Separator_Fixed]])</f>
        <v>2</v>
      </c>
      <c r="Z813" t="s">
        <v>30</v>
      </c>
      <c r="AA813" s="2" t="str">
        <f>CLEAN(TRIM(Working_Sales[[#This Row],[Price per Unit]]))</f>
        <v>25</v>
      </c>
      <c r="AB813" s="2">
        <f>INT(
   SUBSTITUTE(Working_Sales[[#This Row],[Price_Per_Unit_Whitespace_Removed]],
   "$",
   ""
   )
)</f>
        <v>25</v>
      </c>
      <c r="AC813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813" s="8">
        <f>IFERROR(
   Working_Sales[[#This Row],[Price_Per_Unit_Decimal_Separator_Fixed]],
   Working_Sales[[#This Row],[Total_Amount_Converted_To_Integer]]/Working_Sales[[#This Row],[Quantity_Converted_To_Integer]]
)</f>
        <v>25</v>
      </c>
      <c r="AE813" t="s">
        <v>15</v>
      </c>
      <c r="AF813" s="2" t="str">
        <f>CLEAN(TRIM(Working_Sales[[#This Row],[Total Amount]]))</f>
        <v>50</v>
      </c>
      <c r="AG813" s="2">
        <f>INT(Working_Sales[[#This Row],[Total_Amount_Whitespace_Removed]])</f>
        <v>50</v>
      </c>
      <c r="AH81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814" spans="1:34" x14ac:dyDescent="0.35">
      <c r="A814" t="s">
        <v>1675</v>
      </c>
      <c r="B814" s="6" t="str">
        <f>CLEAN(TRIM(Working_Sales[[#This Row],[Transaction ID]]))</f>
        <v>248</v>
      </c>
      <c r="C814" t="s">
        <v>1676</v>
      </c>
      <c r="D814" s="2" t="str">
        <f>CLEAN(TRIM(Working_Sales[[#This Row],[Date]]))</f>
        <v>2023-03-09</v>
      </c>
      <c r="E81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44994</v>
      </c>
      <c r="F81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44994</v>
      </c>
      <c r="G81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44994</v>
      </c>
      <c r="H814" t="s">
        <v>2990</v>
      </c>
      <c r="I814" s="2" t="str">
        <f>CLEAN(TRIM(Working_Sales[[#This Row],[Customer ID]]))</f>
        <v>CUST-447</v>
      </c>
      <c r="J81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1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CUST447</v>
      </c>
      <c r="L814" t="s">
        <v>268</v>
      </c>
      <c r="M814" s="4" t="str">
        <f>CLEAN(TRIM(Working_Sales[[#This Row],[Gender]]))</f>
        <v>M</v>
      </c>
      <c r="N814" s="4" t="str" cm="1">
        <f t="array" ref="N814">_xlfn.SWITCH(
   Working_Sales[[#This Row],[Gender_Whitespace_Removed]],
   "m", "Male",
   "f", "Female",
   Working_Sales[[#This Row],[Gender_Whitespace_Removed]]
)</f>
        <v>Male</v>
      </c>
      <c r="O814" s="6" t="str">
        <f>PROPER(Working_Sales[[#This Row],[Gender_Abbreviation_Expanded]])</f>
        <v>Male</v>
      </c>
      <c r="P814">
        <v>26</v>
      </c>
      <c r="Q814" s="2" t="str">
        <f>CLEAN(TRIM(Working_Sales[[#This Row],[Age]]))</f>
        <v>26</v>
      </c>
      <c r="R814" s="6">
        <f>INT(SUBSTITUTE(Working_Sales[[#This Row],[Age_Whitespace_Removed]],".",","))</f>
        <v>26</v>
      </c>
      <c r="S814" t="s">
        <v>56</v>
      </c>
      <c r="T814" s="2" t="str">
        <f>CLEAN(TRIM(Working_Sales[[#This Row],[Product Category]]))</f>
        <v>Clothing</v>
      </c>
      <c r="U814" s="6" t="str">
        <f>PROPER(Working_Sales[[#This Row],[Product_Category_Whitespace_Removed]])</f>
        <v>Clothing</v>
      </c>
      <c r="V814" t="s">
        <v>29</v>
      </c>
      <c r="W814" s="2" t="str">
        <f>CLEAN(TRIM(Working_Sales[[#This Row],[Quantity]]))</f>
        <v>3</v>
      </c>
      <c r="X814" s="2">
        <f>INT(Working_Sales[[#This Row],[`]])</f>
        <v>3</v>
      </c>
      <c r="Y814" s="6">
        <f>IFERROR(
   Working_Sales[[#This Row],[Quantity_Converted_To_Integer]],
   Working_Sales[[#This Row],[Total_Amount_Whitespace_Removed]]/Working_Sales[[#This Row],[Price_Per_Unit_Decimal_Separator_Fixed]])</f>
        <v>3</v>
      </c>
      <c r="Z814" t="s">
        <v>186</v>
      </c>
      <c r="AA814" s="2" t="str">
        <f>CLEAN(TRIM(Working_Sales[[#This Row],[Price per Unit]]))</f>
        <v>$300</v>
      </c>
      <c r="AB814" s="2">
        <f>INT(
   SUBSTITUTE(Working_Sales[[#This Row],[Price_Per_Unit_Whitespace_Removed]],
   "$",
   ""
   )
)</f>
        <v>300</v>
      </c>
      <c r="AC814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814" s="8">
        <f>IFERROR(
   Working_Sales[[#This Row],[Price_Per_Unit_Decimal_Separator_Fixed]],
   Working_Sales[[#This Row],[Total_Amount_Converted_To_Integer]]/Working_Sales[[#This Row],[Quantity_Converted_To_Integer]]
)</f>
        <v>300</v>
      </c>
      <c r="AE814" t="s">
        <v>128</v>
      </c>
      <c r="AF814" s="2" t="str">
        <f>CLEAN(TRIM(Working_Sales[[#This Row],[Total Amount]]))</f>
        <v>900</v>
      </c>
      <c r="AG814" s="2">
        <f>INT(Working_Sales[[#This Row],[Total_Amount_Whitespace_Removed]])</f>
        <v>900</v>
      </c>
      <c r="AH81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815" spans="1:34" x14ac:dyDescent="0.35">
      <c r="A815" t="s">
        <v>1677</v>
      </c>
      <c r="B815" s="6" t="str">
        <f>CLEAN(TRIM(Working_Sales[[#This Row],[Transaction ID]]))</f>
        <v>820</v>
      </c>
      <c r="C815" t="s">
        <v>1095</v>
      </c>
      <c r="D815" s="2" t="str">
        <f>CLEAN(TRIM(Working_Sales[[#This Row],[Date]]))</f>
        <v>06-May-2023</v>
      </c>
      <c r="E81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45052</v>
      </c>
      <c r="F81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45052</v>
      </c>
      <c r="G81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45052</v>
      </c>
      <c r="H815" t="s">
        <v>2991</v>
      </c>
      <c r="I815" s="2" t="str">
        <f>CLEAN(TRIM(Working_Sales[[#This Row],[Customer ID]]))</f>
        <v>Cust464</v>
      </c>
      <c r="J81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1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CUST464</v>
      </c>
      <c r="L815" t="s">
        <v>34</v>
      </c>
      <c r="M815" s="4" t="str">
        <f>CLEAN(TRIM(Working_Sales[[#This Row],[Gender]]))</f>
        <v>Male</v>
      </c>
      <c r="N815" s="4" t="str" cm="1">
        <f t="array" ref="N815">_xlfn.SWITCH(
   Working_Sales[[#This Row],[Gender_Whitespace_Removed]],
   "m", "Male",
   "f", "Female",
   Working_Sales[[#This Row],[Gender_Whitespace_Removed]]
)</f>
        <v>Male</v>
      </c>
      <c r="O815" s="6" t="str">
        <f>PROPER(Working_Sales[[#This Row],[Gender_Abbreviation_Expanded]])</f>
        <v>Male</v>
      </c>
      <c r="P815">
        <v>49</v>
      </c>
      <c r="Q815" s="2" t="str">
        <f>CLEAN(TRIM(Working_Sales[[#This Row],[Age]]))</f>
        <v>49</v>
      </c>
      <c r="R815" s="6">
        <f>INT(SUBSTITUTE(Working_Sales[[#This Row],[Age_Whitespace_Removed]],".",","))</f>
        <v>49</v>
      </c>
      <c r="S815" t="s">
        <v>13</v>
      </c>
      <c r="T815" s="2" t="str">
        <f>CLEAN(TRIM(Working_Sales[[#This Row],[Product Category]]))</f>
        <v>Electronics</v>
      </c>
      <c r="U815" s="6" t="str">
        <f>PROPER(Working_Sales[[#This Row],[Product_Category_Whitespace_Removed]])</f>
        <v>Electronics</v>
      </c>
      <c r="V815" t="s">
        <v>14</v>
      </c>
      <c r="W815" s="2" t="str">
        <f>CLEAN(TRIM(Working_Sales[[#This Row],[Quantity]]))</f>
        <v>4</v>
      </c>
      <c r="X815" s="2">
        <f>INT(Working_Sales[[#This Row],[`]])</f>
        <v>4</v>
      </c>
      <c r="Y815" s="6">
        <f>IFERROR(
   Working_Sales[[#This Row],[Quantity_Converted_To_Integer]],
   Working_Sales[[#This Row],[Total_Amount_Whitespace_Removed]]/Working_Sales[[#This Row],[Price_Per_Unit_Decimal_Separator_Fixed]])</f>
        <v>4</v>
      </c>
      <c r="Z815" t="s">
        <v>75</v>
      </c>
      <c r="AA815" s="2" t="str">
        <f>CLEAN(TRIM(Working_Sales[[#This Row],[Price per Unit]]))</f>
        <v>50</v>
      </c>
      <c r="AB815" s="2">
        <f>INT(
   SUBSTITUTE(Working_Sales[[#This Row],[Price_Per_Unit_Whitespace_Removed]],
   "$",
   ""
   )
)</f>
        <v>50</v>
      </c>
      <c r="AC815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815" s="8">
        <f>IFERROR(
   Working_Sales[[#This Row],[Price_Per_Unit_Decimal_Separator_Fixed]],
   Working_Sales[[#This Row],[Total_Amount_Converted_To_Integer]]/Working_Sales[[#This Row],[Quantity_Converted_To_Integer]]
)</f>
        <v>50</v>
      </c>
      <c r="AE815" t="s">
        <v>16</v>
      </c>
      <c r="AF815" s="2" t="str">
        <f>CLEAN(TRIM(Working_Sales[[#This Row],[Total Amount]]))</f>
        <v>200</v>
      </c>
      <c r="AG815" s="2">
        <f>INT(Working_Sales[[#This Row],[Total_Amount_Whitespace_Removed]])</f>
        <v>200</v>
      </c>
      <c r="AH81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816" spans="1:34" x14ac:dyDescent="0.35">
      <c r="A816" t="s">
        <v>1678</v>
      </c>
      <c r="B816" s="6" t="str">
        <f>CLEAN(TRIM(Working_Sales[[#This Row],[Transaction ID]]))</f>
        <v>987</v>
      </c>
      <c r="C816" t="s">
        <v>772</v>
      </c>
      <c r="D816" s="2" t="str">
        <f>CLEAN(TRIM(Working_Sales[[#This Row],[Date]]))</f>
        <v>29-Apr-2023</v>
      </c>
      <c r="E81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45045</v>
      </c>
      <c r="F81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45045</v>
      </c>
      <c r="G81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45045</v>
      </c>
      <c r="H816" t="s">
        <v>2992</v>
      </c>
      <c r="I816" s="2" t="str">
        <f>CLEAN(TRIM(Working_Sales[[#This Row],[Customer ID]]))</f>
        <v>CUST-031</v>
      </c>
      <c r="J81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1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CUST031</v>
      </c>
      <c r="L816" t="s">
        <v>26</v>
      </c>
      <c r="M816" s="4" t="str">
        <f>CLEAN(TRIM(Working_Sales[[#This Row],[Gender]]))</f>
        <v>Female</v>
      </c>
      <c r="N816" s="4" t="str" cm="1">
        <f t="array" ref="N816">_xlfn.SWITCH(
   Working_Sales[[#This Row],[Gender_Whitespace_Removed]],
   "m", "Male",
   "f", "Female",
   Working_Sales[[#This Row],[Gender_Whitespace_Removed]]
)</f>
        <v>Female</v>
      </c>
      <c r="O816" s="6" t="str">
        <f>PROPER(Working_Sales[[#This Row],[Gender_Abbreviation_Expanded]])</f>
        <v>Female</v>
      </c>
      <c r="P816">
        <v>30</v>
      </c>
      <c r="Q816" s="2" t="str">
        <f>CLEAN(TRIM(Working_Sales[[#This Row],[Age]]))</f>
        <v>30</v>
      </c>
      <c r="R816" s="6">
        <f>INT(SUBSTITUTE(Working_Sales[[#This Row],[Age_Whitespace_Removed]],".",","))</f>
        <v>30</v>
      </c>
      <c r="S816" t="s">
        <v>56</v>
      </c>
      <c r="T816" s="2" t="str">
        <f>CLEAN(TRIM(Working_Sales[[#This Row],[Product Category]]))</f>
        <v>Clothing</v>
      </c>
      <c r="U816" s="6" t="str">
        <f>PROPER(Working_Sales[[#This Row],[Product_Category_Whitespace_Removed]])</f>
        <v>Clothing</v>
      </c>
      <c r="V816" t="s">
        <v>29</v>
      </c>
      <c r="W816" s="2" t="str">
        <f>CLEAN(TRIM(Working_Sales[[#This Row],[Quantity]]))</f>
        <v>3</v>
      </c>
      <c r="X816" s="2">
        <f>INT(Working_Sales[[#This Row],[`]])</f>
        <v>3</v>
      </c>
      <c r="Y816" s="6">
        <f>IFERROR(
   Working_Sales[[#This Row],[Quantity_Converted_To_Integer]],
   Working_Sales[[#This Row],[Total_Amount_Whitespace_Removed]]/Working_Sales[[#This Row],[Price_Per_Unit_Decimal_Separator_Fixed]])</f>
        <v>3</v>
      </c>
      <c r="AA816" s="2" t="str">
        <f>CLEAN(TRIM(Working_Sales[[#This Row],[Price per Unit]]))</f>
        <v/>
      </c>
      <c r="AB816" s="2" t="e">
        <f>INT(
   SUBSTITUTE(Working_Sales[[#This Row],[Price_Per_Unit_Whitespace_Removed]],
   "$",
   ""
   )
)</f>
        <v>#VALUE!</v>
      </c>
      <c r="AC816" s="2" t="e">
        <f>INT(
   IFERROR(
      Working_Sales[[#This Row],[Price_Per_Unit_Dollar_Sign_Removed]],
      SUBSTITUTE(
         Working_Sales[[#This Row],[Price_Per_Unit_Whitespace_Removed]],
        ".",
         ","
      )
   )
)</f>
        <v>#VALUE!</v>
      </c>
      <c r="AD816" s="8">
        <f>IFERROR(
   Working_Sales[[#This Row],[Price_Per_Unit_Decimal_Separator_Fixed]],
   Working_Sales[[#This Row],[Total_Amount_Converted_To_Integer]]/Working_Sales[[#This Row],[Quantity_Converted_To_Integer]]
)</f>
        <v>300</v>
      </c>
      <c r="AE816" t="s">
        <v>128</v>
      </c>
      <c r="AF816" s="2" t="str">
        <f>CLEAN(TRIM(Working_Sales[[#This Row],[Total Amount]]))</f>
        <v>900</v>
      </c>
      <c r="AG816" s="2">
        <f>INT(Working_Sales[[#This Row],[Total_Amount_Whitespace_Removed]])</f>
        <v>900</v>
      </c>
      <c r="AH81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817" spans="1:34" x14ac:dyDescent="0.35">
      <c r="A817" t="s">
        <v>1679</v>
      </c>
      <c r="B817" s="6" t="str">
        <f>CLEAN(TRIM(Working_Sales[[#This Row],[Transaction ID]]))</f>
        <v>477</v>
      </c>
      <c r="C817" t="s">
        <v>1680</v>
      </c>
      <c r="D817" s="2" t="str">
        <f>CLEAN(TRIM(Working_Sales[[#This Row],[Date]]))</f>
        <v>24/04/2023</v>
      </c>
      <c r="E81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45040</v>
      </c>
      <c r="F81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45040</v>
      </c>
      <c r="G81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45040</v>
      </c>
      <c r="H817" t="s">
        <v>2993</v>
      </c>
      <c r="I817" s="2" t="str">
        <f>CLEAN(TRIM(Working_Sales[[#This Row],[Customer ID]]))</f>
        <v>Cust465</v>
      </c>
      <c r="J81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1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CUST465</v>
      </c>
      <c r="L817" t="s">
        <v>34</v>
      </c>
      <c r="M817" s="4" t="str">
        <f>CLEAN(TRIM(Working_Sales[[#This Row],[Gender]]))</f>
        <v>Male</v>
      </c>
      <c r="N817" s="4" t="str" cm="1">
        <f t="array" ref="N817">_xlfn.SWITCH(
   Working_Sales[[#This Row],[Gender_Whitespace_Removed]],
   "m", "Male",
   "f", "Female",
   Working_Sales[[#This Row],[Gender_Whitespace_Removed]]
)</f>
        <v>Male</v>
      </c>
      <c r="O817" s="6" t="str">
        <f>PROPER(Working_Sales[[#This Row],[Gender_Abbreviation_Expanded]])</f>
        <v>Male</v>
      </c>
      <c r="P817" t="s">
        <v>674</v>
      </c>
      <c r="Q817" s="2" t="str">
        <f>CLEAN(TRIM(Working_Sales[[#This Row],[Age]]))</f>
        <v>43</v>
      </c>
      <c r="R817" s="6">
        <f>INT(SUBSTITUTE(Working_Sales[[#This Row],[Age_Whitespace_Removed]],".",","))</f>
        <v>43</v>
      </c>
      <c r="S817" t="s">
        <v>56</v>
      </c>
      <c r="T817" s="2" t="str">
        <f>CLEAN(TRIM(Working_Sales[[#This Row],[Product Category]]))</f>
        <v>Clothing</v>
      </c>
      <c r="U817" s="6" t="str">
        <f>PROPER(Working_Sales[[#This Row],[Product_Category_Whitespace_Removed]])</f>
        <v>Clothing</v>
      </c>
      <c r="V817" t="s">
        <v>14</v>
      </c>
      <c r="W817" s="2" t="str">
        <f>CLEAN(TRIM(Working_Sales[[#This Row],[Quantity]]))</f>
        <v>4</v>
      </c>
      <c r="X817" s="2">
        <f>INT(Working_Sales[[#This Row],[`]])</f>
        <v>4</v>
      </c>
      <c r="Y817" s="6">
        <f>IFERROR(
   Working_Sales[[#This Row],[Quantity_Converted_To_Integer]],
   Working_Sales[[#This Row],[Total_Amount_Whitespace_Removed]]/Working_Sales[[#This Row],[Price_Per_Unit_Decimal_Separator_Fixed]])</f>
        <v>4</v>
      </c>
      <c r="Z817" t="s">
        <v>70</v>
      </c>
      <c r="AA817" s="2" t="str">
        <f>CLEAN(TRIM(Working_Sales[[#This Row],[Price per Unit]]))</f>
        <v>30</v>
      </c>
      <c r="AB817" s="2">
        <f>INT(
   SUBSTITUTE(Working_Sales[[#This Row],[Price_Per_Unit_Whitespace_Removed]],
   "$",
   ""
   )
)</f>
        <v>30</v>
      </c>
      <c r="AC817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817" s="8">
        <f>IFERROR(
   Working_Sales[[#This Row],[Price_Per_Unit_Decimal_Separator_Fixed]],
   Working_Sales[[#This Row],[Total_Amount_Converted_To_Integer]]/Working_Sales[[#This Row],[Quantity_Converted_To_Integer]]
)</f>
        <v>30</v>
      </c>
      <c r="AE817" t="s">
        <v>44</v>
      </c>
      <c r="AF817" s="2" t="str">
        <f>CLEAN(TRIM(Working_Sales[[#This Row],[Total Amount]]))</f>
        <v>120</v>
      </c>
      <c r="AG817" s="2">
        <f>INT(Working_Sales[[#This Row],[Total_Amount_Whitespace_Removed]])</f>
        <v>120</v>
      </c>
      <c r="AH81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818" spans="1:34" x14ac:dyDescent="0.35">
      <c r="A818" t="s">
        <v>1681</v>
      </c>
      <c r="B818" s="6" t="str">
        <f>CLEAN(TRIM(Working_Sales[[#This Row],[Transaction ID]]))</f>
        <v>671</v>
      </c>
      <c r="C818" t="s">
        <v>713</v>
      </c>
      <c r="D818" s="2" t="str">
        <f>CLEAN(TRIM(Working_Sales[[#This Row],[Date]]))</f>
        <v>27/08/2023</v>
      </c>
      <c r="E81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45165</v>
      </c>
      <c r="F81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45165</v>
      </c>
      <c r="G81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45165</v>
      </c>
      <c r="H818" t="s">
        <v>2994</v>
      </c>
      <c r="I818" s="2" t="str">
        <f>CLEAN(TRIM(Working_Sales[[#This Row],[Customer ID]]))</f>
        <v>CUST466</v>
      </c>
      <c r="J81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CUST466</v>
      </c>
      <c r="K81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CUST466</v>
      </c>
      <c r="L818" t="s">
        <v>34</v>
      </c>
      <c r="M818" s="4" t="str">
        <f>CLEAN(TRIM(Working_Sales[[#This Row],[Gender]]))</f>
        <v>Male</v>
      </c>
      <c r="N818" s="4" t="str" cm="1">
        <f t="array" ref="N818">_xlfn.SWITCH(
   Working_Sales[[#This Row],[Gender_Whitespace_Removed]],
   "m", "Male",
   "f", "Female",
   Working_Sales[[#This Row],[Gender_Whitespace_Removed]]
)</f>
        <v>Male</v>
      </c>
      <c r="O818" s="6" t="str">
        <f>PROPER(Working_Sales[[#This Row],[Gender_Abbreviation_Expanded]])</f>
        <v>Male</v>
      </c>
      <c r="P818">
        <v>62</v>
      </c>
      <c r="Q818" s="2" t="str">
        <f>CLEAN(TRIM(Working_Sales[[#This Row],[Age]]))</f>
        <v>62</v>
      </c>
      <c r="R818" s="6">
        <f>INT(SUBSTITUTE(Working_Sales[[#This Row],[Age_Whitespace_Removed]],".",","))</f>
        <v>62</v>
      </c>
      <c r="S818" t="s">
        <v>48</v>
      </c>
      <c r="T818" s="2" t="str">
        <f>CLEAN(TRIM(Working_Sales[[#This Row],[Product Category]]))</f>
        <v>electronics</v>
      </c>
      <c r="U818" s="6" t="str">
        <f>PROPER(Working_Sales[[#This Row],[Product_Category_Whitespace_Removed]])</f>
        <v>Electronics</v>
      </c>
      <c r="V818" t="s">
        <v>29</v>
      </c>
      <c r="W818" s="2" t="str">
        <f>CLEAN(TRIM(Working_Sales[[#This Row],[Quantity]]))</f>
        <v>3</v>
      </c>
      <c r="X818" s="2">
        <f>INT(Working_Sales[[#This Row],[`]])</f>
        <v>3</v>
      </c>
      <c r="Y818" s="6">
        <f>IFERROR(
   Working_Sales[[#This Row],[Quantity_Converted_To_Integer]],
   Working_Sales[[#This Row],[Total_Amount_Whitespace_Removed]]/Working_Sales[[#This Row],[Price_Per_Unit_Decimal_Separator_Fixed]])</f>
        <v>3</v>
      </c>
      <c r="Z818" t="s">
        <v>15</v>
      </c>
      <c r="AA818" s="2" t="str">
        <f>CLEAN(TRIM(Working_Sales[[#This Row],[Price per Unit]]))</f>
        <v>50</v>
      </c>
      <c r="AB818" s="2">
        <f>INT(
   SUBSTITUTE(Working_Sales[[#This Row],[Price_Per_Unit_Whitespace_Removed]],
   "$",
   ""
   )
)</f>
        <v>50</v>
      </c>
      <c r="AC818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818" s="8">
        <f>IFERROR(
   Working_Sales[[#This Row],[Price_Per_Unit_Decimal_Separator_Fixed]],
   Working_Sales[[#This Row],[Total_Amount_Converted_To_Integer]]/Working_Sales[[#This Row],[Quantity_Converted_To_Integer]]
)</f>
        <v>50</v>
      </c>
      <c r="AE818" t="s">
        <v>130</v>
      </c>
      <c r="AF818" s="2" t="str">
        <f>CLEAN(TRIM(Working_Sales[[#This Row],[Total Amount]]))</f>
        <v>150</v>
      </c>
      <c r="AG818" s="2">
        <f>INT(Working_Sales[[#This Row],[Total_Amount_Whitespace_Removed]])</f>
        <v>150</v>
      </c>
      <c r="AH81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819" spans="1:34" x14ac:dyDescent="0.35">
      <c r="A819" t="s">
        <v>1682</v>
      </c>
      <c r="B819" s="6" t="str">
        <f>CLEAN(TRIM(Working_Sales[[#This Row],[Transaction ID]]))</f>
        <v>86</v>
      </c>
      <c r="C819" t="s">
        <v>1683</v>
      </c>
      <c r="D819" s="2" t="str">
        <f>CLEAN(TRIM(Working_Sales[[#This Row],[Date]]))</f>
        <v>2023-11-08</v>
      </c>
      <c r="E81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45238</v>
      </c>
      <c r="F81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45238</v>
      </c>
      <c r="G81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45238</v>
      </c>
      <c r="H819" t="s">
        <v>2186</v>
      </c>
      <c r="I819" s="2" t="str">
        <f>CLEAN(TRIM(Working_Sales[[#This Row],[Customer ID]]))</f>
        <v>CUST423</v>
      </c>
      <c r="J81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CUST423</v>
      </c>
      <c r="K81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CUST423</v>
      </c>
      <c r="L819" t="s">
        <v>34</v>
      </c>
      <c r="M819" s="4" t="str">
        <f>CLEAN(TRIM(Working_Sales[[#This Row],[Gender]]))</f>
        <v>Male</v>
      </c>
      <c r="N819" s="4" t="str" cm="1">
        <f t="array" ref="N819">_xlfn.SWITCH(
   Working_Sales[[#This Row],[Gender_Whitespace_Removed]],
   "m", "Male",
   "f", "Female",
   Working_Sales[[#This Row],[Gender_Whitespace_Removed]]
)</f>
        <v>Male</v>
      </c>
      <c r="O819" s="6" t="str">
        <f>PROPER(Working_Sales[[#This Row],[Gender_Abbreviation_Expanded]])</f>
        <v>Male</v>
      </c>
      <c r="P819">
        <v>19</v>
      </c>
      <c r="Q819" s="2" t="str">
        <f>CLEAN(TRIM(Working_Sales[[#This Row],[Age]]))</f>
        <v>19</v>
      </c>
      <c r="R819" s="6">
        <f>INT(SUBSTITUTE(Working_Sales[[#This Row],[Age_Whitespace_Removed]],".",","))</f>
        <v>19</v>
      </c>
      <c r="S819" t="s">
        <v>36</v>
      </c>
      <c r="T819" s="2" t="str">
        <f>CLEAN(TRIM(Working_Sales[[#This Row],[Product Category]]))</f>
        <v>Beauty</v>
      </c>
      <c r="U819" s="6" t="str">
        <f>PROPER(Working_Sales[[#This Row],[Product_Category_Whitespace_Removed]])</f>
        <v>Beauty</v>
      </c>
      <c r="W819" s="2" t="str">
        <f>CLEAN(TRIM(Working_Sales[[#This Row],[Quantity]]))</f>
        <v/>
      </c>
      <c r="X819" s="2" t="e">
        <f>INT(Working_Sales[[#This Row],[`]])</f>
        <v>#VALUE!</v>
      </c>
      <c r="Y819" s="6">
        <f>IFERROR(
   Working_Sales[[#This Row],[Quantity_Converted_To_Integer]],
   Working_Sales[[#This Row],[Total_Amount_Whitespace_Removed]]/Working_Sales[[#This Row],[Price_Per_Unit_Decimal_Separator_Fixed]])</f>
        <v>3</v>
      </c>
      <c r="Z819" t="s">
        <v>70</v>
      </c>
      <c r="AA819" s="2" t="str">
        <f>CLEAN(TRIM(Working_Sales[[#This Row],[Price per Unit]]))</f>
        <v>30</v>
      </c>
      <c r="AB819" s="2">
        <f>INT(
   SUBSTITUTE(Working_Sales[[#This Row],[Price_Per_Unit_Whitespace_Removed]],
   "$",
   ""
   )
)</f>
        <v>30</v>
      </c>
      <c r="AC819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819" s="8">
        <f>IFERROR(
   Working_Sales[[#This Row],[Price_Per_Unit_Decimal_Separator_Fixed]],
   Working_Sales[[#This Row],[Total_Amount_Converted_To_Integer]]/Working_Sales[[#This Row],[Quantity_Converted_To_Integer]]
)</f>
        <v>30</v>
      </c>
      <c r="AE819" t="s">
        <v>191</v>
      </c>
      <c r="AF819" s="2" t="str">
        <f>CLEAN(TRIM(Working_Sales[[#This Row],[Total Amount]]))</f>
        <v>90</v>
      </c>
      <c r="AG819" s="2">
        <f>INT(Working_Sales[[#This Row],[Total_Amount_Whitespace_Removed]])</f>
        <v>90</v>
      </c>
      <c r="AH81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820" spans="1:34" x14ac:dyDescent="0.35">
      <c r="A820" t="s">
        <v>1685</v>
      </c>
      <c r="B820" s="6" t="str">
        <f>CLEAN(TRIM(Working_Sales[[#This Row],[Transaction ID]]))</f>
        <v>470</v>
      </c>
      <c r="C820" t="s">
        <v>1111</v>
      </c>
      <c r="D820" s="2" t="str">
        <f>CLEAN(TRIM(Working_Sales[[#This Row],[Date]]))</f>
        <v>2023-05-17</v>
      </c>
      <c r="E82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45063</v>
      </c>
      <c r="F82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45063</v>
      </c>
      <c r="G82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45063</v>
      </c>
      <c r="H820" t="s">
        <v>2995</v>
      </c>
      <c r="I820" s="2" t="str">
        <f>CLEAN(TRIM(Working_Sales[[#This Row],[Customer ID]]))</f>
        <v>CUST450</v>
      </c>
      <c r="J82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CUST450</v>
      </c>
      <c r="K82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CUST450</v>
      </c>
      <c r="L820" t="s">
        <v>26</v>
      </c>
      <c r="M820" s="4" t="str">
        <f>CLEAN(TRIM(Working_Sales[[#This Row],[Gender]]))</f>
        <v>Female</v>
      </c>
      <c r="N820" s="4" t="str" cm="1">
        <f t="array" ref="N820">_xlfn.SWITCH(
   Working_Sales[[#This Row],[Gender_Whitespace_Removed]],
   "m", "Male",
   "f", "Female",
   Working_Sales[[#This Row],[Gender_Whitespace_Removed]]
)</f>
        <v>Female</v>
      </c>
      <c r="O820" s="6" t="str">
        <f>PROPER(Working_Sales[[#This Row],[Gender_Abbreviation_Expanded]])</f>
        <v>Female</v>
      </c>
      <c r="P820">
        <v>57</v>
      </c>
      <c r="Q820" s="2" t="str">
        <f>CLEAN(TRIM(Working_Sales[[#This Row],[Age]]))</f>
        <v>57</v>
      </c>
      <c r="R820" s="6">
        <f>INT(SUBSTITUTE(Working_Sales[[#This Row],[Age_Whitespace_Removed]],".",","))</f>
        <v>57</v>
      </c>
      <c r="S820" t="s">
        <v>56</v>
      </c>
      <c r="T820" s="2" t="str">
        <f>CLEAN(TRIM(Working_Sales[[#This Row],[Product Category]]))</f>
        <v>Clothing</v>
      </c>
      <c r="U820" s="6" t="str">
        <f>PROPER(Working_Sales[[#This Row],[Product_Category_Whitespace_Removed]])</f>
        <v>Clothing</v>
      </c>
      <c r="V820" t="s">
        <v>37</v>
      </c>
      <c r="W820" s="2" t="str">
        <f>CLEAN(TRIM(Working_Sales[[#This Row],[Quantity]]))</f>
        <v>2</v>
      </c>
      <c r="X820" s="2">
        <f>INT(Working_Sales[[#This Row],[`]])</f>
        <v>2</v>
      </c>
      <c r="Y820" s="6">
        <f>IFERROR(
   Working_Sales[[#This Row],[Quantity_Converted_To_Integer]],
   Working_Sales[[#This Row],[Total_Amount_Whitespace_Removed]]/Working_Sales[[#This Row],[Price_Per_Unit_Decimal_Separator_Fixed]])</f>
        <v>2</v>
      </c>
      <c r="Z820" t="s">
        <v>84</v>
      </c>
      <c r="AA820" s="2" t="str">
        <f>CLEAN(TRIM(Working_Sales[[#This Row],[Price per Unit]]))</f>
        <v>500.00</v>
      </c>
      <c r="AB820" s="2" t="e">
        <f>INT(
   SUBSTITUTE(Working_Sales[[#This Row],[Price_Per_Unit_Whitespace_Removed]],
   "$",
   ""
   )
)</f>
        <v>#VALUE!</v>
      </c>
      <c r="AC820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820" s="8">
        <f>IFERROR(
   Working_Sales[[#This Row],[Price_Per_Unit_Decimal_Separator_Fixed]],
   Working_Sales[[#This Row],[Total_Amount_Converted_To_Integer]]/Working_Sales[[#This Row],[Quantity_Converted_To_Integer]]
)</f>
        <v>500</v>
      </c>
      <c r="AE820" t="s">
        <v>163</v>
      </c>
      <c r="AF820" s="2" t="str">
        <f>CLEAN(TRIM(Working_Sales[[#This Row],[Total Amount]]))</f>
        <v>1000</v>
      </c>
      <c r="AG820" s="2">
        <f>INT(Working_Sales[[#This Row],[Total_Amount_Whitespace_Removed]])</f>
        <v>1000</v>
      </c>
      <c r="AH82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821" spans="1:34" x14ac:dyDescent="0.35">
      <c r="A821" t="s">
        <v>1687</v>
      </c>
      <c r="B821" s="6" t="str">
        <f>CLEAN(TRIM(Working_Sales[[#This Row],[Transaction ID]]))</f>
        <v>226</v>
      </c>
      <c r="C821" t="s">
        <v>1688</v>
      </c>
      <c r="D821" s="2" t="str">
        <f>CLEAN(TRIM(Working_Sales[[#This Row],[Date]]))</f>
        <v>29/10/2023</v>
      </c>
      <c r="E82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45228</v>
      </c>
      <c r="F82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45228</v>
      </c>
      <c r="G82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45228</v>
      </c>
      <c r="H821" t="s">
        <v>2996</v>
      </c>
      <c r="I821" s="2" t="str">
        <f>CLEAN(TRIM(Working_Sales[[#This Row],[Customer ID]]))</f>
        <v>CUST434</v>
      </c>
      <c r="J82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CUST434</v>
      </c>
      <c r="K82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CUST434</v>
      </c>
      <c r="L821" t="s">
        <v>26</v>
      </c>
      <c r="M821" s="4" t="str">
        <f>CLEAN(TRIM(Working_Sales[[#This Row],[Gender]]))</f>
        <v>Female</v>
      </c>
      <c r="N821" s="4" t="str" cm="1">
        <f t="array" ref="N821">_xlfn.SWITCH(
   Working_Sales[[#This Row],[Gender_Whitespace_Removed]],
   "m", "Male",
   "f", "Female",
   Working_Sales[[#This Row],[Gender_Whitespace_Removed]]
)</f>
        <v>Female</v>
      </c>
      <c r="O821" s="6" t="str">
        <f>PROPER(Working_Sales[[#This Row],[Gender_Abbreviation_Expanded]])</f>
        <v>Female</v>
      </c>
      <c r="P821">
        <v>61</v>
      </c>
      <c r="Q821" s="2" t="str">
        <f>CLEAN(TRIM(Working_Sales[[#This Row],[Age]]))</f>
        <v>61</v>
      </c>
      <c r="R821" s="6">
        <f>INT(SUBSTITUTE(Working_Sales[[#This Row],[Age_Whitespace_Removed]],".",","))</f>
        <v>61</v>
      </c>
      <c r="S821" t="s">
        <v>56</v>
      </c>
      <c r="T821" s="2" t="str">
        <f>CLEAN(TRIM(Working_Sales[[#This Row],[Product Category]]))</f>
        <v>Clothing</v>
      </c>
      <c r="U821" s="6" t="str">
        <f>PROPER(Working_Sales[[#This Row],[Product_Category_Whitespace_Removed]])</f>
        <v>Clothing</v>
      </c>
      <c r="V821" t="s">
        <v>22</v>
      </c>
      <c r="W821" s="2" t="str">
        <f>CLEAN(TRIM(Working_Sales[[#This Row],[Quantity]]))</f>
        <v>1</v>
      </c>
      <c r="X821" s="2">
        <f>INT(Working_Sales[[#This Row],[`]])</f>
        <v>1</v>
      </c>
      <c r="Y821" s="6">
        <f>IFERROR(
   Working_Sales[[#This Row],[Quantity_Converted_To_Integer]],
   Working_Sales[[#This Row],[Total_Amount_Whitespace_Removed]]/Working_Sales[[#This Row],[Price_Per_Unit_Decimal_Separator_Fixed]])</f>
        <v>1</v>
      </c>
      <c r="Z821" t="s">
        <v>15</v>
      </c>
      <c r="AA821" s="2" t="str">
        <f>CLEAN(TRIM(Working_Sales[[#This Row],[Price per Unit]]))</f>
        <v>50</v>
      </c>
      <c r="AB821" s="2">
        <f>INT(
   SUBSTITUTE(Working_Sales[[#This Row],[Price_Per_Unit_Whitespace_Removed]],
   "$",
   ""
   )
)</f>
        <v>50</v>
      </c>
      <c r="AC821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821" s="8">
        <f>IFERROR(
   Working_Sales[[#This Row],[Price_Per_Unit_Decimal_Separator_Fixed]],
   Working_Sales[[#This Row],[Total_Amount_Converted_To_Integer]]/Working_Sales[[#This Row],[Quantity_Converted_To_Integer]]
)</f>
        <v>50</v>
      </c>
      <c r="AE821" t="s">
        <v>15</v>
      </c>
      <c r="AF821" s="2" t="str">
        <f>CLEAN(TRIM(Working_Sales[[#This Row],[Total Amount]]))</f>
        <v>50</v>
      </c>
      <c r="AG821" s="2">
        <f>INT(Working_Sales[[#This Row],[Total_Amount_Whitespace_Removed]])</f>
        <v>50</v>
      </c>
      <c r="AH82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822" spans="1:34" x14ac:dyDescent="0.35">
      <c r="A822" t="s">
        <v>1690</v>
      </c>
      <c r="B822" s="6" t="str">
        <f>CLEAN(TRIM(Working_Sales[[#This Row],[Transaction ID]]))</f>
        <v>775</v>
      </c>
      <c r="C822" t="s">
        <v>2157</v>
      </c>
      <c r="D822" s="2" t="str">
        <f>CLEAN(TRIM(Working_Sales[[#This Row],[Date]]))</f>
        <v>08-Feb-2023</v>
      </c>
      <c r="E82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44965</v>
      </c>
      <c r="F82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44965</v>
      </c>
      <c r="G82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44965</v>
      </c>
      <c r="H822" t="s">
        <v>1032</v>
      </c>
      <c r="I822" s="2" t="str">
        <f>CLEAN(TRIM(Working_Sales[[#This Row],[Customer ID]]))</f>
        <v>cust442</v>
      </c>
      <c r="J82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2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CUST442</v>
      </c>
      <c r="L822" t="s">
        <v>46</v>
      </c>
      <c r="M822" s="4" t="str">
        <f>CLEAN(TRIM(Working_Sales[[#This Row],[Gender]]))</f>
        <v>F</v>
      </c>
      <c r="N822" s="4" t="str" cm="1">
        <f t="array" ref="N822">_xlfn.SWITCH(
   Working_Sales[[#This Row],[Gender_Whitespace_Removed]],
   "m", "Male",
   "f", "Female",
   Working_Sales[[#This Row],[Gender_Whitespace_Removed]]
)</f>
        <v>Female</v>
      </c>
      <c r="O822" s="6" t="str">
        <f>PROPER(Working_Sales[[#This Row],[Gender_Abbreviation_Expanded]])</f>
        <v>Female</v>
      </c>
      <c r="P822">
        <v>46</v>
      </c>
      <c r="Q822" s="2" t="str">
        <f>CLEAN(TRIM(Working_Sales[[#This Row],[Age]]))</f>
        <v>46</v>
      </c>
      <c r="R822" s="6">
        <f>INT(SUBSTITUTE(Working_Sales[[#This Row],[Age_Whitespace_Removed]],".",","))</f>
        <v>46</v>
      </c>
      <c r="S822" t="s">
        <v>13</v>
      </c>
      <c r="T822" s="2" t="str">
        <f>CLEAN(TRIM(Working_Sales[[#This Row],[Product Category]]))</f>
        <v>Electronics</v>
      </c>
      <c r="U822" s="6" t="str">
        <f>PROPER(Working_Sales[[#This Row],[Product_Category_Whitespace_Removed]])</f>
        <v>Electronics</v>
      </c>
      <c r="V822" t="s">
        <v>14</v>
      </c>
      <c r="W822" s="2" t="str">
        <f>CLEAN(TRIM(Working_Sales[[#This Row],[Quantity]]))</f>
        <v>4</v>
      </c>
      <c r="X822" s="2">
        <f>INT(Working_Sales[[#This Row],[`]])</f>
        <v>4</v>
      </c>
      <c r="Y822" s="6">
        <f>IFERROR(
   Working_Sales[[#This Row],[Quantity_Converted_To_Integer]],
   Working_Sales[[#This Row],[Total_Amount_Whitespace_Removed]]/Working_Sales[[#This Row],[Price_Per_Unit_Decimal_Separator_Fixed]])</f>
        <v>4</v>
      </c>
      <c r="Z822" t="s">
        <v>30</v>
      </c>
      <c r="AA822" s="2" t="str">
        <f>CLEAN(TRIM(Working_Sales[[#This Row],[Price per Unit]]))</f>
        <v>25</v>
      </c>
      <c r="AB822" s="2">
        <f>INT(
   SUBSTITUTE(Working_Sales[[#This Row],[Price_Per_Unit_Whitespace_Removed]],
   "$",
   ""
   )
)</f>
        <v>25</v>
      </c>
      <c r="AC822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822" s="8">
        <f>IFERROR(
   Working_Sales[[#This Row],[Price_Per_Unit_Decimal_Separator_Fixed]],
   Working_Sales[[#This Row],[Total_Amount_Converted_To_Integer]]/Working_Sales[[#This Row],[Quantity_Converted_To_Integer]]
)</f>
        <v>25</v>
      </c>
      <c r="AE822" t="s">
        <v>38</v>
      </c>
      <c r="AF822" s="2" t="str">
        <f>CLEAN(TRIM(Working_Sales[[#This Row],[Total Amount]]))</f>
        <v>100</v>
      </c>
      <c r="AG822" s="2">
        <f>INT(Working_Sales[[#This Row],[Total_Amount_Whitespace_Removed]])</f>
        <v>100</v>
      </c>
      <c r="AH82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823" spans="1:34" x14ac:dyDescent="0.35">
      <c r="A823" t="s">
        <v>1691</v>
      </c>
      <c r="B823" s="6" t="str">
        <f>CLEAN(TRIM(Working_Sales[[#This Row],[Transaction ID]]))</f>
        <v>332</v>
      </c>
      <c r="C823" t="s">
        <v>1692</v>
      </c>
      <c r="D823" s="2" t="str">
        <f>CLEAN(TRIM(Working_Sales[[#This Row],[Date]]))</f>
        <v>2023-04-06</v>
      </c>
      <c r="E82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45022</v>
      </c>
      <c r="F82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45022</v>
      </c>
      <c r="G82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45022</v>
      </c>
      <c r="H823" t="s">
        <v>2545</v>
      </c>
      <c r="I823" s="2" t="str">
        <f>CLEAN(TRIM(Working_Sales[[#This Row],[Customer ID]]))</f>
        <v>CUST109</v>
      </c>
      <c r="J82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CUST109</v>
      </c>
      <c r="K82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CUST109</v>
      </c>
      <c r="L823" t="s">
        <v>34</v>
      </c>
      <c r="M823" s="4" t="str">
        <f>CLEAN(TRIM(Working_Sales[[#This Row],[Gender]]))</f>
        <v>Male</v>
      </c>
      <c r="N823" s="4" t="str" cm="1">
        <f t="array" ref="N823">_xlfn.SWITCH(
   Working_Sales[[#This Row],[Gender_Whitespace_Removed]],
   "m", "Male",
   "f", "Female",
   Working_Sales[[#This Row],[Gender_Whitespace_Removed]]
)</f>
        <v>Male</v>
      </c>
      <c r="O823" s="6" t="str">
        <f>PROPER(Working_Sales[[#This Row],[Gender_Abbreviation_Expanded]])</f>
        <v>Male</v>
      </c>
      <c r="P823">
        <v>58</v>
      </c>
      <c r="Q823" s="2" t="str">
        <f>CLEAN(TRIM(Working_Sales[[#This Row],[Age]]))</f>
        <v>58</v>
      </c>
      <c r="R823" s="6">
        <f>INT(SUBSTITUTE(Working_Sales[[#This Row],[Age_Whitespace_Removed]],".",","))</f>
        <v>58</v>
      </c>
      <c r="S823" t="s">
        <v>48</v>
      </c>
      <c r="T823" s="2" t="str">
        <f>CLEAN(TRIM(Working_Sales[[#This Row],[Product Category]]))</f>
        <v>electronics</v>
      </c>
      <c r="U823" s="6" t="str">
        <f>PROPER(Working_Sales[[#This Row],[Product_Category_Whitespace_Removed]])</f>
        <v>Electronics</v>
      </c>
      <c r="V823" t="s">
        <v>14</v>
      </c>
      <c r="W823" s="2" t="str">
        <f>CLEAN(TRIM(Working_Sales[[#This Row],[Quantity]]))</f>
        <v>4</v>
      </c>
      <c r="X823" s="2">
        <f>INT(Working_Sales[[#This Row],[`]])</f>
        <v>4</v>
      </c>
      <c r="Y823" s="6">
        <f>IFERROR(
   Working_Sales[[#This Row],[Quantity_Converted_To_Integer]],
   Working_Sales[[#This Row],[Total_Amount_Whitespace_Removed]]/Working_Sales[[#This Row],[Price_Per_Unit_Decimal_Separator_Fixed]])</f>
        <v>4</v>
      </c>
      <c r="Z823" t="s">
        <v>23</v>
      </c>
      <c r="AA823" s="2" t="str">
        <f>CLEAN(TRIM(Working_Sales[[#This Row],[Price per Unit]]))</f>
        <v>300</v>
      </c>
      <c r="AB823" s="2">
        <f>INT(
   SUBSTITUTE(Working_Sales[[#This Row],[Price_Per_Unit_Whitespace_Removed]],
   "$",
   ""
   )
)</f>
        <v>300</v>
      </c>
      <c r="AC823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823" s="8">
        <f>IFERROR(
   Working_Sales[[#This Row],[Price_Per_Unit_Decimal_Separator_Fixed]],
   Working_Sales[[#This Row],[Total_Amount_Converted_To_Integer]]/Working_Sales[[#This Row],[Quantity_Converted_To_Integer]]
)</f>
        <v>300</v>
      </c>
      <c r="AE823" t="s">
        <v>79</v>
      </c>
      <c r="AF823" s="2" t="str">
        <f>CLEAN(TRIM(Working_Sales[[#This Row],[Total Amount]]))</f>
        <v>1200</v>
      </c>
      <c r="AG823" s="2">
        <f>INT(Working_Sales[[#This Row],[Total_Amount_Whitespace_Removed]])</f>
        <v>1200</v>
      </c>
      <c r="AH82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824" spans="1:34" x14ac:dyDescent="0.35">
      <c r="A824" t="s">
        <v>1694</v>
      </c>
      <c r="B824" s="6" t="str">
        <f>CLEAN(TRIM(Working_Sales[[#This Row],[Transaction ID]]))</f>
        <v>234</v>
      </c>
      <c r="C824" t="s">
        <v>1695</v>
      </c>
      <c r="D824" s="2" t="str">
        <f>CLEAN(TRIM(Working_Sales[[#This Row],[Date]]))</f>
        <v>11/20/2023</v>
      </c>
      <c r="E824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82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45250</v>
      </c>
      <c r="G82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45250</v>
      </c>
      <c r="H824" t="s">
        <v>2997</v>
      </c>
      <c r="I824" s="2" t="str">
        <f>CLEAN(TRIM(Working_Sales[[#This Row],[Customer ID]]))</f>
        <v>cust219</v>
      </c>
      <c r="J82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2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CUST219</v>
      </c>
      <c r="L824" t="s">
        <v>26</v>
      </c>
      <c r="M824" s="4" t="str">
        <f>CLEAN(TRIM(Working_Sales[[#This Row],[Gender]]))</f>
        <v>Female</v>
      </c>
      <c r="N824" s="4" t="str" cm="1">
        <f t="array" ref="N824">_xlfn.SWITCH(
   Working_Sales[[#This Row],[Gender_Whitespace_Removed]],
   "m", "Male",
   "f", "Female",
   Working_Sales[[#This Row],[Gender_Whitespace_Removed]]
)</f>
        <v>Female</v>
      </c>
      <c r="O824" s="6" t="str">
        <f>PROPER(Working_Sales[[#This Row],[Gender_Abbreviation_Expanded]])</f>
        <v>Female</v>
      </c>
      <c r="P824">
        <v>62</v>
      </c>
      <c r="Q824" s="2" t="str">
        <f>CLEAN(TRIM(Working_Sales[[#This Row],[Age]]))</f>
        <v>62</v>
      </c>
      <c r="R824" s="6">
        <f>INT(SUBSTITUTE(Working_Sales[[#This Row],[Age_Whitespace_Removed]],".",","))</f>
        <v>62</v>
      </c>
      <c r="S824" t="s">
        <v>13</v>
      </c>
      <c r="T824" s="2" t="str">
        <f>CLEAN(TRIM(Working_Sales[[#This Row],[Product Category]]))</f>
        <v>Electronics</v>
      </c>
      <c r="U824" s="6" t="str">
        <f>PROPER(Working_Sales[[#This Row],[Product_Category_Whitespace_Removed]])</f>
        <v>Electronics</v>
      </c>
      <c r="V824" t="s">
        <v>37</v>
      </c>
      <c r="W824" s="2" t="str">
        <f>CLEAN(TRIM(Working_Sales[[#This Row],[Quantity]]))</f>
        <v>2</v>
      </c>
      <c r="X824" s="2">
        <f>INT(Working_Sales[[#This Row],[`]])</f>
        <v>2</v>
      </c>
      <c r="Y824" s="6">
        <f>IFERROR(
   Working_Sales[[#This Row],[Quantity_Converted_To_Integer]],
   Working_Sales[[#This Row],[Total_Amount_Whitespace_Removed]]/Working_Sales[[#This Row],[Price_Per_Unit_Decimal_Separator_Fixed]])</f>
        <v>2</v>
      </c>
      <c r="Z824" t="s">
        <v>49</v>
      </c>
      <c r="AA824" s="2" t="str">
        <f>CLEAN(TRIM(Working_Sales[[#This Row],[Price per Unit]]))</f>
        <v>$25</v>
      </c>
      <c r="AB824" s="2">
        <f>INT(
   SUBSTITUTE(Working_Sales[[#This Row],[Price_Per_Unit_Whitespace_Removed]],
   "$",
   ""
   )
)</f>
        <v>25</v>
      </c>
      <c r="AC824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824" s="8">
        <f>IFERROR(
   Working_Sales[[#This Row],[Price_Per_Unit_Decimal_Separator_Fixed]],
   Working_Sales[[#This Row],[Total_Amount_Converted_To_Integer]]/Working_Sales[[#This Row],[Quantity_Converted_To_Integer]]
)</f>
        <v>25</v>
      </c>
      <c r="AE824" t="s">
        <v>15</v>
      </c>
      <c r="AF824" s="2" t="str">
        <f>CLEAN(TRIM(Working_Sales[[#This Row],[Total Amount]]))</f>
        <v>50</v>
      </c>
      <c r="AG824" s="2">
        <f>INT(Working_Sales[[#This Row],[Total_Amount_Whitespace_Removed]])</f>
        <v>50</v>
      </c>
      <c r="AH82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825" spans="1:34" x14ac:dyDescent="0.35">
      <c r="A825" t="s">
        <v>1697</v>
      </c>
      <c r="B825" s="6" t="str">
        <f>CLEAN(TRIM(Working_Sales[[#This Row],[Transaction ID]]))</f>
        <v>589</v>
      </c>
      <c r="C825" t="s">
        <v>656</v>
      </c>
      <c r="D825" s="2" t="str">
        <f>CLEAN(TRIM(Working_Sales[[#This Row],[Date]]))</f>
        <v>2023-04-12</v>
      </c>
      <c r="E82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45028</v>
      </c>
      <c r="F82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45028</v>
      </c>
      <c r="G82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45028</v>
      </c>
      <c r="H825" t="s">
        <v>565</v>
      </c>
      <c r="I825" s="2" t="str">
        <f>CLEAN(TRIM(Working_Sales[[#This Row],[Customer ID]]))</f>
        <v>CUST467</v>
      </c>
      <c r="J82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CUST467</v>
      </c>
      <c r="K82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CUST467</v>
      </c>
      <c r="L825" t="s">
        <v>26</v>
      </c>
      <c r="M825" s="4" t="str">
        <f>CLEAN(TRIM(Working_Sales[[#This Row],[Gender]]))</f>
        <v>Female</v>
      </c>
      <c r="N825" s="4" t="str" cm="1">
        <f t="array" ref="N825">_xlfn.SWITCH(
   Working_Sales[[#This Row],[Gender_Whitespace_Removed]],
   "m", "Male",
   "f", "Female",
   Working_Sales[[#This Row],[Gender_Whitespace_Removed]]
)</f>
        <v>Female</v>
      </c>
      <c r="O825" s="6" t="str">
        <f>PROPER(Working_Sales[[#This Row],[Gender_Abbreviation_Expanded]])</f>
        <v>Female</v>
      </c>
      <c r="P825">
        <v>36</v>
      </c>
      <c r="Q825" s="2" t="str">
        <f>CLEAN(TRIM(Working_Sales[[#This Row],[Age]]))</f>
        <v>36</v>
      </c>
      <c r="R825" s="6">
        <f>INT(SUBSTITUTE(Working_Sales[[#This Row],[Age_Whitespace_Removed]],".",","))</f>
        <v>36</v>
      </c>
      <c r="S825" t="s">
        <v>69</v>
      </c>
      <c r="T825" s="2" t="str">
        <f>CLEAN(TRIM(Working_Sales[[#This Row],[Product Category]]))</f>
        <v>BEAUTY</v>
      </c>
      <c r="U825" s="6" t="str">
        <f>PROPER(Working_Sales[[#This Row],[Product_Category_Whitespace_Removed]])</f>
        <v>Beauty</v>
      </c>
      <c r="V825" t="s">
        <v>37</v>
      </c>
      <c r="W825" s="2" t="str">
        <f>CLEAN(TRIM(Working_Sales[[#This Row],[Quantity]]))</f>
        <v>2</v>
      </c>
      <c r="X825" s="2">
        <f>INT(Working_Sales[[#This Row],[`]])</f>
        <v>2</v>
      </c>
      <c r="Y825" s="6">
        <f>IFERROR(
   Working_Sales[[#This Row],[Quantity_Converted_To_Integer]],
   Working_Sales[[#This Row],[Total_Amount_Whitespace_Removed]]/Working_Sales[[#This Row],[Price_Per_Unit_Decimal_Separator_Fixed]])</f>
        <v>2</v>
      </c>
      <c r="Z825" t="s">
        <v>57</v>
      </c>
      <c r="AA825" s="2" t="str">
        <f>CLEAN(TRIM(Working_Sales[[#This Row],[Price per Unit]]))</f>
        <v>500</v>
      </c>
      <c r="AB825" s="2">
        <f>INT(
   SUBSTITUTE(Working_Sales[[#This Row],[Price_Per_Unit_Whitespace_Removed]],
   "$",
   ""
   )
)</f>
        <v>500</v>
      </c>
      <c r="AC825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825" s="8">
        <f>IFERROR(
   Working_Sales[[#This Row],[Price_Per_Unit_Decimal_Separator_Fixed]],
   Working_Sales[[#This Row],[Total_Amount_Converted_To_Integer]]/Working_Sales[[#This Row],[Quantity_Converted_To_Integer]]
)</f>
        <v>500</v>
      </c>
      <c r="AE825" t="s">
        <v>163</v>
      </c>
      <c r="AF825" s="2" t="str">
        <f>CLEAN(TRIM(Working_Sales[[#This Row],[Total Amount]]))</f>
        <v>1000</v>
      </c>
      <c r="AG825" s="2">
        <f>INT(Working_Sales[[#This Row],[Total_Amount_Whitespace_Removed]])</f>
        <v>1000</v>
      </c>
      <c r="AH82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826" spans="1:34" x14ac:dyDescent="0.35">
      <c r="A826" t="s">
        <v>1698</v>
      </c>
      <c r="B826" s="6" t="str">
        <f>CLEAN(TRIM(Working_Sales[[#This Row],[Transaction ID]]))</f>
        <v>476</v>
      </c>
      <c r="C826" t="s">
        <v>2127</v>
      </c>
      <c r="D826" s="2" t="str">
        <f>CLEAN(TRIM(Working_Sales[[#This Row],[Date]]))</f>
        <v>29-Aug-2023</v>
      </c>
      <c r="E82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45167</v>
      </c>
      <c r="F82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45167</v>
      </c>
      <c r="G82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45167</v>
      </c>
      <c r="H826" t="s">
        <v>2998</v>
      </c>
      <c r="I826" s="2" t="str">
        <f>CLEAN(TRIM(Working_Sales[[#This Row],[Customer ID]]))</f>
        <v>CUST046</v>
      </c>
      <c r="J82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CUST046</v>
      </c>
      <c r="K82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CUST046</v>
      </c>
      <c r="L826" t="s">
        <v>140</v>
      </c>
      <c r="M826" s="4" t="str">
        <f>CLEAN(TRIM(Working_Sales[[#This Row],[Gender]]))</f>
        <v>FEMALE</v>
      </c>
      <c r="N826" s="4" t="str" cm="1">
        <f t="array" ref="N826">_xlfn.SWITCH(
   Working_Sales[[#This Row],[Gender_Whitespace_Removed]],
   "m", "Male",
   "f", "Female",
   Working_Sales[[#This Row],[Gender_Whitespace_Removed]]
)</f>
        <v>FEMALE</v>
      </c>
      <c r="O826" s="6" t="str">
        <f>PROPER(Working_Sales[[#This Row],[Gender_Abbreviation_Expanded]])</f>
        <v>Female</v>
      </c>
      <c r="P826" t="s">
        <v>1699</v>
      </c>
      <c r="Q826" s="2" t="str">
        <f>CLEAN(TRIM(Working_Sales[[#This Row],[Age]]))</f>
        <v>27.0</v>
      </c>
      <c r="R826" s="6">
        <f>INT(SUBSTITUTE(Working_Sales[[#This Row],[Age_Whitespace_Removed]],".",","))</f>
        <v>27</v>
      </c>
      <c r="S826" t="s">
        <v>56</v>
      </c>
      <c r="T826" s="2" t="str">
        <f>CLEAN(TRIM(Working_Sales[[#This Row],[Product Category]]))</f>
        <v>Clothing</v>
      </c>
      <c r="U826" s="6" t="str">
        <f>PROPER(Working_Sales[[#This Row],[Product_Category_Whitespace_Removed]])</f>
        <v>Clothing</v>
      </c>
      <c r="V826" t="s">
        <v>14</v>
      </c>
      <c r="W826" s="2" t="str">
        <f>CLEAN(TRIM(Working_Sales[[#This Row],[Quantity]]))</f>
        <v>4</v>
      </c>
      <c r="X826" s="2">
        <f>INT(Working_Sales[[#This Row],[`]])</f>
        <v>4</v>
      </c>
      <c r="Y826" s="6">
        <f>IFERROR(
   Working_Sales[[#This Row],[Quantity_Converted_To_Integer]],
   Working_Sales[[#This Row],[Total_Amount_Whitespace_Removed]]/Working_Sales[[#This Row],[Price_Per_Unit_Decimal_Separator_Fixed]])</f>
        <v>4</v>
      </c>
      <c r="AA826" s="2" t="str">
        <f>CLEAN(TRIM(Working_Sales[[#This Row],[Price per Unit]]))</f>
        <v/>
      </c>
      <c r="AB826" s="2" t="e">
        <f>INT(
   SUBSTITUTE(Working_Sales[[#This Row],[Price_Per_Unit_Whitespace_Removed]],
   "$",
   ""
   )
)</f>
        <v>#VALUE!</v>
      </c>
      <c r="AC826" s="2" t="e">
        <f>INT(
   IFERROR(
      Working_Sales[[#This Row],[Price_Per_Unit_Dollar_Sign_Removed]],
      SUBSTITUTE(
         Working_Sales[[#This Row],[Price_Per_Unit_Whitespace_Removed]],
        ".",
         ","
      )
   )
)</f>
        <v>#VALUE!</v>
      </c>
      <c r="AD826" s="8">
        <f>IFERROR(
   Working_Sales[[#This Row],[Price_Per_Unit_Decimal_Separator_Fixed]],
   Working_Sales[[#This Row],[Total_Amount_Converted_To_Integer]]/Working_Sales[[#This Row],[Quantity_Converted_To_Integer]]
)</f>
        <v>500</v>
      </c>
      <c r="AE826" t="s">
        <v>232</v>
      </c>
      <c r="AF826" s="2" t="str">
        <f>CLEAN(TRIM(Working_Sales[[#This Row],[Total Amount]]))</f>
        <v>2000</v>
      </c>
      <c r="AG826" s="2">
        <f>INT(Working_Sales[[#This Row],[Total_Amount_Whitespace_Removed]])</f>
        <v>2000</v>
      </c>
      <c r="AH82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827" spans="1:34" x14ac:dyDescent="0.35">
      <c r="A827" t="s">
        <v>128</v>
      </c>
      <c r="B827" s="6" t="str">
        <f>CLEAN(TRIM(Working_Sales[[#This Row],[Transaction ID]]))</f>
        <v>900</v>
      </c>
      <c r="C827" t="s">
        <v>1311</v>
      </c>
      <c r="D827" s="2" t="str">
        <f>CLEAN(TRIM(Working_Sales[[#This Row],[Date]]))</f>
        <v>21/02/2023</v>
      </c>
      <c r="E82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44978</v>
      </c>
      <c r="F82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44978</v>
      </c>
      <c r="G82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44978</v>
      </c>
      <c r="H827" t="s">
        <v>2999</v>
      </c>
      <c r="I827" s="2" t="str">
        <f>CLEAN(TRIM(Working_Sales[[#This Row],[Customer ID]]))</f>
        <v>CUST468</v>
      </c>
      <c r="J82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CUST468</v>
      </c>
      <c r="K82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CUST468</v>
      </c>
      <c r="L827" t="s">
        <v>34</v>
      </c>
      <c r="M827" s="4" t="str">
        <f>CLEAN(TRIM(Working_Sales[[#This Row],[Gender]]))</f>
        <v>Male</v>
      </c>
      <c r="N827" s="4" t="str" cm="1">
        <f t="array" ref="N827">_xlfn.SWITCH(
   Working_Sales[[#This Row],[Gender_Whitespace_Removed]],
   "m", "Male",
   "f", "Female",
   Working_Sales[[#This Row],[Gender_Whitespace_Removed]]
)</f>
        <v>Male</v>
      </c>
      <c r="O827" s="6" t="str">
        <f>PROPER(Working_Sales[[#This Row],[Gender_Abbreviation_Expanded]])</f>
        <v>Male</v>
      </c>
      <c r="P827">
        <v>21</v>
      </c>
      <c r="Q827" s="2" t="str">
        <f>CLEAN(TRIM(Working_Sales[[#This Row],[Age]]))</f>
        <v>21</v>
      </c>
      <c r="R827" s="6">
        <f>INT(SUBSTITUTE(Working_Sales[[#This Row],[Age_Whitespace_Removed]],".",","))</f>
        <v>21</v>
      </c>
      <c r="S827" t="s">
        <v>124</v>
      </c>
      <c r="T827" s="2" t="str">
        <f>CLEAN(TRIM(Working_Sales[[#This Row],[Product Category]]))</f>
        <v>Clothing</v>
      </c>
      <c r="U827" s="6" t="str">
        <f>PROPER(Working_Sales[[#This Row],[Product_Category_Whitespace_Removed]])</f>
        <v>Clothing</v>
      </c>
      <c r="V827" t="s">
        <v>37</v>
      </c>
      <c r="W827" s="2" t="str">
        <f>CLEAN(TRIM(Working_Sales[[#This Row],[Quantity]]))</f>
        <v>2</v>
      </c>
      <c r="X827" s="2">
        <f>INT(Working_Sales[[#This Row],[`]])</f>
        <v>2</v>
      </c>
      <c r="Y827" s="6">
        <f>IFERROR(
   Working_Sales[[#This Row],[Quantity_Converted_To_Integer]],
   Working_Sales[[#This Row],[Total_Amount_Whitespace_Removed]]/Working_Sales[[#This Row],[Price_Per_Unit_Decimal_Separator_Fixed]])</f>
        <v>2</v>
      </c>
      <c r="Z827" t="s">
        <v>70</v>
      </c>
      <c r="AA827" s="2" t="str">
        <f>CLEAN(TRIM(Working_Sales[[#This Row],[Price per Unit]]))</f>
        <v>30</v>
      </c>
      <c r="AB827" s="2">
        <f>INT(
   SUBSTITUTE(Working_Sales[[#This Row],[Price_Per_Unit_Whitespace_Removed]],
   "$",
   ""
   )
)</f>
        <v>30</v>
      </c>
      <c r="AC827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827" s="8">
        <f>IFERROR(
   Working_Sales[[#This Row],[Price_Per_Unit_Decimal_Separator_Fixed]],
   Working_Sales[[#This Row],[Total_Amount_Converted_To_Integer]]/Working_Sales[[#This Row],[Quantity_Converted_To_Integer]]
)</f>
        <v>30</v>
      </c>
      <c r="AE827" t="s">
        <v>71</v>
      </c>
      <c r="AF827" s="2" t="str">
        <f>CLEAN(TRIM(Working_Sales[[#This Row],[Total Amount]]))</f>
        <v>60</v>
      </c>
      <c r="AG827" s="2">
        <f>INT(Working_Sales[[#This Row],[Total_Amount_Whitespace_Removed]])</f>
        <v>60</v>
      </c>
      <c r="AH82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828" spans="1:34" x14ac:dyDescent="0.35">
      <c r="A828" t="s">
        <v>1700</v>
      </c>
      <c r="B828" s="6" t="str">
        <f>CLEAN(TRIM(Working_Sales[[#This Row],[Transaction ID]]))</f>
        <v>880</v>
      </c>
      <c r="C828" t="s">
        <v>1701</v>
      </c>
      <c r="D828" s="2" t="str">
        <f>CLEAN(TRIM(Working_Sales[[#This Row],[Date]]))</f>
        <v>21/08/2023</v>
      </c>
      <c r="E82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45159</v>
      </c>
      <c r="F82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45159</v>
      </c>
      <c r="G82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45159</v>
      </c>
      <c r="H828" t="s">
        <v>3000</v>
      </c>
      <c r="I828" s="2" t="str">
        <f>CLEAN(TRIM(Working_Sales[[#This Row],[Customer ID]]))</f>
        <v>CUST396</v>
      </c>
      <c r="J82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CUST396</v>
      </c>
      <c r="K82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CUST396</v>
      </c>
      <c r="L828" t="s">
        <v>34</v>
      </c>
      <c r="M828" s="4" t="str">
        <f>CLEAN(TRIM(Working_Sales[[#This Row],[Gender]]))</f>
        <v>Male</v>
      </c>
      <c r="N828" s="4" t="str" cm="1">
        <f t="array" ref="N828">_xlfn.SWITCH(
   Working_Sales[[#This Row],[Gender_Whitespace_Removed]],
   "m", "Male",
   "f", "Female",
   Working_Sales[[#This Row],[Gender_Whitespace_Removed]]
)</f>
        <v>Male</v>
      </c>
      <c r="O828" s="6" t="str">
        <f>PROPER(Working_Sales[[#This Row],[Gender_Abbreviation_Expanded]])</f>
        <v>Male</v>
      </c>
      <c r="P828" t="s">
        <v>1402</v>
      </c>
      <c r="Q828" s="2" t="str">
        <f>CLEAN(TRIM(Working_Sales[[#This Row],[Age]]))</f>
        <v>22.0</v>
      </c>
      <c r="R828" s="6">
        <f>INT(SUBSTITUTE(Working_Sales[[#This Row],[Age_Whitespace_Removed]],".",","))</f>
        <v>22</v>
      </c>
      <c r="S828" t="s">
        <v>36</v>
      </c>
      <c r="T828" s="2" t="str">
        <f>CLEAN(TRIM(Working_Sales[[#This Row],[Product Category]]))</f>
        <v>Beauty</v>
      </c>
      <c r="U828" s="6" t="str">
        <f>PROPER(Working_Sales[[#This Row],[Product_Category_Whitespace_Removed]])</f>
        <v>Beauty</v>
      </c>
      <c r="V828" t="s">
        <v>37</v>
      </c>
      <c r="W828" s="2" t="str">
        <f>CLEAN(TRIM(Working_Sales[[#This Row],[Quantity]]))</f>
        <v>2</v>
      </c>
      <c r="X828" s="2">
        <f>INT(Working_Sales[[#This Row],[`]])</f>
        <v>2</v>
      </c>
      <c r="Y828" s="6">
        <f>IFERROR(
   Working_Sales[[#This Row],[Quantity_Converted_To_Integer]],
   Working_Sales[[#This Row],[Total_Amount_Whitespace_Removed]]/Working_Sales[[#This Row],[Price_Per_Unit_Decimal_Separator_Fixed]])</f>
        <v>2</v>
      </c>
      <c r="Z828" t="s">
        <v>57</v>
      </c>
      <c r="AA828" s="2" t="str">
        <f>CLEAN(TRIM(Working_Sales[[#This Row],[Price per Unit]]))</f>
        <v>500</v>
      </c>
      <c r="AB828" s="2">
        <f>INT(
   SUBSTITUTE(Working_Sales[[#This Row],[Price_Per_Unit_Whitespace_Removed]],
   "$",
   ""
   )
)</f>
        <v>500</v>
      </c>
      <c r="AC828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828" s="8">
        <f>IFERROR(
   Working_Sales[[#This Row],[Price_Per_Unit_Decimal_Separator_Fixed]],
   Working_Sales[[#This Row],[Total_Amount_Converted_To_Integer]]/Working_Sales[[#This Row],[Quantity_Converted_To_Integer]]
)</f>
        <v>500</v>
      </c>
      <c r="AE828" t="s">
        <v>163</v>
      </c>
      <c r="AF828" s="2" t="str">
        <f>CLEAN(TRIM(Working_Sales[[#This Row],[Total Amount]]))</f>
        <v>1000</v>
      </c>
      <c r="AG828" s="2">
        <f>INT(Working_Sales[[#This Row],[Total_Amount_Whitespace_Removed]])</f>
        <v>1000</v>
      </c>
      <c r="AH82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829" spans="1:34" x14ac:dyDescent="0.35">
      <c r="A829" t="s">
        <v>107</v>
      </c>
      <c r="B829" s="6" t="str">
        <f>CLEAN(TRIM(Working_Sales[[#This Row],[Transaction ID]]))</f>
        <v>600</v>
      </c>
      <c r="C829" t="s">
        <v>2158</v>
      </c>
      <c r="D829" s="2" t="str">
        <f>CLEAN(TRIM(Working_Sales[[#This Row],[Date]]))</f>
        <v>22-Oct-2023</v>
      </c>
      <c r="E82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45221</v>
      </c>
      <c r="F82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45221</v>
      </c>
      <c r="G82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45221</v>
      </c>
      <c r="H829" t="s">
        <v>3001</v>
      </c>
      <c r="I829" s="2" t="str">
        <f>CLEAN(TRIM(Working_Sales[[#This Row],[Customer ID]]))</f>
        <v>cust255</v>
      </c>
      <c r="J82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2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CUST255</v>
      </c>
      <c r="L829" t="s">
        <v>26</v>
      </c>
      <c r="M829" s="4" t="str">
        <f>CLEAN(TRIM(Working_Sales[[#This Row],[Gender]]))</f>
        <v>Female</v>
      </c>
      <c r="N829" s="4" t="str" cm="1">
        <f t="array" ref="N829">_xlfn.SWITCH(
   Working_Sales[[#This Row],[Gender_Whitespace_Removed]],
   "m", "Male",
   "f", "Female",
   Working_Sales[[#This Row],[Gender_Whitespace_Removed]]
)</f>
        <v>Female</v>
      </c>
      <c r="O829" s="6" t="str">
        <f>PROPER(Working_Sales[[#This Row],[Gender_Abbreviation_Expanded]])</f>
        <v>Female</v>
      </c>
      <c r="P829" t="s">
        <v>1585</v>
      </c>
      <c r="Q829" s="2" t="str">
        <f>CLEAN(TRIM(Working_Sales[[#This Row],[Age]]))</f>
        <v>59</v>
      </c>
      <c r="R829" s="6">
        <f>INT(SUBSTITUTE(Working_Sales[[#This Row],[Age_Whitespace_Removed]],".",","))</f>
        <v>59</v>
      </c>
      <c r="S829" t="s">
        <v>36</v>
      </c>
      <c r="T829" s="2" t="str">
        <f>CLEAN(TRIM(Working_Sales[[#This Row],[Product Category]]))</f>
        <v>Beauty</v>
      </c>
      <c r="U829" s="6" t="str">
        <f>PROPER(Working_Sales[[#This Row],[Product_Category_Whitespace_Removed]])</f>
        <v>Beauty</v>
      </c>
      <c r="V829" t="s">
        <v>37</v>
      </c>
      <c r="W829" s="2" t="str">
        <f>CLEAN(TRIM(Working_Sales[[#This Row],[Quantity]]))</f>
        <v>2</v>
      </c>
      <c r="X829" s="2">
        <f>INT(Working_Sales[[#This Row],[`]])</f>
        <v>2</v>
      </c>
      <c r="Y829" s="6">
        <f>IFERROR(
   Working_Sales[[#This Row],[Quantity_Converted_To_Integer]],
   Working_Sales[[#This Row],[Total_Amount_Whitespace_Removed]]/Working_Sales[[#This Row],[Price_Per_Unit_Decimal_Separator_Fixed]])</f>
        <v>2</v>
      </c>
      <c r="Z829" t="s">
        <v>162</v>
      </c>
      <c r="AA829" s="2" t="str">
        <f>CLEAN(TRIM(Working_Sales[[#This Row],[Price per Unit]]))</f>
        <v>$500</v>
      </c>
      <c r="AB829" s="2">
        <f>INT(
   SUBSTITUTE(Working_Sales[[#This Row],[Price_Per_Unit_Whitespace_Removed]],
   "$",
   ""
   )
)</f>
        <v>500</v>
      </c>
      <c r="AC829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829" s="8">
        <f>IFERROR(
   Working_Sales[[#This Row],[Price_Per_Unit_Decimal_Separator_Fixed]],
   Working_Sales[[#This Row],[Total_Amount_Converted_To_Integer]]/Working_Sales[[#This Row],[Quantity_Converted_To_Integer]]
)</f>
        <v>500</v>
      </c>
      <c r="AE829" t="s">
        <v>163</v>
      </c>
      <c r="AF829" s="2" t="str">
        <f>CLEAN(TRIM(Working_Sales[[#This Row],[Total Amount]]))</f>
        <v>1000</v>
      </c>
      <c r="AG829" s="2">
        <f>INT(Working_Sales[[#This Row],[Total_Amount_Whitespace_Removed]])</f>
        <v>1000</v>
      </c>
      <c r="AH82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830" spans="1:34" x14ac:dyDescent="0.35">
      <c r="A830" t="s">
        <v>1702</v>
      </c>
      <c r="B830" s="6" t="str">
        <f>CLEAN(TRIM(Working_Sales[[#This Row],[Transaction ID]]))</f>
        <v>422</v>
      </c>
      <c r="C830" t="s">
        <v>2159</v>
      </c>
      <c r="D830" s="2" t="str">
        <f>CLEAN(TRIM(Working_Sales[[#This Row],[Date]]))</f>
        <v>20/06/2023</v>
      </c>
      <c r="E83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45097</v>
      </c>
      <c r="F83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45097</v>
      </c>
      <c r="G83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45097</v>
      </c>
      <c r="H830" t="s">
        <v>3002</v>
      </c>
      <c r="I830" s="2" t="str">
        <f>CLEAN(TRIM(Working_Sales[[#This Row],[Customer ID]]))</f>
        <v>CUST021</v>
      </c>
      <c r="J83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CUST021</v>
      </c>
      <c r="K83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CUST021</v>
      </c>
      <c r="L830" t="s">
        <v>26</v>
      </c>
      <c r="M830" s="4" t="str">
        <f>CLEAN(TRIM(Working_Sales[[#This Row],[Gender]]))</f>
        <v>Female</v>
      </c>
      <c r="N830" s="4" t="str" cm="1">
        <f t="array" ref="N830">_xlfn.SWITCH(
   Working_Sales[[#This Row],[Gender_Whitespace_Removed]],
   "m", "Male",
   "f", "Female",
   Working_Sales[[#This Row],[Gender_Whitespace_Removed]]
)</f>
        <v>Female</v>
      </c>
      <c r="O830" s="6" t="str">
        <f>PROPER(Working_Sales[[#This Row],[Gender_Abbreviation_Expanded]])</f>
        <v>Female</v>
      </c>
      <c r="P830">
        <v>28</v>
      </c>
      <c r="Q830" s="2" t="str">
        <f>CLEAN(TRIM(Working_Sales[[#This Row],[Age]]))</f>
        <v>28</v>
      </c>
      <c r="R830" s="6">
        <f>INT(SUBSTITUTE(Working_Sales[[#This Row],[Age_Whitespace_Removed]],".",","))</f>
        <v>28</v>
      </c>
      <c r="S830" t="s">
        <v>56</v>
      </c>
      <c r="T830" s="2" t="str">
        <f>CLEAN(TRIM(Working_Sales[[#This Row],[Product Category]]))</f>
        <v>Clothing</v>
      </c>
      <c r="U830" s="6" t="str">
        <f>PROPER(Working_Sales[[#This Row],[Product_Category_Whitespace_Removed]])</f>
        <v>Clothing</v>
      </c>
      <c r="V830" t="s">
        <v>29</v>
      </c>
      <c r="W830" s="2" t="str">
        <f>CLEAN(TRIM(Working_Sales[[#This Row],[Quantity]]))</f>
        <v>3</v>
      </c>
      <c r="X830" s="2">
        <f>INT(Working_Sales[[#This Row],[`]])</f>
        <v>3</v>
      </c>
      <c r="Y830" s="6">
        <f>IFERROR(
   Working_Sales[[#This Row],[Quantity_Converted_To_Integer]],
   Working_Sales[[#This Row],[Total_Amount_Whitespace_Removed]]/Working_Sales[[#This Row],[Price_Per_Unit_Decimal_Separator_Fixed]])</f>
        <v>3</v>
      </c>
      <c r="Z830" t="s">
        <v>70</v>
      </c>
      <c r="AA830" s="2" t="str">
        <f>CLEAN(TRIM(Working_Sales[[#This Row],[Price per Unit]]))</f>
        <v>30</v>
      </c>
      <c r="AB830" s="2">
        <f>INT(
   SUBSTITUTE(Working_Sales[[#This Row],[Price_Per_Unit_Whitespace_Removed]],
   "$",
   ""
   )
)</f>
        <v>30</v>
      </c>
      <c r="AC830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830" s="8">
        <f>IFERROR(
   Working_Sales[[#This Row],[Price_Per_Unit_Decimal_Separator_Fixed]],
   Working_Sales[[#This Row],[Total_Amount_Converted_To_Integer]]/Working_Sales[[#This Row],[Quantity_Converted_To_Integer]]
)</f>
        <v>30</v>
      </c>
      <c r="AE830" t="s">
        <v>191</v>
      </c>
      <c r="AF830" s="2" t="str">
        <f>CLEAN(TRIM(Working_Sales[[#This Row],[Total Amount]]))</f>
        <v>90</v>
      </c>
      <c r="AG830" s="2">
        <f>INT(Working_Sales[[#This Row],[Total_Amount_Whitespace_Removed]])</f>
        <v>90</v>
      </c>
      <c r="AH83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831" spans="1:34" x14ac:dyDescent="0.35">
      <c r="A831" t="s">
        <v>1704</v>
      </c>
      <c r="B831" s="6" t="str">
        <f>CLEAN(TRIM(Working_Sales[[#This Row],[Transaction ID]]))</f>
        <v>688</v>
      </c>
      <c r="C831" t="s">
        <v>1244</v>
      </c>
      <c r="D831" s="2" t="str">
        <f>CLEAN(TRIM(Working_Sales[[#This Row],[Date]]))</f>
        <v>2023-10-03</v>
      </c>
      <c r="E83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45202</v>
      </c>
      <c r="F83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45202</v>
      </c>
      <c r="G83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45202</v>
      </c>
      <c r="H831" t="s">
        <v>3003</v>
      </c>
      <c r="I831" s="2" t="str">
        <f>CLEAN(TRIM(Working_Sales[[#This Row],[Customer ID]]))</f>
        <v>CUST469</v>
      </c>
      <c r="J83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CUST469</v>
      </c>
      <c r="K83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CUST469</v>
      </c>
      <c r="L831" t="s">
        <v>34</v>
      </c>
      <c r="M831" s="4" t="str">
        <f>CLEAN(TRIM(Working_Sales[[#This Row],[Gender]]))</f>
        <v>Male</v>
      </c>
      <c r="N831" s="4" t="str" cm="1">
        <f t="array" ref="N831">_xlfn.SWITCH(
   Working_Sales[[#This Row],[Gender_Whitespace_Removed]],
   "m", "Male",
   "f", "Female",
   Working_Sales[[#This Row],[Gender_Whitespace_Removed]]
)</f>
        <v>Male</v>
      </c>
      <c r="O831" s="6" t="str">
        <f>PROPER(Working_Sales[[#This Row],[Gender_Abbreviation_Expanded]])</f>
        <v>Male</v>
      </c>
      <c r="P831">
        <v>56</v>
      </c>
      <c r="Q831" s="2" t="str">
        <f>CLEAN(TRIM(Working_Sales[[#This Row],[Age]]))</f>
        <v>56</v>
      </c>
      <c r="R831" s="6">
        <f>INT(SUBSTITUTE(Working_Sales[[#This Row],[Age_Whitespace_Removed]],".",","))</f>
        <v>56</v>
      </c>
      <c r="S831" t="s">
        <v>56</v>
      </c>
      <c r="T831" s="2" t="str">
        <f>CLEAN(TRIM(Working_Sales[[#This Row],[Product Category]]))</f>
        <v>Clothing</v>
      </c>
      <c r="U831" s="6" t="str">
        <f>PROPER(Working_Sales[[#This Row],[Product_Category_Whitespace_Removed]])</f>
        <v>Clothing</v>
      </c>
      <c r="V831" t="s">
        <v>14</v>
      </c>
      <c r="W831" s="2" t="str">
        <f>CLEAN(TRIM(Working_Sales[[#This Row],[Quantity]]))</f>
        <v>4</v>
      </c>
      <c r="X831" s="2">
        <f>INT(Working_Sales[[#This Row],[`]])</f>
        <v>4</v>
      </c>
      <c r="Y831" s="6">
        <f>IFERROR(
   Working_Sales[[#This Row],[Quantity_Converted_To_Integer]],
   Working_Sales[[#This Row],[Total_Amount_Whitespace_Removed]]/Working_Sales[[#This Row],[Price_Per_Unit_Decimal_Separator_Fixed]])</f>
        <v>4</v>
      </c>
      <c r="AA831" s="2" t="str">
        <f>CLEAN(TRIM(Working_Sales[[#This Row],[Price per Unit]]))</f>
        <v/>
      </c>
      <c r="AB831" s="2" t="e">
        <f>INT(
   SUBSTITUTE(Working_Sales[[#This Row],[Price_Per_Unit_Whitespace_Removed]],
   "$",
   ""
   )
)</f>
        <v>#VALUE!</v>
      </c>
      <c r="AC831" s="2" t="e">
        <f>INT(
   IFERROR(
      Working_Sales[[#This Row],[Price_Per_Unit_Dollar_Sign_Removed]],
      SUBSTITUTE(
         Working_Sales[[#This Row],[Price_Per_Unit_Whitespace_Removed]],
        ".",
         ","
      )
   )
)</f>
        <v>#VALUE!</v>
      </c>
      <c r="AD831" s="8">
        <f>IFERROR(
   Working_Sales[[#This Row],[Price_Per_Unit_Decimal_Separator_Fixed]],
   Working_Sales[[#This Row],[Total_Amount_Converted_To_Integer]]/Working_Sales[[#This Row],[Quantity_Converted_To_Integer]]
)</f>
        <v>25</v>
      </c>
      <c r="AE831" t="s">
        <v>38</v>
      </c>
      <c r="AF831" s="2" t="str">
        <f>CLEAN(TRIM(Working_Sales[[#This Row],[Total Amount]]))</f>
        <v>100</v>
      </c>
      <c r="AG831" s="2">
        <f>INT(Working_Sales[[#This Row],[Total_Amount_Whitespace_Removed]])</f>
        <v>100</v>
      </c>
      <c r="AH83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832" spans="1:34" x14ac:dyDescent="0.35">
      <c r="A832" t="s">
        <v>1705</v>
      </c>
      <c r="B832" s="6" t="str">
        <f>CLEAN(TRIM(Working_Sales[[#This Row],[Transaction ID]]))</f>
        <v>183</v>
      </c>
      <c r="C832" t="s">
        <v>1706</v>
      </c>
      <c r="D832" s="2" t="str">
        <f>CLEAN(TRIM(Working_Sales[[#This Row],[Date]]))</f>
        <v>September 08, 2023</v>
      </c>
      <c r="E832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832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83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45177</v>
      </c>
      <c r="H832" t="s">
        <v>3004</v>
      </c>
      <c r="I832" s="2" t="str">
        <f>CLEAN(TRIM(Working_Sales[[#This Row],[Customer ID]]))</f>
        <v>CUST306</v>
      </c>
      <c r="J83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CUST306</v>
      </c>
      <c r="K83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CUST306</v>
      </c>
      <c r="L832" t="s">
        <v>26</v>
      </c>
      <c r="M832" s="4" t="str">
        <f>CLEAN(TRIM(Working_Sales[[#This Row],[Gender]]))</f>
        <v>Female</v>
      </c>
      <c r="N832" s="4" t="str" cm="1">
        <f t="array" ref="N832">_xlfn.SWITCH(
   Working_Sales[[#This Row],[Gender_Whitespace_Removed]],
   "m", "Male",
   "f", "Female",
   Working_Sales[[#This Row],[Gender_Whitespace_Removed]]
)</f>
        <v>Female</v>
      </c>
      <c r="O832" s="6" t="str">
        <f>PROPER(Working_Sales[[#This Row],[Gender_Abbreviation_Expanded]])</f>
        <v>Female</v>
      </c>
      <c r="P832">
        <v>43</v>
      </c>
      <c r="Q832" s="2" t="str">
        <f>CLEAN(TRIM(Working_Sales[[#This Row],[Age]]))</f>
        <v>43</v>
      </c>
      <c r="R832" s="6">
        <f>INT(SUBSTITUTE(Working_Sales[[#This Row],[Age_Whitespace_Removed]],".",","))</f>
        <v>43</v>
      </c>
      <c r="S832" t="s">
        <v>36</v>
      </c>
      <c r="T832" s="2" t="str">
        <f>CLEAN(TRIM(Working_Sales[[#This Row],[Product Category]]))</f>
        <v>Beauty</v>
      </c>
      <c r="U832" s="6" t="str">
        <f>PROPER(Working_Sales[[#This Row],[Product_Category_Whitespace_Removed]])</f>
        <v>Beauty</v>
      </c>
      <c r="V832" t="s">
        <v>29</v>
      </c>
      <c r="W832" s="2" t="str">
        <f>CLEAN(TRIM(Working_Sales[[#This Row],[Quantity]]))</f>
        <v>3</v>
      </c>
      <c r="X832" s="2">
        <f>INT(Working_Sales[[#This Row],[`]])</f>
        <v>3</v>
      </c>
      <c r="Y832" s="6">
        <f>IFERROR(
   Working_Sales[[#This Row],[Quantity_Converted_To_Integer]],
   Working_Sales[[#This Row],[Total_Amount_Whitespace_Removed]]/Working_Sales[[#This Row],[Price_Per_Unit_Decimal_Separator_Fixed]])</f>
        <v>3</v>
      </c>
      <c r="Z832" t="s">
        <v>23</v>
      </c>
      <c r="AA832" s="2" t="str">
        <f>CLEAN(TRIM(Working_Sales[[#This Row],[Price per Unit]]))</f>
        <v>300</v>
      </c>
      <c r="AB832" s="2">
        <f>INT(
   SUBSTITUTE(Working_Sales[[#This Row],[Price_Per_Unit_Whitespace_Removed]],
   "$",
   ""
   )
)</f>
        <v>300</v>
      </c>
      <c r="AC832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832" s="8">
        <f>IFERROR(
   Working_Sales[[#This Row],[Price_Per_Unit_Decimal_Separator_Fixed]],
   Working_Sales[[#This Row],[Total_Amount_Converted_To_Integer]]/Working_Sales[[#This Row],[Quantity_Converted_To_Integer]]
)</f>
        <v>300</v>
      </c>
      <c r="AE832" t="s">
        <v>128</v>
      </c>
      <c r="AF832" s="2" t="str">
        <f>CLEAN(TRIM(Working_Sales[[#This Row],[Total Amount]]))</f>
        <v>900</v>
      </c>
      <c r="AG832" s="2">
        <f>INT(Working_Sales[[#This Row],[Total_Amount_Whitespace_Removed]])</f>
        <v>900</v>
      </c>
      <c r="AH83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833" spans="1:34" x14ac:dyDescent="0.35">
      <c r="A833" t="s">
        <v>1708</v>
      </c>
      <c r="B833" s="6" t="str">
        <f>CLEAN(TRIM(Working_Sales[[#This Row],[Transaction ID]]))</f>
        <v>618</v>
      </c>
      <c r="C833" t="s">
        <v>1458</v>
      </c>
      <c r="D833" s="2" t="str">
        <f>CLEAN(TRIM(Working_Sales[[#This Row],[Date]]))</f>
        <v>2023-01-26</v>
      </c>
      <c r="E83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44952</v>
      </c>
      <c r="F83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44952</v>
      </c>
      <c r="G83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44952</v>
      </c>
      <c r="H833" t="s">
        <v>2909</v>
      </c>
      <c r="I833" s="2" t="str">
        <f>CLEAN(TRIM(Working_Sales[[#This Row],[Customer ID]]))</f>
        <v>cust434</v>
      </c>
      <c r="J83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3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CUST434</v>
      </c>
      <c r="L833" t="s">
        <v>26</v>
      </c>
      <c r="M833" s="4" t="str">
        <f>CLEAN(TRIM(Working_Sales[[#This Row],[Gender]]))</f>
        <v>Female</v>
      </c>
      <c r="N833" s="4" t="str" cm="1">
        <f t="array" ref="N833">_xlfn.SWITCH(
   Working_Sales[[#This Row],[Gender_Whitespace_Removed]],
   "m", "Male",
   "f", "Female",
   Working_Sales[[#This Row],[Gender_Whitespace_Removed]]
)</f>
        <v>Female</v>
      </c>
      <c r="O833" s="6" t="str">
        <f>PROPER(Working_Sales[[#This Row],[Gender_Abbreviation_Expanded]])</f>
        <v>Female</v>
      </c>
      <c r="P833">
        <v>27</v>
      </c>
      <c r="Q833" s="2" t="str">
        <f>CLEAN(TRIM(Working_Sales[[#This Row],[Age]]))</f>
        <v>27</v>
      </c>
      <c r="R833" s="6">
        <f>INT(SUBSTITUTE(Working_Sales[[#This Row],[Age_Whitespace_Removed]],".",","))</f>
        <v>27</v>
      </c>
      <c r="S833" t="s">
        <v>36</v>
      </c>
      <c r="T833" s="2" t="str">
        <f>CLEAN(TRIM(Working_Sales[[#This Row],[Product Category]]))</f>
        <v>Beauty</v>
      </c>
      <c r="U833" s="6" t="str">
        <f>PROPER(Working_Sales[[#This Row],[Product_Category_Whitespace_Removed]])</f>
        <v>Beauty</v>
      </c>
      <c r="V833" t="s">
        <v>22</v>
      </c>
      <c r="W833" s="2" t="str">
        <f>CLEAN(TRIM(Working_Sales[[#This Row],[Quantity]]))</f>
        <v>1</v>
      </c>
      <c r="X833" s="2">
        <f>INT(Working_Sales[[#This Row],[`]])</f>
        <v>1</v>
      </c>
      <c r="Y833" s="6">
        <f>IFERROR(
   Working_Sales[[#This Row],[Quantity_Converted_To_Integer]],
   Working_Sales[[#This Row],[Total_Amount_Whitespace_Removed]]/Working_Sales[[#This Row],[Price_Per_Unit_Decimal_Separator_Fixed]])</f>
        <v>1</v>
      </c>
      <c r="Z833" t="s">
        <v>15</v>
      </c>
      <c r="AA833" s="2" t="str">
        <f>CLEAN(TRIM(Working_Sales[[#This Row],[Price per Unit]]))</f>
        <v>50</v>
      </c>
      <c r="AB833" s="2">
        <f>INT(
   SUBSTITUTE(Working_Sales[[#This Row],[Price_Per_Unit_Whitespace_Removed]],
   "$",
   ""
   )
)</f>
        <v>50</v>
      </c>
      <c r="AC833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833" s="8">
        <f>IFERROR(
   Working_Sales[[#This Row],[Price_Per_Unit_Decimal_Separator_Fixed]],
   Working_Sales[[#This Row],[Total_Amount_Converted_To_Integer]]/Working_Sales[[#This Row],[Quantity_Converted_To_Integer]]
)</f>
        <v>50</v>
      </c>
      <c r="AE833" t="s">
        <v>15</v>
      </c>
      <c r="AF833" s="2" t="str">
        <f>CLEAN(TRIM(Working_Sales[[#This Row],[Total Amount]]))</f>
        <v>50</v>
      </c>
      <c r="AG833" s="2">
        <f>INT(Working_Sales[[#This Row],[Total_Amount_Whitespace_Removed]])</f>
        <v>50</v>
      </c>
      <c r="AH83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834" spans="1:34" x14ac:dyDescent="0.35">
      <c r="A834" t="s">
        <v>1709</v>
      </c>
      <c r="B834" s="6" t="str">
        <f>CLEAN(TRIM(Working_Sales[[#This Row],[Transaction ID]]))</f>
        <v>333</v>
      </c>
      <c r="C834" t="s">
        <v>2045</v>
      </c>
      <c r="D834" s="2" t="str">
        <f>CLEAN(TRIM(Working_Sales[[#This Row],[Date]]))</f>
        <v>February 05, 2023</v>
      </c>
      <c r="E834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834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83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44962</v>
      </c>
      <c r="H834" t="s">
        <v>3005</v>
      </c>
      <c r="I834" s="2" t="str">
        <f>CLEAN(TRIM(Working_Sales[[#This Row],[Customer ID]]))</f>
        <v>cust470</v>
      </c>
      <c r="J83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3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CUST470</v>
      </c>
      <c r="L834" t="s">
        <v>112</v>
      </c>
      <c r="M834" s="4" t="str">
        <f>CLEAN(TRIM(Working_Sales[[#This Row],[Gender]]))</f>
        <v>female</v>
      </c>
      <c r="N834" s="4" t="str" cm="1">
        <f t="array" ref="N834">_xlfn.SWITCH(
   Working_Sales[[#This Row],[Gender_Whitespace_Removed]],
   "m", "Male",
   "f", "Female",
   Working_Sales[[#This Row],[Gender_Whitespace_Removed]]
)</f>
        <v>female</v>
      </c>
      <c r="O834" s="6" t="str">
        <f>PROPER(Working_Sales[[#This Row],[Gender_Abbreviation_Expanded]])</f>
        <v>Female</v>
      </c>
      <c r="P834">
        <v>54</v>
      </c>
      <c r="Q834" s="2" t="str">
        <f>CLEAN(TRIM(Working_Sales[[#This Row],[Age]]))</f>
        <v>54</v>
      </c>
      <c r="R834" s="6">
        <f>INT(SUBSTITUTE(Working_Sales[[#This Row],[Age_Whitespace_Removed]],".",","))</f>
        <v>54</v>
      </c>
      <c r="S834" t="s">
        <v>117</v>
      </c>
      <c r="T834" s="2" t="str">
        <f>CLEAN(TRIM(Working_Sales[[#This Row],[Product Category]]))</f>
        <v>Electronics</v>
      </c>
      <c r="U834" s="6" t="str">
        <f>PROPER(Working_Sales[[#This Row],[Product_Category_Whitespace_Removed]])</f>
        <v>Electronics</v>
      </c>
      <c r="V834" t="s">
        <v>14</v>
      </c>
      <c r="W834" s="2" t="str">
        <f>CLEAN(TRIM(Working_Sales[[#This Row],[Quantity]]))</f>
        <v>4</v>
      </c>
      <c r="X834" s="2">
        <f>INT(Working_Sales[[#This Row],[`]])</f>
        <v>4</v>
      </c>
      <c r="Y834" s="6">
        <f>IFERROR(
   Working_Sales[[#This Row],[Quantity_Converted_To_Integer]],
   Working_Sales[[#This Row],[Total_Amount_Whitespace_Removed]]/Working_Sales[[#This Row],[Price_Per_Unit_Decimal_Separator_Fixed]])</f>
        <v>4</v>
      </c>
      <c r="Z834" t="s">
        <v>288</v>
      </c>
      <c r="AA834" s="2" t="str">
        <f>CLEAN(TRIM(Working_Sales[[#This Row],[Price per Unit]]))</f>
        <v>300.00</v>
      </c>
      <c r="AB834" s="2" t="e">
        <f>INT(
   SUBSTITUTE(Working_Sales[[#This Row],[Price_Per_Unit_Whitespace_Removed]],
   "$",
   ""
   )
)</f>
        <v>#VALUE!</v>
      </c>
      <c r="AC834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834" s="8">
        <f>IFERROR(
   Working_Sales[[#This Row],[Price_Per_Unit_Decimal_Separator_Fixed]],
   Working_Sales[[#This Row],[Total_Amount_Converted_To_Integer]]/Working_Sales[[#This Row],[Quantity_Converted_To_Integer]]
)</f>
        <v>300</v>
      </c>
      <c r="AE834" t="s">
        <v>79</v>
      </c>
      <c r="AF834" s="2" t="str">
        <f>CLEAN(TRIM(Working_Sales[[#This Row],[Total Amount]]))</f>
        <v>1200</v>
      </c>
      <c r="AG834" s="2">
        <f>INT(Working_Sales[[#This Row],[Total_Amount_Whitespace_Removed]])</f>
        <v>1200</v>
      </c>
      <c r="AH83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835" spans="1:34" x14ac:dyDescent="0.35">
      <c r="A835" t="s">
        <v>1711</v>
      </c>
      <c r="B835" s="6" t="str">
        <f>CLEAN(TRIM(Working_Sales[[#This Row],[Transaction ID]]))</f>
        <v>439</v>
      </c>
      <c r="C835" t="s">
        <v>2097</v>
      </c>
      <c r="D835" s="2" t="str">
        <f>CLEAN(TRIM(Working_Sales[[#This Row],[Date]]))</f>
        <v>09-Jul-2023</v>
      </c>
      <c r="E83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45116</v>
      </c>
      <c r="F83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45116</v>
      </c>
      <c r="G83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45116</v>
      </c>
      <c r="H835" t="s">
        <v>3006</v>
      </c>
      <c r="I835" s="2" t="str">
        <f>CLEAN(TRIM(Working_Sales[[#This Row],[Customer ID]]))</f>
        <v>CUST090</v>
      </c>
      <c r="J83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3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CUST090</v>
      </c>
      <c r="L835" t="s">
        <v>34</v>
      </c>
      <c r="M835" s="4" t="str">
        <f>CLEAN(TRIM(Working_Sales[[#This Row],[Gender]]))</f>
        <v>Male</v>
      </c>
      <c r="N835" s="4" t="str" cm="1">
        <f t="array" ref="N835">_xlfn.SWITCH(
   Working_Sales[[#This Row],[Gender_Whitespace_Removed]],
   "m", "Male",
   "f", "Female",
   Working_Sales[[#This Row],[Gender_Whitespace_Removed]]
)</f>
        <v>Male</v>
      </c>
      <c r="O835" s="6" t="str">
        <f>PROPER(Working_Sales[[#This Row],[Gender_Abbreviation_Expanded]])</f>
        <v>Male</v>
      </c>
      <c r="P835">
        <v>50</v>
      </c>
      <c r="Q835" s="2" t="str">
        <f>CLEAN(TRIM(Working_Sales[[#This Row],[Age]]))</f>
        <v>50</v>
      </c>
      <c r="R835" s="6">
        <f>INT(SUBSTITUTE(Working_Sales[[#This Row],[Age_Whitespace_Removed]],".",","))</f>
        <v>50</v>
      </c>
      <c r="S835" t="s">
        <v>56</v>
      </c>
      <c r="T835" s="2" t="str">
        <f>CLEAN(TRIM(Working_Sales[[#This Row],[Product Category]]))</f>
        <v>Clothing</v>
      </c>
      <c r="U835" s="6" t="str">
        <f>PROPER(Working_Sales[[#This Row],[Product_Category_Whitespace_Removed]])</f>
        <v>Clothing</v>
      </c>
      <c r="V835" t="s">
        <v>29</v>
      </c>
      <c r="W835" s="2" t="str">
        <f>CLEAN(TRIM(Working_Sales[[#This Row],[Quantity]]))</f>
        <v>3</v>
      </c>
      <c r="X835" s="2">
        <f>INT(Working_Sales[[#This Row],[`]])</f>
        <v>3</v>
      </c>
      <c r="Y835" s="6">
        <f>IFERROR(
   Working_Sales[[#This Row],[Quantity_Converted_To_Integer]],
   Working_Sales[[#This Row],[Total_Amount_Whitespace_Removed]]/Working_Sales[[#This Row],[Price_Per_Unit_Decimal_Separator_Fixed]])</f>
        <v>3</v>
      </c>
      <c r="Z835" t="s">
        <v>30</v>
      </c>
      <c r="AA835" s="2" t="str">
        <f>CLEAN(TRIM(Working_Sales[[#This Row],[Price per Unit]]))</f>
        <v>25</v>
      </c>
      <c r="AB835" s="2">
        <f>INT(
   SUBSTITUTE(Working_Sales[[#This Row],[Price_Per_Unit_Whitespace_Removed]],
   "$",
   ""
   )
)</f>
        <v>25</v>
      </c>
      <c r="AC835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835" s="8">
        <f>IFERROR(
   Working_Sales[[#This Row],[Price_Per_Unit_Decimal_Separator_Fixed]],
   Working_Sales[[#This Row],[Total_Amount_Converted_To_Integer]]/Working_Sales[[#This Row],[Quantity_Converted_To_Integer]]
)</f>
        <v>25</v>
      </c>
      <c r="AE835" t="s">
        <v>31</v>
      </c>
      <c r="AF835" s="2" t="str">
        <f>CLEAN(TRIM(Working_Sales[[#This Row],[Total Amount]]))</f>
        <v>75</v>
      </c>
      <c r="AG835" s="2">
        <f>INT(Working_Sales[[#This Row],[Total_Amount_Whitespace_Removed]])</f>
        <v>75</v>
      </c>
      <c r="AH83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836" spans="1:34" x14ac:dyDescent="0.35">
      <c r="A836" t="s">
        <v>15</v>
      </c>
      <c r="B836" s="6" t="str">
        <f>CLEAN(TRIM(Working_Sales[[#This Row],[Transaction ID]]))</f>
        <v>50</v>
      </c>
      <c r="C836" t="s">
        <v>1713</v>
      </c>
      <c r="D836" s="2" t="str">
        <f>CLEAN(TRIM(Working_Sales[[#This Row],[Date]]))</f>
        <v>2023-08-24</v>
      </c>
      <c r="E83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45162</v>
      </c>
      <c r="F83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45162</v>
      </c>
      <c r="G83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45162</v>
      </c>
      <c r="H836" t="s">
        <v>2824</v>
      </c>
      <c r="I836" s="2" t="str">
        <f>CLEAN(TRIM(Working_Sales[[#This Row],[Customer ID]]))</f>
        <v>CUST106</v>
      </c>
      <c r="J83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CUST106</v>
      </c>
      <c r="K83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CUST106</v>
      </c>
      <c r="L836" t="s">
        <v>46</v>
      </c>
      <c r="M836" s="4" t="str">
        <f>CLEAN(TRIM(Working_Sales[[#This Row],[Gender]]))</f>
        <v>F</v>
      </c>
      <c r="N836" s="4" t="str" cm="1">
        <f t="array" ref="N836">_xlfn.SWITCH(
   Working_Sales[[#This Row],[Gender_Whitespace_Removed]],
   "m", "Male",
   "f", "Female",
   Working_Sales[[#This Row],[Gender_Whitespace_Removed]]
)</f>
        <v>Female</v>
      </c>
      <c r="O836" s="6" t="str">
        <f>PROPER(Working_Sales[[#This Row],[Gender_Abbreviation_Expanded]])</f>
        <v>Female</v>
      </c>
      <c r="P836">
        <v>27</v>
      </c>
      <c r="Q836" s="2" t="str">
        <f>CLEAN(TRIM(Working_Sales[[#This Row],[Age]]))</f>
        <v>27</v>
      </c>
      <c r="R836" s="6">
        <f>INT(SUBSTITUTE(Working_Sales[[#This Row],[Age_Whitespace_Removed]],".",","))</f>
        <v>27</v>
      </c>
      <c r="S836" t="s">
        <v>36</v>
      </c>
      <c r="T836" s="2" t="str">
        <f>CLEAN(TRIM(Working_Sales[[#This Row],[Product Category]]))</f>
        <v>Beauty</v>
      </c>
      <c r="U836" s="6" t="str">
        <f>PROPER(Working_Sales[[#This Row],[Product_Category_Whitespace_Removed]])</f>
        <v>Beauty</v>
      </c>
      <c r="V836" t="s">
        <v>29</v>
      </c>
      <c r="W836" s="2" t="str">
        <f>CLEAN(TRIM(Working_Sales[[#This Row],[Quantity]]))</f>
        <v>3</v>
      </c>
      <c r="X836" s="2">
        <f>INT(Working_Sales[[#This Row],[`]])</f>
        <v>3</v>
      </c>
      <c r="Y836" s="6">
        <f>IFERROR(
   Working_Sales[[#This Row],[Quantity_Converted_To_Integer]],
   Working_Sales[[#This Row],[Total_Amount_Whitespace_Removed]]/Working_Sales[[#This Row],[Price_Per_Unit_Decimal_Separator_Fixed]])</f>
        <v>3</v>
      </c>
      <c r="Z836" t="s">
        <v>30</v>
      </c>
      <c r="AA836" s="2" t="str">
        <f>CLEAN(TRIM(Working_Sales[[#This Row],[Price per Unit]]))</f>
        <v>25</v>
      </c>
      <c r="AB836" s="2">
        <f>INT(
   SUBSTITUTE(Working_Sales[[#This Row],[Price_Per_Unit_Whitespace_Removed]],
   "$",
   ""
   )
)</f>
        <v>25</v>
      </c>
      <c r="AC836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836" s="8">
        <f>IFERROR(
   Working_Sales[[#This Row],[Price_Per_Unit_Decimal_Separator_Fixed]],
   Working_Sales[[#This Row],[Total_Amount_Converted_To_Integer]]/Working_Sales[[#This Row],[Quantity_Converted_To_Integer]]
)</f>
        <v>25</v>
      </c>
      <c r="AE836" t="s">
        <v>31</v>
      </c>
      <c r="AF836" s="2" t="str">
        <f>CLEAN(TRIM(Working_Sales[[#This Row],[Total Amount]]))</f>
        <v>75</v>
      </c>
      <c r="AG836" s="2">
        <f>INT(Working_Sales[[#This Row],[Total_Amount_Whitespace_Removed]])</f>
        <v>75</v>
      </c>
      <c r="AH83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837" spans="1:34" x14ac:dyDescent="0.35">
      <c r="A837" t="s">
        <v>1715</v>
      </c>
      <c r="B837" s="6" t="str">
        <f>CLEAN(TRIM(Working_Sales[[#This Row],[Transaction ID]]))</f>
        <v>887</v>
      </c>
      <c r="C837" t="s">
        <v>1302</v>
      </c>
      <c r="D837" s="2" t="str">
        <f>CLEAN(TRIM(Working_Sales[[#This Row],[Date]]))</f>
        <v>2023-06-11</v>
      </c>
      <c r="E83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45088</v>
      </c>
      <c r="F83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45088</v>
      </c>
      <c r="G83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45088</v>
      </c>
      <c r="H837" t="s">
        <v>3007</v>
      </c>
      <c r="I837" s="2" t="str">
        <f>CLEAN(TRIM(Working_Sales[[#This Row],[Customer ID]]))</f>
        <v>cust352</v>
      </c>
      <c r="J83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3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CUST352</v>
      </c>
      <c r="L837" t="s">
        <v>34</v>
      </c>
      <c r="M837" s="4" t="str">
        <f>CLEAN(TRIM(Working_Sales[[#This Row],[Gender]]))</f>
        <v>Male</v>
      </c>
      <c r="N837" s="4" t="str" cm="1">
        <f t="array" ref="N837">_xlfn.SWITCH(
   Working_Sales[[#This Row],[Gender_Whitespace_Removed]],
   "m", "Male",
   "f", "Female",
   Working_Sales[[#This Row],[Gender_Whitespace_Removed]]
)</f>
        <v>Male</v>
      </c>
      <c r="O837" s="6" t="str">
        <f>PROPER(Working_Sales[[#This Row],[Gender_Abbreviation_Expanded]])</f>
        <v>Male</v>
      </c>
      <c r="P837">
        <v>59</v>
      </c>
      <c r="Q837" s="2" t="str">
        <f>CLEAN(TRIM(Working_Sales[[#This Row],[Age]]))</f>
        <v>59</v>
      </c>
      <c r="R837" s="6">
        <f>INT(SUBSTITUTE(Working_Sales[[#This Row],[Age_Whitespace_Removed]],".",","))</f>
        <v>59</v>
      </c>
      <c r="S837" t="s">
        <v>56</v>
      </c>
      <c r="T837" s="2" t="str">
        <f>CLEAN(TRIM(Working_Sales[[#This Row],[Product Category]]))</f>
        <v>Clothing</v>
      </c>
      <c r="U837" s="6" t="str">
        <f>PROPER(Working_Sales[[#This Row],[Product_Category_Whitespace_Removed]])</f>
        <v>Clothing</v>
      </c>
      <c r="V837" t="s">
        <v>14</v>
      </c>
      <c r="W837" s="2" t="str">
        <f>CLEAN(TRIM(Working_Sales[[#This Row],[Quantity]]))</f>
        <v>4</v>
      </c>
      <c r="X837" s="2">
        <f>INT(Working_Sales[[#This Row],[`]])</f>
        <v>4</v>
      </c>
      <c r="Y837" s="6">
        <f>IFERROR(
   Working_Sales[[#This Row],[Quantity_Converted_To_Integer]],
   Working_Sales[[#This Row],[Total_Amount_Whitespace_Removed]]/Working_Sales[[#This Row],[Price_Per_Unit_Decimal_Separator_Fixed]])</f>
        <v>4</v>
      </c>
      <c r="Z837" t="s">
        <v>30</v>
      </c>
      <c r="AA837" s="2" t="str">
        <f>CLEAN(TRIM(Working_Sales[[#This Row],[Price per Unit]]))</f>
        <v>25</v>
      </c>
      <c r="AB837" s="2">
        <f>INT(
   SUBSTITUTE(Working_Sales[[#This Row],[Price_Per_Unit_Whitespace_Removed]],
   "$",
   ""
   )
)</f>
        <v>25</v>
      </c>
      <c r="AC837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837" s="8">
        <f>IFERROR(
   Working_Sales[[#This Row],[Price_Per_Unit_Decimal_Separator_Fixed]],
   Working_Sales[[#This Row],[Total_Amount_Converted_To_Integer]]/Working_Sales[[#This Row],[Quantity_Converted_To_Integer]]
)</f>
        <v>25</v>
      </c>
      <c r="AE837" t="s">
        <v>38</v>
      </c>
      <c r="AF837" s="2" t="str">
        <f>CLEAN(TRIM(Working_Sales[[#This Row],[Total Amount]]))</f>
        <v>100</v>
      </c>
      <c r="AG837" s="2">
        <f>INT(Working_Sales[[#This Row],[Total_Amount_Whitespace_Removed]])</f>
        <v>100</v>
      </c>
      <c r="AH83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838" spans="1:34" x14ac:dyDescent="0.35">
      <c r="A838" t="s">
        <v>1716</v>
      </c>
      <c r="B838" s="6" t="str">
        <f>CLEAN(TRIM(Working_Sales[[#This Row],[Transaction ID]]))</f>
        <v>6</v>
      </c>
      <c r="C838" t="s">
        <v>1717</v>
      </c>
      <c r="D838" s="2" t="str">
        <f>CLEAN(TRIM(Working_Sales[[#This Row],[Date]]))</f>
        <v>04/25/2023</v>
      </c>
      <c r="E838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83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45041</v>
      </c>
      <c r="G83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45041</v>
      </c>
      <c r="H838" t="s">
        <v>3008</v>
      </c>
      <c r="I838" s="2" t="str">
        <f>CLEAN(TRIM(Working_Sales[[#This Row],[Customer ID]]))</f>
        <v>Cust275</v>
      </c>
      <c r="J83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3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CUST275</v>
      </c>
      <c r="L838" t="s">
        <v>26</v>
      </c>
      <c r="M838" s="4" t="str">
        <f>CLEAN(TRIM(Working_Sales[[#This Row],[Gender]]))</f>
        <v>Female</v>
      </c>
      <c r="N838" s="4" t="str" cm="1">
        <f t="array" ref="N838">_xlfn.SWITCH(
   Working_Sales[[#This Row],[Gender_Whitespace_Removed]],
   "m", "Male",
   "f", "Female",
   Working_Sales[[#This Row],[Gender_Whitespace_Removed]]
)</f>
        <v>Female</v>
      </c>
      <c r="O838" s="6" t="str">
        <f>PROPER(Working_Sales[[#This Row],[Gender_Abbreviation_Expanded]])</f>
        <v>Female</v>
      </c>
      <c r="P838">
        <v>45</v>
      </c>
      <c r="Q838" s="2" t="str">
        <f>CLEAN(TRIM(Working_Sales[[#This Row],[Age]]))</f>
        <v>45</v>
      </c>
      <c r="R838" s="6">
        <f>INT(SUBSTITUTE(Working_Sales[[#This Row],[Age_Whitespace_Removed]],".",","))</f>
        <v>45</v>
      </c>
      <c r="S838" t="s">
        <v>36</v>
      </c>
      <c r="T838" s="2" t="str">
        <f>CLEAN(TRIM(Working_Sales[[#This Row],[Product Category]]))</f>
        <v>Beauty</v>
      </c>
      <c r="U838" s="6" t="str">
        <f>PROPER(Working_Sales[[#This Row],[Product_Category_Whitespace_Removed]])</f>
        <v>Beauty</v>
      </c>
      <c r="V838" t="s">
        <v>22</v>
      </c>
      <c r="W838" s="2" t="str">
        <f>CLEAN(TRIM(Working_Sales[[#This Row],[Quantity]]))</f>
        <v>1</v>
      </c>
      <c r="X838" s="2">
        <f>INT(Working_Sales[[#This Row],[`]])</f>
        <v>1</v>
      </c>
      <c r="Y838" s="6">
        <f>IFERROR(
   Working_Sales[[#This Row],[Quantity_Converted_To_Integer]],
   Working_Sales[[#This Row],[Total_Amount_Whitespace_Removed]]/Working_Sales[[#This Row],[Price_Per_Unit_Decimal_Separator_Fixed]])</f>
        <v>1</v>
      </c>
      <c r="Z838" t="s">
        <v>70</v>
      </c>
      <c r="AA838" s="2" t="str">
        <f>CLEAN(TRIM(Working_Sales[[#This Row],[Price per Unit]]))</f>
        <v>30</v>
      </c>
      <c r="AB838" s="2">
        <f>INT(
   SUBSTITUTE(Working_Sales[[#This Row],[Price_Per_Unit_Whitespace_Removed]],
   "$",
   ""
   )
)</f>
        <v>30</v>
      </c>
      <c r="AC838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838" s="8">
        <f>IFERROR(
   Working_Sales[[#This Row],[Price_Per_Unit_Decimal_Separator_Fixed]],
   Working_Sales[[#This Row],[Total_Amount_Converted_To_Integer]]/Working_Sales[[#This Row],[Quantity_Converted_To_Integer]]
)</f>
        <v>30</v>
      </c>
      <c r="AE838" t="s">
        <v>70</v>
      </c>
      <c r="AF838" s="2" t="str">
        <f>CLEAN(TRIM(Working_Sales[[#This Row],[Total Amount]]))</f>
        <v>30</v>
      </c>
      <c r="AG838" s="2">
        <f>INT(Working_Sales[[#This Row],[Total_Amount_Whitespace_Removed]])</f>
        <v>30</v>
      </c>
      <c r="AH83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839" spans="1:34" x14ac:dyDescent="0.35">
      <c r="A839" t="s">
        <v>1719</v>
      </c>
      <c r="B839" s="6" t="str">
        <f>CLEAN(TRIM(Working_Sales[[#This Row],[Transaction ID]]))</f>
        <v>530</v>
      </c>
      <c r="C839" t="s">
        <v>892</v>
      </c>
      <c r="D839" s="2" t="str">
        <f>CLEAN(TRIM(Working_Sales[[#This Row],[Date]]))</f>
        <v>2023-02-05</v>
      </c>
      <c r="E83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44962</v>
      </c>
      <c r="F83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44962</v>
      </c>
      <c r="G83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44962</v>
      </c>
      <c r="H839" t="s">
        <v>2206</v>
      </c>
      <c r="I839" s="2" t="str">
        <f>CLEAN(TRIM(Working_Sales[[#This Row],[Customer ID]]))</f>
        <v>CUST049</v>
      </c>
      <c r="J83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CUST049</v>
      </c>
      <c r="K83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CUST049</v>
      </c>
      <c r="L839" t="s">
        <v>26</v>
      </c>
      <c r="M839" s="4" t="str">
        <f>CLEAN(TRIM(Working_Sales[[#This Row],[Gender]]))</f>
        <v>Female</v>
      </c>
      <c r="N839" s="4" t="str" cm="1">
        <f t="array" ref="N839">_xlfn.SWITCH(
   Working_Sales[[#This Row],[Gender_Whitespace_Removed]],
   "m", "Male",
   "f", "Female",
   Working_Sales[[#This Row],[Gender_Whitespace_Removed]]
)</f>
        <v>Female</v>
      </c>
      <c r="O839" s="6" t="str">
        <f>PROPER(Working_Sales[[#This Row],[Gender_Abbreviation_Expanded]])</f>
        <v>Female</v>
      </c>
      <c r="P839">
        <v>18</v>
      </c>
      <c r="Q839" s="2" t="str">
        <f>CLEAN(TRIM(Working_Sales[[#This Row],[Age]]))</f>
        <v>18</v>
      </c>
      <c r="R839" s="6">
        <f>INT(SUBSTITUTE(Working_Sales[[#This Row],[Age_Whitespace_Removed]],".",","))</f>
        <v>18</v>
      </c>
      <c r="S839" t="s">
        <v>13</v>
      </c>
      <c r="T839" s="2" t="str">
        <f>CLEAN(TRIM(Working_Sales[[#This Row],[Product Category]]))</f>
        <v>Electronics</v>
      </c>
      <c r="U839" s="6" t="str">
        <f>PROPER(Working_Sales[[#This Row],[Product_Category_Whitespace_Removed]])</f>
        <v>Electronics</v>
      </c>
      <c r="V839" t="s">
        <v>14</v>
      </c>
      <c r="W839" s="2" t="str">
        <f>CLEAN(TRIM(Working_Sales[[#This Row],[Quantity]]))</f>
        <v>4</v>
      </c>
      <c r="X839" s="2">
        <f>INT(Working_Sales[[#This Row],[`]])</f>
        <v>4</v>
      </c>
      <c r="Y839" s="6">
        <f>IFERROR(
   Working_Sales[[#This Row],[Quantity_Converted_To_Integer]],
   Working_Sales[[#This Row],[Total_Amount_Whitespace_Removed]]/Working_Sales[[#This Row],[Price_Per_Unit_Decimal_Separator_Fixed]])</f>
        <v>4</v>
      </c>
      <c r="Z839" t="s">
        <v>70</v>
      </c>
      <c r="AA839" s="2" t="str">
        <f>CLEAN(TRIM(Working_Sales[[#This Row],[Price per Unit]]))</f>
        <v>30</v>
      </c>
      <c r="AB839" s="2">
        <f>INT(
   SUBSTITUTE(Working_Sales[[#This Row],[Price_Per_Unit_Whitespace_Removed]],
   "$",
   ""
   )
)</f>
        <v>30</v>
      </c>
      <c r="AC839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839" s="8">
        <f>IFERROR(
   Working_Sales[[#This Row],[Price_Per_Unit_Decimal_Separator_Fixed]],
   Working_Sales[[#This Row],[Total_Amount_Converted_To_Integer]]/Working_Sales[[#This Row],[Quantity_Converted_To_Integer]]
)</f>
        <v>30</v>
      </c>
      <c r="AE839" t="s">
        <v>44</v>
      </c>
      <c r="AF839" s="2" t="str">
        <f>CLEAN(TRIM(Working_Sales[[#This Row],[Total Amount]]))</f>
        <v>120</v>
      </c>
      <c r="AG839" s="2">
        <f>INT(Working_Sales[[#This Row],[Total_Amount_Whitespace_Removed]])</f>
        <v>120</v>
      </c>
      <c r="AH83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840" spans="1:34" x14ac:dyDescent="0.35">
      <c r="A840" t="s">
        <v>1720</v>
      </c>
      <c r="B840" s="6" t="str">
        <f>CLEAN(TRIM(Working_Sales[[#This Row],[Transaction ID]]))</f>
        <v>235</v>
      </c>
      <c r="C840" t="s">
        <v>1721</v>
      </c>
      <c r="D840" s="2" t="str">
        <f>CLEAN(TRIM(Working_Sales[[#This Row],[Date]]))</f>
        <v>2023-01-31</v>
      </c>
      <c r="E84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44957</v>
      </c>
      <c r="F84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44957</v>
      </c>
      <c r="G84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44957</v>
      </c>
      <c r="H840" t="s">
        <v>3009</v>
      </c>
      <c r="I840" s="2" t="str">
        <f>CLEAN(TRIM(Working_Sales[[#This Row],[Customer ID]]))</f>
        <v>CUST384</v>
      </c>
      <c r="J84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4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CUST384</v>
      </c>
      <c r="L840" t="s">
        <v>26</v>
      </c>
      <c r="M840" s="4" t="str">
        <f>CLEAN(TRIM(Working_Sales[[#This Row],[Gender]]))</f>
        <v>Female</v>
      </c>
      <c r="N840" s="4" t="str" cm="1">
        <f t="array" ref="N840">_xlfn.SWITCH(
   Working_Sales[[#This Row],[Gender_Whitespace_Removed]],
   "m", "Male",
   "f", "Female",
   Working_Sales[[#This Row],[Gender_Whitespace_Removed]]
)</f>
        <v>Female</v>
      </c>
      <c r="O840" s="6" t="str">
        <f>PROPER(Working_Sales[[#This Row],[Gender_Abbreviation_Expanded]])</f>
        <v>Female</v>
      </c>
      <c r="P840">
        <v>23</v>
      </c>
      <c r="Q840" s="2" t="str">
        <f>CLEAN(TRIM(Working_Sales[[#This Row],[Age]]))</f>
        <v>23</v>
      </c>
      <c r="R840" s="6">
        <f>INT(SUBSTITUTE(Working_Sales[[#This Row],[Age_Whitespace_Removed]],".",","))</f>
        <v>23</v>
      </c>
      <c r="S840" t="s">
        <v>117</v>
      </c>
      <c r="T840" s="2" t="str">
        <f>CLEAN(TRIM(Working_Sales[[#This Row],[Product Category]]))</f>
        <v>Electronics</v>
      </c>
      <c r="U840" s="6" t="str">
        <f>PROPER(Working_Sales[[#This Row],[Product_Category_Whitespace_Removed]])</f>
        <v>Electronics</v>
      </c>
      <c r="V840" t="s">
        <v>37</v>
      </c>
      <c r="W840" s="2" t="str">
        <f>CLEAN(TRIM(Working_Sales[[#This Row],[Quantity]]))</f>
        <v>2</v>
      </c>
      <c r="X840" s="2">
        <f>INT(Working_Sales[[#This Row],[`]])</f>
        <v>2</v>
      </c>
      <c r="Y840" s="6">
        <f>IFERROR(
   Working_Sales[[#This Row],[Quantity_Converted_To_Integer]],
   Working_Sales[[#This Row],[Total_Amount_Whitespace_Removed]]/Working_Sales[[#This Row],[Price_Per_Unit_Decimal_Separator_Fixed]])</f>
        <v>2</v>
      </c>
      <c r="Z840" t="s">
        <v>57</v>
      </c>
      <c r="AA840" s="2" t="str">
        <f>CLEAN(TRIM(Working_Sales[[#This Row],[Price per Unit]]))</f>
        <v>500</v>
      </c>
      <c r="AB840" s="2">
        <f>INT(
   SUBSTITUTE(Working_Sales[[#This Row],[Price_Per_Unit_Whitespace_Removed]],
   "$",
   ""
   )
)</f>
        <v>500</v>
      </c>
      <c r="AC840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840" s="8">
        <f>IFERROR(
   Working_Sales[[#This Row],[Price_Per_Unit_Decimal_Separator_Fixed]],
   Working_Sales[[#This Row],[Total_Amount_Converted_To_Integer]]/Working_Sales[[#This Row],[Quantity_Converted_To_Integer]]
)</f>
        <v>500</v>
      </c>
      <c r="AE840" t="s">
        <v>163</v>
      </c>
      <c r="AF840" s="2" t="str">
        <f>CLEAN(TRIM(Working_Sales[[#This Row],[Total Amount]]))</f>
        <v>1000</v>
      </c>
      <c r="AG840" s="2">
        <f>INT(Working_Sales[[#This Row],[Total_Amount_Whitespace_Removed]])</f>
        <v>1000</v>
      </c>
      <c r="AH84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841" spans="1:34" x14ac:dyDescent="0.35">
      <c r="A841" t="s">
        <v>1723</v>
      </c>
      <c r="B841" s="6" t="str">
        <f>CLEAN(TRIM(Working_Sales[[#This Row],[Transaction ID]]))</f>
        <v>487</v>
      </c>
      <c r="C841" t="s">
        <v>1412</v>
      </c>
      <c r="D841" s="2" t="str">
        <f>CLEAN(TRIM(Working_Sales[[#This Row],[Date]]))</f>
        <v>24/07/2023</v>
      </c>
      <c r="E84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45131</v>
      </c>
      <c r="F84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45131</v>
      </c>
      <c r="G84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45131</v>
      </c>
      <c r="H841" t="s">
        <v>3010</v>
      </c>
      <c r="I841" s="2" t="str">
        <f>CLEAN(TRIM(Working_Sales[[#This Row],[Customer ID]]))</f>
        <v>Cust125</v>
      </c>
      <c r="J84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4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CUST125</v>
      </c>
      <c r="L841" t="s">
        <v>20</v>
      </c>
      <c r="M841" s="4" t="str">
        <f>CLEAN(TRIM(Working_Sales[[#This Row],[Gender]]))</f>
        <v>male</v>
      </c>
      <c r="N841" s="4" t="str" cm="1">
        <f t="array" ref="N841">_xlfn.SWITCH(
   Working_Sales[[#This Row],[Gender_Whitespace_Removed]],
   "m", "Male",
   "f", "Female",
   Working_Sales[[#This Row],[Gender_Whitespace_Removed]]
)</f>
        <v>male</v>
      </c>
      <c r="O841" s="6" t="str">
        <f>PROPER(Working_Sales[[#This Row],[Gender_Abbreviation_Expanded]])</f>
        <v>Male</v>
      </c>
      <c r="P841">
        <v>44</v>
      </c>
      <c r="Q841" s="2" t="str">
        <f>CLEAN(TRIM(Working_Sales[[#This Row],[Age]]))</f>
        <v>44</v>
      </c>
      <c r="R841" s="6">
        <f>INT(SUBSTITUTE(Working_Sales[[#This Row],[Age_Whitespace_Removed]],".",","))</f>
        <v>44</v>
      </c>
      <c r="S841" t="s">
        <v>56</v>
      </c>
      <c r="T841" s="2" t="str">
        <f>CLEAN(TRIM(Working_Sales[[#This Row],[Product Category]]))</f>
        <v>Clothing</v>
      </c>
      <c r="U841" s="6" t="str">
        <f>PROPER(Working_Sales[[#This Row],[Product_Category_Whitespace_Removed]])</f>
        <v>Clothing</v>
      </c>
      <c r="V841" t="s">
        <v>14</v>
      </c>
      <c r="W841" s="2" t="str">
        <f>CLEAN(TRIM(Working_Sales[[#This Row],[Quantity]]))</f>
        <v>4</v>
      </c>
      <c r="X841" s="2">
        <f>INT(Working_Sales[[#This Row],[`]])</f>
        <v>4</v>
      </c>
      <c r="Y841" s="6">
        <f>IFERROR(
   Working_Sales[[#This Row],[Quantity_Converted_To_Integer]],
   Working_Sales[[#This Row],[Total_Amount_Whitespace_Removed]]/Working_Sales[[#This Row],[Price_Per_Unit_Decimal_Separator_Fixed]])</f>
        <v>4</v>
      </c>
      <c r="Z841" t="s">
        <v>57</v>
      </c>
      <c r="AA841" s="2" t="str">
        <f>CLEAN(TRIM(Working_Sales[[#This Row],[Price per Unit]]))</f>
        <v>500</v>
      </c>
      <c r="AB841" s="2">
        <f>INT(
   SUBSTITUTE(Working_Sales[[#This Row],[Price_Per_Unit_Whitespace_Removed]],
   "$",
   ""
   )
)</f>
        <v>500</v>
      </c>
      <c r="AC841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841" s="8">
        <f>IFERROR(
   Working_Sales[[#This Row],[Price_Per_Unit_Decimal_Separator_Fixed]],
   Working_Sales[[#This Row],[Total_Amount_Converted_To_Integer]]/Working_Sales[[#This Row],[Quantity_Converted_To_Integer]]
)</f>
        <v>500</v>
      </c>
      <c r="AE841" t="s">
        <v>232</v>
      </c>
      <c r="AF841" s="2" t="str">
        <f>CLEAN(TRIM(Working_Sales[[#This Row],[Total Amount]]))</f>
        <v>2000</v>
      </c>
      <c r="AG841" s="2">
        <f>INT(Working_Sales[[#This Row],[Total_Amount_Whitespace_Removed]])</f>
        <v>2000</v>
      </c>
      <c r="AH84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842" spans="1:34" x14ac:dyDescent="0.35">
      <c r="A842" t="s">
        <v>1725</v>
      </c>
      <c r="B842" s="6" t="str">
        <f>CLEAN(TRIM(Working_Sales[[#This Row],[Transaction ID]]))</f>
        <v>914</v>
      </c>
      <c r="C842" t="s">
        <v>2110</v>
      </c>
      <c r="D842" s="2" t="str">
        <f>CLEAN(TRIM(Working_Sales[[#This Row],[Date]]))</f>
        <v>October 11, 2023</v>
      </c>
      <c r="E842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842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84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45210</v>
      </c>
      <c r="H842" t="s">
        <v>1201</v>
      </c>
      <c r="I842" s="2" t="str">
        <f>CLEAN(TRIM(Working_Sales[[#This Row],[Customer ID]]))</f>
        <v>CUST094</v>
      </c>
      <c r="J84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CUST094</v>
      </c>
      <c r="K84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CUST094</v>
      </c>
      <c r="L842" t="s">
        <v>112</v>
      </c>
      <c r="M842" s="4" t="str">
        <f>CLEAN(TRIM(Working_Sales[[#This Row],[Gender]]))</f>
        <v>female</v>
      </c>
      <c r="N842" s="4" t="str" cm="1">
        <f t="array" ref="N842">_xlfn.SWITCH(
   Working_Sales[[#This Row],[Gender_Whitespace_Removed]],
   "m", "Male",
   "f", "Female",
   Working_Sales[[#This Row],[Gender_Whitespace_Removed]]
)</f>
        <v>female</v>
      </c>
      <c r="O842" s="6" t="str">
        <f>PROPER(Working_Sales[[#This Row],[Gender_Abbreviation_Expanded]])</f>
        <v>Female</v>
      </c>
      <c r="P842">
        <v>59</v>
      </c>
      <c r="Q842" s="2" t="str">
        <f>CLEAN(TRIM(Working_Sales[[#This Row],[Age]]))</f>
        <v>59</v>
      </c>
      <c r="R842" s="6">
        <f>INT(SUBSTITUTE(Working_Sales[[#This Row],[Age_Whitespace_Removed]],".",","))</f>
        <v>59</v>
      </c>
      <c r="S842" t="s">
        <v>99</v>
      </c>
      <c r="T842" s="2" t="str">
        <f>CLEAN(TRIM(Working_Sales[[#This Row],[Product Category]]))</f>
        <v>ELECTRONICS</v>
      </c>
      <c r="U842" s="6" t="str">
        <f>PROPER(Working_Sales[[#This Row],[Product_Category_Whitespace_Removed]])</f>
        <v>Electronics</v>
      </c>
      <c r="V842" t="s">
        <v>22</v>
      </c>
      <c r="W842" s="2" t="str">
        <f>CLEAN(TRIM(Working_Sales[[#This Row],[Quantity]]))</f>
        <v>1</v>
      </c>
      <c r="X842" s="2">
        <f>INT(Working_Sales[[#This Row],[`]])</f>
        <v>1</v>
      </c>
      <c r="Y842" s="6">
        <f>IFERROR(
   Working_Sales[[#This Row],[Quantity_Converted_To_Integer]],
   Working_Sales[[#This Row],[Total_Amount_Whitespace_Removed]]/Working_Sales[[#This Row],[Price_Per_Unit_Decimal_Separator_Fixed]])</f>
        <v>1</v>
      </c>
      <c r="Z842" t="s">
        <v>57</v>
      </c>
      <c r="AA842" s="2" t="str">
        <f>CLEAN(TRIM(Working_Sales[[#This Row],[Price per Unit]]))</f>
        <v>500</v>
      </c>
      <c r="AB842" s="2">
        <f>INT(
   SUBSTITUTE(Working_Sales[[#This Row],[Price_Per_Unit_Whitespace_Removed]],
   "$",
   ""
   )
)</f>
        <v>500</v>
      </c>
      <c r="AC842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842" s="8">
        <f>IFERROR(
   Working_Sales[[#This Row],[Price_Per_Unit_Decimal_Separator_Fixed]],
   Working_Sales[[#This Row],[Total_Amount_Converted_To_Integer]]/Working_Sales[[#This Row],[Quantity_Converted_To_Integer]]
)</f>
        <v>500</v>
      </c>
      <c r="AE842" t="s">
        <v>57</v>
      </c>
      <c r="AF842" s="2" t="str">
        <f>CLEAN(TRIM(Working_Sales[[#This Row],[Total Amount]]))</f>
        <v>500</v>
      </c>
      <c r="AG842" s="2">
        <f>INT(Working_Sales[[#This Row],[Total_Amount_Whitespace_Removed]])</f>
        <v>500</v>
      </c>
      <c r="AH84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843" spans="1:34" x14ac:dyDescent="0.35">
      <c r="A843" t="s">
        <v>1726</v>
      </c>
      <c r="B843" s="6" t="str">
        <f>CLEAN(TRIM(Working_Sales[[#This Row],[Transaction ID]]))</f>
        <v>498</v>
      </c>
      <c r="C843" t="s">
        <v>1075</v>
      </c>
      <c r="D843" s="2" t="str">
        <f>CLEAN(TRIM(Working_Sales[[#This Row],[Date]]))</f>
        <v>2023-06-19</v>
      </c>
      <c r="E84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45096</v>
      </c>
      <c r="F84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45096</v>
      </c>
      <c r="G84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45096</v>
      </c>
      <c r="H843" t="s">
        <v>3011</v>
      </c>
      <c r="I843" s="2" t="str">
        <f>CLEAN(TRIM(Working_Sales[[#This Row],[Customer ID]]))</f>
        <v>CUST219</v>
      </c>
      <c r="J84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CUST219</v>
      </c>
      <c r="K84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CUST219</v>
      </c>
      <c r="L843" t="s">
        <v>26</v>
      </c>
      <c r="M843" s="4" t="str">
        <f>CLEAN(TRIM(Working_Sales[[#This Row],[Gender]]))</f>
        <v>Female</v>
      </c>
      <c r="N843" s="4" t="str" cm="1">
        <f t="array" ref="N843">_xlfn.SWITCH(
   Working_Sales[[#This Row],[Gender_Whitespace_Removed]],
   "m", "Male",
   "f", "Female",
   Working_Sales[[#This Row],[Gender_Whitespace_Removed]]
)</f>
        <v>Female</v>
      </c>
      <c r="O843" s="6" t="str">
        <f>PROPER(Working_Sales[[#This Row],[Gender_Abbreviation_Expanded]])</f>
        <v>Female</v>
      </c>
      <c r="P843">
        <v>50</v>
      </c>
      <c r="Q843" s="2" t="str">
        <f>CLEAN(TRIM(Working_Sales[[#This Row],[Age]]))</f>
        <v>50</v>
      </c>
      <c r="R843" s="6">
        <f>INT(SUBSTITUTE(Working_Sales[[#This Row],[Age_Whitespace_Removed]],".",","))</f>
        <v>50</v>
      </c>
      <c r="S843" t="s">
        <v>56</v>
      </c>
      <c r="T843" s="2" t="str">
        <f>CLEAN(TRIM(Working_Sales[[#This Row],[Product Category]]))</f>
        <v>Clothing</v>
      </c>
      <c r="U843" s="6" t="str">
        <f>PROPER(Working_Sales[[#This Row],[Product_Category_Whitespace_Removed]])</f>
        <v>Clothing</v>
      </c>
      <c r="W843" s="2" t="str">
        <f>CLEAN(TRIM(Working_Sales[[#This Row],[Quantity]]))</f>
        <v/>
      </c>
      <c r="X843" s="2" t="e">
        <f>INT(Working_Sales[[#This Row],[`]])</f>
        <v>#VALUE!</v>
      </c>
      <c r="Y843" s="6">
        <f>IFERROR(
   Working_Sales[[#This Row],[Quantity_Converted_To_Integer]],
   Working_Sales[[#This Row],[Total_Amount_Whitespace_Removed]]/Working_Sales[[#This Row],[Price_Per_Unit_Decimal_Separator_Fixed]])</f>
        <v>4</v>
      </c>
      <c r="Z843" t="s">
        <v>30</v>
      </c>
      <c r="AA843" s="2" t="str">
        <f>CLEAN(TRIM(Working_Sales[[#This Row],[Price per Unit]]))</f>
        <v>25</v>
      </c>
      <c r="AB843" s="2">
        <f>INT(
   SUBSTITUTE(Working_Sales[[#This Row],[Price_Per_Unit_Whitespace_Removed]],
   "$",
   ""
   )
)</f>
        <v>25</v>
      </c>
      <c r="AC843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843" s="8">
        <f>IFERROR(
   Working_Sales[[#This Row],[Price_Per_Unit_Decimal_Separator_Fixed]],
   Working_Sales[[#This Row],[Total_Amount_Converted_To_Integer]]/Working_Sales[[#This Row],[Quantity_Converted_To_Integer]]
)</f>
        <v>25</v>
      </c>
      <c r="AE843" t="s">
        <v>38</v>
      </c>
      <c r="AF843" s="2" t="str">
        <f>CLEAN(TRIM(Working_Sales[[#This Row],[Total Amount]]))</f>
        <v>100</v>
      </c>
      <c r="AG843" s="2">
        <f>INT(Working_Sales[[#This Row],[Total_Amount_Whitespace_Removed]])</f>
        <v>100</v>
      </c>
      <c r="AH84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844" spans="1:34" x14ac:dyDescent="0.35">
      <c r="A844" t="s">
        <v>1728</v>
      </c>
      <c r="B844" s="6" t="str">
        <f>CLEAN(TRIM(Working_Sales[[#This Row],[Transaction ID]]))</f>
        <v>908</v>
      </c>
      <c r="C844" t="s">
        <v>1729</v>
      </c>
      <c r="D844" s="2" t="str">
        <f>CLEAN(TRIM(Working_Sales[[#This Row],[Date]]))</f>
        <v>12/29/2023</v>
      </c>
      <c r="E844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84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45289</v>
      </c>
      <c r="G84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45289</v>
      </c>
      <c r="H844" t="s">
        <v>2248</v>
      </c>
      <c r="I844" s="2" t="str">
        <f>CLEAN(TRIM(Working_Sales[[#This Row],[Customer ID]]))</f>
        <v>CUST471</v>
      </c>
      <c r="J84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CUST471</v>
      </c>
      <c r="K84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CUST471</v>
      </c>
      <c r="L844" t="s">
        <v>34</v>
      </c>
      <c r="M844" s="4" t="str">
        <f>CLEAN(TRIM(Working_Sales[[#This Row],[Gender]]))</f>
        <v>Male</v>
      </c>
      <c r="N844" s="4" t="str" cm="1">
        <f t="array" ref="N844">_xlfn.SWITCH(
   Working_Sales[[#This Row],[Gender_Whitespace_Removed]],
   "m", "Male",
   "f", "Female",
   Working_Sales[[#This Row],[Gender_Whitespace_Removed]]
)</f>
        <v>Male</v>
      </c>
      <c r="O844" s="6" t="str">
        <f>PROPER(Working_Sales[[#This Row],[Gender_Abbreviation_Expanded]])</f>
        <v>Male</v>
      </c>
      <c r="P844">
        <v>46</v>
      </c>
      <c r="Q844" s="2" t="str">
        <f>CLEAN(TRIM(Working_Sales[[#This Row],[Age]]))</f>
        <v>46</v>
      </c>
      <c r="R844" s="6">
        <f>INT(SUBSTITUTE(Working_Sales[[#This Row],[Age_Whitespace_Removed]],".",","))</f>
        <v>46</v>
      </c>
      <c r="S844" t="s">
        <v>69</v>
      </c>
      <c r="T844" s="2" t="str">
        <f>CLEAN(TRIM(Working_Sales[[#This Row],[Product Category]]))</f>
        <v>BEAUTY</v>
      </c>
      <c r="U844" s="6" t="str">
        <f>PROPER(Working_Sales[[#This Row],[Product_Category_Whitespace_Removed]])</f>
        <v>Beauty</v>
      </c>
      <c r="V844" t="s">
        <v>14</v>
      </c>
      <c r="W844" s="2" t="str">
        <f>CLEAN(TRIM(Working_Sales[[#This Row],[Quantity]]))</f>
        <v>4</v>
      </c>
      <c r="X844" s="2">
        <f>INT(Working_Sales[[#This Row],[`]])</f>
        <v>4</v>
      </c>
      <c r="Y844" s="6">
        <f>IFERROR(
   Working_Sales[[#This Row],[Quantity_Converted_To_Integer]],
   Working_Sales[[#This Row],[Total_Amount_Whitespace_Removed]]/Working_Sales[[#This Row],[Price_Per_Unit_Decimal_Separator_Fixed]])</f>
        <v>4</v>
      </c>
      <c r="Z844" t="s">
        <v>23</v>
      </c>
      <c r="AA844" s="2" t="str">
        <f>CLEAN(TRIM(Working_Sales[[#This Row],[Price per Unit]]))</f>
        <v>300</v>
      </c>
      <c r="AB844" s="2">
        <f>INT(
   SUBSTITUTE(Working_Sales[[#This Row],[Price_Per_Unit_Whitespace_Removed]],
   "$",
   ""
   )
)</f>
        <v>300</v>
      </c>
      <c r="AC844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844" s="8">
        <f>IFERROR(
   Working_Sales[[#This Row],[Price_Per_Unit_Decimal_Separator_Fixed]],
   Working_Sales[[#This Row],[Total_Amount_Converted_To_Integer]]/Working_Sales[[#This Row],[Quantity_Converted_To_Integer]]
)</f>
        <v>300</v>
      </c>
      <c r="AE844" t="s">
        <v>79</v>
      </c>
      <c r="AF844" s="2" t="str">
        <f>CLEAN(TRIM(Working_Sales[[#This Row],[Total Amount]]))</f>
        <v>1200</v>
      </c>
      <c r="AG844" s="2">
        <f>INT(Working_Sales[[#This Row],[Total_Amount_Whitespace_Removed]])</f>
        <v>1200</v>
      </c>
      <c r="AH84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845" spans="1:34" x14ac:dyDescent="0.35">
      <c r="A845" t="s">
        <v>1730</v>
      </c>
      <c r="B845" s="6" t="str">
        <f>CLEAN(TRIM(Working_Sales[[#This Row],[Transaction ID]]))</f>
        <v>107</v>
      </c>
      <c r="C845" t="s">
        <v>969</v>
      </c>
      <c r="D845" s="2" t="str">
        <f>CLEAN(TRIM(Working_Sales[[#This Row],[Date]]))</f>
        <v>2023-02-03</v>
      </c>
      <c r="E84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44960</v>
      </c>
      <c r="F84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44960</v>
      </c>
      <c r="G84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44960</v>
      </c>
      <c r="H845" t="s">
        <v>3012</v>
      </c>
      <c r="I845" s="2" t="str">
        <f>CLEAN(TRIM(Working_Sales[[#This Row],[Customer ID]]))</f>
        <v>CUST030</v>
      </c>
      <c r="J84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4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CUST030</v>
      </c>
      <c r="L845" t="s">
        <v>26</v>
      </c>
      <c r="M845" s="4" t="str">
        <f>CLEAN(TRIM(Working_Sales[[#This Row],[Gender]]))</f>
        <v>Female</v>
      </c>
      <c r="N845" s="4" t="str" cm="1">
        <f t="array" ref="N845">_xlfn.SWITCH(
   Working_Sales[[#This Row],[Gender_Whitespace_Removed]],
   "m", "Male",
   "f", "Female",
   Working_Sales[[#This Row],[Gender_Whitespace_Removed]]
)</f>
        <v>Female</v>
      </c>
      <c r="O845" s="6" t="str">
        <f>PROPER(Working_Sales[[#This Row],[Gender_Abbreviation_Expanded]])</f>
        <v>Female</v>
      </c>
      <c r="P845" t="s">
        <v>195</v>
      </c>
      <c r="Q845" s="2" t="str">
        <f>CLEAN(TRIM(Working_Sales[[#This Row],[Age]]))</f>
        <v>21</v>
      </c>
      <c r="R845" s="6">
        <f>INT(SUBSTITUTE(Working_Sales[[#This Row],[Age_Whitespace_Removed]],".",","))</f>
        <v>21</v>
      </c>
      <c r="S845" t="s">
        <v>124</v>
      </c>
      <c r="T845" s="2" t="str">
        <f>CLEAN(TRIM(Working_Sales[[#This Row],[Product Category]]))</f>
        <v>Clothing</v>
      </c>
      <c r="U845" s="6" t="str">
        <f>PROPER(Working_Sales[[#This Row],[Product_Category_Whitespace_Removed]])</f>
        <v>Clothing</v>
      </c>
      <c r="V845" t="s">
        <v>14</v>
      </c>
      <c r="W845" s="2" t="str">
        <f>CLEAN(TRIM(Working_Sales[[#This Row],[Quantity]]))</f>
        <v>4</v>
      </c>
      <c r="X845" s="2">
        <f>INT(Working_Sales[[#This Row],[`]])</f>
        <v>4</v>
      </c>
      <c r="Y845" s="6">
        <f>IFERROR(
   Working_Sales[[#This Row],[Quantity_Converted_To_Integer]],
   Working_Sales[[#This Row],[Total_Amount_Whitespace_Removed]]/Working_Sales[[#This Row],[Price_Per_Unit_Decimal_Separator_Fixed]])</f>
        <v>4</v>
      </c>
      <c r="Z845" t="s">
        <v>23</v>
      </c>
      <c r="AA845" s="2" t="str">
        <f>CLEAN(TRIM(Working_Sales[[#This Row],[Price per Unit]]))</f>
        <v>300</v>
      </c>
      <c r="AB845" s="2">
        <f>INT(
   SUBSTITUTE(Working_Sales[[#This Row],[Price_Per_Unit_Whitespace_Removed]],
   "$",
   ""
   )
)</f>
        <v>300</v>
      </c>
      <c r="AC845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845" s="8">
        <f>IFERROR(
   Working_Sales[[#This Row],[Price_Per_Unit_Decimal_Separator_Fixed]],
   Working_Sales[[#This Row],[Total_Amount_Converted_To_Integer]]/Working_Sales[[#This Row],[Quantity_Converted_To_Integer]]
)</f>
        <v>300</v>
      </c>
      <c r="AE845" t="s">
        <v>79</v>
      </c>
      <c r="AF845" s="2" t="str">
        <f>CLEAN(TRIM(Working_Sales[[#This Row],[Total Amount]]))</f>
        <v>1200</v>
      </c>
      <c r="AG845" s="2">
        <f>INT(Working_Sales[[#This Row],[Total_Amount_Whitespace_Removed]])</f>
        <v>1200</v>
      </c>
      <c r="AH84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846" spans="1:34" x14ac:dyDescent="0.35">
      <c r="A846" t="s">
        <v>1732</v>
      </c>
      <c r="B846" s="6" t="str">
        <f>CLEAN(TRIM(Working_Sales[[#This Row],[Transaction ID]]))</f>
        <v>444</v>
      </c>
      <c r="C846" t="s">
        <v>1485</v>
      </c>
      <c r="D846" s="2" t="str">
        <f>CLEAN(TRIM(Working_Sales[[#This Row],[Date]]))</f>
        <v>March 07, 2023</v>
      </c>
      <c r="E846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846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84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44992</v>
      </c>
      <c r="H846" t="s">
        <v>3013</v>
      </c>
      <c r="I846" s="2" t="str">
        <f>CLEAN(TRIM(Working_Sales[[#This Row],[Customer ID]]))</f>
        <v>Cust323</v>
      </c>
      <c r="J84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4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CUST323</v>
      </c>
      <c r="L846" t="s">
        <v>26</v>
      </c>
      <c r="M846" s="4" t="str">
        <f>CLEAN(TRIM(Working_Sales[[#This Row],[Gender]]))</f>
        <v>Female</v>
      </c>
      <c r="N846" s="4" t="str" cm="1">
        <f t="array" ref="N846">_xlfn.SWITCH(
   Working_Sales[[#This Row],[Gender_Whitespace_Removed]],
   "m", "Male",
   "f", "Female",
   Working_Sales[[#This Row],[Gender_Whitespace_Removed]]
)</f>
        <v>Female</v>
      </c>
      <c r="O846" s="6" t="str">
        <f>PROPER(Working_Sales[[#This Row],[Gender_Abbreviation_Expanded]])</f>
        <v>Female</v>
      </c>
      <c r="P846">
        <v>61</v>
      </c>
      <c r="Q846" s="2" t="str">
        <f>CLEAN(TRIM(Working_Sales[[#This Row],[Age]]))</f>
        <v>61</v>
      </c>
      <c r="R846" s="6">
        <f>INT(SUBSTITUTE(Working_Sales[[#This Row],[Age_Whitespace_Removed]],".",","))</f>
        <v>61</v>
      </c>
      <c r="S846" t="s">
        <v>56</v>
      </c>
      <c r="T846" s="2" t="str">
        <f>CLEAN(TRIM(Working_Sales[[#This Row],[Product Category]]))</f>
        <v>Clothing</v>
      </c>
      <c r="U846" s="6" t="str">
        <f>PROPER(Working_Sales[[#This Row],[Product_Category_Whitespace_Removed]])</f>
        <v>Clothing</v>
      </c>
      <c r="V846" t="s">
        <v>29</v>
      </c>
      <c r="W846" s="2" t="str">
        <f>CLEAN(TRIM(Working_Sales[[#This Row],[Quantity]]))</f>
        <v>3</v>
      </c>
      <c r="X846" s="2">
        <f>INT(Working_Sales[[#This Row],[`]])</f>
        <v>3</v>
      </c>
      <c r="Y846" s="6">
        <f>IFERROR(
   Working_Sales[[#This Row],[Quantity_Converted_To_Integer]],
   Working_Sales[[#This Row],[Total_Amount_Whitespace_Removed]]/Working_Sales[[#This Row],[Price_Per_Unit_Decimal_Separator_Fixed]])</f>
        <v>3</v>
      </c>
      <c r="Z846" t="s">
        <v>70</v>
      </c>
      <c r="AA846" s="2" t="str">
        <f>CLEAN(TRIM(Working_Sales[[#This Row],[Price per Unit]]))</f>
        <v>30</v>
      </c>
      <c r="AB846" s="2">
        <f>INT(
   SUBSTITUTE(Working_Sales[[#This Row],[Price_Per_Unit_Whitespace_Removed]],
   "$",
   ""
   )
)</f>
        <v>30</v>
      </c>
      <c r="AC846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846" s="8">
        <f>IFERROR(
   Working_Sales[[#This Row],[Price_Per_Unit_Decimal_Separator_Fixed]],
   Working_Sales[[#This Row],[Total_Amount_Converted_To_Integer]]/Working_Sales[[#This Row],[Quantity_Converted_To_Integer]]
)</f>
        <v>30</v>
      </c>
      <c r="AE846" t="s">
        <v>191</v>
      </c>
      <c r="AF846" s="2" t="str">
        <f>CLEAN(TRIM(Working_Sales[[#This Row],[Total Amount]]))</f>
        <v>90</v>
      </c>
      <c r="AG846" s="2">
        <f>INT(Working_Sales[[#This Row],[Total_Amount_Whitespace_Removed]])</f>
        <v>90</v>
      </c>
      <c r="AH84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847" spans="1:34" x14ac:dyDescent="0.35">
      <c r="A847" t="s">
        <v>1734</v>
      </c>
      <c r="B847" s="6" t="str">
        <f>CLEAN(TRIM(Working_Sales[[#This Row],[Transaction ID]]))</f>
        <v>489</v>
      </c>
      <c r="C847" t="s">
        <v>397</v>
      </c>
      <c r="D847" s="2" t="str">
        <f>CLEAN(TRIM(Working_Sales[[#This Row],[Date]]))</f>
        <v>23/05/2023</v>
      </c>
      <c r="E84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45069</v>
      </c>
      <c r="F84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45069</v>
      </c>
      <c r="G84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45069</v>
      </c>
      <c r="H847" t="s">
        <v>1584</v>
      </c>
      <c r="I847" s="2" t="str">
        <f>CLEAN(TRIM(Working_Sales[[#This Row],[Customer ID]]))</f>
        <v>CUST144</v>
      </c>
      <c r="J84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CUST144</v>
      </c>
      <c r="K84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CUST144</v>
      </c>
      <c r="L847" t="s">
        <v>34</v>
      </c>
      <c r="M847" s="4" t="str">
        <f>CLEAN(TRIM(Working_Sales[[#This Row],[Gender]]))</f>
        <v>Male</v>
      </c>
      <c r="N847" s="4" t="str" cm="1">
        <f t="array" ref="N847">_xlfn.SWITCH(
   Working_Sales[[#This Row],[Gender_Whitespace_Removed]],
   "m", "Male",
   "f", "Female",
   Working_Sales[[#This Row],[Gender_Whitespace_Removed]]
)</f>
        <v>Male</v>
      </c>
      <c r="O847" s="6" t="str">
        <f>PROPER(Working_Sales[[#This Row],[Gender_Abbreviation_Expanded]])</f>
        <v>Male</v>
      </c>
      <c r="P847">
        <v>44</v>
      </c>
      <c r="Q847" s="2" t="str">
        <f>CLEAN(TRIM(Working_Sales[[#This Row],[Age]]))</f>
        <v>44</v>
      </c>
      <c r="R847" s="6">
        <f>INT(SUBSTITUTE(Working_Sales[[#This Row],[Age_Whitespace_Removed]],".",","))</f>
        <v>44</v>
      </c>
      <c r="S847" t="s">
        <v>13</v>
      </c>
      <c r="T847" s="2" t="str">
        <f>CLEAN(TRIM(Working_Sales[[#This Row],[Product Category]]))</f>
        <v>Electronics</v>
      </c>
      <c r="U847" s="6" t="str">
        <f>PROPER(Working_Sales[[#This Row],[Product_Category_Whitespace_Removed]])</f>
        <v>Electronics</v>
      </c>
      <c r="V847" t="s">
        <v>22</v>
      </c>
      <c r="W847" s="2" t="str">
        <f>CLEAN(TRIM(Working_Sales[[#This Row],[Quantity]]))</f>
        <v>1</v>
      </c>
      <c r="X847" s="2">
        <f>INT(Working_Sales[[#This Row],[`]])</f>
        <v>1</v>
      </c>
      <c r="Y847" s="6">
        <f>IFERROR(
   Working_Sales[[#This Row],[Quantity_Converted_To_Integer]],
   Working_Sales[[#This Row],[Total_Amount_Whitespace_Removed]]/Working_Sales[[#This Row],[Price_Per_Unit_Decimal_Separator_Fixed]])</f>
        <v>1</v>
      </c>
      <c r="Z847" t="s">
        <v>70</v>
      </c>
      <c r="AA847" s="2" t="str">
        <f>CLEAN(TRIM(Working_Sales[[#This Row],[Price per Unit]]))</f>
        <v>30</v>
      </c>
      <c r="AB847" s="2">
        <f>INT(
   SUBSTITUTE(Working_Sales[[#This Row],[Price_Per_Unit_Whitespace_Removed]],
   "$",
   ""
   )
)</f>
        <v>30</v>
      </c>
      <c r="AC847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847" s="8">
        <f>IFERROR(
   Working_Sales[[#This Row],[Price_Per_Unit_Decimal_Separator_Fixed]],
   Working_Sales[[#This Row],[Total_Amount_Converted_To_Integer]]/Working_Sales[[#This Row],[Quantity_Converted_To_Integer]]
)</f>
        <v>30</v>
      </c>
      <c r="AE847" t="s">
        <v>70</v>
      </c>
      <c r="AF847" s="2" t="str">
        <f>CLEAN(TRIM(Working_Sales[[#This Row],[Total Amount]]))</f>
        <v>30</v>
      </c>
      <c r="AG847" s="2">
        <f>INT(Working_Sales[[#This Row],[Total_Amount_Whitespace_Removed]])</f>
        <v>30</v>
      </c>
      <c r="AH84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848" spans="1:34" x14ac:dyDescent="0.35">
      <c r="A848" t="s">
        <v>1736</v>
      </c>
      <c r="B848" s="6" t="str">
        <f>CLEAN(TRIM(Working_Sales[[#This Row],[Transaction ID]]))</f>
        <v>647</v>
      </c>
      <c r="C848" t="s">
        <v>2160</v>
      </c>
      <c r="D848" s="2" t="str">
        <f>CLEAN(TRIM(Working_Sales[[#This Row],[Date]]))</f>
        <v>05/21/2023</v>
      </c>
      <c r="E848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84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45067</v>
      </c>
      <c r="G84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45067</v>
      </c>
      <c r="H848" t="s">
        <v>2307</v>
      </c>
      <c r="I848" s="2" t="str">
        <f>CLEAN(TRIM(Working_Sales[[#This Row],[Customer ID]]))</f>
        <v>CUST216</v>
      </c>
      <c r="J84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CUST216</v>
      </c>
      <c r="K84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CUST216</v>
      </c>
      <c r="L848" t="s">
        <v>34</v>
      </c>
      <c r="M848" s="4" t="str">
        <f>CLEAN(TRIM(Working_Sales[[#This Row],[Gender]]))</f>
        <v>Male</v>
      </c>
      <c r="N848" s="4" t="str" cm="1">
        <f t="array" ref="N848">_xlfn.SWITCH(
   Working_Sales[[#This Row],[Gender_Whitespace_Removed]],
   "m", "Male",
   "f", "Female",
   Working_Sales[[#This Row],[Gender_Whitespace_Removed]]
)</f>
        <v>Male</v>
      </c>
      <c r="O848" s="6" t="str">
        <f>PROPER(Working_Sales[[#This Row],[Gender_Abbreviation_Expanded]])</f>
        <v>Male</v>
      </c>
      <c r="P848">
        <v>59</v>
      </c>
      <c r="Q848" s="2" t="str">
        <f>CLEAN(TRIM(Working_Sales[[#This Row],[Age]]))</f>
        <v>59</v>
      </c>
      <c r="R848" s="6">
        <f>INT(SUBSTITUTE(Working_Sales[[#This Row],[Age_Whitespace_Removed]],".",","))</f>
        <v>59</v>
      </c>
      <c r="S848" t="s">
        <v>89</v>
      </c>
      <c r="T848" s="2" t="str">
        <f>CLEAN(TRIM(Working_Sales[[#This Row],[Product Category]]))</f>
        <v>CLOTHING</v>
      </c>
      <c r="U848" s="6" t="str">
        <f>PROPER(Working_Sales[[#This Row],[Product_Category_Whitespace_Removed]])</f>
        <v>Clothing</v>
      </c>
      <c r="V848" t="s">
        <v>29</v>
      </c>
      <c r="W848" s="2" t="str">
        <f>CLEAN(TRIM(Working_Sales[[#This Row],[Quantity]]))</f>
        <v>3</v>
      </c>
      <c r="X848" s="2">
        <f>INT(Working_Sales[[#This Row],[`]])</f>
        <v>3</v>
      </c>
      <c r="Y848" s="6">
        <f>IFERROR(
   Working_Sales[[#This Row],[Quantity_Converted_To_Integer]],
   Working_Sales[[#This Row],[Total_Amount_Whitespace_Removed]]/Working_Sales[[#This Row],[Price_Per_Unit_Decimal_Separator_Fixed]])</f>
        <v>3</v>
      </c>
      <c r="Z848" t="s">
        <v>57</v>
      </c>
      <c r="AA848" s="2" t="str">
        <f>CLEAN(TRIM(Working_Sales[[#This Row],[Price per Unit]]))</f>
        <v>500</v>
      </c>
      <c r="AB848" s="2">
        <f>INT(
   SUBSTITUTE(Working_Sales[[#This Row],[Price_Per_Unit_Whitespace_Removed]],
   "$",
   ""
   )
)</f>
        <v>500</v>
      </c>
      <c r="AC848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848" s="8">
        <f>IFERROR(
   Working_Sales[[#This Row],[Price_Per_Unit_Decimal_Separator_Fixed]],
   Working_Sales[[#This Row],[Total_Amount_Converted_To_Integer]]/Working_Sales[[#This Row],[Quantity_Converted_To_Integer]]
)</f>
        <v>500</v>
      </c>
      <c r="AE848" t="s">
        <v>85</v>
      </c>
      <c r="AF848" s="2" t="str">
        <f>CLEAN(TRIM(Working_Sales[[#This Row],[Total Amount]]))</f>
        <v>1500</v>
      </c>
      <c r="AG848" s="2">
        <f>INT(Working_Sales[[#This Row],[Total_Amount_Whitespace_Removed]])</f>
        <v>1500</v>
      </c>
      <c r="AH84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849" spans="1:34" x14ac:dyDescent="0.35">
      <c r="A849" t="s">
        <v>1737</v>
      </c>
      <c r="B849" s="6" t="str">
        <f>CLEAN(TRIM(Working_Sales[[#This Row],[Transaction ID]]))</f>
        <v>13</v>
      </c>
      <c r="C849" t="s">
        <v>252</v>
      </c>
      <c r="D849" s="2" t="str">
        <f>CLEAN(TRIM(Working_Sales[[#This Row],[Date]]))</f>
        <v>2023-08-05</v>
      </c>
      <c r="E84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45143</v>
      </c>
      <c r="F84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45143</v>
      </c>
      <c r="G84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45143</v>
      </c>
      <c r="H849" t="s">
        <v>3014</v>
      </c>
      <c r="I849" s="2" t="str">
        <f>CLEAN(TRIM(Working_Sales[[#This Row],[Customer ID]]))</f>
        <v>CUST401</v>
      </c>
      <c r="J84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4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CUST401</v>
      </c>
      <c r="L849" t="s">
        <v>268</v>
      </c>
      <c r="M849" s="4" t="str">
        <f>CLEAN(TRIM(Working_Sales[[#This Row],[Gender]]))</f>
        <v>M</v>
      </c>
      <c r="N849" s="4" t="str" cm="1">
        <f t="array" ref="N849">_xlfn.SWITCH(
   Working_Sales[[#This Row],[Gender_Whitespace_Removed]],
   "m", "Male",
   "f", "Female",
   Working_Sales[[#This Row],[Gender_Whitespace_Removed]]
)</f>
        <v>Male</v>
      </c>
      <c r="O849" s="6" t="str">
        <f>PROPER(Working_Sales[[#This Row],[Gender_Abbreviation_Expanded]])</f>
        <v>Male</v>
      </c>
      <c r="P849">
        <v>22</v>
      </c>
      <c r="Q849" s="2" t="str">
        <f>CLEAN(TRIM(Working_Sales[[#This Row],[Age]]))</f>
        <v>22</v>
      </c>
      <c r="R849" s="6">
        <f>INT(SUBSTITUTE(Working_Sales[[#This Row],[Age_Whitespace_Removed]],".",","))</f>
        <v>22</v>
      </c>
      <c r="S849" t="s">
        <v>109</v>
      </c>
      <c r="T849" s="2" t="str">
        <f>CLEAN(TRIM(Working_Sales[[#This Row],[Product Category]]))</f>
        <v>Electronics</v>
      </c>
      <c r="U849" s="6" t="str">
        <f>PROPER(Working_Sales[[#This Row],[Product_Category_Whitespace_Removed]])</f>
        <v>Electronics</v>
      </c>
      <c r="V849" t="s">
        <v>29</v>
      </c>
      <c r="W849" s="2" t="str">
        <f>CLEAN(TRIM(Working_Sales[[#This Row],[Quantity]]))</f>
        <v>3</v>
      </c>
      <c r="X849" s="2">
        <f>INT(Working_Sales[[#This Row],[`]])</f>
        <v>3</v>
      </c>
      <c r="Y849" s="6">
        <f>IFERROR(
   Working_Sales[[#This Row],[Quantity_Converted_To_Integer]],
   Working_Sales[[#This Row],[Total_Amount_Whitespace_Removed]]/Working_Sales[[#This Row],[Price_Per_Unit_Decimal_Separator_Fixed]])</f>
        <v>3</v>
      </c>
      <c r="Z849" t="s">
        <v>57</v>
      </c>
      <c r="AA849" s="2" t="str">
        <f>CLEAN(TRIM(Working_Sales[[#This Row],[Price per Unit]]))</f>
        <v>500</v>
      </c>
      <c r="AB849" s="2">
        <f>INT(
   SUBSTITUTE(Working_Sales[[#This Row],[Price_Per_Unit_Whitespace_Removed]],
   "$",
   ""
   )
)</f>
        <v>500</v>
      </c>
      <c r="AC849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849" s="8">
        <f>IFERROR(
   Working_Sales[[#This Row],[Price_Per_Unit_Decimal_Separator_Fixed]],
   Working_Sales[[#This Row],[Total_Amount_Converted_To_Integer]]/Working_Sales[[#This Row],[Quantity_Converted_To_Integer]]
)</f>
        <v>500</v>
      </c>
      <c r="AE849" t="s">
        <v>85</v>
      </c>
      <c r="AF849" s="2" t="str">
        <f>CLEAN(TRIM(Working_Sales[[#This Row],[Total Amount]]))</f>
        <v>1500</v>
      </c>
      <c r="AG849" s="2">
        <f>INT(Working_Sales[[#This Row],[Total_Amount_Whitespace_Removed]])</f>
        <v>1500</v>
      </c>
      <c r="AH84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850" spans="1:34" x14ac:dyDescent="0.35">
      <c r="A850" t="s">
        <v>1739</v>
      </c>
      <c r="B850" s="6" t="str">
        <f>CLEAN(TRIM(Working_Sales[[#This Row],[Transaction ID]]))</f>
        <v>739</v>
      </c>
      <c r="C850" t="s">
        <v>1101</v>
      </c>
      <c r="D850" s="2" t="str">
        <f>CLEAN(TRIM(Working_Sales[[#This Row],[Date]]))</f>
        <v>2023-11-29</v>
      </c>
      <c r="E85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45259</v>
      </c>
      <c r="F85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45259</v>
      </c>
      <c r="G85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45259</v>
      </c>
      <c r="H850" t="s">
        <v>2982</v>
      </c>
      <c r="I850" s="2" t="str">
        <f>CLEAN(TRIM(Working_Sales[[#This Row],[Customer ID]]))</f>
        <v>Cust074</v>
      </c>
      <c r="J85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5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CUST074</v>
      </c>
      <c r="L850" t="s">
        <v>34</v>
      </c>
      <c r="M850" s="4" t="str">
        <f>CLEAN(TRIM(Working_Sales[[#This Row],[Gender]]))</f>
        <v>Male</v>
      </c>
      <c r="N850" s="4" t="str" cm="1">
        <f t="array" ref="N850">_xlfn.SWITCH(
   Working_Sales[[#This Row],[Gender_Whitespace_Removed]],
   "m", "Male",
   "f", "Female",
   Working_Sales[[#This Row],[Gender_Whitespace_Removed]]
)</f>
        <v>Male</v>
      </c>
      <c r="O850" s="6" t="str">
        <f>PROPER(Working_Sales[[#This Row],[Gender_Abbreviation_Expanded]])</f>
        <v>Male</v>
      </c>
      <c r="P850">
        <v>36</v>
      </c>
      <c r="Q850" s="2" t="str">
        <f>CLEAN(TRIM(Working_Sales[[#This Row],[Age]]))</f>
        <v>36</v>
      </c>
      <c r="R850" s="6">
        <f>INT(SUBSTITUTE(Working_Sales[[#This Row],[Age_Whitespace_Removed]],".",","))</f>
        <v>36</v>
      </c>
      <c r="S850" t="s">
        <v>434</v>
      </c>
      <c r="T850" s="2" t="str">
        <f>CLEAN(TRIM(Working_Sales[[#This Row],[Product Category]]))</f>
        <v>Beauty</v>
      </c>
      <c r="U850" s="6" t="str">
        <f>PROPER(Working_Sales[[#This Row],[Product_Category_Whitespace_Removed]])</f>
        <v>Beauty</v>
      </c>
      <c r="V850" t="s">
        <v>22</v>
      </c>
      <c r="W850" s="2" t="str">
        <f>CLEAN(TRIM(Working_Sales[[#This Row],[Quantity]]))</f>
        <v>1</v>
      </c>
      <c r="X850" s="2">
        <f>INT(Working_Sales[[#This Row],[`]])</f>
        <v>1</v>
      </c>
      <c r="Y850" s="6">
        <f>IFERROR(
   Working_Sales[[#This Row],[Quantity_Converted_To_Integer]],
   Working_Sales[[#This Row],[Total_Amount_Whitespace_Removed]]/Working_Sales[[#This Row],[Price_Per_Unit_Decimal_Separator_Fixed]])</f>
        <v>1</v>
      </c>
      <c r="Z850" t="s">
        <v>30</v>
      </c>
      <c r="AA850" s="2" t="str">
        <f>CLEAN(TRIM(Working_Sales[[#This Row],[Price per Unit]]))</f>
        <v>25</v>
      </c>
      <c r="AB850" s="2">
        <f>INT(
   SUBSTITUTE(Working_Sales[[#This Row],[Price_Per_Unit_Whitespace_Removed]],
   "$",
   ""
   )
)</f>
        <v>25</v>
      </c>
      <c r="AC850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850" s="8">
        <f>IFERROR(
   Working_Sales[[#This Row],[Price_Per_Unit_Decimal_Separator_Fixed]],
   Working_Sales[[#This Row],[Total_Amount_Converted_To_Integer]]/Working_Sales[[#This Row],[Quantity_Converted_To_Integer]]
)</f>
        <v>25</v>
      </c>
      <c r="AE850" t="s">
        <v>30</v>
      </c>
      <c r="AF850" s="2" t="str">
        <f>CLEAN(TRIM(Working_Sales[[#This Row],[Total Amount]]))</f>
        <v>25</v>
      </c>
      <c r="AG850" s="2">
        <f>INT(Working_Sales[[#This Row],[Total_Amount_Whitespace_Removed]])</f>
        <v>25</v>
      </c>
      <c r="AH85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851" spans="1:34" x14ac:dyDescent="0.35">
      <c r="A851" t="s">
        <v>1740</v>
      </c>
      <c r="B851" s="6" t="str">
        <f>CLEAN(TRIM(Working_Sales[[#This Row],[Transaction ID]]))</f>
        <v>727</v>
      </c>
      <c r="C851" t="s">
        <v>1741</v>
      </c>
      <c r="D851" s="2" t="str">
        <f>CLEAN(TRIM(Working_Sales[[#This Row],[Date]]))</f>
        <v>06/22/2023</v>
      </c>
      <c r="E851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85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45099</v>
      </c>
      <c r="G85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45099</v>
      </c>
      <c r="H851" t="s">
        <v>3015</v>
      </c>
      <c r="I851" s="2" t="str">
        <f>CLEAN(TRIM(Working_Sales[[#This Row],[Customer ID]]))</f>
        <v>cust472</v>
      </c>
      <c r="J85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5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CUST472</v>
      </c>
      <c r="L851" t="s">
        <v>34</v>
      </c>
      <c r="M851" s="4" t="str">
        <f>CLEAN(TRIM(Working_Sales[[#This Row],[Gender]]))</f>
        <v>Male</v>
      </c>
      <c r="N851" s="4" t="str" cm="1">
        <f t="array" ref="N851">_xlfn.SWITCH(
   Working_Sales[[#This Row],[Gender_Whitespace_Removed]],
   "m", "Male",
   "f", "Female",
   Working_Sales[[#This Row],[Gender_Whitespace_Removed]]
)</f>
        <v>Male</v>
      </c>
      <c r="O851" s="6" t="str">
        <f>PROPER(Working_Sales[[#This Row],[Gender_Abbreviation_Expanded]])</f>
        <v>Male</v>
      </c>
      <c r="P851">
        <v>55</v>
      </c>
      <c r="Q851" s="2" t="str">
        <f>CLEAN(TRIM(Working_Sales[[#This Row],[Age]]))</f>
        <v>55</v>
      </c>
      <c r="R851" s="6">
        <f>INT(SUBSTITUTE(Working_Sales[[#This Row],[Age_Whitespace_Removed]],".",","))</f>
        <v>55</v>
      </c>
      <c r="S851" t="s">
        <v>36</v>
      </c>
      <c r="T851" s="2" t="str">
        <f>CLEAN(TRIM(Working_Sales[[#This Row],[Product Category]]))</f>
        <v>Beauty</v>
      </c>
      <c r="U851" s="6" t="str">
        <f>PROPER(Working_Sales[[#This Row],[Product_Category_Whitespace_Removed]])</f>
        <v>Beauty</v>
      </c>
      <c r="V851" t="s">
        <v>29</v>
      </c>
      <c r="W851" s="2" t="str">
        <f>CLEAN(TRIM(Working_Sales[[#This Row],[Quantity]]))</f>
        <v>3</v>
      </c>
      <c r="X851" s="2">
        <f>INT(Working_Sales[[#This Row],[`]])</f>
        <v>3</v>
      </c>
      <c r="Y851" s="6">
        <f>IFERROR(
   Working_Sales[[#This Row],[Quantity_Converted_To_Integer]],
   Working_Sales[[#This Row],[Total_Amount_Whitespace_Removed]]/Working_Sales[[#This Row],[Price_Per_Unit_Decimal_Separator_Fixed]])</f>
        <v>3</v>
      </c>
      <c r="Z851" t="s">
        <v>186</v>
      </c>
      <c r="AA851" s="2" t="str">
        <f>CLEAN(TRIM(Working_Sales[[#This Row],[Price per Unit]]))</f>
        <v>$300</v>
      </c>
      <c r="AB851" s="2">
        <f>INT(
   SUBSTITUTE(Working_Sales[[#This Row],[Price_Per_Unit_Whitespace_Removed]],
   "$",
   ""
   )
)</f>
        <v>300</v>
      </c>
      <c r="AC851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851" s="8">
        <f>IFERROR(
   Working_Sales[[#This Row],[Price_Per_Unit_Decimal_Separator_Fixed]],
   Working_Sales[[#This Row],[Total_Amount_Converted_To_Integer]]/Working_Sales[[#This Row],[Quantity_Converted_To_Integer]]
)</f>
        <v>300</v>
      </c>
      <c r="AE851" t="s">
        <v>128</v>
      </c>
      <c r="AF851" s="2" t="str">
        <f>CLEAN(TRIM(Working_Sales[[#This Row],[Total Amount]]))</f>
        <v>900</v>
      </c>
      <c r="AG851" s="2">
        <f>INT(Working_Sales[[#This Row],[Total_Amount_Whitespace_Removed]])</f>
        <v>900</v>
      </c>
      <c r="AH85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852" spans="1:34" x14ac:dyDescent="0.35">
      <c r="A852" t="s">
        <v>1742</v>
      </c>
      <c r="B852" s="6" t="str">
        <f>CLEAN(TRIM(Working_Sales[[#This Row],[Transaction ID]]))</f>
        <v>191</v>
      </c>
      <c r="C852" t="s">
        <v>310</v>
      </c>
      <c r="D852" s="2" t="str">
        <f>CLEAN(TRIM(Working_Sales[[#This Row],[Date]]))</f>
        <v>18/10/2023</v>
      </c>
      <c r="E85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45217</v>
      </c>
      <c r="F85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45217</v>
      </c>
      <c r="G85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45217</v>
      </c>
      <c r="H852" t="s">
        <v>3016</v>
      </c>
      <c r="I852" s="2" t="str">
        <f>CLEAN(TRIM(Working_Sales[[#This Row],[Customer ID]]))</f>
        <v>CUST-017</v>
      </c>
      <c r="J85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5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CUST017</v>
      </c>
      <c r="L852" t="s">
        <v>34</v>
      </c>
      <c r="M852" s="4" t="str">
        <f>CLEAN(TRIM(Working_Sales[[#This Row],[Gender]]))</f>
        <v>Male</v>
      </c>
      <c r="N852" s="4" t="str" cm="1">
        <f t="array" ref="N852">_xlfn.SWITCH(
   Working_Sales[[#This Row],[Gender_Whitespace_Removed]],
   "m", "Male",
   "f", "Female",
   Working_Sales[[#This Row],[Gender_Whitespace_Removed]]
)</f>
        <v>Male</v>
      </c>
      <c r="O852" s="6" t="str">
        <f>PROPER(Working_Sales[[#This Row],[Gender_Abbreviation_Expanded]])</f>
        <v>Male</v>
      </c>
      <c r="P852">
        <v>64</v>
      </c>
      <c r="Q852" s="2" t="str">
        <f>CLEAN(TRIM(Working_Sales[[#This Row],[Age]]))</f>
        <v>64</v>
      </c>
      <c r="R852" s="6">
        <f>INT(SUBSTITUTE(Working_Sales[[#This Row],[Age_Whitespace_Removed]],".",","))</f>
        <v>64</v>
      </c>
      <c r="S852" t="s">
        <v>36</v>
      </c>
      <c r="T852" s="2" t="str">
        <f>CLEAN(TRIM(Working_Sales[[#This Row],[Product Category]]))</f>
        <v>Beauty</v>
      </c>
      <c r="U852" s="6" t="str">
        <f>PROPER(Working_Sales[[#This Row],[Product_Category_Whitespace_Removed]])</f>
        <v>Beauty</v>
      </c>
      <c r="V852" t="s">
        <v>22</v>
      </c>
      <c r="W852" s="2" t="str">
        <f>CLEAN(TRIM(Working_Sales[[#This Row],[Quantity]]))</f>
        <v>1</v>
      </c>
      <c r="X852" s="2">
        <f>INT(Working_Sales[[#This Row],[`]])</f>
        <v>1</v>
      </c>
      <c r="Y852" s="6">
        <f>IFERROR(
   Working_Sales[[#This Row],[Quantity_Converted_To_Integer]],
   Working_Sales[[#This Row],[Total_Amount_Whitespace_Removed]]/Working_Sales[[#This Row],[Price_Per_Unit_Decimal_Separator_Fixed]])</f>
        <v>1</v>
      </c>
      <c r="Z852" t="s">
        <v>30</v>
      </c>
      <c r="AA852" s="2" t="str">
        <f>CLEAN(TRIM(Working_Sales[[#This Row],[Price per Unit]]))</f>
        <v>25</v>
      </c>
      <c r="AB852" s="2">
        <f>INT(
   SUBSTITUTE(Working_Sales[[#This Row],[Price_Per_Unit_Whitespace_Removed]],
   "$",
   ""
   )
)</f>
        <v>25</v>
      </c>
      <c r="AC852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852" s="8">
        <f>IFERROR(
   Working_Sales[[#This Row],[Price_Per_Unit_Decimal_Separator_Fixed]],
   Working_Sales[[#This Row],[Total_Amount_Converted_To_Integer]]/Working_Sales[[#This Row],[Quantity_Converted_To_Integer]]
)</f>
        <v>25</v>
      </c>
      <c r="AE852" t="s">
        <v>30</v>
      </c>
      <c r="AF852" s="2" t="str">
        <f>CLEAN(TRIM(Working_Sales[[#This Row],[Total Amount]]))</f>
        <v>25</v>
      </c>
      <c r="AG852" s="2">
        <f>INT(Working_Sales[[#This Row],[Total_Amount_Whitespace_Removed]])</f>
        <v>25</v>
      </c>
      <c r="AH85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853" spans="1:34" x14ac:dyDescent="0.35">
      <c r="A853" t="s">
        <v>1743</v>
      </c>
      <c r="B853" s="6" t="str">
        <f>CLEAN(TRIM(Working_Sales[[#This Row],[Transaction ID]]))</f>
        <v>957</v>
      </c>
      <c r="C853" t="s">
        <v>1744</v>
      </c>
      <c r="D853" s="2" t="str">
        <f>CLEAN(TRIM(Working_Sales[[#This Row],[Date]]))</f>
        <v>2023-08-15</v>
      </c>
      <c r="E85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45153</v>
      </c>
      <c r="F85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45153</v>
      </c>
      <c r="G85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45153</v>
      </c>
      <c r="H853" t="s">
        <v>3017</v>
      </c>
      <c r="I853" s="2" t="str">
        <f>CLEAN(TRIM(Working_Sales[[#This Row],[Customer ID]]))</f>
        <v>cust289</v>
      </c>
      <c r="J85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5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CUST289</v>
      </c>
      <c r="L853" t="s">
        <v>26</v>
      </c>
      <c r="M853" s="4" t="str">
        <f>CLEAN(TRIM(Working_Sales[[#This Row],[Gender]]))</f>
        <v>Female</v>
      </c>
      <c r="N853" s="4" t="str" cm="1">
        <f t="array" ref="N853">_xlfn.SWITCH(
   Working_Sales[[#This Row],[Gender_Whitespace_Removed]],
   "m", "Male",
   "f", "Female",
   Working_Sales[[#This Row],[Gender_Whitespace_Removed]]
)</f>
        <v>Female</v>
      </c>
      <c r="O853" s="6" t="str">
        <f>PROPER(Working_Sales[[#This Row],[Gender_Abbreviation_Expanded]])</f>
        <v>Female</v>
      </c>
      <c r="P853">
        <v>60</v>
      </c>
      <c r="Q853" s="2" t="str">
        <f>CLEAN(TRIM(Working_Sales[[#This Row],[Age]]))</f>
        <v>60</v>
      </c>
      <c r="R853" s="6">
        <f>INT(SUBSTITUTE(Working_Sales[[#This Row],[Age_Whitespace_Removed]],".",","))</f>
        <v>60</v>
      </c>
      <c r="S853" t="s">
        <v>13</v>
      </c>
      <c r="T853" s="2" t="str">
        <f>CLEAN(TRIM(Working_Sales[[#This Row],[Product Category]]))</f>
        <v>Electronics</v>
      </c>
      <c r="U853" s="6" t="str">
        <f>PROPER(Working_Sales[[#This Row],[Product_Category_Whitespace_Removed]])</f>
        <v>Electronics</v>
      </c>
      <c r="V853" t="s">
        <v>14</v>
      </c>
      <c r="W853" s="2" t="str">
        <f>CLEAN(TRIM(Working_Sales[[#This Row],[Quantity]]))</f>
        <v>4</v>
      </c>
      <c r="X853" s="2">
        <f>INT(Working_Sales[[#This Row],[`]])</f>
        <v>4</v>
      </c>
      <c r="Y853" s="6">
        <f>IFERROR(
   Working_Sales[[#This Row],[Quantity_Converted_To_Integer]],
   Working_Sales[[#This Row],[Total_Amount_Whitespace_Removed]]/Working_Sales[[#This Row],[Price_Per_Unit_Decimal_Separator_Fixed]])</f>
        <v>4</v>
      </c>
      <c r="Z853" t="s">
        <v>147</v>
      </c>
      <c r="AA853" s="2" t="str">
        <f>CLEAN(TRIM(Working_Sales[[#This Row],[Price per Unit]]))</f>
        <v>$30</v>
      </c>
      <c r="AB853" s="2">
        <f>INT(
   SUBSTITUTE(Working_Sales[[#This Row],[Price_Per_Unit_Whitespace_Removed]],
   "$",
   ""
   )
)</f>
        <v>30</v>
      </c>
      <c r="AC853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853" s="8">
        <f>IFERROR(
   Working_Sales[[#This Row],[Price_Per_Unit_Decimal_Separator_Fixed]],
   Working_Sales[[#This Row],[Total_Amount_Converted_To_Integer]]/Working_Sales[[#This Row],[Quantity_Converted_To_Integer]]
)</f>
        <v>30</v>
      </c>
      <c r="AE853" t="s">
        <v>44</v>
      </c>
      <c r="AF853" s="2" t="str">
        <f>CLEAN(TRIM(Working_Sales[[#This Row],[Total Amount]]))</f>
        <v>120</v>
      </c>
      <c r="AG853" s="2">
        <f>INT(Working_Sales[[#This Row],[Total_Amount_Whitespace_Removed]])</f>
        <v>120</v>
      </c>
      <c r="AH85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854" spans="1:34" x14ac:dyDescent="0.35">
      <c r="A854" t="s">
        <v>1745</v>
      </c>
      <c r="B854" s="6" t="str">
        <f>CLEAN(TRIM(Working_Sales[[#This Row],[Transaction ID]]))</f>
        <v>283</v>
      </c>
      <c r="C854" t="s">
        <v>2008</v>
      </c>
      <c r="D854" s="2" t="str">
        <f>CLEAN(TRIM(Working_Sales[[#This Row],[Date]]))</f>
        <v>08-May-2023</v>
      </c>
      <c r="E85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45054</v>
      </c>
      <c r="F85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45054</v>
      </c>
      <c r="G85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45054</v>
      </c>
      <c r="H854" t="s">
        <v>3019</v>
      </c>
      <c r="I854" s="2" t="str">
        <f>CLEAN(TRIM(Working_Sales[[#This Row],[Customer ID]]))</f>
        <v>CUST454</v>
      </c>
      <c r="J85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5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CUST454</v>
      </c>
      <c r="L854" t="s">
        <v>26</v>
      </c>
      <c r="M854" s="4" t="str">
        <f>CLEAN(TRIM(Working_Sales[[#This Row],[Gender]]))</f>
        <v>Female</v>
      </c>
      <c r="N854" s="4" t="str" cm="1">
        <f t="array" ref="N854">_xlfn.SWITCH(
   Working_Sales[[#This Row],[Gender_Whitespace_Removed]],
   "m", "Male",
   "f", "Female",
   Working_Sales[[#This Row],[Gender_Whitespace_Removed]]
)</f>
        <v>Female</v>
      </c>
      <c r="O854" s="6" t="str">
        <f>PROPER(Working_Sales[[#This Row],[Gender_Abbreviation_Expanded]])</f>
        <v>Female</v>
      </c>
      <c r="P854" t="s">
        <v>1414</v>
      </c>
      <c r="Q854" s="2" t="str">
        <f>CLEAN(TRIM(Working_Sales[[#This Row],[Age]]))</f>
        <v>18</v>
      </c>
      <c r="R854" s="6">
        <f>INT(SUBSTITUTE(Working_Sales[[#This Row],[Age_Whitespace_Removed]],".",","))</f>
        <v>18</v>
      </c>
      <c r="S854" t="s">
        <v>99</v>
      </c>
      <c r="T854" s="2" t="str">
        <f>CLEAN(TRIM(Working_Sales[[#This Row],[Product Category]]))</f>
        <v>ELECTRONICS</v>
      </c>
      <c r="U854" s="6" t="str">
        <f>PROPER(Working_Sales[[#This Row],[Product_Category_Whitespace_Removed]])</f>
        <v>Electronics</v>
      </c>
      <c r="V854" t="s">
        <v>22</v>
      </c>
      <c r="W854" s="2" t="str">
        <f>CLEAN(TRIM(Working_Sales[[#This Row],[Quantity]]))</f>
        <v>1</v>
      </c>
      <c r="X854" s="2">
        <f>INT(Working_Sales[[#This Row],[`]])</f>
        <v>1</v>
      </c>
      <c r="Y854" s="6">
        <f>IFERROR(
   Working_Sales[[#This Row],[Quantity_Converted_To_Integer]],
   Working_Sales[[#This Row],[Total_Amount_Whitespace_Removed]]/Working_Sales[[#This Row],[Price_Per_Unit_Decimal_Separator_Fixed]])</f>
        <v>1</v>
      </c>
      <c r="Z854" t="s">
        <v>57</v>
      </c>
      <c r="AA854" s="2" t="str">
        <f>CLEAN(TRIM(Working_Sales[[#This Row],[Price per Unit]]))</f>
        <v>500</v>
      </c>
      <c r="AB854" s="2">
        <f>INT(
   SUBSTITUTE(Working_Sales[[#This Row],[Price_Per_Unit_Whitespace_Removed]],
   "$",
   ""
   )
)</f>
        <v>500</v>
      </c>
      <c r="AC854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854" s="8">
        <f>IFERROR(
   Working_Sales[[#This Row],[Price_Per_Unit_Decimal_Separator_Fixed]],
   Working_Sales[[#This Row],[Total_Amount_Converted_To_Integer]]/Working_Sales[[#This Row],[Quantity_Converted_To_Integer]]
)</f>
        <v>500</v>
      </c>
      <c r="AE854" t="s">
        <v>57</v>
      </c>
      <c r="AF854" s="2" t="str">
        <f>CLEAN(TRIM(Working_Sales[[#This Row],[Total Amount]]))</f>
        <v>500</v>
      </c>
      <c r="AG854" s="2">
        <f>INT(Working_Sales[[#This Row],[Total_Amount_Whitespace_Removed]])</f>
        <v>500</v>
      </c>
      <c r="AH85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855" spans="1:34" x14ac:dyDescent="0.35">
      <c r="A855" t="s">
        <v>70</v>
      </c>
      <c r="B855" s="6" t="str">
        <f>CLEAN(TRIM(Working_Sales[[#This Row],[Transaction ID]]))</f>
        <v>30</v>
      </c>
      <c r="C855" t="s">
        <v>1688</v>
      </c>
      <c r="D855" s="2" t="str">
        <f>CLEAN(TRIM(Working_Sales[[#This Row],[Date]]))</f>
        <v>29/10/2023</v>
      </c>
      <c r="E85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45228</v>
      </c>
      <c r="F85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45228</v>
      </c>
      <c r="G85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45228</v>
      </c>
      <c r="H855" t="s">
        <v>3020</v>
      </c>
      <c r="I855" s="2" t="str">
        <f>CLEAN(TRIM(Working_Sales[[#This Row],[Customer ID]]))</f>
        <v>CUST-128</v>
      </c>
      <c r="J85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5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CUST128</v>
      </c>
      <c r="L855" t="s">
        <v>26</v>
      </c>
      <c r="M855" s="4" t="str">
        <f>CLEAN(TRIM(Working_Sales[[#This Row],[Gender]]))</f>
        <v>Female</v>
      </c>
      <c r="N855" s="4" t="str" cm="1">
        <f t="array" ref="N855">_xlfn.SWITCH(
   Working_Sales[[#This Row],[Gender_Whitespace_Removed]],
   "m", "Male",
   "f", "Female",
   Working_Sales[[#This Row],[Gender_Whitespace_Removed]]
)</f>
        <v>Female</v>
      </c>
      <c r="O855" s="6" t="str">
        <f>PROPER(Working_Sales[[#This Row],[Gender_Abbreviation_Expanded]])</f>
        <v>Female</v>
      </c>
      <c r="P855">
        <v>39</v>
      </c>
      <c r="Q855" s="2" t="str">
        <f>CLEAN(TRIM(Working_Sales[[#This Row],[Age]]))</f>
        <v>39</v>
      </c>
      <c r="R855" s="6">
        <f>INT(SUBSTITUTE(Working_Sales[[#This Row],[Age_Whitespace_Removed]],".",","))</f>
        <v>39</v>
      </c>
      <c r="S855" t="s">
        <v>36</v>
      </c>
      <c r="T855" s="2" t="str">
        <f>CLEAN(TRIM(Working_Sales[[#This Row],[Product Category]]))</f>
        <v>Beauty</v>
      </c>
      <c r="U855" s="6" t="str">
        <f>PROPER(Working_Sales[[#This Row],[Product_Category_Whitespace_Removed]])</f>
        <v>Beauty</v>
      </c>
      <c r="V855" t="s">
        <v>29</v>
      </c>
      <c r="W855" s="2" t="str">
        <f>CLEAN(TRIM(Working_Sales[[#This Row],[Quantity]]))</f>
        <v>3</v>
      </c>
      <c r="X855" s="2">
        <f>INT(Working_Sales[[#This Row],[`]])</f>
        <v>3</v>
      </c>
      <c r="Y855" s="6">
        <f>IFERROR(
   Working_Sales[[#This Row],[Quantity_Converted_To_Integer]],
   Working_Sales[[#This Row],[Total_Amount_Whitespace_Removed]]/Working_Sales[[#This Row],[Price_Per_Unit_Decimal_Separator_Fixed]])</f>
        <v>3</v>
      </c>
      <c r="AA855" s="2" t="str">
        <f>CLEAN(TRIM(Working_Sales[[#This Row],[Price per Unit]]))</f>
        <v/>
      </c>
      <c r="AB855" s="2" t="e">
        <f>INT(
   SUBSTITUTE(Working_Sales[[#This Row],[Price_Per_Unit_Whitespace_Removed]],
   "$",
   ""
   )
)</f>
        <v>#VALUE!</v>
      </c>
      <c r="AC855" s="2" t="e">
        <f>INT(
   IFERROR(
      Working_Sales[[#This Row],[Price_Per_Unit_Dollar_Sign_Removed]],
      SUBSTITUTE(
         Working_Sales[[#This Row],[Price_Per_Unit_Whitespace_Removed]],
        ".",
         ","
      )
   )
)</f>
        <v>#VALUE!</v>
      </c>
      <c r="AD855" s="8">
        <f>IFERROR(
   Working_Sales[[#This Row],[Price_Per_Unit_Decimal_Separator_Fixed]],
   Working_Sales[[#This Row],[Total_Amount_Converted_To_Integer]]/Working_Sales[[#This Row],[Quantity_Converted_To_Integer]]
)</f>
        <v>300</v>
      </c>
      <c r="AE855" t="s">
        <v>128</v>
      </c>
      <c r="AF855" s="2" t="str">
        <f>CLEAN(TRIM(Working_Sales[[#This Row],[Total Amount]]))</f>
        <v>900</v>
      </c>
      <c r="AG855" s="2">
        <f>INT(Working_Sales[[#This Row],[Total_Amount_Whitespace_Removed]])</f>
        <v>900</v>
      </c>
      <c r="AH85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856" spans="1:34" x14ac:dyDescent="0.35">
      <c r="A856" t="s">
        <v>1748</v>
      </c>
      <c r="B856" s="6" t="str">
        <f>CLEAN(TRIM(Working_Sales[[#This Row],[Transaction ID]]))</f>
        <v>170</v>
      </c>
      <c r="C856" t="s">
        <v>914</v>
      </c>
      <c r="D856" s="2" t="str">
        <f>CLEAN(TRIM(Working_Sales[[#This Row],[Date]]))</f>
        <v>2023-06-02</v>
      </c>
      <c r="E85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45079</v>
      </c>
      <c r="F85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45079</v>
      </c>
      <c r="G85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45079</v>
      </c>
      <c r="H856" t="s">
        <v>3021</v>
      </c>
      <c r="I856" s="2" t="str">
        <f>CLEAN(TRIM(Working_Sales[[#This Row],[Customer ID]]))</f>
        <v>CUST012</v>
      </c>
      <c r="J85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CUST012</v>
      </c>
      <c r="K85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CUST012</v>
      </c>
      <c r="L856" t="s">
        <v>26</v>
      </c>
      <c r="M856" s="4" t="str">
        <f>CLEAN(TRIM(Working_Sales[[#This Row],[Gender]]))</f>
        <v>Female</v>
      </c>
      <c r="N856" s="4" t="str" cm="1">
        <f t="array" ref="N856">_xlfn.SWITCH(
   Working_Sales[[#This Row],[Gender_Whitespace_Removed]],
   "m", "Male",
   "f", "Female",
   Working_Sales[[#This Row],[Gender_Whitespace_Removed]]
)</f>
        <v>Female</v>
      </c>
      <c r="O856" s="6" t="str">
        <f>PROPER(Working_Sales[[#This Row],[Gender_Abbreviation_Expanded]])</f>
        <v>Female</v>
      </c>
      <c r="P856">
        <v>25</v>
      </c>
      <c r="Q856" s="2" t="str">
        <f>CLEAN(TRIM(Working_Sales[[#This Row],[Age]]))</f>
        <v>25</v>
      </c>
      <c r="R856" s="6">
        <f>INT(SUBSTITUTE(Working_Sales[[#This Row],[Age_Whitespace_Removed]],".",","))</f>
        <v>25</v>
      </c>
      <c r="S856" t="s">
        <v>56</v>
      </c>
      <c r="T856" s="2" t="str">
        <f>CLEAN(TRIM(Working_Sales[[#This Row],[Product Category]]))</f>
        <v>Clothing</v>
      </c>
      <c r="U856" s="6" t="str">
        <f>PROPER(Working_Sales[[#This Row],[Product_Category_Whitespace_Removed]])</f>
        <v>Clothing</v>
      </c>
      <c r="V856" t="s">
        <v>37</v>
      </c>
      <c r="W856" s="2" t="str">
        <f>CLEAN(TRIM(Working_Sales[[#This Row],[Quantity]]))</f>
        <v>2</v>
      </c>
      <c r="X856" s="2">
        <f>INT(Working_Sales[[#This Row],[`]])</f>
        <v>2</v>
      </c>
      <c r="Y856" s="6">
        <f>IFERROR(
   Working_Sales[[#This Row],[Quantity_Converted_To_Integer]],
   Working_Sales[[#This Row],[Total_Amount_Whitespace_Removed]]/Working_Sales[[#This Row],[Price_Per_Unit_Decimal_Separator_Fixed]])</f>
        <v>2</v>
      </c>
      <c r="Z856" t="s">
        <v>171</v>
      </c>
      <c r="AA856" s="2" t="str">
        <f>CLEAN(TRIM(Working_Sales[[#This Row],[Price per Unit]]))</f>
        <v>25</v>
      </c>
      <c r="AB856" s="2">
        <f>INT(
   SUBSTITUTE(Working_Sales[[#This Row],[Price_Per_Unit_Whitespace_Removed]],
   "$",
   ""
   )
)</f>
        <v>25</v>
      </c>
      <c r="AC856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856" s="8">
        <f>IFERROR(
   Working_Sales[[#This Row],[Price_Per_Unit_Decimal_Separator_Fixed]],
   Working_Sales[[#This Row],[Total_Amount_Converted_To_Integer]]/Working_Sales[[#This Row],[Quantity_Converted_To_Integer]]
)</f>
        <v>25</v>
      </c>
      <c r="AE856" t="s">
        <v>15</v>
      </c>
      <c r="AF856" s="2" t="str">
        <f>CLEAN(TRIM(Working_Sales[[#This Row],[Total Amount]]))</f>
        <v>50</v>
      </c>
      <c r="AG856" s="2">
        <f>INT(Working_Sales[[#This Row],[Total_Amount_Whitespace_Removed]])</f>
        <v>50</v>
      </c>
      <c r="AH85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857" spans="1:34" x14ac:dyDescent="0.35">
      <c r="A857" t="s">
        <v>1750</v>
      </c>
      <c r="B857" s="6" t="str">
        <f>CLEAN(TRIM(Working_Sales[[#This Row],[Transaction ID]]))</f>
        <v>181</v>
      </c>
      <c r="C857" t="s">
        <v>2161</v>
      </c>
      <c r="D857" s="2" t="str">
        <f>CLEAN(TRIM(Working_Sales[[#This Row],[Date]]))</f>
        <v>03-Nov-2023</v>
      </c>
      <c r="E85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45233</v>
      </c>
      <c r="F85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45233</v>
      </c>
      <c r="G85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45233</v>
      </c>
      <c r="H857" t="s">
        <v>166</v>
      </c>
      <c r="I857" s="2" t="str">
        <f>CLEAN(TRIM(Working_Sales[[#This Row],[Customer ID]]))</f>
        <v>CUST217</v>
      </c>
      <c r="J85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5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CUST217</v>
      </c>
      <c r="L857" t="s">
        <v>34</v>
      </c>
      <c r="M857" s="4" t="str">
        <f>CLEAN(TRIM(Working_Sales[[#This Row],[Gender]]))</f>
        <v>Male</v>
      </c>
      <c r="N857" s="4" t="str" cm="1">
        <f t="array" ref="N857">_xlfn.SWITCH(
   Working_Sales[[#This Row],[Gender_Whitespace_Removed]],
   "m", "Male",
   "f", "Female",
   Working_Sales[[#This Row],[Gender_Whitespace_Removed]]
)</f>
        <v>Male</v>
      </c>
      <c r="O857" s="6" t="str">
        <f>PROPER(Working_Sales[[#This Row],[Gender_Abbreviation_Expanded]])</f>
        <v>Male</v>
      </c>
      <c r="P857">
        <v>19</v>
      </c>
      <c r="Q857" s="2" t="str">
        <f>CLEAN(TRIM(Working_Sales[[#This Row],[Age]]))</f>
        <v>19</v>
      </c>
      <c r="R857" s="6">
        <f>INT(SUBSTITUTE(Working_Sales[[#This Row],[Age_Whitespace_Removed]],".",","))</f>
        <v>19</v>
      </c>
      <c r="S857" t="s">
        <v>13</v>
      </c>
      <c r="T857" s="2" t="str">
        <f>CLEAN(TRIM(Working_Sales[[#This Row],[Product Category]]))</f>
        <v>Electronics</v>
      </c>
      <c r="U857" s="6" t="str">
        <f>PROPER(Working_Sales[[#This Row],[Product_Category_Whitespace_Removed]])</f>
        <v>Electronics</v>
      </c>
      <c r="V857" t="s">
        <v>14</v>
      </c>
      <c r="W857" s="2" t="str">
        <f>CLEAN(TRIM(Working_Sales[[#This Row],[Quantity]]))</f>
        <v>4</v>
      </c>
      <c r="X857" s="2">
        <f>INT(Working_Sales[[#This Row],[`]])</f>
        <v>4</v>
      </c>
      <c r="Y857" s="6">
        <f>IFERROR(
   Working_Sales[[#This Row],[Quantity_Converted_To_Integer]],
   Working_Sales[[#This Row],[Total_Amount_Whitespace_Removed]]/Working_Sales[[#This Row],[Price_Per_Unit_Decimal_Separator_Fixed]])</f>
        <v>4</v>
      </c>
      <c r="AA857" s="2" t="str">
        <f>CLEAN(TRIM(Working_Sales[[#This Row],[Price per Unit]]))</f>
        <v/>
      </c>
      <c r="AB857" s="2" t="e">
        <f>INT(
   SUBSTITUTE(Working_Sales[[#This Row],[Price_Per_Unit_Whitespace_Removed]],
   "$",
   ""
   )
)</f>
        <v>#VALUE!</v>
      </c>
      <c r="AC857" s="2" t="e">
        <f>INT(
   IFERROR(
      Working_Sales[[#This Row],[Price_Per_Unit_Dollar_Sign_Removed]],
      SUBSTITUTE(
         Working_Sales[[#This Row],[Price_Per_Unit_Whitespace_Removed]],
        ".",
         ","
      )
   )
)</f>
        <v>#VALUE!</v>
      </c>
      <c r="AD857" s="8">
        <f>IFERROR(
   Working_Sales[[#This Row],[Price_Per_Unit_Decimal_Separator_Fixed]],
   Working_Sales[[#This Row],[Total_Amount_Converted_To_Integer]]/Working_Sales[[#This Row],[Quantity_Converted_To_Integer]]
)</f>
        <v>300</v>
      </c>
      <c r="AE857" t="s">
        <v>79</v>
      </c>
      <c r="AF857" s="2" t="str">
        <f>CLEAN(TRIM(Working_Sales[[#This Row],[Total Amount]]))</f>
        <v>1200</v>
      </c>
      <c r="AG857" s="2">
        <f>INT(Working_Sales[[#This Row],[Total_Amount_Whitespace_Removed]])</f>
        <v>1200</v>
      </c>
      <c r="AH85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858" spans="1:34" x14ac:dyDescent="0.35">
      <c r="A858" t="s">
        <v>1752</v>
      </c>
      <c r="B858" s="6" t="str">
        <f>CLEAN(TRIM(Working_Sales[[#This Row],[Transaction ID]]))</f>
        <v>101</v>
      </c>
      <c r="C858" t="s">
        <v>1753</v>
      </c>
      <c r="D858" s="2" t="str">
        <f>CLEAN(TRIM(Working_Sales[[#This Row],[Date]]))</f>
        <v>2023-01-29</v>
      </c>
      <c r="E85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44955</v>
      </c>
      <c r="F85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44955</v>
      </c>
      <c r="G85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44955</v>
      </c>
      <c r="H858" t="s">
        <v>3022</v>
      </c>
      <c r="I858" s="2" t="str">
        <f>CLEAN(TRIM(Working_Sales[[#This Row],[Customer ID]]))</f>
        <v>CUST181</v>
      </c>
      <c r="J85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CUST181</v>
      </c>
      <c r="K85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CUST181</v>
      </c>
      <c r="L858" t="s">
        <v>34</v>
      </c>
      <c r="M858" s="4" t="str">
        <f>CLEAN(TRIM(Working_Sales[[#This Row],[Gender]]))</f>
        <v>Male</v>
      </c>
      <c r="N858" s="4" t="str" cm="1">
        <f t="array" ref="N858">_xlfn.SWITCH(
   Working_Sales[[#This Row],[Gender_Whitespace_Removed]],
   "m", "Male",
   "f", "Female",
   Working_Sales[[#This Row],[Gender_Whitespace_Removed]]
)</f>
        <v>Male</v>
      </c>
      <c r="O858" s="6" t="str">
        <f>PROPER(Working_Sales[[#This Row],[Gender_Abbreviation_Expanded]])</f>
        <v>Male</v>
      </c>
      <c r="P858" t="s">
        <v>1755</v>
      </c>
      <c r="Q858" s="2" t="str">
        <f>CLEAN(TRIM(Working_Sales[[#This Row],[Age]]))</f>
        <v>32.0</v>
      </c>
      <c r="R858" s="6">
        <f>INT(SUBSTITUTE(Working_Sales[[#This Row],[Age_Whitespace_Removed]],".",","))</f>
        <v>32</v>
      </c>
      <c r="S858" t="s">
        <v>56</v>
      </c>
      <c r="T858" s="2" t="str">
        <f>CLEAN(TRIM(Working_Sales[[#This Row],[Product Category]]))</f>
        <v>Clothing</v>
      </c>
      <c r="U858" s="6" t="str">
        <f>PROPER(Working_Sales[[#This Row],[Product_Category_Whitespace_Removed]])</f>
        <v>Clothing</v>
      </c>
      <c r="V858" t="s">
        <v>37</v>
      </c>
      <c r="W858" s="2" t="str">
        <f>CLEAN(TRIM(Working_Sales[[#This Row],[Quantity]]))</f>
        <v>2</v>
      </c>
      <c r="X858" s="2">
        <f>INT(Working_Sales[[#This Row],[`]])</f>
        <v>2</v>
      </c>
      <c r="Y858" s="6">
        <f>IFERROR(
   Working_Sales[[#This Row],[Quantity_Converted_To_Integer]],
   Working_Sales[[#This Row],[Total_Amount_Whitespace_Removed]]/Working_Sales[[#This Row],[Price_Per_Unit_Decimal_Separator_Fixed]])</f>
        <v>2</v>
      </c>
      <c r="Z858" t="s">
        <v>180</v>
      </c>
      <c r="AA858" s="2" t="str">
        <f>CLEAN(TRIM(Working_Sales[[#This Row],[Price per Unit]]))</f>
        <v>300</v>
      </c>
      <c r="AB858" s="2">
        <f>INT(
   SUBSTITUTE(Working_Sales[[#This Row],[Price_Per_Unit_Whitespace_Removed]],
   "$",
   ""
   )
)</f>
        <v>300</v>
      </c>
      <c r="AC858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858" s="8">
        <f>IFERROR(
   Working_Sales[[#This Row],[Price_Per_Unit_Decimal_Separator_Fixed]],
   Working_Sales[[#This Row],[Total_Amount_Converted_To_Integer]]/Working_Sales[[#This Row],[Quantity_Converted_To_Integer]]
)</f>
        <v>300</v>
      </c>
      <c r="AE858" t="s">
        <v>107</v>
      </c>
      <c r="AF858" s="2" t="str">
        <f>CLEAN(TRIM(Working_Sales[[#This Row],[Total Amount]]))</f>
        <v>600</v>
      </c>
      <c r="AG858" s="2">
        <f>INT(Working_Sales[[#This Row],[Total_Amount_Whitespace_Removed]])</f>
        <v>600</v>
      </c>
      <c r="AH85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600</v>
      </c>
    </row>
    <row r="859" spans="1:34" x14ac:dyDescent="0.35">
      <c r="A859" t="s">
        <v>1756</v>
      </c>
      <c r="B859" s="6" t="str">
        <f>CLEAN(TRIM(Working_Sales[[#This Row],[Transaction ID]]))</f>
        <v>198</v>
      </c>
      <c r="C859" t="s">
        <v>1757</v>
      </c>
      <c r="D859" s="2" t="str">
        <f>CLEAN(TRIM(Working_Sales[[#This Row],[Date]]))</f>
        <v>2023-03-07</v>
      </c>
      <c r="E85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44992</v>
      </c>
      <c r="F85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44992</v>
      </c>
      <c r="G85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44992</v>
      </c>
      <c r="H859" t="s">
        <v>3023</v>
      </c>
      <c r="I859" s="2" t="str">
        <f>CLEAN(TRIM(Working_Sales[[#This Row],[Customer ID]]))</f>
        <v>cust249</v>
      </c>
      <c r="J85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5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CUST249</v>
      </c>
      <c r="L859" t="s">
        <v>26</v>
      </c>
      <c r="M859" s="4" t="str">
        <f>CLEAN(TRIM(Working_Sales[[#This Row],[Gender]]))</f>
        <v>Female</v>
      </c>
      <c r="N859" s="4" t="str" cm="1">
        <f t="array" ref="N859">_xlfn.SWITCH(
   Working_Sales[[#This Row],[Gender_Whitespace_Removed]],
   "m", "Male",
   "f", "Female",
   Working_Sales[[#This Row],[Gender_Whitespace_Removed]]
)</f>
        <v>Female</v>
      </c>
      <c r="O859" s="6" t="str">
        <f>PROPER(Working_Sales[[#This Row],[Gender_Abbreviation_Expanded]])</f>
        <v>Female</v>
      </c>
      <c r="P859" t="s">
        <v>308</v>
      </c>
      <c r="Q859" s="2" t="str">
        <f>CLEAN(TRIM(Working_Sales[[#This Row],[Age]]))</f>
        <v>54.0</v>
      </c>
      <c r="R859" s="6">
        <f>INT(SUBSTITUTE(Working_Sales[[#This Row],[Age_Whitespace_Removed]],".",","))</f>
        <v>54</v>
      </c>
      <c r="S859" t="s">
        <v>69</v>
      </c>
      <c r="T859" s="2" t="str">
        <f>CLEAN(TRIM(Working_Sales[[#This Row],[Product Category]]))</f>
        <v>BEAUTY</v>
      </c>
      <c r="U859" s="6" t="str">
        <f>PROPER(Working_Sales[[#This Row],[Product_Category_Whitespace_Removed]])</f>
        <v>Beauty</v>
      </c>
      <c r="V859" t="s">
        <v>29</v>
      </c>
      <c r="W859" s="2" t="str">
        <f>CLEAN(TRIM(Working_Sales[[#This Row],[Quantity]]))</f>
        <v>3</v>
      </c>
      <c r="X859" s="2">
        <f>INT(Working_Sales[[#This Row],[`]])</f>
        <v>3</v>
      </c>
      <c r="Y859" s="6">
        <f>IFERROR(
   Working_Sales[[#This Row],[Quantity_Converted_To_Integer]],
   Working_Sales[[#This Row],[Total_Amount_Whitespace_Removed]]/Working_Sales[[#This Row],[Price_Per_Unit_Decimal_Separator_Fixed]])</f>
        <v>3</v>
      </c>
      <c r="Z859" t="s">
        <v>23</v>
      </c>
      <c r="AA859" s="2" t="str">
        <f>CLEAN(TRIM(Working_Sales[[#This Row],[Price per Unit]]))</f>
        <v>300</v>
      </c>
      <c r="AB859" s="2">
        <f>INT(
   SUBSTITUTE(Working_Sales[[#This Row],[Price_Per_Unit_Whitespace_Removed]],
   "$",
   ""
   )
)</f>
        <v>300</v>
      </c>
      <c r="AC859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859" s="8">
        <f>IFERROR(
   Working_Sales[[#This Row],[Price_Per_Unit_Decimal_Separator_Fixed]],
   Working_Sales[[#This Row],[Total_Amount_Converted_To_Integer]]/Working_Sales[[#This Row],[Quantity_Converted_To_Integer]]
)</f>
        <v>300</v>
      </c>
      <c r="AE859" t="s">
        <v>128</v>
      </c>
      <c r="AF859" s="2" t="str">
        <f>CLEAN(TRIM(Working_Sales[[#This Row],[Total Amount]]))</f>
        <v>900</v>
      </c>
      <c r="AG859" s="2">
        <f>INT(Working_Sales[[#This Row],[Total_Amount_Whitespace_Removed]])</f>
        <v>900</v>
      </c>
      <c r="AH85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860" spans="1:34" x14ac:dyDescent="0.35">
      <c r="A860" t="s">
        <v>1759</v>
      </c>
      <c r="B860" s="6" t="str">
        <f>CLEAN(TRIM(Working_Sales[[#This Row],[Transaction ID]]))</f>
        <v>496</v>
      </c>
      <c r="C860" t="s">
        <v>1047</v>
      </c>
      <c r="D860" s="2" t="str">
        <f>CLEAN(TRIM(Working_Sales[[#This Row],[Date]]))</f>
        <v>12/14/2023</v>
      </c>
      <c r="E860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86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45274</v>
      </c>
      <c r="G86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45274</v>
      </c>
      <c r="H860" t="s">
        <v>1659</v>
      </c>
      <c r="I860" s="2" t="str">
        <f>CLEAN(TRIM(Working_Sales[[#This Row],[Customer ID]]))</f>
        <v>CUST316</v>
      </c>
      <c r="J86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CUST316</v>
      </c>
      <c r="K86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CUST316</v>
      </c>
      <c r="L860" t="s">
        <v>34</v>
      </c>
      <c r="M860" s="4" t="str">
        <f>CLEAN(TRIM(Working_Sales[[#This Row],[Gender]]))</f>
        <v>Male</v>
      </c>
      <c r="N860" s="4" t="str" cm="1">
        <f t="array" ref="N860">_xlfn.SWITCH(
   Working_Sales[[#This Row],[Gender_Whitespace_Removed]],
   "m", "Male",
   "f", "Female",
   Working_Sales[[#This Row],[Gender_Whitespace_Removed]]
)</f>
        <v>Male</v>
      </c>
      <c r="O860" s="6" t="str">
        <f>PROPER(Working_Sales[[#This Row],[Gender_Abbreviation_Expanded]])</f>
        <v>Male</v>
      </c>
      <c r="P860">
        <v>23</v>
      </c>
      <c r="Q860" s="2" t="str">
        <f>CLEAN(TRIM(Working_Sales[[#This Row],[Age]]))</f>
        <v>23</v>
      </c>
      <c r="R860" s="6">
        <f>INT(SUBSTITUTE(Working_Sales[[#This Row],[Age_Whitespace_Removed]],".",","))</f>
        <v>23</v>
      </c>
      <c r="S860" t="s">
        <v>89</v>
      </c>
      <c r="T860" s="2" t="str">
        <f>CLEAN(TRIM(Working_Sales[[#This Row],[Product Category]]))</f>
        <v>CLOTHING</v>
      </c>
      <c r="U860" s="6" t="str">
        <f>PROPER(Working_Sales[[#This Row],[Product_Category_Whitespace_Removed]])</f>
        <v>Clothing</v>
      </c>
      <c r="V860" t="s">
        <v>37</v>
      </c>
      <c r="W860" s="2" t="str">
        <f>CLEAN(TRIM(Working_Sales[[#This Row],[Quantity]]))</f>
        <v>2</v>
      </c>
      <c r="X860" s="2">
        <f>INT(Working_Sales[[#This Row],[`]])</f>
        <v>2</v>
      </c>
      <c r="Y860" s="6">
        <f>IFERROR(
   Working_Sales[[#This Row],[Quantity_Converted_To_Integer]],
   Working_Sales[[#This Row],[Total_Amount_Whitespace_Removed]]/Working_Sales[[#This Row],[Price_Per_Unit_Decimal_Separator_Fixed]])</f>
        <v>2</v>
      </c>
      <c r="Z860" t="s">
        <v>23</v>
      </c>
      <c r="AA860" s="2" t="str">
        <f>CLEAN(TRIM(Working_Sales[[#This Row],[Price per Unit]]))</f>
        <v>300</v>
      </c>
      <c r="AB860" s="2">
        <f>INT(
   SUBSTITUTE(Working_Sales[[#This Row],[Price_Per_Unit_Whitespace_Removed]],
   "$",
   ""
   )
)</f>
        <v>300</v>
      </c>
      <c r="AC860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860" s="8">
        <f>IFERROR(
   Working_Sales[[#This Row],[Price_Per_Unit_Decimal_Separator_Fixed]],
   Working_Sales[[#This Row],[Total_Amount_Converted_To_Integer]]/Working_Sales[[#This Row],[Quantity_Converted_To_Integer]]
)</f>
        <v>300</v>
      </c>
      <c r="AE860" t="s">
        <v>107</v>
      </c>
      <c r="AF860" s="2" t="str">
        <f>CLEAN(TRIM(Working_Sales[[#This Row],[Total Amount]]))</f>
        <v>600</v>
      </c>
      <c r="AG860" s="2">
        <f>INT(Working_Sales[[#This Row],[Total_Amount_Whitespace_Removed]])</f>
        <v>600</v>
      </c>
      <c r="AH86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600</v>
      </c>
    </row>
    <row r="861" spans="1:34" x14ac:dyDescent="0.35">
      <c r="A861" t="s">
        <v>1760</v>
      </c>
      <c r="B861" s="6" t="str">
        <f>CLEAN(TRIM(Working_Sales[[#This Row],[Transaction ID]]))</f>
        <v>722</v>
      </c>
      <c r="C861" t="s">
        <v>1761</v>
      </c>
      <c r="D861" s="2" t="str">
        <f>CLEAN(TRIM(Working_Sales[[#This Row],[Date]]))</f>
        <v>July 14, 2023</v>
      </c>
      <c r="E861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861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86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45121</v>
      </c>
      <c r="H861" t="s">
        <v>3024</v>
      </c>
      <c r="I861" s="2" t="str">
        <f>CLEAN(TRIM(Working_Sales[[#This Row],[Customer ID]]))</f>
        <v>CUST467</v>
      </c>
      <c r="J86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CUST467</v>
      </c>
      <c r="K86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CUST467</v>
      </c>
      <c r="L861" t="s">
        <v>34</v>
      </c>
      <c r="M861" s="4" t="str">
        <f>CLEAN(TRIM(Working_Sales[[#This Row],[Gender]]))</f>
        <v>Male</v>
      </c>
      <c r="N861" s="4" t="str" cm="1">
        <f t="array" ref="N861">_xlfn.SWITCH(
   Working_Sales[[#This Row],[Gender_Whitespace_Removed]],
   "m", "Male",
   "f", "Female",
   Working_Sales[[#This Row],[Gender_Whitespace_Removed]]
)</f>
        <v>Male</v>
      </c>
      <c r="O861" s="6" t="str">
        <f>PROPER(Working_Sales[[#This Row],[Gender_Abbreviation_Expanded]])</f>
        <v>Male</v>
      </c>
      <c r="P861">
        <v>20</v>
      </c>
      <c r="Q861" s="2" t="str">
        <f>CLEAN(TRIM(Working_Sales[[#This Row],[Age]]))</f>
        <v>20</v>
      </c>
      <c r="R861" s="6">
        <f>INT(SUBSTITUTE(Working_Sales[[#This Row],[Age_Whitespace_Removed]],".",","))</f>
        <v>20</v>
      </c>
      <c r="S861" t="s">
        <v>434</v>
      </c>
      <c r="T861" s="2" t="str">
        <f>CLEAN(TRIM(Working_Sales[[#This Row],[Product Category]]))</f>
        <v>Beauty</v>
      </c>
      <c r="U861" s="6" t="str">
        <f>PROPER(Working_Sales[[#This Row],[Product_Category_Whitespace_Removed]])</f>
        <v>Beauty</v>
      </c>
      <c r="V861" t="s">
        <v>29</v>
      </c>
      <c r="W861" s="2" t="str">
        <f>CLEAN(TRIM(Working_Sales[[#This Row],[Quantity]]))</f>
        <v>3</v>
      </c>
      <c r="X861" s="2">
        <f>INT(Working_Sales[[#This Row],[`]])</f>
        <v>3</v>
      </c>
      <c r="Y861" s="6">
        <f>IFERROR(
   Working_Sales[[#This Row],[Quantity_Converted_To_Integer]],
   Working_Sales[[#This Row],[Total_Amount_Whitespace_Removed]]/Working_Sales[[#This Row],[Price_Per_Unit_Decimal_Separator_Fixed]])</f>
        <v>3</v>
      </c>
      <c r="Z861" t="s">
        <v>23</v>
      </c>
      <c r="AA861" s="2" t="str">
        <f>CLEAN(TRIM(Working_Sales[[#This Row],[Price per Unit]]))</f>
        <v>300</v>
      </c>
      <c r="AB861" s="2">
        <f>INT(
   SUBSTITUTE(Working_Sales[[#This Row],[Price_Per_Unit_Whitespace_Removed]],
   "$",
   ""
   )
)</f>
        <v>300</v>
      </c>
      <c r="AC861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861" s="8">
        <f>IFERROR(
   Working_Sales[[#This Row],[Price_Per_Unit_Decimal_Separator_Fixed]],
   Working_Sales[[#This Row],[Total_Amount_Converted_To_Integer]]/Working_Sales[[#This Row],[Quantity_Converted_To_Integer]]
)</f>
        <v>300</v>
      </c>
      <c r="AE861" t="s">
        <v>128</v>
      </c>
      <c r="AF861" s="2" t="str">
        <f>CLEAN(TRIM(Working_Sales[[#This Row],[Total Amount]]))</f>
        <v>900</v>
      </c>
      <c r="AG861" s="2">
        <f>INT(Working_Sales[[#This Row],[Total_Amount_Whitespace_Removed]])</f>
        <v>900</v>
      </c>
      <c r="AH86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862" spans="1:34" x14ac:dyDescent="0.35">
      <c r="A862" t="s">
        <v>1762</v>
      </c>
      <c r="B862" s="6" t="str">
        <f>CLEAN(TRIM(Working_Sales[[#This Row],[Transaction ID]]))</f>
        <v>648</v>
      </c>
      <c r="C862" t="s">
        <v>1763</v>
      </c>
      <c r="D862" s="2" t="str">
        <f>CLEAN(TRIM(Working_Sales[[#This Row],[Date]]))</f>
        <v>14/08/2023</v>
      </c>
      <c r="E86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45152</v>
      </c>
      <c r="F86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45152</v>
      </c>
      <c r="G86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45152</v>
      </c>
      <c r="H862" t="s">
        <v>3025</v>
      </c>
      <c r="I862" s="2" t="str">
        <f>CLEAN(TRIM(Working_Sales[[#This Row],[Customer ID]]))</f>
        <v>Cust234</v>
      </c>
      <c r="J86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6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CUST234</v>
      </c>
      <c r="L862" t="s">
        <v>34</v>
      </c>
      <c r="M862" s="4" t="str">
        <f>CLEAN(TRIM(Working_Sales[[#This Row],[Gender]]))</f>
        <v>Male</v>
      </c>
      <c r="N862" s="4" t="str" cm="1">
        <f t="array" ref="N862">_xlfn.SWITCH(
   Working_Sales[[#This Row],[Gender_Whitespace_Removed]],
   "m", "Male",
   "f", "Female",
   Working_Sales[[#This Row],[Gender_Whitespace_Removed]]
)</f>
        <v>Male</v>
      </c>
      <c r="O862" s="6" t="str">
        <f>PROPER(Working_Sales[[#This Row],[Gender_Abbreviation_Expanded]])</f>
        <v>Male</v>
      </c>
      <c r="P862">
        <v>53</v>
      </c>
      <c r="Q862" s="2" t="str">
        <f>CLEAN(TRIM(Working_Sales[[#This Row],[Age]]))</f>
        <v>53</v>
      </c>
      <c r="R862" s="6">
        <f>INT(SUBSTITUTE(Working_Sales[[#This Row],[Age_Whitespace_Removed]],".",","))</f>
        <v>53</v>
      </c>
      <c r="S862" t="s">
        <v>36</v>
      </c>
      <c r="T862" s="2" t="str">
        <f>CLEAN(TRIM(Working_Sales[[#This Row],[Product Category]]))</f>
        <v>Beauty</v>
      </c>
      <c r="U862" s="6" t="str">
        <f>PROPER(Working_Sales[[#This Row],[Product_Category_Whitespace_Removed]])</f>
        <v>Beauty</v>
      </c>
      <c r="V862" t="s">
        <v>14</v>
      </c>
      <c r="W862" s="2" t="str">
        <f>CLEAN(TRIM(Working_Sales[[#This Row],[Quantity]]))</f>
        <v>4</v>
      </c>
      <c r="X862" s="2">
        <f>INT(Working_Sales[[#This Row],[`]])</f>
        <v>4</v>
      </c>
      <c r="Y862" s="6">
        <f>IFERROR(
   Working_Sales[[#This Row],[Quantity_Converted_To_Integer]],
   Working_Sales[[#This Row],[Total_Amount_Whitespace_Removed]]/Working_Sales[[#This Row],[Price_Per_Unit_Decimal_Separator_Fixed]])</f>
        <v>4</v>
      </c>
      <c r="Z862" t="s">
        <v>23</v>
      </c>
      <c r="AA862" s="2" t="str">
        <f>CLEAN(TRIM(Working_Sales[[#This Row],[Price per Unit]]))</f>
        <v>300</v>
      </c>
      <c r="AB862" s="2">
        <f>INT(
   SUBSTITUTE(Working_Sales[[#This Row],[Price_Per_Unit_Whitespace_Removed]],
   "$",
   ""
   )
)</f>
        <v>300</v>
      </c>
      <c r="AC862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862" s="8">
        <f>IFERROR(
   Working_Sales[[#This Row],[Price_Per_Unit_Decimal_Separator_Fixed]],
   Working_Sales[[#This Row],[Total_Amount_Converted_To_Integer]]/Working_Sales[[#This Row],[Quantity_Converted_To_Integer]]
)</f>
        <v>300</v>
      </c>
      <c r="AE862" t="s">
        <v>79</v>
      </c>
      <c r="AF862" s="2" t="str">
        <f>CLEAN(TRIM(Working_Sales[[#This Row],[Total Amount]]))</f>
        <v>1200</v>
      </c>
      <c r="AG862" s="2">
        <f>INT(Working_Sales[[#This Row],[Total_Amount_Whitespace_Removed]])</f>
        <v>1200</v>
      </c>
      <c r="AH86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863" spans="1:34" x14ac:dyDescent="0.35">
      <c r="A863" t="s">
        <v>1764</v>
      </c>
      <c r="B863" s="6" t="str">
        <f>CLEAN(TRIM(Working_Sales[[#This Row],[Transaction ID]]))</f>
        <v>990</v>
      </c>
      <c r="C863" t="s">
        <v>1765</v>
      </c>
      <c r="D863" s="2" t="str">
        <f>CLEAN(TRIM(Working_Sales[[#This Row],[Date]]))</f>
        <v>2023-05-25</v>
      </c>
      <c r="E86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45071</v>
      </c>
      <c r="F86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45071</v>
      </c>
      <c r="G86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45071</v>
      </c>
      <c r="H863" t="s">
        <v>3026</v>
      </c>
      <c r="I863" s="2" t="str">
        <f>CLEAN(TRIM(Working_Sales[[#This Row],[Customer ID]]))</f>
        <v>CUST-450</v>
      </c>
      <c r="J86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6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CUST450</v>
      </c>
      <c r="L863" t="s">
        <v>26</v>
      </c>
      <c r="M863" s="4" t="str">
        <f>CLEAN(TRIM(Working_Sales[[#This Row],[Gender]]))</f>
        <v>Female</v>
      </c>
      <c r="N863" s="4" t="str" cm="1">
        <f t="array" ref="N863">_xlfn.SWITCH(
   Working_Sales[[#This Row],[Gender_Whitespace_Removed]],
   "m", "Male",
   "f", "Female",
   Working_Sales[[#This Row],[Gender_Whitespace_Removed]]
)</f>
        <v>Female</v>
      </c>
      <c r="O863" s="6" t="str">
        <f>PROPER(Working_Sales[[#This Row],[Gender_Abbreviation_Expanded]])</f>
        <v>Female</v>
      </c>
      <c r="P863">
        <v>58</v>
      </c>
      <c r="Q863" s="2" t="str">
        <f>CLEAN(TRIM(Working_Sales[[#This Row],[Age]]))</f>
        <v>58</v>
      </c>
      <c r="R863" s="6">
        <f>INT(SUBSTITUTE(Working_Sales[[#This Row],[Age_Whitespace_Removed]],".",","))</f>
        <v>58</v>
      </c>
      <c r="S863" t="s">
        <v>69</v>
      </c>
      <c r="T863" s="2" t="str">
        <f>CLEAN(TRIM(Working_Sales[[#This Row],[Product Category]]))</f>
        <v>BEAUTY</v>
      </c>
      <c r="U863" s="6" t="str">
        <f>PROPER(Working_Sales[[#This Row],[Product_Category_Whitespace_Removed]])</f>
        <v>Beauty</v>
      </c>
      <c r="V863" t="s">
        <v>37</v>
      </c>
      <c r="W863" s="2" t="str">
        <f>CLEAN(TRIM(Working_Sales[[#This Row],[Quantity]]))</f>
        <v>2</v>
      </c>
      <c r="X863" s="2">
        <f>INT(Working_Sales[[#This Row],[`]])</f>
        <v>2</v>
      </c>
      <c r="Y863" s="6">
        <f>IFERROR(
   Working_Sales[[#This Row],[Quantity_Converted_To_Integer]],
   Working_Sales[[#This Row],[Total_Amount_Whitespace_Removed]]/Working_Sales[[#This Row],[Price_Per_Unit_Decimal_Separator_Fixed]])</f>
        <v>2</v>
      </c>
      <c r="Z863" t="s">
        <v>57</v>
      </c>
      <c r="AA863" s="2" t="str">
        <f>CLEAN(TRIM(Working_Sales[[#This Row],[Price per Unit]]))</f>
        <v>500</v>
      </c>
      <c r="AB863" s="2">
        <f>INT(
   SUBSTITUTE(Working_Sales[[#This Row],[Price_Per_Unit_Whitespace_Removed]],
   "$",
   ""
   )
)</f>
        <v>500</v>
      </c>
      <c r="AC863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863" s="8">
        <f>IFERROR(
   Working_Sales[[#This Row],[Price_Per_Unit_Decimal_Separator_Fixed]],
   Working_Sales[[#This Row],[Total_Amount_Converted_To_Integer]]/Working_Sales[[#This Row],[Quantity_Converted_To_Integer]]
)</f>
        <v>500</v>
      </c>
      <c r="AE863" t="s">
        <v>163</v>
      </c>
      <c r="AF863" s="2" t="str">
        <f>CLEAN(TRIM(Working_Sales[[#This Row],[Total Amount]]))</f>
        <v>1000</v>
      </c>
      <c r="AG863" s="2">
        <f>INT(Working_Sales[[#This Row],[Total_Amount_Whitespace_Removed]])</f>
        <v>1000</v>
      </c>
      <c r="AH86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864" spans="1:34" x14ac:dyDescent="0.35">
      <c r="A864" t="s">
        <v>1766</v>
      </c>
      <c r="B864" s="6" t="str">
        <f>CLEAN(TRIM(Working_Sales[[#This Row],[Transaction ID]]))</f>
        <v>944</v>
      </c>
      <c r="C864" t="s">
        <v>2162</v>
      </c>
      <c r="D864" s="2" t="str">
        <f>CLEAN(TRIM(Working_Sales[[#This Row],[Date]]))</f>
        <v>05-Jun-2023</v>
      </c>
      <c r="E86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45082</v>
      </c>
      <c r="F86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45082</v>
      </c>
      <c r="G86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45082</v>
      </c>
      <c r="H864" t="s">
        <v>3027</v>
      </c>
      <c r="I864" s="2" t="str">
        <f>CLEAN(TRIM(Working_Sales[[#This Row],[Customer ID]]))</f>
        <v>CUST-357</v>
      </c>
      <c r="J86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6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CUST357</v>
      </c>
      <c r="L864" t="s">
        <v>11</v>
      </c>
      <c r="M864" s="4" t="str">
        <f>CLEAN(TRIM(Working_Sales[[#This Row],[Gender]]))</f>
        <v>MALE</v>
      </c>
      <c r="N864" s="4" t="str" cm="1">
        <f t="array" ref="N864">_xlfn.SWITCH(
   Working_Sales[[#This Row],[Gender_Whitespace_Removed]],
   "m", "Male",
   "f", "Female",
   Working_Sales[[#This Row],[Gender_Whitespace_Removed]]
)</f>
        <v>MALE</v>
      </c>
      <c r="O864" s="6" t="str">
        <f>PROPER(Working_Sales[[#This Row],[Gender_Abbreviation_Expanded]])</f>
        <v>Male</v>
      </c>
      <c r="P864">
        <v>44</v>
      </c>
      <c r="Q864" s="2" t="str">
        <f>CLEAN(TRIM(Working_Sales[[#This Row],[Age]]))</f>
        <v>44</v>
      </c>
      <c r="R864" s="6">
        <f>INT(SUBSTITUTE(Working_Sales[[#This Row],[Age_Whitespace_Removed]],".",","))</f>
        <v>44</v>
      </c>
      <c r="S864" t="s">
        <v>28</v>
      </c>
      <c r="T864" s="2" t="str">
        <f>CLEAN(TRIM(Working_Sales[[#This Row],[Product Category]]))</f>
        <v>clothing</v>
      </c>
      <c r="U864" s="6" t="str">
        <f>PROPER(Working_Sales[[#This Row],[Product_Category_Whitespace_Removed]])</f>
        <v>Clothing</v>
      </c>
      <c r="V864" t="s">
        <v>37</v>
      </c>
      <c r="W864" s="2" t="str">
        <f>CLEAN(TRIM(Working_Sales[[#This Row],[Quantity]]))</f>
        <v>2</v>
      </c>
      <c r="X864" s="2">
        <f>INT(Working_Sales[[#This Row],[`]])</f>
        <v>2</v>
      </c>
      <c r="Y864" s="6">
        <f>IFERROR(
   Working_Sales[[#This Row],[Quantity_Converted_To_Integer]],
   Working_Sales[[#This Row],[Total_Amount_Whitespace_Removed]]/Working_Sales[[#This Row],[Price_Per_Unit_Decimal_Separator_Fixed]])</f>
        <v>2</v>
      </c>
      <c r="Z864" t="s">
        <v>30</v>
      </c>
      <c r="AA864" s="2" t="str">
        <f>CLEAN(TRIM(Working_Sales[[#This Row],[Price per Unit]]))</f>
        <v>25</v>
      </c>
      <c r="AB864" s="2">
        <f>INT(
   SUBSTITUTE(Working_Sales[[#This Row],[Price_Per_Unit_Whitespace_Removed]],
   "$",
   ""
   )
)</f>
        <v>25</v>
      </c>
      <c r="AC864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864" s="8">
        <f>IFERROR(
   Working_Sales[[#This Row],[Price_Per_Unit_Decimal_Separator_Fixed]],
   Working_Sales[[#This Row],[Total_Amount_Converted_To_Integer]]/Working_Sales[[#This Row],[Quantity_Converted_To_Integer]]
)</f>
        <v>25</v>
      </c>
      <c r="AE864" t="s">
        <v>15</v>
      </c>
      <c r="AF864" s="2" t="str">
        <f>CLEAN(TRIM(Working_Sales[[#This Row],[Total Amount]]))</f>
        <v>50</v>
      </c>
      <c r="AG864" s="2">
        <f>INT(Working_Sales[[#This Row],[Total_Amount_Whitespace_Removed]])</f>
        <v>50</v>
      </c>
      <c r="AH86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865" spans="1:34" x14ac:dyDescent="0.35">
      <c r="A865" t="s">
        <v>1767</v>
      </c>
      <c r="B865" s="6" t="str">
        <f>CLEAN(TRIM(Working_Sales[[#This Row],[Transaction ID]]))</f>
        <v>711</v>
      </c>
      <c r="C865" t="s">
        <v>1768</v>
      </c>
      <c r="D865" s="2" t="str">
        <f>CLEAN(TRIM(Working_Sales[[#This Row],[Date]]))</f>
        <v>10/16/2023</v>
      </c>
      <c r="E865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86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45215</v>
      </c>
      <c r="G86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45215</v>
      </c>
      <c r="H865" t="s">
        <v>2773</v>
      </c>
      <c r="I865" s="2" t="str">
        <f>CLEAN(TRIM(Working_Sales[[#This Row],[Customer ID]]))</f>
        <v>cust372</v>
      </c>
      <c r="J86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6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CUST372</v>
      </c>
      <c r="L865" t="s">
        <v>20</v>
      </c>
      <c r="M865" s="4" t="str">
        <f>CLEAN(TRIM(Working_Sales[[#This Row],[Gender]]))</f>
        <v>male</v>
      </c>
      <c r="N865" s="4" t="str" cm="1">
        <f t="array" ref="N865">_xlfn.SWITCH(
   Working_Sales[[#This Row],[Gender_Whitespace_Removed]],
   "m", "Male",
   "f", "Female",
   Working_Sales[[#This Row],[Gender_Whitespace_Removed]]
)</f>
        <v>male</v>
      </c>
      <c r="O865" s="6" t="str">
        <f>PROPER(Working_Sales[[#This Row],[Gender_Abbreviation_Expanded]])</f>
        <v>Male</v>
      </c>
      <c r="P865">
        <v>26</v>
      </c>
      <c r="Q865" s="2" t="str">
        <f>CLEAN(TRIM(Working_Sales[[#This Row],[Age]]))</f>
        <v>26</v>
      </c>
      <c r="R865" s="6">
        <f>INT(SUBSTITUTE(Working_Sales[[#This Row],[Age_Whitespace_Removed]],".",","))</f>
        <v>26</v>
      </c>
      <c r="S865" t="s">
        <v>48</v>
      </c>
      <c r="T865" s="2" t="str">
        <f>CLEAN(TRIM(Working_Sales[[#This Row],[Product Category]]))</f>
        <v>electronics</v>
      </c>
      <c r="U865" s="6" t="str">
        <f>PROPER(Working_Sales[[#This Row],[Product_Category_Whitespace_Removed]])</f>
        <v>Electronics</v>
      </c>
      <c r="V865" t="s">
        <v>29</v>
      </c>
      <c r="W865" s="2" t="str">
        <f>CLEAN(TRIM(Working_Sales[[#This Row],[Quantity]]))</f>
        <v>3</v>
      </c>
      <c r="X865" s="2">
        <f>INT(Working_Sales[[#This Row],[`]])</f>
        <v>3</v>
      </c>
      <c r="Y865" s="6">
        <f>IFERROR(
   Working_Sales[[#This Row],[Quantity_Converted_To_Integer]],
   Working_Sales[[#This Row],[Total_Amount_Whitespace_Removed]]/Working_Sales[[#This Row],[Price_Per_Unit_Decimal_Separator_Fixed]])</f>
        <v>3</v>
      </c>
      <c r="Z865" t="s">
        <v>162</v>
      </c>
      <c r="AA865" s="2" t="str">
        <f>CLEAN(TRIM(Working_Sales[[#This Row],[Price per Unit]]))</f>
        <v>$500</v>
      </c>
      <c r="AB865" s="2">
        <f>INT(
   SUBSTITUTE(Working_Sales[[#This Row],[Price_Per_Unit_Whitespace_Removed]],
   "$",
   ""
   )
)</f>
        <v>500</v>
      </c>
      <c r="AC865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865" s="8">
        <f>IFERROR(
   Working_Sales[[#This Row],[Price_Per_Unit_Decimal_Separator_Fixed]],
   Working_Sales[[#This Row],[Total_Amount_Converted_To_Integer]]/Working_Sales[[#This Row],[Quantity_Converted_To_Integer]]
)</f>
        <v>500</v>
      </c>
      <c r="AE865" t="s">
        <v>85</v>
      </c>
      <c r="AF865" s="2" t="str">
        <f>CLEAN(TRIM(Working_Sales[[#This Row],[Total Amount]]))</f>
        <v>1500</v>
      </c>
      <c r="AG865" s="2">
        <f>INT(Working_Sales[[#This Row],[Total_Amount_Whitespace_Removed]])</f>
        <v>1500</v>
      </c>
      <c r="AH86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866" spans="1:34" x14ac:dyDescent="0.35">
      <c r="A866" t="s">
        <v>1769</v>
      </c>
      <c r="B866" s="6" t="str">
        <f>CLEAN(TRIM(Working_Sales[[#This Row],[Transaction ID]]))</f>
        <v>374</v>
      </c>
      <c r="C866" t="s">
        <v>1184</v>
      </c>
      <c r="D866" s="2" t="str">
        <f>CLEAN(TRIM(Working_Sales[[#This Row],[Date]]))</f>
        <v>04/20/2023</v>
      </c>
      <c r="E866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86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45036</v>
      </c>
      <c r="G86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45036</v>
      </c>
      <c r="H866" t="s">
        <v>3028</v>
      </c>
      <c r="I866" s="2" t="str">
        <f>CLEAN(TRIM(Working_Sales[[#This Row],[Customer ID]]))</f>
        <v>CUST166</v>
      </c>
      <c r="J86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6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CUST166</v>
      </c>
      <c r="L866" t="s">
        <v>140</v>
      </c>
      <c r="M866" s="4" t="str">
        <f>CLEAN(TRIM(Working_Sales[[#This Row],[Gender]]))</f>
        <v>FEMALE</v>
      </c>
      <c r="N866" s="4" t="str" cm="1">
        <f t="array" ref="N866">_xlfn.SWITCH(
   Working_Sales[[#This Row],[Gender_Whitespace_Removed]],
   "m", "Male",
   "f", "Female",
   Working_Sales[[#This Row],[Gender_Whitespace_Removed]]
)</f>
        <v>FEMALE</v>
      </c>
      <c r="O866" s="6" t="str">
        <f>PROPER(Working_Sales[[#This Row],[Gender_Abbreviation_Expanded]])</f>
        <v>Female</v>
      </c>
      <c r="P866">
        <v>59</v>
      </c>
      <c r="Q866" s="2" t="str">
        <f>CLEAN(TRIM(Working_Sales[[#This Row],[Age]]))</f>
        <v>59</v>
      </c>
      <c r="R866" s="6">
        <f>INT(SUBSTITUTE(Working_Sales[[#This Row],[Age_Whitespace_Removed]],".",","))</f>
        <v>59</v>
      </c>
      <c r="S866" t="s">
        <v>42</v>
      </c>
      <c r="T866" s="2" t="str">
        <f>CLEAN(TRIM(Working_Sales[[#This Row],[Product Category]]))</f>
        <v>Beauty</v>
      </c>
      <c r="U866" s="6" t="str">
        <f>PROPER(Working_Sales[[#This Row],[Product_Category_Whitespace_Removed]])</f>
        <v>Beauty</v>
      </c>
      <c r="V866" t="s">
        <v>29</v>
      </c>
      <c r="W866" s="2" t="str">
        <f>CLEAN(TRIM(Working_Sales[[#This Row],[Quantity]]))</f>
        <v>3</v>
      </c>
      <c r="X866" s="2">
        <f>INT(Working_Sales[[#This Row],[`]])</f>
        <v>3</v>
      </c>
      <c r="Y866" s="6">
        <f>IFERROR(
   Working_Sales[[#This Row],[Quantity_Converted_To_Integer]],
   Working_Sales[[#This Row],[Total_Amount_Whitespace_Removed]]/Working_Sales[[#This Row],[Price_Per_Unit_Decimal_Separator_Fixed]])</f>
        <v>3</v>
      </c>
      <c r="Z866" t="s">
        <v>30</v>
      </c>
      <c r="AA866" s="2" t="str">
        <f>CLEAN(TRIM(Working_Sales[[#This Row],[Price per Unit]]))</f>
        <v>25</v>
      </c>
      <c r="AB866" s="2">
        <f>INT(
   SUBSTITUTE(Working_Sales[[#This Row],[Price_Per_Unit_Whitespace_Removed]],
   "$",
   ""
   )
)</f>
        <v>25</v>
      </c>
      <c r="AC866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866" s="8">
        <f>IFERROR(
   Working_Sales[[#This Row],[Price_Per_Unit_Decimal_Separator_Fixed]],
   Working_Sales[[#This Row],[Total_Amount_Converted_To_Integer]]/Working_Sales[[#This Row],[Quantity_Converted_To_Integer]]
)</f>
        <v>25</v>
      </c>
      <c r="AE866" t="s">
        <v>31</v>
      </c>
      <c r="AF866" s="2" t="str">
        <f>CLEAN(TRIM(Working_Sales[[#This Row],[Total Amount]]))</f>
        <v>75</v>
      </c>
      <c r="AG866" s="2">
        <f>INT(Working_Sales[[#This Row],[Total_Amount_Whitespace_Removed]])</f>
        <v>75</v>
      </c>
      <c r="AH86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867" spans="1:34" x14ac:dyDescent="0.35">
      <c r="A867" t="s">
        <v>1771</v>
      </c>
      <c r="B867" s="6" t="str">
        <f>CLEAN(TRIM(Working_Sales[[#This Row],[Transaction ID]]))</f>
        <v>679</v>
      </c>
      <c r="C867" t="s">
        <v>1772</v>
      </c>
      <c r="D867" s="2" t="str">
        <f>CLEAN(TRIM(Working_Sales[[#This Row],[Date]]))</f>
        <v>2023-01-11</v>
      </c>
      <c r="E86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44937</v>
      </c>
      <c r="F86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44937</v>
      </c>
      <c r="G86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44937</v>
      </c>
      <c r="H867" t="s">
        <v>3029</v>
      </c>
      <c r="I867" s="2" t="str">
        <f>CLEAN(TRIM(Working_Sales[[#This Row],[Customer ID]]))</f>
        <v>cust030</v>
      </c>
      <c r="J86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6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CUST030</v>
      </c>
      <c r="L867" t="s">
        <v>26</v>
      </c>
      <c r="M867" s="4" t="str">
        <f>CLEAN(TRIM(Working_Sales[[#This Row],[Gender]]))</f>
        <v>Female</v>
      </c>
      <c r="N867" s="4" t="str" cm="1">
        <f t="array" ref="N867">_xlfn.SWITCH(
   Working_Sales[[#This Row],[Gender_Whitespace_Removed]],
   "m", "Male",
   "f", "Female",
   Working_Sales[[#This Row],[Gender_Whitespace_Removed]]
)</f>
        <v>Female</v>
      </c>
      <c r="O867" s="6" t="str">
        <f>PROPER(Working_Sales[[#This Row],[Gender_Abbreviation_Expanded]])</f>
        <v>Female</v>
      </c>
      <c r="P867">
        <v>18</v>
      </c>
      <c r="Q867" s="2" t="str">
        <f>CLEAN(TRIM(Working_Sales[[#This Row],[Age]]))</f>
        <v>18</v>
      </c>
      <c r="R867" s="6">
        <f>INT(SUBSTITUTE(Working_Sales[[#This Row],[Age_Whitespace_Removed]],".",","))</f>
        <v>18</v>
      </c>
      <c r="S867" t="s">
        <v>62</v>
      </c>
      <c r="T867" s="2" t="str">
        <f>CLEAN(TRIM(Working_Sales[[#This Row],[Product Category]]))</f>
        <v>beauty</v>
      </c>
      <c r="U867" s="6" t="str">
        <f>PROPER(Working_Sales[[#This Row],[Product_Category_Whitespace_Removed]])</f>
        <v>Beauty</v>
      </c>
      <c r="V867" t="s">
        <v>29</v>
      </c>
      <c r="W867" s="2" t="str">
        <f>CLEAN(TRIM(Working_Sales[[#This Row],[Quantity]]))</f>
        <v>3</v>
      </c>
      <c r="X867" s="2">
        <f>INT(Working_Sales[[#This Row],[`]])</f>
        <v>3</v>
      </c>
      <c r="Y867" s="6">
        <f>IFERROR(
   Working_Sales[[#This Row],[Quantity_Converted_To_Integer]],
   Working_Sales[[#This Row],[Total_Amount_Whitespace_Removed]]/Working_Sales[[#This Row],[Price_Per_Unit_Decimal_Separator_Fixed]])</f>
        <v>3</v>
      </c>
      <c r="Z867" t="s">
        <v>70</v>
      </c>
      <c r="AA867" s="2" t="str">
        <f>CLEAN(TRIM(Working_Sales[[#This Row],[Price per Unit]]))</f>
        <v>30</v>
      </c>
      <c r="AB867" s="2">
        <f>INT(
   SUBSTITUTE(Working_Sales[[#This Row],[Price_Per_Unit_Whitespace_Removed]],
   "$",
   ""
   )
)</f>
        <v>30</v>
      </c>
      <c r="AC867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867" s="8">
        <f>IFERROR(
   Working_Sales[[#This Row],[Price_Per_Unit_Decimal_Separator_Fixed]],
   Working_Sales[[#This Row],[Total_Amount_Converted_To_Integer]]/Working_Sales[[#This Row],[Quantity_Converted_To_Integer]]
)</f>
        <v>30</v>
      </c>
      <c r="AE867" t="s">
        <v>191</v>
      </c>
      <c r="AF867" s="2" t="str">
        <f>CLEAN(TRIM(Working_Sales[[#This Row],[Total Amount]]))</f>
        <v>90</v>
      </c>
      <c r="AG867" s="2">
        <f>INT(Working_Sales[[#This Row],[Total_Amount_Whitespace_Removed]])</f>
        <v>90</v>
      </c>
      <c r="AH86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868" spans="1:34" x14ac:dyDescent="0.35">
      <c r="A868" t="s">
        <v>1773</v>
      </c>
      <c r="B868" s="6" t="str">
        <f>CLEAN(TRIM(Working_Sales[[#This Row],[Transaction ID]]))</f>
        <v>895</v>
      </c>
      <c r="C868" t="s">
        <v>1774</v>
      </c>
      <c r="D868" s="2" t="str">
        <f>CLEAN(TRIM(Working_Sales[[#This Row],[Date]]))</f>
        <v>2023-05-22</v>
      </c>
      <c r="E86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45068</v>
      </c>
      <c r="F86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45068</v>
      </c>
      <c r="G86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45068</v>
      </c>
      <c r="H868" t="s">
        <v>2207</v>
      </c>
      <c r="I868" s="2" t="str">
        <f>CLEAN(TRIM(Working_Sales[[#This Row],[Customer ID]]))</f>
        <v>CUST075</v>
      </c>
      <c r="J86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CUST075</v>
      </c>
      <c r="K86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CUST075</v>
      </c>
      <c r="L868" t="s">
        <v>46</v>
      </c>
      <c r="M868" s="4" t="str">
        <f>CLEAN(TRIM(Working_Sales[[#This Row],[Gender]]))</f>
        <v>F</v>
      </c>
      <c r="N868" s="4" t="str" cm="1">
        <f t="array" ref="N868">_xlfn.SWITCH(
   Working_Sales[[#This Row],[Gender_Whitespace_Removed]],
   "m", "Male",
   "f", "Female",
   Working_Sales[[#This Row],[Gender_Whitespace_Removed]]
)</f>
        <v>Female</v>
      </c>
      <c r="O868" s="6" t="str">
        <f>PROPER(Working_Sales[[#This Row],[Gender_Abbreviation_Expanded]])</f>
        <v>Female</v>
      </c>
      <c r="P868">
        <v>55</v>
      </c>
      <c r="Q868" s="2" t="str">
        <f>CLEAN(TRIM(Working_Sales[[#This Row],[Age]]))</f>
        <v>55</v>
      </c>
      <c r="R868" s="6">
        <f>INT(SUBSTITUTE(Working_Sales[[#This Row],[Age_Whitespace_Removed]],".",","))</f>
        <v>55</v>
      </c>
      <c r="S868" t="s">
        <v>56</v>
      </c>
      <c r="T868" s="2" t="str">
        <f>CLEAN(TRIM(Working_Sales[[#This Row],[Product Category]]))</f>
        <v>Clothing</v>
      </c>
      <c r="U868" s="6" t="str">
        <f>PROPER(Working_Sales[[#This Row],[Product_Category_Whitespace_Removed]])</f>
        <v>Clothing</v>
      </c>
      <c r="V868" t="s">
        <v>14</v>
      </c>
      <c r="W868" s="2" t="str">
        <f>CLEAN(TRIM(Working_Sales[[#This Row],[Quantity]]))</f>
        <v>4</v>
      </c>
      <c r="X868" s="2">
        <f>INT(Working_Sales[[#This Row],[`]])</f>
        <v>4</v>
      </c>
      <c r="Y868" s="6">
        <f>IFERROR(
   Working_Sales[[#This Row],[Quantity_Converted_To_Integer]],
   Working_Sales[[#This Row],[Total_Amount_Whitespace_Removed]]/Working_Sales[[#This Row],[Price_Per_Unit_Decimal_Separator_Fixed]])</f>
        <v>4</v>
      </c>
      <c r="Z868" t="s">
        <v>70</v>
      </c>
      <c r="AA868" s="2" t="str">
        <f>CLEAN(TRIM(Working_Sales[[#This Row],[Price per Unit]]))</f>
        <v>30</v>
      </c>
      <c r="AB868" s="2">
        <f>INT(
   SUBSTITUTE(Working_Sales[[#This Row],[Price_Per_Unit_Whitespace_Removed]],
   "$",
   ""
   )
)</f>
        <v>30</v>
      </c>
      <c r="AC868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868" s="8">
        <f>IFERROR(
   Working_Sales[[#This Row],[Price_Per_Unit_Decimal_Separator_Fixed]],
   Working_Sales[[#This Row],[Total_Amount_Converted_To_Integer]]/Working_Sales[[#This Row],[Quantity_Converted_To_Integer]]
)</f>
        <v>30</v>
      </c>
      <c r="AE868" t="s">
        <v>44</v>
      </c>
      <c r="AF868" s="2" t="str">
        <f>CLEAN(TRIM(Working_Sales[[#This Row],[Total Amount]]))</f>
        <v>120</v>
      </c>
      <c r="AG868" s="2">
        <f>INT(Working_Sales[[#This Row],[Total_Amount_Whitespace_Removed]])</f>
        <v>120</v>
      </c>
      <c r="AH86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869" spans="1:34" x14ac:dyDescent="0.35">
      <c r="A869" t="s">
        <v>1775</v>
      </c>
      <c r="B869" s="6" t="str">
        <f>CLEAN(TRIM(Working_Sales[[#This Row],[Transaction ID]]))</f>
        <v>649</v>
      </c>
      <c r="C869" t="s">
        <v>2163</v>
      </c>
      <c r="D869" s="2" t="str">
        <f>CLEAN(TRIM(Working_Sales[[#This Row],[Date]]))</f>
        <v>09-Feb-2023</v>
      </c>
      <c r="E86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44966</v>
      </c>
      <c r="F86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44966</v>
      </c>
      <c r="G86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44966</v>
      </c>
      <c r="H869" t="s">
        <v>2330</v>
      </c>
      <c r="I869" s="2" t="str">
        <f>CLEAN(TRIM(Working_Sales[[#This Row],[Customer ID]]))</f>
        <v>cust006</v>
      </c>
      <c r="J86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6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CUST006</v>
      </c>
      <c r="L869" t="s">
        <v>26</v>
      </c>
      <c r="M869" s="4" t="str">
        <f>CLEAN(TRIM(Working_Sales[[#This Row],[Gender]]))</f>
        <v>Female</v>
      </c>
      <c r="N869" s="4" t="str" cm="1">
        <f t="array" ref="N869">_xlfn.SWITCH(
   Working_Sales[[#This Row],[Gender_Whitespace_Removed]],
   "m", "Male",
   "f", "Female",
   Working_Sales[[#This Row],[Gender_Whitespace_Removed]]
)</f>
        <v>Female</v>
      </c>
      <c r="O869" s="6" t="str">
        <f>PROPER(Working_Sales[[#This Row],[Gender_Abbreviation_Expanded]])</f>
        <v>Female</v>
      </c>
      <c r="P869">
        <v>58</v>
      </c>
      <c r="Q869" s="2" t="str">
        <f>CLEAN(TRIM(Working_Sales[[#This Row],[Age]]))</f>
        <v>58</v>
      </c>
      <c r="R869" s="6">
        <f>INT(SUBSTITUTE(Working_Sales[[#This Row],[Age_Whitespace_Removed]],".",","))</f>
        <v>58</v>
      </c>
      <c r="S869" t="s">
        <v>56</v>
      </c>
      <c r="T869" s="2" t="str">
        <f>CLEAN(TRIM(Working_Sales[[#This Row],[Product Category]]))</f>
        <v>Clothing</v>
      </c>
      <c r="U869" s="6" t="str">
        <f>PROPER(Working_Sales[[#This Row],[Product_Category_Whitespace_Removed]])</f>
        <v>Clothing</v>
      </c>
      <c r="V869" t="s">
        <v>37</v>
      </c>
      <c r="W869" s="2" t="str">
        <f>CLEAN(TRIM(Working_Sales[[#This Row],[Quantity]]))</f>
        <v>2</v>
      </c>
      <c r="X869" s="2">
        <f>INT(Working_Sales[[#This Row],[`]])</f>
        <v>2</v>
      </c>
      <c r="Y869" s="6">
        <f>IFERROR(
   Working_Sales[[#This Row],[Quantity_Converted_To_Integer]],
   Working_Sales[[#This Row],[Total_Amount_Whitespace_Removed]]/Working_Sales[[#This Row],[Price_Per_Unit_Decimal_Separator_Fixed]])</f>
        <v>2</v>
      </c>
      <c r="Z869" t="s">
        <v>23</v>
      </c>
      <c r="AA869" s="2" t="str">
        <f>CLEAN(TRIM(Working_Sales[[#This Row],[Price per Unit]]))</f>
        <v>300</v>
      </c>
      <c r="AB869" s="2">
        <f>INT(
   SUBSTITUTE(Working_Sales[[#This Row],[Price_Per_Unit_Whitespace_Removed]],
   "$",
   ""
   )
)</f>
        <v>300</v>
      </c>
      <c r="AC869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869" s="8">
        <f>IFERROR(
   Working_Sales[[#This Row],[Price_Per_Unit_Decimal_Separator_Fixed]],
   Working_Sales[[#This Row],[Total_Amount_Converted_To_Integer]]/Working_Sales[[#This Row],[Quantity_Converted_To_Integer]]
)</f>
        <v>300</v>
      </c>
      <c r="AE869" t="s">
        <v>107</v>
      </c>
      <c r="AF869" s="2" t="str">
        <f>CLEAN(TRIM(Working_Sales[[#This Row],[Total Amount]]))</f>
        <v>600</v>
      </c>
      <c r="AG869" s="2">
        <f>INT(Working_Sales[[#This Row],[Total_Amount_Whitespace_Removed]])</f>
        <v>600</v>
      </c>
      <c r="AH86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600</v>
      </c>
    </row>
    <row r="870" spans="1:34" x14ac:dyDescent="0.35">
      <c r="A870" t="s">
        <v>1776</v>
      </c>
      <c r="B870" s="6" t="str">
        <f>CLEAN(TRIM(Working_Sales[[#This Row],[Transaction ID]]))</f>
        <v>798</v>
      </c>
      <c r="C870" t="s">
        <v>1777</v>
      </c>
      <c r="D870" s="2" t="str">
        <f>CLEAN(TRIM(Working_Sales[[#This Row],[Date]]))</f>
        <v>August 04, 2023</v>
      </c>
      <c r="E870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870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87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45142</v>
      </c>
      <c r="H870" t="s">
        <v>3030</v>
      </c>
      <c r="I870" s="2" t="str">
        <f>CLEAN(TRIM(Working_Sales[[#This Row],[Customer ID]]))</f>
        <v>CUST474</v>
      </c>
      <c r="J87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CUST474</v>
      </c>
      <c r="K87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CUST474</v>
      </c>
      <c r="L870" t="s">
        <v>34</v>
      </c>
      <c r="M870" s="4" t="str">
        <f>CLEAN(TRIM(Working_Sales[[#This Row],[Gender]]))</f>
        <v>Male</v>
      </c>
      <c r="N870" s="4" t="str" cm="1">
        <f t="array" ref="N870">_xlfn.SWITCH(
   Working_Sales[[#This Row],[Gender_Whitespace_Removed]],
   "m", "Male",
   "f", "Female",
   Working_Sales[[#This Row],[Gender_Whitespace_Removed]]
)</f>
        <v>Male</v>
      </c>
      <c r="O870" s="6" t="str">
        <f>PROPER(Working_Sales[[#This Row],[Gender_Abbreviation_Expanded]])</f>
        <v>Male</v>
      </c>
      <c r="P870">
        <v>61</v>
      </c>
      <c r="Q870" s="2" t="str">
        <f>CLEAN(TRIM(Working_Sales[[#This Row],[Age]]))</f>
        <v>61</v>
      </c>
      <c r="R870" s="6">
        <f>INT(SUBSTITUTE(Working_Sales[[#This Row],[Age_Whitespace_Removed]],".",","))</f>
        <v>61</v>
      </c>
      <c r="S870" t="s">
        <v>89</v>
      </c>
      <c r="T870" s="2" t="str">
        <f>CLEAN(TRIM(Working_Sales[[#This Row],[Product Category]]))</f>
        <v>CLOTHING</v>
      </c>
      <c r="U870" s="6" t="str">
        <f>PROPER(Working_Sales[[#This Row],[Product_Category_Whitespace_Removed]])</f>
        <v>Clothing</v>
      </c>
      <c r="V870" t="s">
        <v>22</v>
      </c>
      <c r="W870" s="2" t="str">
        <f>CLEAN(TRIM(Working_Sales[[#This Row],[Quantity]]))</f>
        <v>1</v>
      </c>
      <c r="X870" s="2">
        <f>INT(Working_Sales[[#This Row],[`]])</f>
        <v>1</v>
      </c>
      <c r="Y870" s="6">
        <f>IFERROR(
   Working_Sales[[#This Row],[Quantity_Converted_To_Integer]],
   Working_Sales[[#This Row],[Total_Amount_Whitespace_Removed]]/Working_Sales[[#This Row],[Price_Per_Unit_Decimal_Separator_Fixed]])</f>
        <v>1</v>
      </c>
      <c r="Z870" t="s">
        <v>15</v>
      </c>
      <c r="AA870" s="2" t="str">
        <f>CLEAN(TRIM(Working_Sales[[#This Row],[Price per Unit]]))</f>
        <v>50</v>
      </c>
      <c r="AB870" s="2">
        <f>INT(
   SUBSTITUTE(Working_Sales[[#This Row],[Price_Per_Unit_Whitespace_Removed]],
   "$",
   ""
   )
)</f>
        <v>50</v>
      </c>
      <c r="AC870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870" s="8">
        <f>IFERROR(
   Working_Sales[[#This Row],[Price_Per_Unit_Decimal_Separator_Fixed]],
   Working_Sales[[#This Row],[Total_Amount_Converted_To_Integer]]/Working_Sales[[#This Row],[Quantity_Converted_To_Integer]]
)</f>
        <v>50</v>
      </c>
      <c r="AE870" t="s">
        <v>15</v>
      </c>
      <c r="AF870" s="2" t="str">
        <f>CLEAN(TRIM(Working_Sales[[#This Row],[Total Amount]]))</f>
        <v>50</v>
      </c>
      <c r="AG870" s="2">
        <f>INT(Working_Sales[[#This Row],[Total_Amount_Whitespace_Removed]])</f>
        <v>50</v>
      </c>
      <c r="AH87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871" spans="1:34" x14ac:dyDescent="0.35">
      <c r="A871" t="s">
        <v>1778</v>
      </c>
      <c r="B871" s="6" t="str">
        <f>CLEAN(TRIM(Working_Sales[[#This Row],[Transaction ID]]))</f>
        <v>848</v>
      </c>
      <c r="C871" t="s">
        <v>801</v>
      </c>
      <c r="D871" s="2" t="str">
        <f>CLEAN(TRIM(Working_Sales[[#This Row],[Date]]))</f>
        <v>2023-02-13</v>
      </c>
      <c r="E87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44970</v>
      </c>
      <c r="F87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44970</v>
      </c>
      <c r="G87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44970</v>
      </c>
      <c r="H871" t="s">
        <v>3031</v>
      </c>
      <c r="I871" s="2" t="str">
        <f>CLEAN(TRIM(Working_Sales[[#This Row],[Customer ID]]))</f>
        <v>cust475</v>
      </c>
      <c r="J87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7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CUST475</v>
      </c>
      <c r="L871" t="s">
        <v>26</v>
      </c>
      <c r="M871" s="4" t="str">
        <f>CLEAN(TRIM(Working_Sales[[#This Row],[Gender]]))</f>
        <v>Female</v>
      </c>
      <c r="N871" s="4" t="str" cm="1">
        <f t="array" ref="N871">_xlfn.SWITCH(
   Working_Sales[[#This Row],[Gender_Whitespace_Removed]],
   "m", "Male",
   "f", "Female",
   Working_Sales[[#This Row],[Gender_Whitespace_Removed]]
)</f>
        <v>Female</v>
      </c>
      <c r="O871" s="6" t="str">
        <f>PROPER(Working_Sales[[#This Row],[Gender_Abbreviation_Expanded]])</f>
        <v>Female</v>
      </c>
      <c r="P871">
        <v>63</v>
      </c>
      <c r="Q871" s="2" t="str">
        <f>CLEAN(TRIM(Working_Sales[[#This Row],[Age]]))</f>
        <v>63</v>
      </c>
      <c r="R871" s="6">
        <f>INT(SUBSTITUTE(Working_Sales[[#This Row],[Age_Whitespace_Removed]],".",","))</f>
        <v>63</v>
      </c>
      <c r="S871" t="s">
        <v>56</v>
      </c>
      <c r="T871" s="2" t="str">
        <f>CLEAN(TRIM(Working_Sales[[#This Row],[Product Category]]))</f>
        <v>Clothing</v>
      </c>
      <c r="U871" s="6" t="str">
        <f>PROPER(Working_Sales[[#This Row],[Product_Category_Whitespace_Removed]])</f>
        <v>Clothing</v>
      </c>
      <c r="V871" t="s">
        <v>29</v>
      </c>
      <c r="W871" s="2" t="str">
        <f>CLEAN(TRIM(Working_Sales[[#This Row],[Quantity]]))</f>
        <v>3</v>
      </c>
      <c r="X871" s="2">
        <f>INT(Working_Sales[[#This Row],[`]])</f>
        <v>3</v>
      </c>
      <c r="Y871" s="6">
        <f>IFERROR(
   Working_Sales[[#This Row],[Quantity_Converted_To_Integer]],
   Working_Sales[[#This Row],[Total_Amount_Whitespace_Removed]]/Working_Sales[[#This Row],[Price_Per_Unit_Decimal_Separator_Fixed]])</f>
        <v>3</v>
      </c>
      <c r="Z871" t="s">
        <v>30</v>
      </c>
      <c r="AA871" s="2" t="str">
        <f>CLEAN(TRIM(Working_Sales[[#This Row],[Price per Unit]]))</f>
        <v>25</v>
      </c>
      <c r="AB871" s="2">
        <f>INT(
   SUBSTITUTE(Working_Sales[[#This Row],[Price_Per_Unit_Whitespace_Removed]],
   "$",
   ""
   )
)</f>
        <v>25</v>
      </c>
      <c r="AC871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871" s="8">
        <f>IFERROR(
   Working_Sales[[#This Row],[Price_Per_Unit_Decimal_Separator_Fixed]],
   Working_Sales[[#This Row],[Total_Amount_Converted_To_Integer]]/Working_Sales[[#This Row],[Quantity_Converted_To_Integer]]
)</f>
        <v>25</v>
      </c>
      <c r="AF871" s="2" t="str">
        <f>CLEAN(TRIM(Working_Sales[[#This Row],[Total Amount]]))</f>
        <v/>
      </c>
      <c r="AG871" s="2" t="e">
        <f>INT(Working_Sales[[#This Row],[Total_Amount_Whitespace_Removed]])</f>
        <v>#VALUE!</v>
      </c>
      <c r="AH87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872" spans="1:34" x14ac:dyDescent="0.35">
      <c r="A872" t="s">
        <v>1779</v>
      </c>
      <c r="B872" s="6" t="str">
        <f>CLEAN(TRIM(Working_Sales[[#This Row],[Transaction ID]]))</f>
        <v>461</v>
      </c>
      <c r="C872" t="s">
        <v>1192</v>
      </c>
      <c r="D872" s="2" t="str">
        <f>CLEAN(TRIM(Working_Sales[[#This Row],[Date]]))</f>
        <v>2023-03-25</v>
      </c>
      <c r="E87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45010</v>
      </c>
      <c r="F87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45010</v>
      </c>
      <c r="G87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45010</v>
      </c>
      <c r="H872" t="s">
        <v>3032</v>
      </c>
      <c r="I872" s="2" t="str">
        <f>CLEAN(TRIM(Working_Sales[[#This Row],[Customer ID]]))</f>
        <v>CUST-023</v>
      </c>
      <c r="J87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7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CUST023</v>
      </c>
      <c r="L872" t="s">
        <v>26</v>
      </c>
      <c r="M872" s="4" t="str">
        <f>CLEAN(TRIM(Working_Sales[[#This Row],[Gender]]))</f>
        <v>Female</v>
      </c>
      <c r="N872" s="4" t="str" cm="1">
        <f t="array" ref="N872">_xlfn.SWITCH(
   Working_Sales[[#This Row],[Gender_Whitespace_Removed]],
   "m", "Male",
   "f", "Female",
   Working_Sales[[#This Row],[Gender_Whitespace_Removed]]
)</f>
        <v>Female</v>
      </c>
      <c r="O872" s="6" t="str">
        <f>PROPER(Working_Sales[[#This Row],[Gender_Abbreviation_Expanded]])</f>
        <v>Female</v>
      </c>
      <c r="P872">
        <v>18</v>
      </c>
      <c r="Q872" s="2" t="str">
        <f>CLEAN(TRIM(Working_Sales[[#This Row],[Age]]))</f>
        <v>18</v>
      </c>
      <c r="R872" s="6">
        <f>INT(SUBSTITUTE(Working_Sales[[#This Row],[Age_Whitespace_Removed]],".",","))</f>
        <v>18</v>
      </c>
      <c r="S872" t="s">
        <v>36</v>
      </c>
      <c r="T872" s="2" t="str">
        <f>CLEAN(TRIM(Working_Sales[[#This Row],[Product Category]]))</f>
        <v>Beauty</v>
      </c>
      <c r="U872" s="6" t="str">
        <f>PROPER(Working_Sales[[#This Row],[Product_Category_Whitespace_Removed]])</f>
        <v>Beauty</v>
      </c>
      <c r="V872" t="s">
        <v>37</v>
      </c>
      <c r="W872" s="2" t="str">
        <f>CLEAN(TRIM(Working_Sales[[#This Row],[Quantity]]))</f>
        <v>2</v>
      </c>
      <c r="X872" s="2">
        <f>INT(Working_Sales[[#This Row],[`]])</f>
        <v>2</v>
      </c>
      <c r="Y872" s="6">
        <f>IFERROR(
   Working_Sales[[#This Row],[Quantity_Converted_To_Integer]],
   Working_Sales[[#This Row],[Total_Amount_Whitespace_Removed]]/Working_Sales[[#This Row],[Price_Per_Unit_Decimal_Separator_Fixed]])</f>
        <v>2</v>
      </c>
      <c r="Z872" t="s">
        <v>57</v>
      </c>
      <c r="AA872" s="2" t="str">
        <f>CLEAN(TRIM(Working_Sales[[#This Row],[Price per Unit]]))</f>
        <v>500</v>
      </c>
      <c r="AB872" s="2">
        <f>INT(
   SUBSTITUTE(Working_Sales[[#This Row],[Price_Per_Unit_Whitespace_Removed]],
   "$",
   ""
   )
)</f>
        <v>500</v>
      </c>
      <c r="AC872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872" s="8">
        <f>IFERROR(
   Working_Sales[[#This Row],[Price_Per_Unit_Decimal_Separator_Fixed]],
   Working_Sales[[#This Row],[Total_Amount_Converted_To_Integer]]/Working_Sales[[#This Row],[Quantity_Converted_To_Integer]]
)</f>
        <v>500</v>
      </c>
      <c r="AE872" t="s">
        <v>163</v>
      </c>
      <c r="AF872" s="2" t="str">
        <f>CLEAN(TRIM(Working_Sales[[#This Row],[Total Amount]]))</f>
        <v>1000</v>
      </c>
      <c r="AG872" s="2">
        <f>INT(Working_Sales[[#This Row],[Total_Amount_Whitespace_Removed]])</f>
        <v>1000</v>
      </c>
      <c r="AH87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873" spans="1:34" x14ac:dyDescent="0.35">
      <c r="A873" t="s">
        <v>1781</v>
      </c>
      <c r="B873" s="6" t="str">
        <f>CLEAN(TRIM(Working_Sales[[#This Row],[Transaction ID]]))</f>
        <v>414</v>
      </c>
      <c r="C873" t="s">
        <v>929</v>
      </c>
      <c r="D873" s="2" t="str">
        <f>CLEAN(TRIM(Working_Sales[[#This Row],[Date]]))</f>
        <v>2023-05-09</v>
      </c>
      <c r="E87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45055</v>
      </c>
      <c r="F87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45055</v>
      </c>
      <c r="G87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45055</v>
      </c>
      <c r="H873" t="s">
        <v>3033</v>
      </c>
      <c r="I873" s="2" t="str">
        <f>CLEAN(TRIM(Working_Sales[[#This Row],[Customer ID]]))</f>
        <v>Cust115</v>
      </c>
      <c r="J87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7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CUST115</v>
      </c>
      <c r="L873" t="s">
        <v>34</v>
      </c>
      <c r="M873" s="4" t="str">
        <f>CLEAN(TRIM(Working_Sales[[#This Row],[Gender]]))</f>
        <v>Male</v>
      </c>
      <c r="N873" s="4" t="str" cm="1">
        <f t="array" ref="N873">_xlfn.SWITCH(
   Working_Sales[[#This Row],[Gender_Whitespace_Removed]],
   "m", "Male",
   "f", "Female",
   Working_Sales[[#This Row],[Gender_Whitespace_Removed]]
)</f>
        <v>Male</v>
      </c>
      <c r="O873" s="6" t="str">
        <f>PROPER(Working_Sales[[#This Row],[Gender_Abbreviation_Expanded]])</f>
        <v>Male</v>
      </c>
      <c r="P873" t="s">
        <v>524</v>
      </c>
      <c r="Q873" s="2" t="str">
        <f>CLEAN(TRIM(Working_Sales[[#This Row],[Age]]))</f>
        <v>48</v>
      </c>
      <c r="R873" s="6">
        <f>INT(SUBSTITUTE(Working_Sales[[#This Row],[Age_Whitespace_Removed]],".",","))</f>
        <v>48</v>
      </c>
      <c r="S873" t="s">
        <v>62</v>
      </c>
      <c r="T873" s="2" t="str">
        <f>CLEAN(TRIM(Working_Sales[[#This Row],[Product Category]]))</f>
        <v>beauty</v>
      </c>
      <c r="U873" s="6" t="str">
        <f>PROPER(Working_Sales[[#This Row],[Product_Category_Whitespace_Removed]])</f>
        <v>Beauty</v>
      </c>
      <c r="V873" t="s">
        <v>14</v>
      </c>
      <c r="W873" s="2" t="str">
        <f>CLEAN(TRIM(Working_Sales[[#This Row],[Quantity]]))</f>
        <v>4</v>
      </c>
      <c r="X873" s="2">
        <f>INT(Working_Sales[[#This Row],[`]])</f>
        <v>4</v>
      </c>
      <c r="Y873" s="6">
        <f>IFERROR(
   Working_Sales[[#This Row],[Quantity_Converted_To_Integer]],
   Working_Sales[[#This Row],[Total_Amount_Whitespace_Removed]]/Working_Sales[[#This Row],[Price_Per_Unit_Decimal_Separator_Fixed]])</f>
        <v>4</v>
      </c>
      <c r="Z873" t="s">
        <v>371</v>
      </c>
      <c r="AA873" s="2" t="str">
        <f>CLEAN(TRIM(Working_Sales[[#This Row],[Price per Unit]]))</f>
        <v>25.00</v>
      </c>
      <c r="AB873" s="2" t="e">
        <f>INT(
   SUBSTITUTE(Working_Sales[[#This Row],[Price_Per_Unit_Whitespace_Removed]],
   "$",
   ""
   )
)</f>
        <v>#VALUE!</v>
      </c>
      <c r="AC873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873" s="8">
        <f>IFERROR(
   Working_Sales[[#This Row],[Price_Per_Unit_Decimal_Separator_Fixed]],
   Working_Sales[[#This Row],[Total_Amount_Converted_To_Integer]]/Working_Sales[[#This Row],[Quantity_Converted_To_Integer]]
)</f>
        <v>25</v>
      </c>
      <c r="AE873" t="s">
        <v>38</v>
      </c>
      <c r="AF873" s="2" t="str">
        <f>CLEAN(TRIM(Working_Sales[[#This Row],[Total Amount]]))</f>
        <v>100</v>
      </c>
      <c r="AG873" s="2">
        <f>INT(Working_Sales[[#This Row],[Total_Amount_Whitespace_Removed]])</f>
        <v>100</v>
      </c>
      <c r="AH87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874" spans="1:34" x14ac:dyDescent="0.35">
      <c r="A874" t="s">
        <v>1783</v>
      </c>
      <c r="B874" s="6" t="str">
        <f>CLEAN(TRIM(Working_Sales[[#This Row],[Transaction ID]]))</f>
        <v>132</v>
      </c>
      <c r="C874" t="s">
        <v>1784</v>
      </c>
      <c r="D874" s="2" t="str">
        <f>CLEAN(TRIM(Working_Sales[[#This Row],[Date]]))</f>
        <v>2023-09-10</v>
      </c>
      <c r="E87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45179</v>
      </c>
      <c r="F87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45179</v>
      </c>
      <c r="G87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45179</v>
      </c>
      <c r="H874" t="s">
        <v>3034</v>
      </c>
      <c r="I874" s="2" t="str">
        <f>CLEAN(TRIM(Working_Sales[[#This Row],[Customer ID]]))</f>
        <v>cust070</v>
      </c>
      <c r="J87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7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CUST070</v>
      </c>
      <c r="L874" t="s">
        <v>20</v>
      </c>
      <c r="M874" s="4" t="str">
        <f>CLEAN(TRIM(Working_Sales[[#This Row],[Gender]]))</f>
        <v>male</v>
      </c>
      <c r="N874" s="4" t="str" cm="1">
        <f t="array" ref="N874">_xlfn.SWITCH(
   Working_Sales[[#This Row],[Gender_Whitespace_Removed]],
   "m", "Male",
   "f", "Female",
   Working_Sales[[#This Row],[Gender_Whitespace_Removed]]
)</f>
        <v>male</v>
      </c>
      <c r="O874" s="6" t="str">
        <f>PROPER(Working_Sales[[#This Row],[Gender_Abbreviation_Expanded]])</f>
        <v>Male</v>
      </c>
      <c r="P874">
        <v>42</v>
      </c>
      <c r="Q874" s="2" t="str">
        <f>CLEAN(TRIM(Working_Sales[[#This Row],[Age]]))</f>
        <v>42</v>
      </c>
      <c r="R874" s="6">
        <f>INT(SUBSTITUTE(Working_Sales[[#This Row],[Age_Whitespace_Removed]],".",","))</f>
        <v>42</v>
      </c>
      <c r="S874" t="s">
        <v>13</v>
      </c>
      <c r="T874" s="2" t="str">
        <f>CLEAN(TRIM(Working_Sales[[#This Row],[Product Category]]))</f>
        <v>Electronics</v>
      </c>
      <c r="U874" s="6" t="str">
        <f>PROPER(Working_Sales[[#This Row],[Product_Category_Whitespace_Removed]])</f>
        <v>Electronics</v>
      </c>
      <c r="V874" t="s">
        <v>14</v>
      </c>
      <c r="W874" s="2" t="str">
        <f>CLEAN(TRIM(Working_Sales[[#This Row],[Quantity]]))</f>
        <v>4</v>
      </c>
      <c r="X874" s="2">
        <f>INT(Working_Sales[[#This Row],[`]])</f>
        <v>4</v>
      </c>
      <c r="Y874" s="6">
        <f>IFERROR(
   Working_Sales[[#This Row],[Quantity_Converted_To_Integer]],
   Working_Sales[[#This Row],[Total_Amount_Whitespace_Removed]]/Working_Sales[[#This Row],[Price_Per_Unit_Decimal_Separator_Fixed]])</f>
        <v>4</v>
      </c>
      <c r="Z874" t="s">
        <v>15</v>
      </c>
      <c r="AA874" s="2" t="str">
        <f>CLEAN(TRIM(Working_Sales[[#This Row],[Price per Unit]]))</f>
        <v>50</v>
      </c>
      <c r="AB874" s="2">
        <f>INT(
   SUBSTITUTE(Working_Sales[[#This Row],[Price_Per_Unit_Whitespace_Removed]],
   "$",
   ""
   )
)</f>
        <v>50</v>
      </c>
      <c r="AC874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874" s="8">
        <f>IFERROR(
   Working_Sales[[#This Row],[Price_Per_Unit_Decimal_Separator_Fixed]],
   Working_Sales[[#This Row],[Total_Amount_Converted_To_Integer]]/Working_Sales[[#This Row],[Quantity_Converted_To_Integer]]
)</f>
        <v>50</v>
      </c>
      <c r="AE874" t="s">
        <v>16</v>
      </c>
      <c r="AF874" s="2" t="str">
        <f>CLEAN(TRIM(Working_Sales[[#This Row],[Total Amount]]))</f>
        <v>200</v>
      </c>
      <c r="AG874" s="2">
        <f>INT(Working_Sales[[#This Row],[Total_Amount_Whitespace_Removed]])</f>
        <v>200</v>
      </c>
      <c r="AH87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875" spans="1:34" x14ac:dyDescent="0.35">
      <c r="A875" t="s">
        <v>228</v>
      </c>
      <c r="B875" s="6" t="str">
        <f>CLEAN(TRIM(Working_Sales[[#This Row],[Transaction ID]]))</f>
        <v>40</v>
      </c>
      <c r="C875" t="s">
        <v>1666</v>
      </c>
      <c r="D875" s="2" t="str">
        <f>CLEAN(TRIM(Working_Sales[[#This Row],[Date]]))</f>
        <v>22/06/2023</v>
      </c>
      <c r="E87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45099</v>
      </c>
      <c r="F87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45099</v>
      </c>
      <c r="G87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45099</v>
      </c>
      <c r="H875" t="s">
        <v>3035</v>
      </c>
      <c r="I875" s="2" t="str">
        <f>CLEAN(TRIM(Working_Sales[[#This Row],[Customer ID]]))</f>
        <v>CUST476</v>
      </c>
      <c r="J87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CUST476</v>
      </c>
      <c r="K87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CUST476</v>
      </c>
      <c r="L875" t="s">
        <v>268</v>
      </c>
      <c r="M875" s="4" t="str">
        <f>CLEAN(TRIM(Working_Sales[[#This Row],[Gender]]))</f>
        <v>M</v>
      </c>
      <c r="N875" s="4" t="str" cm="1">
        <f t="array" ref="N875">_xlfn.SWITCH(
   Working_Sales[[#This Row],[Gender_Whitespace_Removed]],
   "m", "Male",
   "f", "Female",
   Working_Sales[[#This Row],[Gender_Whitespace_Removed]]
)</f>
        <v>Male</v>
      </c>
      <c r="O875" s="6" t="str">
        <f>PROPER(Working_Sales[[#This Row],[Gender_Abbreviation_Expanded]])</f>
        <v>Male</v>
      </c>
      <c r="P875">
        <v>45</v>
      </c>
      <c r="Q875" s="2" t="str">
        <f>CLEAN(TRIM(Working_Sales[[#This Row],[Age]]))</f>
        <v>45</v>
      </c>
      <c r="R875" s="6">
        <f>INT(SUBSTITUTE(Working_Sales[[#This Row],[Age_Whitespace_Removed]],".",","))</f>
        <v>45</v>
      </c>
      <c r="S875" t="s">
        <v>36</v>
      </c>
      <c r="T875" s="2" t="str">
        <f>CLEAN(TRIM(Working_Sales[[#This Row],[Product Category]]))</f>
        <v>Beauty</v>
      </c>
      <c r="U875" s="6" t="str">
        <f>PROPER(Working_Sales[[#This Row],[Product_Category_Whitespace_Removed]])</f>
        <v>Beauty</v>
      </c>
      <c r="V875" t="s">
        <v>22</v>
      </c>
      <c r="W875" s="2" t="str">
        <f>CLEAN(TRIM(Working_Sales[[#This Row],[Quantity]]))</f>
        <v>1</v>
      </c>
      <c r="X875" s="2">
        <f>INT(Working_Sales[[#This Row],[`]])</f>
        <v>1</v>
      </c>
      <c r="Y875" s="6">
        <f>IFERROR(
   Working_Sales[[#This Row],[Quantity_Converted_To_Integer]],
   Working_Sales[[#This Row],[Total_Amount_Whitespace_Removed]]/Working_Sales[[#This Row],[Price_Per_Unit_Decimal_Separator_Fixed]])</f>
        <v>1</v>
      </c>
      <c r="Z875" t="s">
        <v>15</v>
      </c>
      <c r="AA875" s="2" t="str">
        <f>CLEAN(TRIM(Working_Sales[[#This Row],[Price per Unit]]))</f>
        <v>50</v>
      </c>
      <c r="AB875" s="2">
        <f>INT(
   SUBSTITUTE(Working_Sales[[#This Row],[Price_Per_Unit_Whitespace_Removed]],
   "$",
   ""
   )
)</f>
        <v>50</v>
      </c>
      <c r="AC875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875" s="8">
        <f>IFERROR(
   Working_Sales[[#This Row],[Price_Per_Unit_Decimal_Separator_Fixed]],
   Working_Sales[[#This Row],[Total_Amount_Converted_To_Integer]]/Working_Sales[[#This Row],[Quantity_Converted_To_Integer]]
)</f>
        <v>50</v>
      </c>
      <c r="AE875" t="s">
        <v>15</v>
      </c>
      <c r="AF875" s="2" t="str">
        <f>CLEAN(TRIM(Working_Sales[[#This Row],[Total Amount]]))</f>
        <v>50</v>
      </c>
      <c r="AG875" s="2">
        <f>INT(Working_Sales[[#This Row],[Total_Amount_Whitespace_Removed]])</f>
        <v>50</v>
      </c>
      <c r="AH87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876" spans="1:34" x14ac:dyDescent="0.35">
      <c r="A876" t="s">
        <v>1787</v>
      </c>
      <c r="B876" s="6" t="str">
        <f>CLEAN(TRIM(Working_Sales[[#This Row],[Transaction ID]]))</f>
        <v>435</v>
      </c>
      <c r="C876" t="s">
        <v>1316</v>
      </c>
      <c r="D876" s="2" t="str">
        <f>CLEAN(TRIM(Working_Sales[[#This Row],[Date]]))</f>
        <v>20/12/2023</v>
      </c>
      <c r="E87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45280</v>
      </c>
      <c r="F87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45280</v>
      </c>
      <c r="G87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45280</v>
      </c>
      <c r="H876" t="s">
        <v>3036</v>
      </c>
      <c r="I876" s="2" t="str">
        <f>CLEAN(TRIM(Working_Sales[[#This Row],[Customer ID]]))</f>
        <v>CUST344</v>
      </c>
      <c r="J87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CUST344</v>
      </c>
      <c r="K87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CUST344</v>
      </c>
      <c r="L876" t="s">
        <v>26</v>
      </c>
      <c r="M876" s="4" t="str">
        <f>CLEAN(TRIM(Working_Sales[[#This Row],[Gender]]))</f>
        <v>Female</v>
      </c>
      <c r="N876" s="4" t="str" cm="1">
        <f t="array" ref="N876">_xlfn.SWITCH(
   Working_Sales[[#This Row],[Gender_Whitespace_Removed]],
   "m", "Male",
   "f", "Female",
   Working_Sales[[#This Row],[Gender_Whitespace_Removed]]
)</f>
        <v>Female</v>
      </c>
      <c r="O876" s="6" t="str">
        <f>PROPER(Working_Sales[[#This Row],[Gender_Abbreviation_Expanded]])</f>
        <v>Female</v>
      </c>
      <c r="P876">
        <v>30</v>
      </c>
      <c r="Q876" s="2" t="str">
        <f>CLEAN(TRIM(Working_Sales[[#This Row],[Age]]))</f>
        <v>30</v>
      </c>
      <c r="R876" s="6">
        <f>INT(SUBSTITUTE(Working_Sales[[#This Row],[Age_Whitespace_Removed]],".",","))</f>
        <v>30</v>
      </c>
      <c r="S876" t="s">
        <v>36</v>
      </c>
      <c r="T876" s="2" t="str">
        <f>CLEAN(TRIM(Working_Sales[[#This Row],[Product Category]]))</f>
        <v>Beauty</v>
      </c>
      <c r="U876" s="6" t="str">
        <f>PROPER(Working_Sales[[#This Row],[Product_Category_Whitespace_Removed]])</f>
        <v>Beauty</v>
      </c>
      <c r="V876" t="s">
        <v>29</v>
      </c>
      <c r="W876" s="2" t="str">
        <f>CLEAN(TRIM(Working_Sales[[#This Row],[Quantity]]))</f>
        <v>3</v>
      </c>
      <c r="X876" s="2">
        <f>INT(Working_Sales[[#This Row],[`]])</f>
        <v>3</v>
      </c>
      <c r="Y876" s="6">
        <f>IFERROR(
   Working_Sales[[#This Row],[Quantity_Converted_To_Integer]],
   Working_Sales[[#This Row],[Total_Amount_Whitespace_Removed]]/Working_Sales[[#This Row],[Price_Per_Unit_Decimal_Separator_Fixed]])</f>
        <v>3</v>
      </c>
      <c r="Z876" t="s">
        <v>23</v>
      </c>
      <c r="AA876" s="2" t="str">
        <f>CLEAN(TRIM(Working_Sales[[#This Row],[Price per Unit]]))</f>
        <v>300</v>
      </c>
      <c r="AB876" s="2">
        <f>INT(
   SUBSTITUTE(Working_Sales[[#This Row],[Price_Per_Unit_Whitespace_Removed]],
   "$",
   ""
   )
)</f>
        <v>300</v>
      </c>
      <c r="AC876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876" s="8">
        <f>IFERROR(
   Working_Sales[[#This Row],[Price_Per_Unit_Decimal_Separator_Fixed]],
   Working_Sales[[#This Row],[Total_Amount_Converted_To_Integer]]/Working_Sales[[#This Row],[Quantity_Converted_To_Integer]]
)</f>
        <v>300</v>
      </c>
      <c r="AE876" t="s">
        <v>128</v>
      </c>
      <c r="AF876" s="2" t="str">
        <f>CLEAN(TRIM(Working_Sales[[#This Row],[Total Amount]]))</f>
        <v>900</v>
      </c>
      <c r="AG876" s="2">
        <f>INT(Working_Sales[[#This Row],[Total_Amount_Whitespace_Removed]])</f>
        <v>900</v>
      </c>
      <c r="AH87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877" spans="1:34" x14ac:dyDescent="0.35">
      <c r="A877" t="s">
        <v>1788</v>
      </c>
      <c r="B877" s="6" t="str">
        <f>CLEAN(TRIM(Working_Sales[[#This Row],[Transaction ID]]))</f>
        <v>216</v>
      </c>
      <c r="C877" t="s">
        <v>1789</v>
      </c>
      <c r="D877" s="2" t="str">
        <f>CLEAN(TRIM(Working_Sales[[#This Row],[Date]]))</f>
        <v>July 11, 2023</v>
      </c>
      <c r="E877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877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87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45118</v>
      </c>
      <c r="H877" t="s">
        <v>2856</v>
      </c>
      <c r="I877" s="2" t="str">
        <f>CLEAN(TRIM(Working_Sales[[#This Row],[Customer ID]]))</f>
        <v>Cust212</v>
      </c>
      <c r="J87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7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CUST212</v>
      </c>
      <c r="L877" t="s">
        <v>34</v>
      </c>
      <c r="M877" s="4" t="str">
        <f>CLEAN(TRIM(Working_Sales[[#This Row],[Gender]]))</f>
        <v>Male</v>
      </c>
      <c r="N877" s="4" t="str" cm="1">
        <f t="array" ref="N877">_xlfn.SWITCH(
   Working_Sales[[#This Row],[Gender_Whitespace_Removed]],
   "m", "Male",
   "f", "Female",
   Working_Sales[[#This Row],[Gender_Whitespace_Removed]]
)</f>
        <v>Male</v>
      </c>
      <c r="O877" s="6" t="str">
        <f>PROPER(Working_Sales[[#This Row],[Gender_Abbreviation_Expanded]])</f>
        <v>Male</v>
      </c>
      <c r="P877" t="s">
        <v>1176</v>
      </c>
      <c r="Q877" s="2" t="str">
        <f>CLEAN(TRIM(Working_Sales[[#This Row],[Age]]))</f>
        <v>62.0</v>
      </c>
      <c r="R877" s="6">
        <f>INT(SUBSTITUTE(Working_Sales[[#This Row],[Age_Whitespace_Removed]],".",","))</f>
        <v>62</v>
      </c>
      <c r="S877" t="s">
        <v>13</v>
      </c>
      <c r="T877" s="2" t="str">
        <f>CLEAN(TRIM(Working_Sales[[#This Row],[Product Category]]))</f>
        <v>Electronics</v>
      </c>
      <c r="U877" s="6" t="str">
        <f>PROPER(Working_Sales[[#This Row],[Product_Category_Whitespace_Removed]])</f>
        <v>Electronics</v>
      </c>
      <c r="V877" t="s">
        <v>37</v>
      </c>
      <c r="W877" s="2" t="str">
        <f>CLEAN(TRIM(Working_Sales[[#This Row],[Quantity]]))</f>
        <v>2</v>
      </c>
      <c r="X877" s="2">
        <f>INT(Working_Sales[[#This Row],[`]])</f>
        <v>2</v>
      </c>
      <c r="Y877" s="6">
        <f>IFERROR(
   Working_Sales[[#This Row],[Quantity_Converted_To_Integer]],
   Working_Sales[[#This Row],[Total_Amount_Whitespace_Removed]]/Working_Sales[[#This Row],[Price_Per_Unit_Decimal_Separator_Fixed]])</f>
        <v>2</v>
      </c>
      <c r="Z877" t="s">
        <v>15</v>
      </c>
      <c r="AA877" s="2" t="str">
        <f>CLEAN(TRIM(Working_Sales[[#This Row],[Price per Unit]]))</f>
        <v>50</v>
      </c>
      <c r="AB877" s="2">
        <f>INT(
   SUBSTITUTE(Working_Sales[[#This Row],[Price_Per_Unit_Whitespace_Removed]],
   "$",
   ""
   )
)</f>
        <v>50</v>
      </c>
      <c r="AC877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877" s="8">
        <f>IFERROR(
   Working_Sales[[#This Row],[Price_Per_Unit_Decimal_Separator_Fixed]],
   Working_Sales[[#This Row],[Total_Amount_Converted_To_Integer]]/Working_Sales[[#This Row],[Quantity_Converted_To_Integer]]
)</f>
        <v>50</v>
      </c>
      <c r="AE877" t="s">
        <v>38</v>
      </c>
      <c r="AF877" s="2" t="str">
        <f>CLEAN(TRIM(Working_Sales[[#This Row],[Total Amount]]))</f>
        <v>100</v>
      </c>
      <c r="AG877" s="2">
        <f>INT(Working_Sales[[#This Row],[Total_Amount_Whitespace_Removed]])</f>
        <v>100</v>
      </c>
      <c r="AH87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878" spans="1:34" x14ac:dyDescent="0.35">
      <c r="A878" t="s">
        <v>1790</v>
      </c>
      <c r="B878" s="6" t="str">
        <f>CLEAN(TRIM(Working_Sales[[#This Row],[Transaction ID]]))</f>
        <v>556</v>
      </c>
      <c r="C878" t="s">
        <v>2015</v>
      </c>
      <c r="D878" s="2" t="str">
        <f>CLEAN(TRIM(Working_Sales[[#This Row],[Date]]))</f>
        <v>04-Jun-2023</v>
      </c>
      <c r="E87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45081</v>
      </c>
      <c r="F87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45081</v>
      </c>
      <c r="G87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45081</v>
      </c>
      <c r="H878" t="s">
        <v>3037</v>
      </c>
      <c r="I878" s="2" t="str">
        <f>CLEAN(TRIM(Working_Sales[[#This Row],[Customer ID]]))</f>
        <v>CUST-477</v>
      </c>
      <c r="J87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7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CUST477</v>
      </c>
      <c r="L878" t="s">
        <v>112</v>
      </c>
      <c r="M878" s="4" t="str">
        <f>CLEAN(TRIM(Working_Sales[[#This Row],[Gender]]))</f>
        <v>female</v>
      </c>
      <c r="N878" s="4" t="str" cm="1">
        <f t="array" ref="N878">_xlfn.SWITCH(
   Working_Sales[[#This Row],[Gender_Whitespace_Removed]],
   "m", "Male",
   "f", "Female",
   Working_Sales[[#This Row],[Gender_Whitespace_Removed]]
)</f>
        <v>female</v>
      </c>
      <c r="O878" s="6" t="str">
        <f>PROPER(Working_Sales[[#This Row],[Gender_Abbreviation_Expanded]])</f>
        <v>Female</v>
      </c>
      <c r="P878">
        <v>18</v>
      </c>
      <c r="Q878" s="2" t="str">
        <f>CLEAN(TRIM(Working_Sales[[#This Row],[Age]]))</f>
        <v>18</v>
      </c>
      <c r="R878" s="6">
        <f>INT(SUBSTITUTE(Working_Sales[[#This Row],[Age_Whitespace_Removed]],".",","))</f>
        <v>18</v>
      </c>
      <c r="S878" t="s">
        <v>13</v>
      </c>
      <c r="T878" s="2" t="str">
        <f>CLEAN(TRIM(Working_Sales[[#This Row],[Product Category]]))</f>
        <v>Electronics</v>
      </c>
      <c r="U878" s="6" t="str">
        <f>PROPER(Working_Sales[[#This Row],[Product_Category_Whitespace_Removed]])</f>
        <v>Electronics</v>
      </c>
      <c r="V878" t="s">
        <v>22</v>
      </c>
      <c r="W878" s="2" t="str">
        <f>CLEAN(TRIM(Working_Sales[[#This Row],[Quantity]]))</f>
        <v>1</v>
      </c>
      <c r="X878" s="2">
        <f>INT(Working_Sales[[#This Row],[`]])</f>
        <v>1</v>
      </c>
      <c r="Y878" s="6">
        <f>IFERROR(
   Working_Sales[[#This Row],[Quantity_Converted_To_Integer]],
   Working_Sales[[#This Row],[Total_Amount_Whitespace_Removed]]/Working_Sales[[#This Row],[Price_Per_Unit_Decimal_Separator_Fixed]])</f>
        <v>1</v>
      </c>
      <c r="Z878" t="s">
        <v>153</v>
      </c>
      <c r="AA878" s="2" t="str">
        <f>CLEAN(TRIM(Working_Sales[[#This Row],[Price per Unit]]))</f>
        <v>50.00</v>
      </c>
      <c r="AB878" s="2" t="e">
        <f>INT(
   SUBSTITUTE(Working_Sales[[#This Row],[Price_Per_Unit_Whitespace_Removed]],
   "$",
   ""
   )
)</f>
        <v>#VALUE!</v>
      </c>
      <c r="AC878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878" s="8">
        <f>IFERROR(
   Working_Sales[[#This Row],[Price_Per_Unit_Decimal_Separator_Fixed]],
   Working_Sales[[#This Row],[Total_Amount_Converted_To_Integer]]/Working_Sales[[#This Row],[Quantity_Converted_To_Integer]]
)</f>
        <v>50</v>
      </c>
      <c r="AE878" t="s">
        <v>15</v>
      </c>
      <c r="AF878" s="2" t="str">
        <f>CLEAN(TRIM(Working_Sales[[#This Row],[Total Amount]]))</f>
        <v>50</v>
      </c>
      <c r="AG878" s="2">
        <f>INT(Working_Sales[[#This Row],[Total_Amount_Whitespace_Removed]])</f>
        <v>50</v>
      </c>
      <c r="AH87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879" spans="1:34" x14ac:dyDescent="0.35">
      <c r="A879" t="s">
        <v>1791</v>
      </c>
      <c r="B879" s="6" t="str">
        <f>CLEAN(TRIM(Working_Sales[[#This Row],[Transaction ID]]))</f>
        <v>567</v>
      </c>
      <c r="C879" t="s">
        <v>1792</v>
      </c>
      <c r="D879" s="2" t="str">
        <f>CLEAN(TRIM(Working_Sales[[#This Row],[Date]]))</f>
        <v>2023-06-14</v>
      </c>
      <c r="E87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45091</v>
      </c>
      <c r="F87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45091</v>
      </c>
      <c r="G87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45091</v>
      </c>
      <c r="H879" t="s">
        <v>3038</v>
      </c>
      <c r="I879" s="2" t="str">
        <f>CLEAN(TRIM(Working_Sales[[#This Row],[Customer ID]]))</f>
        <v>CUST021</v>
      </c>
      <c r="J87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CUST021</v>
      </c>
      <c r="K87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CUST021</v>
      </c>
      <c r="L879" t="s">
        <v>26</v>
      </c>
      <c r="M879" s="4" t="str">
        <f>CLEAN(TRIM(Working_Sales[[#This Row],[Gender]]))</f>
        <v>Female</v>
      </c>
      <c r="N879" s="4" t="str" cm="1">
        <f t="array" ref="N879">_xlfn.SWITCH(
   Working_Sales[[#This Row],[Gender_Whitespace_Removed]],
   "m", "Male",
   "f", "Female",
   Working_Sales[[#This Row],[Gender_Whitespace_Removed]]
)</f>
        <v>Female</v>
      </c>
      <c r="O879" s="6" t="str">
        <f>PROPER(Working_Sales[[#This Row],[Gender_Abbreviation_Expanded]])</f>
        <v>Female</v>
      </c>
      <c r="P879" t="s">
        <v>1793</v>
      </c>
      <c r="Q879" s="2" t="str">
        <f>CLEAN(TRIM(Working_Sales[[#This Row],[Age]]))</f>
        <v>25</v>
      </c>
      <c r="R879" s="6">
        <f>INT(SUBSTITUTE(Working_Sales[[#This Row],[Age_Whitespace_Removed]],".",","))</f>
        <v>25</v>
      </c>
      <c r="S879" t="s">
        <v>56</v>
      </c>
      <c r="T879" s="2" t="str">
        <f>CLEAN(TRIM(Working_Sales[[#This Row],[Product Category]]))</f>
        <v>Clothing</v>
      </c>
      <c r="U879" s="6" t="str">
        <f>PROPER(Working_Sales[[#This Row],[Product_Category_Whitespace_Removed]])</f>
        <v>Clothing</v>
      </c>
      <c r="V879" t="s">
        <v>29</v>
      </c>
      <c r="W879" s="2" t="str">
        <f>CLEAN(TRIM(Working_Sales[[#This Row],[Quantity]]))</f>
        <v>3</v>
      </c>
      <c r="X879" s="2">
        <f>INT(Working_Sales[[#This Row],[`]])</f>
        <v>3</v>
      </c>
      <c r="Y879" s="6">
        <f>IFERROR(
   Working_Sales[[#This Row],[Quantity_Converted_To_Integer]],
   Working_Sales[[#This Row],[Total_Amount_Whitespace_Removed]]/Working_Sales[[#This Row],[Price_Per_Unit_Decimal_Separator_Fixed]])</f>
        <v>3</v>
      </c>
      <c r="Z879" t="s">
        <v>23</v>
      </c>
      <c r="AA879" s="2" t="str">
        <f>CLEAN(TRIM(Working_Sales[[#This Row],[Price per Unit]]))</f>
        <v>300</v>
      </c>
      <c r="AB879" s="2">
        <f>INT(
   SUBSTITUTE(Working_Sales[[#This Row],[Price_Per_Unit_Whitespace_Removed]],
   "$",
   ""
   )
)</f>
        <v>300</v>
      </c>
      <c r="AC879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879" s="8">
        <f>IFERROR(
   Working_Sales[[#This Row],[Price_Per_Unit_Decimal_Separator_Fixed]],
   Working_Sales[[#This Row],[Total_Amount_Converted_To_Integer]]/Working_Sales[[#This Row],[Quantity_Converted_To_Integer]]
)</f>
        <v>300</v>
      </c>
      <c r="AE879" t="s">
        <v>128</v>
      </c>
      <c r="AF879" s="2" t="str">
        <f>CLEAN(TRIM(Working_Sales[[#This Row],[Total Amount]]))</f>
        <v>900</v>
      </c>
      <c r="AG879" s="2">
        <f>INT(Working_Sales[[#This Row],[Total_Amount_Whitespace_Removed]])</f>
        <v>900</v>
      </c>
      <c r="AH87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880" spans="1:34" x14ac:dyDescent="0.35">
      <c r="A880" t="s">
        <v>1794</v>
      </c>
      <c r="B880" s="6" t="str">
        <f>CLEAN(TRIM(Working_Sales[[#This Row],[Transaction ID]]))</f>
        <v>763</v>
      </c>
      <c r="C880" t="s">
        <v>1865</v>
      </c>
      <c r="D880" s="2" t="str">
        <f>CLEAN(TRIM(Working_Sales[[#This Row],[Date]]))</f>
        <v>02/28/2023</v>
      </c>
      <c r="E880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88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44985</v>
      </c>
      <c r="G88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44985</v>
      </c>
      <c r="H880" t="s">
        <v>3039</v>
      </c>
      <c r="I880" s="2" t="str">
        <f>CLEAN(TRIM(Working_Sales[[#This Row],[Customer ID]]))</f>
        <v>Cust478</v>
      </c>
      <c r="J88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8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CUST478</v>
      </c>
      <c r="L880" t="s">
        <v>34</v>
      </c>
      <c r="M880" s="4" t="str">
        <f>CLEAN(TRIM(Working_Sales[[#This Row],[Gender]]))</f>
        <v>Male</v>
      </c>
      <c r="N880" s="4" t="str" cm="1">
        <f t="array" ref="N880">_xlfn.SWITCH(
   Working_Sales[[#This Row],[Gender_Whitespace_Removed]],
   "m", "Male",
   "f", "Female",
   Working_Sales[[#This Row],[Gender_Whitespace_Removed]]
)</f>
        <v>Male</v>
      </c>
      <c r="O880" s="6" t="str">
        <f>PROPER(Working_Sales[[#This Row],[Gender_Abbreviation_Expanded]])</f>
        <v>Male</v>
      </c>
      <c r="P880">
        <v>34</v>
      </c>
      <c r="Q880" s="2" t="str">
        <f>CLEAN(TRIM(Working_Sales[[#This Row],[Age]]))</f>
        <v>34</v>
      </c>
      <c r="R880" s="6">
        <f>INT(SUBSTITUTE(Working_Sales[[#This Row],[Age_Whitespace_Removed]],".",","))</f>
        <v>34</v>
      </c>
      <c r="S880" t="s">
        <v>56</v>
      </c>
      <c r="T880" s="2" t="str">
        <f>CLEAN(TRIM(Working_Sales[[#This Row],[Product Category]]))</f>
        <v>Clothing</v>
      </c>
      <c r="U880" s="6" t="str">
        <f>PROPER(Working_Sales[[#This Row],[Product_Category_Whitespace_Removed]])</f>
        <v>Clothing</v>
      </c>
      <c r="V880" t="s">
        <v>37</v>
      </c>
      <c r="W880" s="2" t="str">
        <f>CLEAN(TRIM(Working_Sales[[#This Row],[Quantity]]))</f>
        <v>2</v>
      </c>
      <c r="X880" s="2">
        <f>INT(Working_Sales[[#This Row],[`]])</f>
        <v>2</v>
      </c>
      <c r="Y880" s="6">
        <f>IFERROR(
   Working_Sales[[#This Row],[Quantity_Converted_To_Integer]],
   Working_Sales[[#This Row],[Total_Amount_Whitespace_Removed]]/Working_Sales[[#This Row],[Price_Per_Unit_Decimal_Separator_Fixed]])</f>
        <v>2</v>
      </c>
      <c r="Z880" t="s">
        <v>371</v>
      </c>
      <c r="AA880" s="2" t="str">
        <f>CLEAN(TRIM(Working_Sales[[#This Row],[Price per Unit]]))</f>
        <v>25.00</v>
      </c>
      <c r="AB880" s="2" t="e">
        <f>INT(
   SUBSTITUTE(Working_Sales[[#This Row],[Price_Per_Unit_Whitespace_Removed]],
   "$",
   ""
   )
)</f>
        <v>#VALUE!</v>
      </c>
      <c r="AC880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880" s="8">
        <f>IFERROR(
   Working_Sales[[#This Row],[Price_Per_Unit_Decimal_Separator_Fixed]],
   Working_Sales[[#This Row],[Total_Amount_Converted_To_Integer]]/Working_Sales[[#This Row],[Quantity_Converted_To_Integer]]
)</f>
        <v>25</v>
      </c>
      <c r="AE880" t="s">
        <v>15</v>
      </c>
      <c r="AF880" s="2" t="str">
        <f>CLEAN(TRIM(Working_Sales[[#This Row],[Total Amount]]))</f>
        <v>50</v>
      </c>
      <c r="AG880" s="2">
        <f>INT(Working_Sales[[#This Row],[Total_Amount_Whitespace_Removed]])</f>
        <v>50</v>
      </c>
      <c r="AH88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881" spans="1:34" x14ac:dyDescent="0.35">
      <c r="A881" t="s">
        <v>1795</v>
      </c>
      <c r="B881" s="6" t="str">
        <f>CLEAN(TRIM(Working_Sales[[#This Row],[Transaction ID]]))</f>
        <v>475</v>
      </c>
      <c r="C881" t="s">
        <v>1796</v>
      </c>
      <c r="D881" s="2" t="str">
        <f>CLEAN(TRIM(Working_Sales[[#This Row],[Date]]))</f>
        <v>20/01/2023</v>
      </c>
      <c r="E88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44946</v>
      </c>
      <c r="F88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44946</v>
      </c>
      <c r="G88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44946</v>
      </c>
      <c r="H881" t="s">
        <v>3040</v>
      </c>
      <c r="I881" s="2" t="str">
        <f>CLEAN(TRIM(Working_Sales[[#This Row],[Customer ID]]))</f>
        <v>cust389</v>
      </c>
      <c r="J88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8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CUST389</v>
      </c>
      <c r="L881" t="s">
        <v>20</v>
      </c>
      <c r="M881" s="4" t="str">
        <f>CLEAN(TRIM(Working_Sales[[#This Row],[Gender]]))</f>
        <v>male</v>
      </c>
      <c r="N881" s="4" t="str" cm="1">
        <f t="array" ref="N881">_xlfn.SWITCH(
   Working_Sales[[#This Row],[Gender_Whitespace_Removed]],
   "m", "Male",
   "f", "Female",
   Working_Sales[[#This Row],[Gender_Whitespace_Removed]]
)</f>
        <v>male</v>
      </c>
      <c r="O881" s="6" t="str">
        <f>PROPER(Working_Sales[[#This Row],[Gender_Abbreviation_Expanded]])</f>
        <v>Male</v>
      </c>
      <c r="P881">
        <v>26</v>
      </c>
      <c r="Q881" s="2" t="str">
        <f>CLEAN(TRIM(Working_Sales[[#This Row],[Age]]))</f>
        <v>26</v>
      </c>
      <c r="R881" s="6">
        <f>INT(SUBSTITUTE(Working_Sales[[#This Row],[Age_Whitespace_Removed]],".",","))</f>
        <v>26</v>
      </c>
      <c r="S881" t="s">
        <v>56</v>
      </c>
      <c r="T881" s="2" t="str">
        <f>CLEAN(TRIM(Working_Sales[[#This Row],[Product Category]]))</f>
        <v>Clothing</v>
      </c>
      <c r="U881" s="6" t="str">
        <f>PROPER(Working_Sales[[#This Row],[Product_Category_Whitespace_Removed]])</f>
        <v>Clothing</v>
      </c>
      <c r="V881" t="s">
        <v>29</v>
      </c>
      <c r="W881" s="2" t="str">
        <f>CLEAN(TRIM(Working_Sales[[#This Row],[Quantity]]))</f>
        <v>3</v>
      </c>
      <c r="X881" s="2">
        <f>INT(Working_Sales[[#This Row],[`]])</f>
        <v>3</v>
      </c>
      <c r="Y881" s="6">
        <f>IFERROR(
   Working_Sales[[#This Row],[Quantity_Converted_To_Integer]],
   Working_Sales[[#This Row],[Total_Amount_Whitespace_Removed]]/Working_Sales[[#This Row],[Price_Per_Unit_Decimal_Separator_Fixed]])</f>
        <v>3</v>
      </c>
      <c r="Z881" t="s">
        <v>171</v>
      </c>
      <c r="AA881" s="2" t="str">
        <f>CLEAN(TRIM(Working_Sales[[#This Row],[Price per Unit]]))</f>
        <v>25</v>
      </c>
      <c r="AB881" s="2">
        <f>INT(
   SUBSTITUTE(Working_Sales[[#This Row],[Price_Per_Unit_Whitespace_Removed]],
   "$",
   ""
   )
)</f>
        <v>25</v>
      </c>
      <c r="AC881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881" s="8">
        <f>IFERROR(
   Working_Sales[[#This Row],[Price_Per_Unit_Decimal_Separator_Fixed]],
   Working_Sales[[#This Row],[Total_Amount_Converted_To_Integer]]/Working_Sales[[#This Row],[Quantity_Converted_To_Integer]]
)</f>
        <v>25</v>
      </c>
      <c r="AE881" t="s">
        <v>31</v>
      </c>
      <c r="AF881" s="2" t="str">
        <f>CLEAN(TRIM(Working_Sales[[#This Row],[Total Amount]]))</f>
        <v>75</v>
      </c>
      <c r="AG881" s="2">
        <f>INT(Working_Sales[[#This Row],[Total_Amount_Whitespace_Removed]])</f>
        <v>75</v>
      </c>
      <c r="AH88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882" spans="1:34" x14ac:dyDescent="0.35">
      <c r="A882" t="s">
        <v>1798</v>
      </c>
      <c r="B882" s="6" t="str">
        <f>CLEAN(TRIM(Working_Sales[[#This Row],[Transaction ID]]))</f>
        <v>457</v>
      </c>
      <c r="C882" t="s">
        <v>665</v>
      </c>
      <c r="D882" s="2" t="str">
        <f>CLEAN(TRIM(Working_Sales[[#This Row],[Date]]))</f>
        <v>07/28/2023</v>
      </c>
      <c r="E882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88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45135</v>
      </c>
      <c r="G88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45135</v>
      </c>
      <c r="H882" t="s">
        <v>621</v>
      </c>
      <c r="I882" s="2" t="str">
        <f>CLEAN(TRIM(Working_Sales[[#This Row],[Customer ID]]))</f>
        <v>CUST479</v>
      </c>
      <c r="J88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CUST479</v>
      </c>
      <c r="K88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CUST479</v>
      </c>
      <c r="L882" t="s">
        <v>26</v>
      </c>
      <c r="M882" s="4" t="str">
        <f>CLEAN(TRIM(Working_Sales[[#This Row],[Gender]]))</f>
        <v>Female</v>
      </c>
      <c r="N882" s="4" t="str" cm="1">
        <f t="array" ref="N882">_xlfn.SWITCH(
   Working_Sales[[#This Row],[Gender_Whitespace_Removed]],
   "m", "Male",
   "f", "Female",
   Working_Sales[[#This Row],[Gender_Whitespace_Removed]]
)</f>
        <v>Female</v>
      </c>
      <c r="O882" s="6" t="str">
        <f>PROPER(Working_Sales[[#This Row],[Gender_Abbreviation_Expanded]])</f>
        <v>Female</v>
      </c>
      <c r="P882">
        <v>58</v>
      </c>
      <c r="Q882" s="2" t="str">
        <f>CLEAN(TRIM(Working_Sales[[#This Row],[Age]]))</f>
        <v>58</v>
      </c>
      <c r="R882" s="6">
        <f>INT(SUBSTITUTE(Working_Sales[[#This Row],[Age_Whitespace_Removed]],".",","))</f>
        <v>58</v>
      </c>
      <c r="S882" t="s">
        <v>69</v>
      </c>
      <c r="T882" s="2" t="str">
        <f>CLEAN(TRIM(Working_Sales[[#This Row],[Product Category]]))</f>
        <v>BEAUTY</v>
      </c>
      <c r="U882" s="6" t="str">
        <f>PROPER(Working_Sales[[#This Row],[Product_Category_Whitespace_Removed]])</f>
        <v>Beauty</v>
      </c>
      <c r="V882" t="s">
        <v>29</v>
      </c>
      <c r="W882" s="2" t="str">
        <f>CLEAN(TRIM(Working_Sales[[#This Row],[Quantity]]))</f>
        <v>3</v>
      </c>
      <c r="X882" s="2">
        <f>INT(Working_Sales[[#This Row],[`]])</f>
        <v>3</v>
      </c>
      <c r="Y882" s="6">
        <f>IFERROR(
   Working_Sales[[#This Row],[Quantity_Converted_To_Integer]],
   Working_Sales[[#This Row],[Total_Amount_Whitespace_Removed]]/Working_Sales[[#This Row],[Price_Per_Unit_Decimal_Separator_Fixed]])</f>
        <v>3</v>
      </c>
      <c r="Z882" t="s">
        <v>23</v>
      </c>
      <c r="AA882" s="2" t="str">
        <f>CLEAN(TRIM(Working_Sales[[#This Row],[Price per Unit]]))</f>
        <v>300</v>
      </c>
      <c r="AB882" s="2">
        <f>INT(
   SUBSTITUTE(Working_Sales[[#This Row],[Price_Per_Unit_Whitespace_Removed]],
   "$",
   ""
   )
)</f>
        <v>300</v>
      </c>
      <c r="AC882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882" s="8">
        <f>IFERROR(
   Working_Sales[[#This Row],[Price_Per_Unit_Decimal_Separator_Fixed]],
   Working_Sales[[#This Row],[Total_Amount_Converted_To_Integer]]/Working_Sales[[#This Row],[Quantity_Converted_To_Integer]]
)</f>
        <v>300</v>
      </c>
      <c r="AE882" t="s">
        <v>128</v>
      </c>
      <c r="AF882" s="2" t="str">
        <f>CLEAN(TRIM(Working_Sales[[#This Row],[Total Amount]]))</f>
        <v>900</v>
      </c>
      <c r="AG882" s="2">
        <f>INT(Working_Sales[[#This Row],[Total_Amount_Whitespace_Removed]])</f>
        <v>900</v>
      </c>
      <c r="AH88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883" spans="1:34" x14ac:dyDescent="0.35">
      <c r="A883" t="s">
        <v>1800</v>
      </c>
      <c r="B883" s="6" t="str">
        <f>CLEAN(TRIM(Working_Sales[[#This Row],[Transaction ID]]))</f>
        <v>812</v>
      </c>
      <c r="C883" t="s">
        <v>1801</v>
      </c>
      <c r="D883" s="2" t="str">
        <f>CLEAN(TRIM(Working_Sales[[#This Row],[Date]]))</f>
        <v>2023-11-12</v>
      </c>
      <c r="E88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45242</v>
      </c>
      <c r="F88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45242</v>
      </c>
      <c r="G88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45242</v>
      </c>
      <c r="H883" t="s">
        <v>3041</v>
      </c>
      <c r="I883" s="2" t="str">
        <f>CLEAN(TRIM(Working_Sales[[#This Row],[Customer ID]]))</f>
        <v>cust480</v>
      </c>
      <c r="J88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8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CUST480</v>
      </c>
      <c r="L883" t="s">
        <v>268</v>
      </c>
      <c r="M883" s="4" t="str">
        <f>CLEAN(TRIM(Working_Sales[[#This Row],[Gender]]))</f>
        <v>M</v>
      </c>
      <c r="N883" s="4" t="str" cm="1">
        <f t="array" ref="N883">_xlfn.SWITCH(
   Working_Sales[[#This Row],[Gender_Whitespace_Removed]],
   "m", "Male",
   "f", "Female",
   Working_Sales[[#This Row],[Gender_Whitespace_Removed]]
)</f>
        <v>Male</v>
      </c>
      <c r="O883" s="6" t="str">
        <f>PROPER(Working_Sales[[#This Row],[Gender_Abbreviation_Expanded]])</f>
        <v>Male</v>
      </c>
      <c r="P883">
        <v>19</v>
      </c>
      <c r="Q883" s="2" t="str">
        <f>CLEAN(TRIM(Working_Sales[[#This Row],[Age]]))</f>
        <v>19</v>
      </c>
      <c r="R883" s="6">
        <f>INT(SUBSTITUTE(Working_Sales[[#This Row],[Age_Whitespace_Removed]],".",","))</f>
        <v>19</v>
      </c>
      <c r="S883" t="s">
        <v>99</v>
      </c>
      <c r="T883" s="2" t="str">
        <f>CLEAN(TRIM(Working_Sales[[#This Row],[Product Category]]))</f>
        <v>ELECTRONICS</v>
      </c>
      <c r="U883" s="6" t="str">
        <f>PROPER(Working_Sales[[#This Row],[Product_Category_Whitespace_Removed]])</f>
        <v>Electronics</v>
      </c>
      <c r="V883" t="s">
        <v>29</v>
      </c>
      <c r="W883" s="2" t="str">
        <f>CLEAN(TRIM(Working_Sales[[#This Row],[Quantity]]))</f>
        <v>3</v>
      </c>
      <c r="X883" s="2">
        <f>INT(Working_Sales[[#This Row],[`]])</f>
        <v>3</v>
      </c>
      <c r="Y883" s="6">
        <f>IFERROR(
   Working_Sales[[#This Row],[Quantity_Converted_To_Integer]],
   Working_Sales[[#This Row],[Total_Amount_Whitespace_Removed]]/Working_Sales[[#This Row],[Price_Per_Unit_Decimal_Separator_Fixed]])</f>
        <v>3</v>
      </c>
      <c r="Z883" t="s">
        <v>30</v>
      </c>
      <c r="AA883" s="2" t="str">
        <f>CLEAN(TRIM(Working_Sales[[#This Row],[Price per Unit]]))</f>
        <v>25</v>
      </c>
      <c r="AB883" s="2">
        <f>INT(
   SUBSTITUTE(Working_Sales[[#This Row],[Price_Per_Unit_Whitespace_Removed]],
   "$",
   ""
   )
)</f>
        <v>25</v>
      </c>
      <c r="AC883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883" s="8">
        <f>IFERROR(
   Working_Sales[[#This Row],[Price_Per_Unit_Decimal_Separator_Fixed]],
   Working_Sales[[#This Row],[Total_Amount_Converted_To_Integer]]/Working_Sales[[#This Row],[Quantity_Converted_To_Integer]]
)</f>
        <v>25</v>
      </c>
      <c r="AE883" t="s">
        <v>31</v>
      </c>
      <c r="AF883" s="2" t="str">
        <f>CLEAN(TRIM(Working_Sales[[#This Row],[Total Amount]]))</f>
        <v>75</v>
      </c>
      <c r="AG883" s="2">
        <f>INT(Working_Sales[[#This Row],[Total_Amount_Whitespace_Removed]])</f>
        <v>75</v>
      </c>
      <c r="AH88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884" spans="1:34" x14ac:dyDescent="0.35">
      <c r="A884" t="s">
        <v>1802</v>
      </c>
      <c r="B884" s="6" t="str">
        <f>CLEAN(TRIM(Working_Sales[[#This Row],[Transaction ID]]))</f>
        <v>261</v>
      </c>
      <c r="C884" t="s">
        <v>2104</v>
      </c>
      <c r="D884" s="2" t="str">
        <f>CLEAN(TRIM(Working_Sales[[#This Row],[Date]]))</f>
        <v>August 05, 2023</v>
      </c>
      <c r="E884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884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88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45143</v>
      </c>
      <c r="H884" t="s">
        <v>3042</v>
      </c>
      <c r="I884" s="2" t="str">
        <f>CLEAN(TRIM(Working_Sales[[#This Row],[Customer ID]]))</f>
        <v>CUST481</v>
      </c>
      <c r="J88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CUST481</v>
      </c>
      <c r="K88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CUST481</v>
      </c>
      <c r="L884" t="s">
        <v>11</v>
      </c>
      <c r="M884" s="4" t="str">
        <f>CLEAN(TRIM(Working_Sales[[#This Row],[Gender]]))</f>
        <v>MALE</v>
      </c>
      <c r="N884" s="4" t="str" cm="1">
        <f t="array" ref="N884">_xlfn.SWITCH(
   Working_Sales[[#This Row],[Gender_Whitespace_Removed]],
   "m", "Male",
   "f", "Female",
   Working_Sales[[#This Row],[Gender_Whitespace_Removed]]
)</f>
        <v>MALE</v>
      </c>
      <c r="O884" s="6" t="str">
        <f>PROPER(Working_Sales[[#This Row],[Gender_Abbreviation_Expanded]])</f>
        <v>Male</v>
      </c>
      <c r="P884" t="s">
        <v>475</v>
      </c>
      <c r="Q884" s="2" t="str">
        <f>CLEAN(TRIM(Working_Sales[[#This Row],[Age]]))</f>
        <v>21.0</v>
      </c>
      <c r="R884" s="6">
        <f>INT(SUBSTITUTE(Working_Sales[[#This Row],[Age_Whitespace_Removed]],".",","))</f>
        <v>21</v>
      </c>
      <c r="S884" t="s">
        <v>89</v>
      </c>
      <c r="T884" s="2" t="str">
        <f>CLEAN(TRIM(Working_Sales[[#This Row],[Product Category]]))</f>
        <v>CLOTHING</v>
      </c>
      <c r="U884" s="6" t="str">
        <f>PROPER(Working_Sales[[#This Row],[Product_Category_Whitespace_Removed]])</f>
        <v>Clothing</v>
      </c>
      <c r="V884" t="s">
        <v>37</v>
      </c>
      <c r="W884" s="2" t="str">
        <f>CLEAN(TRIM(Working_Sales[[#This Row],[Quantity]]))</f>
        <v>2</v>
      </c>
      <c r="X884" s="2">
        <f>INT(Working_Sales[[#This Row],[`]])</f>
        <v>2</v>
      </c>
      <c r="Y884" s="6">
        <f>IFERROR(
   Working_Sales[[#This Row],[Quantity_Converted_To_Integer]],
   Working_Sales[[#This Row],[Total_Amount_Whitespace_Removed]]/Working_Sales[[#This Row],[Price_Per_Unit_Decimal_Separator_Fixed]])</f>
        <v>2</v>
      </c>
      <c r="Z884" t="s">
        <v>30</v>
      </c>
      <c r="AA884" s="2" t="str">
        <f>CLEAN(TRIM(Working_Sales[[#This Row],[Price per Unit]]))</f>
        <v>25</v>
      </c>
      <c r="AB884" s="2">
        <f>INT(
   SUBSTITUTE(Working_Sales[[#This Row],[Price_Per_Unit_Whitespace_Removed]],
   "$",
   ""
   )
)</f>
        <v>25</v>
      </c>
      <c r="AC884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884" s="8">
        <f>IFERROR(
   Working_Sales[[#This Row],[Price_Per_Unit_Decimal_Separator_Fixed]],
   Working_Sales[[#This Row],[Total_Amount_Converted_To_Integer]]/Working_Sales[[#This Row],[Quantity_Converted_To_Integer]]
)</f>
        <v>25</v>
      </c>
      <c r="AE884" t="s">
        <v>15</v>
      </c>
      <c r="AF884" s="2" t="str">
        <f>CLEAN(TRIM(Working_Sales[[#This Row],[Total Amount]]))</f>
        <v>50</v>
      </c>
      <c r="AG884" s="2">
        <f>INT(Working_Sales[[#This Row],[Total_Amount_Whitespace_Removed]])</f>
        <v>50</v>
      </c>
      <c r="AH88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885" spans="1:34" x14ac:dyDescent="0.35">
      <c r="A885" t="s">
        <v>1804</v>
      </c>
      <c r="B885" s="6" t="str">
        <f>CLEAN(TRIM(Working_Sales[[#This Row],[Transaction ID]]))</f>
        <v>817</v>
      </c>
      <c r="C885" t="s">
        <v>2164</v>
      </c>
      <c r="D885" s="2" t="str">
        <f>CLEAN(TRIM(Working_Sales[[#This Row],[Date]]))</f>
        <v>10/31/2023</v>
      </c>
      <c r="E885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88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45230</v>
      </c>
      <c r="G88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45230</v>
      </c>
      <c r="H885" t="s">
        <v>3043</v>
      </c>
      <c r="I885" s="2" t="str">
        <f>CLEAN(TRIM(Working_Sales[[#This Row],[Customer ID]]))</f>
        <v>CUST-463</v>
      </c>
      <c r="J88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8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CUST463</v>
      </c>
      <c r="L885" t="s">
        <v>34</v>
      </c>
      <c r="M885" s="4" t="str">
        <f>CLEAN(TRIM(Working_Sales[[#This Row],[Gender]]))</f>
        <v>Male</v>
      </c>
      <c r="N885" s="4" t="str" cm="1">
        <f t="array" ref="N885">_xlfn.SWITCH(
   Working_Sales[[#This Row],[Gender_Whitespace_Removed]],
   "m", "Male",
   "f", "Female",
   Working_Sales[[#This Row],[Gender_Whitespace_Removed]]
)</f>
        <v>Male</v>
      </c>
      <c r="O885" s="6" t="str">
        <f>PROPER(Working_Sales[[#This Row],[Gender_Abbreviation_Expanded]])</f>
        <v>Male</v>
      </c>
      <c r="P885">
        <v>30</v>
      </c>
      <c r="Q885" s="2" t="str">
        <f>CLEAN(TRIM(Working_Sales[[#This Row],[Age]]))</f>
        <v>30</v>
      </c>
      <c r="R885" s="6">
        <f>INT(SUBSTITUTE(Working_Sales[[#This Row],[Age_Whitespace_Removed]],".",","))</f>
        <v>30</v>
      </c>
      <c r="S885" t="s">
        <v>36</v>
      </c>
      <c r="T885" s="2" t="str">
        <f>CLEAN(TRIM(Working_Sales[[#This Row],[Product Category]]))</f>
        <v>Beauty</v>
      </c>
      <c r="U885" s="6" t="str">
        <f>PROPER(Working_Sales[[#This Row],[Product_Category_Whitespace_Removed]])</f>
        <v>Beauty</v>
      </c>
      <c r="V885" t="s">
        <v>14</v>
      </c>
      <c r="W885" s="2" t="str">
        <f>CLEAN(TRIM(Working_Sales[[#This Row],[Quantity]]))</f>
        <v>4</v>
      </c>
      <c r="X885" s="2">
        <f>INT(Working_Sales[[#This Row],[`]])</f>
        <v>4</v>
      </c>
      <c r="Y885" s="6">
        <f>IFERROR(
   Working_Sales[[#This Row],[Quantity_Converted_To_Integer]],
   Working_Sales[[#This Row],[Total_Amount_Whitespace_Removed]]/Working_Sales[[#This Row],[Price_Per_Unit_Decimal_Separator_Fixed]])</f>
        <v>4</v>
      </c>
      <c r="Z885" t="s">
        <v>75</v>
      </c>
      <c r="AA885" s="2" t="str">
        <f>CLEAN(TRIM(Working_Sales[[#This Row],[Price per Unit]]))</f>
        <v>50</v>
      </c>
      <c r="AB885" s="2">
        <f>INT(
   SUBSTITUTE(Working_Sales[[#This Row],[Price_Per_Unit_Whitespace_Removed]],
   "$",
   ""
   )
)</f>
        <v>50</v>
      </c>
      <c r="AC885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885" s="8">
        <f>IFERROR(
   Working_Sales[[#This Row],[Price_Per_Unit_Decimal_Separator_Fixed]],
   Working_Sales[[#This Row],[Total_Amount_Converted_To_Integer]]/Working_Sales[[#This Row],[Quantity_Converted_To_Integer]]
)</f>
        <v>50</v>
      </c>
      <c r="AF885" s="2" t="str">
        <f>CLEAN(TRIM(Working_Sales[[#This Row],[Total Amount]]))</f>
        <v/>
      </c>
      <c r="AG885" s="2" t="e">
        <f>INT(Working_Sales[[#This Row],[Total_Amount_Whitespace_Removed]])</f>
        <v>#VALUE!</v>
      </c>
      <c r="AH88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886" spans="1:34" x14ac:dyDescent="0.35">
      <c r="A886" t="s">
        <v>300</v>
      </c>
      <c r="B886" s="6" t="str">
        <f>CLEAN(TRIM(Working_Sales[[#This Row],[Transaction ID]]))</f>
        <v>36</v>
      </c>
      <c r="C886" t="s">
        <v>741</v>
      </c>
      <c r="D886" s="2" t="str">
        <f>CLEAN(TRIM(Working_Sales[[#This Row],[Date]]))</f>
        <v>24/06/2023</v>
      </c>
      <c r="E88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45101</v>
      </c>
      <c r="F88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45101</v>
      </c>
      <c r="G88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45101</v>
      </c>
      <c r="H886" t="s">
        <v>3044</v>
      </c>
      <c r="I886" s="2" t="str">
        <f>CLEAN(TRIM(Working_Sales[[#This Row],[Customer ID]]))</f>
        <v>CUST261</v>
      </c>
      <c r="J88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CUST261</v>
      </c>
      <c r="K88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CUST261</v>
      </c>
      <c r="L886" t="s">
        <v>20</v>
      </c>
      <c r="M886" s="4" t="str">
        <f>CLEAN(TRIM(Working_Sales[[#This Row],[Gender]]))</f>
        <v>male</v>
      </c>
      <c r="N886" s="4" t="str" cm="1">
        <f t="array" ref="N886">_xlfn.SWITCH(
   Working_Sales[[#This Row],[Gender_Whitespace_Removed]],
   "m", "Male",
   "f", "Female",
   Working_Sales[[#This Row],[Gender_Whitespace_Removed]]
)</f>
        <v>male</v>
      </c>
      <c r="O886" s="6" t="str">
        <f>PROPER(Working_Sales[[#This Row],[Gender_Abbreviation_Expanded]])</f>
        <v>Male</v>
      </c>
      <c r="P886">
        <v>52</v>
      </c>
      <c r="Q886" s="2" t="str">
        <f>CLEAN(TRIM(Working_Sales[[#This Row],[Age]]))</f>
        <v>52</v>
      </c>
      <c r="R886" s="6">
        <f>INT(SUBSTITUTE(Working_Sales[[#This Row],[Age_Whitespace_Removed]],".",","))</f>
        <v>52</v>
      </c>
      <c r="S886" t="s">
        <v>69</v>
      </c>
      <c r="T886" s="2" t="str">
        <f>CLEAN(TRIM(Working_Sales[[#This Row],[Product Category]]))</f>
        <v>BEAUTY</v>
      </c>
      <c r="U886" s="6" t="str">
        <f>PROPER(Working_Sales[[#This Row],[Product_Category_Whitespace_Removed]])</f>
        <v>Beauty</v>
      </c>
      <c r="V886" t="s">
        <v>29</v>
      </c>
      <c r="W886" s="2" t="str">
        <f>CLEAN(TRIM(Working_Sales[[#This Row],[Quantity]]))</f>
        <v>3</v>
      </c>
      <c r="X886" s="2">
        <f>INT(Working_Sales[[#This Row],[`]])</f>
        <v>3</v>
      </c>
      <c r="Y886" s="6">
        <f>IFERROR(
   Working_Sales[[#This Row],[Quantity_Converted_To_Integer]],
   Working_Sales[[#This Row],[Total_Amount_Whitespace_Removed]]/Working_Sales[[#This Row],[Price_Per_Unit_Decimal_Separator_Fixed]])</f>
        <v>3</v>
      </c>
      <c r="Z886" t="s">
        <v>23</v>
      </c>
      <c r="AA886" s="2" t="str">
        <f>CLEAN(TRIM(Working_Sales[[#This Row],[Price per Unit]]))</f>
        <v>300</v>
      </c>
      <c r="AB886" s="2">
        <f>INT(
   SUBSTITUTE(Working_Sales[[#This Row],[Price_Per_Unit_Whitespace_Removed]],
   "$",
   ""
   )
)</f>
        <v>300</v>
      </c>
      <c r="AC886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886" s="8">
        <f>IFERROR(
   Working_Sales[[#This Row],[Price_Per_Unit_Decimal_Separator_Fixed]],
   Working_Sales[[#This Row],[Total_Amount_Converted_To_Integer]]/Working_Sales[[#This Row],[Quantity_Converted_To_Integer]]
)</f>
        <v>300</v>
      </c>
      <c r="AE886" t="s">
        <v>128</v>
      </c>
      <c r="AF886" s="2" t="str">
        <f>CLEAN(TRIM(Working_Sales[[#This Row],[Total Amount]]))</f>
        <v>900</v>
      </c>
      <c r="AG886" s="2">
        <f>INT(Working_Sales[[#This Row],[Total_Amount_Whitespace_Removed]])</f>
        <v>900</v>
      </c>
      <c r="AH88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887" spans="1:34" x14ac:dyDescent="0.35">
      <c r="A887" t="s">
        <v>1805</v>
      </c>
      <c r="B887" s="6" t="str">
        <f>CLEAN(TRIM(Working_Sales[[#This Row],[Transaction ID]]))</f>
        <v>828</v>
      </c>
      <c r="C887" t="s">
        <v>2009</v>
      </c>
      <c r="D887" s="2" t="str">
        <f>CLEAN(TRIM(Working_Sales[[#This Row],[Date]]))</f>
        <v>09-Dec-2023</v>
      </c>
      <c r="E88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45269</v>
      </c>
      <c r="F88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45269</v>
      </c>
      <c r="G88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45269</v>
      </c>
      <c r="H887" t="s">
        <v>3045</v>
      </c>
      <c r="I887" s="2" t="str">
        <f>CLEAN(TRIM(Working_Sales[[#This Row],[Customer ID]]))</f>
        <v>cust284</v>
      </c>
      <c r="J88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8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CUST284</v>
      </c>
      <c r="L887" t="s">
        <v>140</v>
      </c>
      <c r="M887" s="4" t="str">
        <f>CLEAN(TRIM(Working_Sales[[#This Row],[Gender]]))</f>
        <v>FEMALE</v>
      </c>
      <c r="N887" s="4" t="str" cm="1">
        <f t="array" ref="N887">_xlfn.SWITCH(
   Working_Sales[[#This Row],[Gender_Whitespace_Removed]],
   "m", "Male",
   "f", "Female",
   Working_Sales[[#This Row],[Gender_Whitespace_Removed]]
)</f>
        <v>FEMALE</v>
      </c>
      <c r="O887" s="6" t="str">
        <f>PROPER(Working_Sales[[#This Row],[Gender_Abbreviation_Expanded]])</f>
        <v>Female</v>
      </c>
      <c r="P887">
        <v>33</v>
      </c>
      <c r="Q887" s="2" t="str">
        <f>CLEAN(TRIM(Working_Sales[[#This Row],[Age]]))</f>
        <v>33</v>
      </c>
      <c r="R887" s="6">
        <f>INT(SUBSTITUTE(Working_Sales[[#This Row],[Age_Whitespace_Removed]],".",","))</f>
        <v>33</v>
      </c>
      <c r="S887" t="s">
        <v>13</v>
      </c>
      <c r="T887" s="2" t="str">
        <f>CLEAN(TRIM(Working_Sales[[#This Row],[Product Category]]))</f>
        <v>Electronics</v>
      </c>
      <c r="U887" s="6" t="str">
        <f>PROPER(Working_Sales[[#This Row],[Product_Category_Whitespace_Removed]])</f>
        <v>Electronics</v>
      </c>
      <c r="V887" t="s">
        <v>14</v>
      </c>
      <c r="W887" s="2" t="str">
        <f>CLEAN(TRIM(Working_Sales[[#This Row],[Quantity]]))</f>
        <v>4</v>
      </c>
      <c r="X887" s="2">
        <f>INT(Working_Sales[[#This Row],[`]])</f>
        <v>4</v>
      </c>
      <c r="Y887" s="6">
        <f>IFERROR(
   Working_Sales[[#This Row],[Quantity_Converted_To_Integer]],
   Working_Sales[[#This Row],[Total_Amount_Whitespace_Removed]]/Working_Sales[[#This Row],[Price_Per_Unit_Decimal_Separator_Fixed]])</f>
        <v>4</v>
      </c>
      <c r="Z887" t="s">
        <v>186</v>
      </c>
      <c r="AA887" s="2" t="str">
        <f>CLEAN(TRIM(Working_Sales[[#This Row],[Price per Unit]]))</f>
        <v>$300</v>
      </c>
      <c r="AB887" s="2">
        <f>INT(
   SUBSTITUTE(Working_Sales[[#This Row],[Price_Per_Unit_Whitespace_Removed]],
   "$",
   ""
   )
)</f>
        <v>300</v>
      </c>
      <c r="AC887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887" s="8">
        <f>IFERROR(
   Working_Sales[[#This Row],[Price_Per_Unit_Decimal_Separator_Fixed]],
   Working_Sales[[#This Row],[Total_Amount_Converted_To_Integer]]/Working_Sales[[#This Row],[Quantity_Converted_To_Integer]]
)</f>
        <v>300</v>
      </c>
      <c r="AE887" t="s">
        <v>79</v>
      </c>
      <c r="AF887" s="2" t="str">
        <f>CLEAN(TRIM(Working_Sales[[#This Row],[Total Amount]]))</f>
        <v>1200</v>
      </c>
      <c r="AG887" s="2">
        <f>INT(Working_Sales[[#This Row],[Total_Amount_Whitespace_Removed]])</f>
        <v>1200</v>
      </c>
      <c r="AH88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888" spans="1:34" x14ac:dyDescent="0.35">
      <c r="A888" t="s">
        <v>1806</v>
      </c>
      <c r="B888" s="6" t="str">
        <f>CLEAN(TRIM(Working_Sales[[#This Row],[Transaction ID]]))</f>
        <v>310</v>
      </c>
      <c r="C888" t="s">
        <v>2038</v>
      </c>
      <c r="D888" s="2" t="str">
        <f>CLEAN(TRIM(Working_Sales[[#This Row],[Date]]))</f>
        <v>October 12, 2023</v>
      </c>
      <c r="E888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888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88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45211</v>
      </c>
      <c r="H888" t="s">
        <v>3046</v>
      </c>
      <c r="I888" s="2" t="str">
        <f>CLEAN(TRIM(Working_Sales[[#This Row],[Customer ID]]))</f>
        <v>CUST358</v>
      </c>
      <c r="J88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CUST358</v>
      </c>
      <c r="K88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CUST358</v>
      </c>
      <c r="L888" t="s">
        <v>46</v>
      </c>
      <c r="M888" s="4" t="str">
        <f>CLEAN(TRIM(Working_Sales[[#This Row],[Gender]]))</f>
        <v>F</v>
      </c>
      <c r="N888" s="4" t="str" cm="1">
        <f t="array" ref="N888">_xlfn.SWITCH(
   Working_Sales[[#This Row],[Gender_Whitespace_Removed]],
   "m", "Male",
   "f", "Female",
   Working_Sales[[#This Row],[Gender_Whitespace_Removed]]
)</f>
        <v>Female</v>
      </c>
      <c r="O888" s="6" t="str">
        <f>PROPER(Working_Sales[[#This Row],[Gender_Abbreviation_Expanded]])</f>
        <v>Female</v>
      </c>
      <c r="P888">
        <v>28</v>
      </c>
      <c r="Q888" s="2" t="str">
        <f>CLEAN(TRIM(Working_Sales[[#This Row],[Age]]))</f>
        <v>28</v>
      </c>
      <c r="R888" s="6">
        <f>INT(SUBSTITUTE(Working_Sales[[#This Row],[Age_Whitespace_Removed]],".",","))</f>
        <v>28</v>
      </c>
      <c r="S888" t="s">
        <v>62</v>
      </c>
      <c r="T888" s="2" t="str">
        <f>CLEAN(TRIM(Working_Sales[[#This Row],[Product Category]]))</f>
        <v>beauty</v>
      </c>
      <c r="U888" s="6" t="str">
        <f>PROPER(Working_Sales[[#This Row],[Product_Category_Whitespace_Removed]])</f>
        <v>Beauty</v>
      </c>
      <c r="V888" t="s">
        <v>22</v>
      </c>
      <c r="W888" s="2" t="str">
        <f>CLEAN(TRIM(Working_Sales[[#This Row],[Quantity]]))</f>
        <v>1</v>
      </c>
      <c r="X888" s="2">
        <f>INT(Working_Sales[[#This Row],[`]])</f>
        <v>1</v>
      </c>
      <c r="Y888" s="6">
        <f>IFERROR(
   Working_Sales[[#This Row],[Quantity_Converted_To_Integer]],
   Working_Sales[[#This Row],[Total_Amount_Whitespace_Removed]]/Working_Sales[[#This Row],[Price_Per_Unit_Decimal_Separator_Fixed]])</f>
        <v>1</v>
      </c>
      <c r="Z888" t="s">
        <v>30</v>
      </c>
      <c r="AA888" s="2" t="str">
        <f>CLEAN(TRIM(Working_Sales[[#This Row],[Price per Unit]]))</f>
        <v>25</v>
      </c>
      <c r="AB888" s="2">
        <f>INT(
   SUBSTITUTE(Working_Sales[[#This Row],[Price_Per_Unit_Whitespace_Removed]],
   "$",
   ""
   )
)</f>
        <v>25</v>
      </c>
      <c r="AC888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888" s="8">
        <f>IFERROR(
   Working_Sales[[#This Row],[Price_Per_Unit_Decimal_Separator_Fixed]],
   Working_Sales[[#This Row],[Total_Amount_Converted_To_Integer]]/Working_Sales[[#This Row],[Quantity_Converted_To_Integer]]
)</f>
        <v>25</v>
      </c>
      <c r="AE888" t="s">
        <v>30</v>
      </c>
      <c r="AF888" s="2" t="str">
        <f>CLEAN(TRIM(Working_Sales[[#This Row],[Total Amount]]))</f>
        <v>25</v>
      </c>
      <c r="AG888" s="2">
        <f>INT(Working_Sales[[#This Row],[Total_Amount_Whitespace_Removed]])</f>
        <v>25</v>
      </c>
      <c r="AH88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889" spans="1:34" x14ac:dyDescent="0.35">
      <c r="A889" t="s">
        <v>1808</v>
      </c>
      <c r="B889" s="6" t="str">
        <f>CLEAN(TRIM(Working_Sales[[#This Row],[Transaction ID]]))</f>
        <v>277</v>
      </c>
      <c r="C889" t="s">
        <v>1242</v>
      </c>
      <c r="D889" s="2" t="str">
        <f>CLEAN(TRIM(Working_Sales[[#This Row],[Date]]))</f>
        <v>2023-08-18</v>
      </c>
      <c r="E88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45156</v>
      </c>
      <c r="F88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45156</v>
      </c>
      <c r="G88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45156</v>
      </c>
      <c r="H889" t="s">
        <v>3047</v>
      </c>
      <c r="I889" s="2" t="str">
        <f>CLEAN(TRIM(Working_Sales[[#This Row],[Customer ID]]))</f>
        <v>CUST-093</v>
      </c>
      <c r="J88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8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CUST093</v>
      </c>
      <c r="L889" t="s">
        <v>34</v>
      </c>
      <c r="M889" s="4" t="str">
        <f>CLEAN(TRIM(Working_Sales[[#This Row],[Gender]]))</f>
        <v>Male</v>
      </c>
      <c r="N889" s="4" t="str" cm="1">
        <f t="array" ref="N889">_xlfn.SWITCH(
   Working_Sales[[#This Row],[Gender_Whitespace_Removed]],
   "m", "Male",
   "f", "Female",
   Working_Sales[[#This Row],[Gender_Whitespace_Removed]]
)</f>
        <v>Male</v>
      </c>
      <c r="O889" s="6" t="str">
        <f>PROPER(Working_Sales[[#This Row],[Gender_Abbreviation_Expanded]])</f>
        <v>Male</v>
      </c>
      <c r="P889">
        <v>36</v>
      </c>
      <c r="Q889" s="2" t="str">
        <f>CLEAN(TRIM(Working_Sales[[#This Row],[Age]]))</f>
        <v>36</v>
      </c>
      <c r="R889" s="6">
        <f>INT(SUBSTITUTE(Working_Sales[[#This Row],[Age_Whitespace_Removed]],".",","))</f>
        <v>36</v>
      </c>
      <c r="S889" t="s">
        <v>56</v>
      </c>
      <c r="T889" s="2" t="str">
        <f>CLEAN(TRIM(Working_Sales[[#This Row],[Product Category]]))</f>
        <v>Clothing</v>
      </c>
      <c r="U889" s="6" t="str">
        <f>PROPER(Working_Sales[[#This Row],[Product_Category_Whitespace_Removed]])</f>
        <v>Clothing</v>
      </c>
      <c r="V889" t="s">
        <v>14</v>
      </c>
      <c r="W889" s="2" t="str">
        <f>CLEAN(TRIM(Working_Sales[[#This Row],[Quantity]]))</f>
        <v>4</v>
      </c>
      <c r="X889" s="2">
        <f>INT(Working_Sales[[#This Row],[`]])</f>
        <v>4</v>
      </c>
      <c r="Y889" s="6">
        <f>IFERROR(
   Working_Sales[[#This Row],[Quantity_Converted_To_Integer]],
   Working_Sales[[#This Row],[Total_Amount_Whitespace_Removed]]/Working_Sales[[#This Row],[Price_Per_Unit_Decimal_Separator_Fixed]])</f>
        <v>4</v>
      </c>
      <c r="Z889" t="s">
        <v>30</v>
      </c>
      <c r="AA889" s="2" t="str">
        <f>CLEAN(TRIM(Working_Sales[[#This Row],[Price per Unit]]))</f>
        <v>25</v>
      </c>
      <c r="AB889" s="2">
        <f>INT(
   SUBSTITUTE(Working_Sales[[#This Row],[Price_Per_Unit_Whitespace_Removed]],
   "$",
   ""
   )
)</f>
        <v>25</v>
      </c>
      <c r="AC889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889" s="8">
        <f>IFERROR(
   Working_Sales[[#This Row],[Price_Per_Unit_Decimal_Separator_Fixed]],
   Working_Sales[[#This Row],[Total_Amount_Converted_To_Integer]]/Working_Sales[[#This Row],[Quantity_Converted_To_Integer]]
)</f>
        <v>25</v>
      </c>
      <c r="AE889" t="s">
        <v>38</v>
      </c>
      <c r="AF889" s="2" t="str">
        <f>CLEAN(TRIM(Working_Sales[[#This Row],[Total Amount]]))</f>
        <v>100</v>
      </c>
      <c r="AG889" s="2">
        <f>INT(Working_Sales[[#This Row],[Total_Amount_Whitespace_Removed]])</f>
        <v>100</v>
      </c>
      <c r="AH88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890" spans="1:34" x14ac:dyDescent="0.35">
      <c r="A890" t="s">
        <v>1810</v>
      </c>
      <c r="B890" s="6" t="str">
        <f>CLEAN(TRIM(Working_Sales[[#This Row],[Transaction ID]]))</f>
        <v>637</v>
      </c>
      <c r="C890" t="s">
        <v>1811</v>
      </c>
      <c r="D890" s="2" t="str">
        <f>CLEAN(TRIM(Working_Sales[[#This Row],[Date]]))</f>
        <v>2023-09-01</v>
      </c>
      <c r="E89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45170</v>
      </c>
      <c r="F89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45170</v>
      </c>
      <c r="G89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45170</v>
      </c>
      <c r="H890" t="s">
        <v>3048</v>
      </c>
      <c r="I890" s="2" t="str">
        <f>CLEAN(TRIM(Working_Sales[[#This Row],[Customer ID]]))</f>
        <v>CUST-482</v>
      </c>
      <c r="J89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9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CUST482</v>
      </c>
      <c r="L890" t="s">
        <v>34</v>
      </c>
      <c r="M890" s="4" t="str">
        <f>CLEAN(TRIM(Working_Sales[[#This Row],[Gender]]))</f>
        <v>Male</v>
      </c>
      <c r="N890" s="4" t="str" cm="1">
        <f t="array" ref="N890">_xlfn.SWITCH(
   Working_Sales[[#This Row],[Gender_Whitespace_Removed]],
   "m", "Male",
   "f", "Female",
   Working_Sales[[#This Row],[Gender_Whitespace_Removed]]
)</f>
        <v>Male</v>
      </c>
      <c r="O890" s="6" t="str">
        <f>PROPER(Working_Sales[[#This Row],[Gender_Abbreviation_Expanded]])</f>
        <v>Male</v>
      </c>
      <c r="P890">
        <v>43</v>
      </c>
      <c r="Q890" s="2" t="str">
        <f>CLEAN(TRIM(Working_Sales[[#This Row],[Age]]))</f>
        <v>43</v>
      </c>
      <c r="R890" s="6">
        <f>INT(SUBSTITUTE(Working_Sales[[#This Row],[Age_Whitespace_Removed]],".",","))</f>
        <v>43</v>
      </c>
      <c r="S890" t="s">
        <v>124</v>
      </c>
      <c r="T890" s="2" t="str">
        <f>CLEAN(TRIM(Working_Sales[[#This Row],[Product Category]]))</f>
        <v>Clothing</v>
      </c>
      <c r="U890" s="6" t="str">
        <f>PROPER(Working_Sales[[#This Row],[Product_Category_Whitespace_Removed]])</f>
        <v>Clothing</v>
      </c>
      <c r="V890" t="s">
        <v>37</v>
      </c>
      <c r="W890" s="2" t="str">
        <f>CLEAN(TRIM(Working_Sales[[#This Row],[Quantity]]))</f>
        <v>2</v>
      </c>
      <c r="X890" s="2">
        <f>INT(Working_Sales[[#This Row],[`]])</f>
        <v>2</v>
      </c>
      <c r="Y890" s="6">
        <f>IFERROR(
   Working_Sales[[#This Row],[Quantity_Converted_To_Integer]],
   Working_Sales[[#This Row],[Total_Amount_Whitespace_Removed]]/Working_Sales[[#This Row],[Price_Per_Unit_Decimal_Separator_Fixed]])</f>
        <v>2</v>
      </c>
      <c r="Z890" t="s">
        <v>23</v>
      </c>
      <c r="AA890" s="2" t="str">
        <f>CLEAN(TRIM(Working_Sales[[#This Row],[Price per Unit]]))</f>
        <v>300</v>
      </c>
      <c r="AB890" s="2">
        <f>INT(
   SUBSTITUTE(Working_Sales[[#This Row],[Price_Per_Unit_Whitespace_Removed]],
   "$",
   ""
   )
)</f>
        <v>300</v>
      </c>
      <c r="AC890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890" s="8">
        <f>IFERROR(
   Working_Sales[[#This Row],[Price_Per_Unit_Decimal_Separator_Fixed]],
   Working_Sales[[#This Row],[Total_Amount_Converted_To_Integer]]/Working_Sales[[#This Row],[Quantity_Converted_To_Integer]]
)</f>
        <v>300</v>
      </c>
      <c r="AE890" t="s">
        <v>107</v>
      </c>
      <c r="AF890" s="2" t="str">
        <f>CLEAN(TRIM(Working_Sales[[#This Row],[Total Amount]]))</f>
        <v>600</v>
      </c>
      <c r="AG890" s="2">
        <f>INT(Working_Sales[[#This Row],[Total_Amount_Whitespace_Removed]])</f>
        <v>600</v>
      </c>
      <c r="AH89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600</v>
      </c>
    </row>
    <row r="891" spans="1:34" x14ac:dyDescent="0.35">
      <c r="A891" t="s">
        <v>1812</v>
      </c>
      <c r="B891" s="6" t="str">
        <f>CLEAN(TRIM(Working_Sales[[#This Row],[Transaction ID]]))</f>
        <v>655</v>
      </c>
      <c r="C891" t="s">
        <v>2165</v>
      </c>
      <c r="D891" s="2" t="str">
        <f>CLEAN(TRIM(Working_Sales[[#This Row],[Date]]))</f>
        <v>06/13/2023</v>
      </c>
      <c r="E891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89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45090</v>
      </c>
      <c r="G89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45090</v>
      </c>
      <c r="H891" t="s">
        <v>3049</v>
      </c>
      <c r="I891" s="2" t="str">
        <f>CLEAN(TRIM(Working_Sales[[#This Row],[Customer ID]]))</f>
        <v>cust177</v>
      </c>
      <c r="J89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9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CUST177</v>
      </c>
      <c r="L891" t="s">
        <v>26</v>
      </c>
      <c r="M891" s="4" t="str">
        <f>CLEAN(TRIM(Working_Sales[[#This Row],[Gender]]))</f>
        <v>Female</v>
      </c>
      <c r="N891" s="4" t="str" cm="1">
        <f t="array" ref="N891">_xlfn.SWITCH(
   Working_Sales[[#This Row],[Gender_Whitespace_Removed]],
   "m", "Male",
   "f", "Female",
   Working_Sales[[#This Row],[Gender_Whitespace_Removed]]
)</f>
        <v>Female</v>
      </c>
      <c r="O891" s="6" t="str">
        <f>PROPER(Working_Sales[[#This Row],[Gender_Abbreviation_Expanded]])</f>
        <v>Female</v>
      </c>
      <c r="P891">
        <v>55</v>
      </c>
      <c r="Q891" s="2" t="str">
        <f>CLEAN(TRIM(Working_Sales[[#This Row],[Age]]))</f>
        <v>55</v>
      </c>
      <c r="R891" s="6">
        <f>INT(SUBSTITUTE(Working_Sales[[#This Row],[Age_Whitespace_Removed]],".",","))</f>
        <v>55</v>
      </c>
      <c r="S891" t="s">
        <v>400</v>
      </c>
      <c r="T891" s="2" t="str">
        <f>CLEAN(TRIM(Working_Sales[[#This Row],[Product Category]]))</f>
        <v>Clothing</v>
      </c>
      <c r="U891" s="6" t="str">
        <f>PROPER(Working_Sales[[#This Row],[Product_Category_Whitespace_Removed]])</f>
        <v>Clothing</v>
      </c>
      <c r="V891" t="s">
        <v>22</v>
      </c>
      <c r="W891" s="2" t="str">
        <f>CLEAN(TRIM(Working_Sales[[#This Row],[Quantity]]))</f>
        <v>1</v>
      </c>
      <c r="X891" s="2">
        <f>INT(Working_Sales[[#This Row],[`]])</f>
        <v>1</v>
      </c>
      <c r="Y891" s="6">
        <f>IFERROR(
   Working_Sales[[#This Row],[Quantity_Converted_To_Integer]],
   Working_Sales[[#This Row],[Total_Amount_Whitespace_Removed]]/Working_Sales[[#This Row],[Price_Per_Unit_Decimal_Separator_Fixed]])</f>
        <v>1</v>
      </c>
      <c r="Z891" t="s">
        <v>57</v>
      </c>
      <c r="AA891" s="2" t="str">
        <f>CLEAN(TRIM(Working_Sales[[#This Row],[Price per Unit]]))</f>
        <v>500</v>
      </c>
      <c r="AB891" s="2">
        <f>INT(
   SUBSTITUTE(Working_Sales[[#This Row],[Price_Per_Unit_Whitespace_Removed]],
   "$",
   ""
   )
)</f>
        <v>500</v>
      </c>
      <c r="AC891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891" s="8">
        <f>IFERROR(
   Working_Sales[[#This Row],[Price_Per_Unit_Decimal_Separator_Fixed]],
   Working_Sales[[#This Row],[Total_Amount_Converted_To_Integer]]/Working_Sales[[#This Row],[Quantity_Converted_To_Integer]]
)</f>
        <v>500</v>
      </c>
      <c r="AE891" t="s">
        <v>57</v>
      </c>
      <c r="AF891" s="2" t="str">
        <f>CLEAN(TRIM(Working_Sales[[#This Row],[Total Amount]]))</f>
        <v>500</v>
      </c>
      <c r="AG891" s="2">
        <f>INT(Working_Sales[[#This Row],[Total_Amount_Whitespace_Removed]])</f>
        <v>500</v>
      </c>
      <c r="AH89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892" spans="1:34" x14ac:dyDescent="0.35">
      <c r="A892" t="s">
        <v>1813</v>
      </c>
      <c r="B892" s="6" t="str">
        <f>CLEAN(TRIM(Working_Sales[[#This Row],[Transaction ID]]))</f>
        <v>623</v>
      </c>
      <c r="C892" t="s">
        <v>1814</v>
      </c>
      <c r="D892" s="2" t="str">
        <f>CLEAN(TRIM(Working_Sales[[#This Row],[Date]]))</f>
        <v>2023-03-10</v>
      </c>
      <c r="E89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44995</v>
      </c>
      <c r="F89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44995</v>
      </c>
      <c r="G89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44995</v>
      </c>
      <c r="H892" t="s">
        <v>1105</v>
      </c>
      <c r="I892" s="2" t="str">
        <f>CLEAN(TRIM(Working_Sales[[#This Row],[Customer ID]]))</f>
        <v>CUST341</v>
      </c>
      <c r="J89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CUST341</v>
      </c>
      <c r="K89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CUST341</v>
      </c>
      <c r="L892" t="s">
        <v>34</v>
      </c>
      <c r="M892" s="4" t="str">
        <f>CLEAN(TRIM(Working_Sales[[#This Row],[Gender]]))</f>
        <v>Male</v>
      </c>
      <c r="N892" s="4" t="str" cm="1">
        <f t="array" ref="N892">_xlfn.SWITCH(
   Working_Sales[[#This Row],[Gender_Whitespace_Removed]],
   "m", "Male",
   "f", "Female",
   Working_Sales[[#This Row],[Gender_Whitespace_Removed]]
)</f>
        <v>Male</v>
      </c>
      <c r="O892" s="6" t="str">
        <f>PROPER(Working_Sales[[#This Row],[Gender_Abbreviation_Expanded]])</f>
        <v>Male</v>
      </c>
      <c r="P892" t="s">
        <v>877</v>
      </c>
      <c r="Q892" s="2" t="str">
        <f>CLEAN(TRIM(Working_Sales[[#This Row],[Age]]))</f>
        <v>34</v>
      </c>
      <c r="R892" s="6">
        <f>INT(SUBSTITUTE(Working_Sales[[#This Row],[Age_Whitespace_Removed]],".",","))</f>
        <v>34</v>
      </c>
      <c r="S892" t="s">
        <v>56</v>
      </c>
      <c r="T892" s="2" t="str">
        <f>CLEAN(TRIM(Working_Sales[[#This Row],[Product Category]]))</f>
        <v>Clothing</v>
      </c>
      <c r="U892" s="6" t="str">
        <f>PROPER(Working_Sales[[#This Row],[Product_Category_Whitespace_Removed]])</f>
        <v>Clothing</v>
      </c>
      <c r="V892" t="s">
        <v>29</v>
      </c>
      <c r="W892" s="2" t="str">
        <f>CLEAN(TRIM(Working_Sales[[#This Row],[Quantity]]))</f>
        <v>3</v>
      </c>
      <c r="X892" s="2">
        <f>INT(Working_Sales[[#This Row],[`]])</f>
        <v>3</v>
      </c>
      <c r="Y892" s="6">
        <f>IFERROR(
   Working_Sales[[#This Row],[Quantity_Converted_To_Integer]],
   Working_Sales[[#This Row],[Total_Amount_Whitespace_Removed]]/Working_Sales[[#This Row],[Price_Per_Unit_Decimal_Separator_Fixed]])</f>
        <v>3</v>
      </c>
      <c r="Z892" t="s">
        <v>15</v>
      </c>
      <c r="AA892" s="2" t="str">
        <f>CLEAN(TRIM(Working_Sales[[#This Row],[Price per Unit]]))</f>
        <v>50</v>
      </c>
      <c r="AB892" s="2">
        <f>INT(
   SUBSTITUTE(Working_Sales[[#This Row],[Price_Per_Unit_Whitespace_Removed]],
   "$",
   ""
   )
)</f>
        <v>50</v>
      </c>
      <c r="AC892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892" s="8">
        <f>IFERROR(
   Working_Sales[[#This Row],[Price_Per_Unit_Decimal_Separator_Fixed]],
   Working_Sales[[#This Row],[Total_Amount_Converted_To_Integer]]/Working_Sales[[#This Row],[Quantity_Converted_To_Integer]]
)</f>
        <v>50</v>
      </c>
      <c r="AE892" t="s">
        <v>130</v>
      </c>
      <c r="AF892" s="2" t="str">
        <f>CLEAN(TRIM(Working_Sales[[#This Row],[Total Amount]]))</f>
        <v>150</v>
      </c>
      <c r="AG892" s="2">
        <f>INT(Working_Sales[[#This Row],[Total_Amount_Whitespace_Removed]])</f>
        <v>150</v>
      </c>
      <c r="AH89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893" spans="1:34" x14ac:dyDescent="0.35">
      <c r="A893" t="s">
        <v>1815</v>
      </c>
      <c r="B893" s="6" t="str">
        <f>CLEAN(TRIM(Working_Sales[[#This Row],[Transaction ID]]))</f>
        <v>836</v>
      </c>
      <c r="C893" t="s">
        <v>770</v>
      </c>
      <c r="D893" s="2" t="str">
        <f>CLEAN(TRIM(Working_Sales[[#This Row],[Date]]))</f>
        <v>19/04/2023</v>
      </c>
      <c r="E89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45035</v>
      </c>
      <c r="F89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45035</v>
      </c>
      <c r="G89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45035</v>
      </c>
      <c r="H893" t="s">
        <v>3050</v>
      </c>
      <c r="I893" s="2" t="str">
        <f>CLEAN(TRIM(Working_Sales[[#This Row],[Customer ID]]))</f>
        <v>Cust023</v>
      </c>
      <c r="J89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9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CUST023</v>
      </c>
      <c r="L893" t="s">
        <v>26</v>
      </c>
      <c r="M893" s="4" t="str">
        <f>CLEAN(TRIM(Working_Sales[[#This Row],[Gender]]))</f>
        <v>Female</v>
      </c>
      <c r="N893" s="4" t="str" cm="1">
        <f t="array" ref="N893">_xlfn.SWITCH(
   Working_Sales[[#This Row],[Gender_Whitespace_Removed]],
   "m", "Male",
   "f", "Female",
   Working_Sales[[#This Row],[Gender_Whitespace_Removed]]
)</f>
        <v>Female</v>
      </c>
      <c r="O893" s="6" t="str">
        <f>PROPER(Working_Sales[[#This Row],[Gender_Abbreviation_Expanded]])</f>
        <v>Female</v>
      </c>
      <c r="P893">
        <v>22</v>
      </c>
      <c r="Q893" s="2" t="str">
        <f>CLEAN(TRIM(Working_Sales[[#This Row],[Age]]))</f>
        <v>22</v>
      </c>
      <c r="R893" s="6">
        <f>INT(SUBSTITUTE(Working_Sales[[#This Row],[Age_Whitespace_Removed]],".",","))</f>
        <v>22</v>
      </c>
      <c r="S893" t="s">
        <v>56</v>
      </c>
      <c r="T893" s="2" t="str">
        <f>CLEAN(TRIM(Working_Sales[[#This Row],[Product Category]]))</f>
        <v>Clothing</v>
      </c>
      <c r="U893" s="6" t="str">
        <f>PROPER(Working_Sales[[#This Row],[Product_Category_Whitespace_Removed]])</f>
        <v>Clothing</v>
      </c>
      <c r="V893" t="s">
        <v>22</v>
      </c>
      <c r="W893" s="2" t="str">
        <f>CLEAN(TRIM(Working_Sales[[#This Row],[Quantity]]))</f>
        <v>1</v>
      </c>
      <c r="X893" s="2">
        <f>INT(Working_Sales[[#This Row],[`]])</f>
        <v>1</v>
      </c>
      <c r="Y893" s="6">
        <f>IFERROR(
   Working_Sales[[#This Row],[Quantity_Converted_To_Integer]],
   Working_Sales[[#This Row],[Total_Amount_Whitespace_Removed]]/Working_Sales[[#This Row],[Price_Per_Unit_Decimal_Separator_Fixed]])</f>
        <v>1</v>
      </c>
      <c r="Z893" t="s">
        <v>96</v>
      </c>
      <c r="AA893" s="2" t="str">
        <f>CLEAN(TRIM(Working_Sales[[#This Row],[Price per Unit]]))</f>
        <v>$50</v>
      </c>
      <c r="AB893" s="2">
        <f>INT(
   SUBSTITUTE(Working_Sales[[#This Row],[Price_Per_Unit_Whitespace_Removed]],
   "$",
   ""
   )
)</f>
        <v>50</v>
      </c>
      <c r="AC893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893" s="8">
        <f>IFERROR(
   Working_Sales[[#This Row],[Price_Per_Unit_Decimal_Separator_Fixed]],
   Working_Sales[[#This Row],[Total_Amount_Converted_To_Integer]]/Working_Sales[[#This Row],[Quantity_Converted_To_Integer]]
)</f>
        <v>50</v>
      </c>
      <c r="AE893" t="s">
        <v>15</v>
      </c>
      <c r="AF893" s="2" t="str">
        <f>CLEAN(TRIM(Working_Sales[[#This Row],[Total Amount]]))</f>
        <v>50</v>
      </c>
      <c r="AG893" s="2">
        <f>INT(Working_Sales[[#This Row],[Total_Amount_Whitespace_Removed]])</f>
        <v>50</v>
      </c>
      <c r="AH89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894" spans="1:34" x14ac:dyDescent="0.35">
      <c r="A894" t="s">
        <v>1816</v>
      </c>
      <c r="B894" s="6" t="str">
        <f>CLEAN(TRIM(Working_Sales[[#This Row],[Transaction ID]]))</f>
        <v>394</v>
      </c>
      <c r="C894" t="s">
        <v>2078</v>
      </c>
      <c r="D894" s="2" t="str">
        <f>CLEAN(TRIM(Working_Sales[[#This Row],[Date]]))</f>
        <v>03-Jun-2023</v>
      </c>
      <c r="E89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45080</v>
      </c>
      <c r="F89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45080</v>
      </c>
      <c r="G89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45080</v>
      </c>
      <c r="H894" t="s">
        <v>3052</v>
      </c>
      <c r="I894" s="2" t="str">
        <f>CLEAN(TRIM(Working_Sales[[#This Row],[Customer ID]]))</f>
        <v>Cust288</v>
      </c>
      <c r="J89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9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CUST288</v>
      </c>
      <c r="L894" t="s">
        <v>26</v>
      </c>
      <c r="M894" s="4" t="str">
        <f>CLEAN(TRIM(Working_Sales[[#This Row],[Gender]]))</f>
        <v>Female</v>
      </c>
      <c r="N894" s="4" t="str" cm="1">
        <f t="array" ref="N894">_xlfn.SWITCH(
   Working_Sales[[#This Row],[Gender_Whitespace_Removed]],
   "m", "Male",
   "f", "Female",
   Working_Sales[[#This Row],[Gender_Whitespace_Removed]]
)</f>
        <v>Female</v>
      </c>
      <c r="O894" s="6" t="str">
        <f>PROPER(Working_Sales[[#This Row],[Gender_Abbreviation_Expanded]])</f>
        <v>Female</v>
      </c>
      <c r="P894">
        <v>27</v>
      </c>
      <c r="Q894" s="2" t="str">
        <f>CLEAN(TRIM(Working_Sales[[#This Row],[Age]]))</f>
        <v>27</v>
      </c>
      <c r="R894" s="6">
        <f>INT(SUBSTITUTE(Working_Sales[[#This Row],[Age_Whitespace_Removed]],".",","))</f>
        <v>27</v>
      </c>
      <c r="S894" t="s">
        <v>28</v>
      </c>
      <c r="T894" s="2" t="str">
        <f>CLEAN(TRIM(Working_Sales[[#This Row],[Product Category]]))</f>
        <v>clothing</v>
      </c>
      <c r="U894" s="6" t="str">
        <f>PROPER(Working_Sales[[#This Row],[Product_Category_Whitespace_Removed]])</f>
        <v>Clothing</v>
      </c>
      <c r="V894" t="s">
        <v>22</v>
      </c>
      <c r="W894" s="2" t="str">
        <f>CLEAN(TRIM(Working_Sales[[#This Row],[Quantity]]))</f>
        <v>1</v>
      </c>
      <c r="X894" s="2">
        <f>INT(Working_Sales[[#This Row],[`]])</f>
        <v>1</v>
      </c>
      <c r="Y894" s="6">
        <f>IFERROR(
   Working_Sales[[#This Row],[Quantity_Converted_To_Integer]],
   Working_Sales[[#This Row],[Total_Amount_Whitespace_Removed]]/Working_Sales[[#This Row],[Price_Per_Unit_Decimal_Separator_Fixed]])</f>
        <v>1</v>
      </c>
      <c r="Z894" t="s">
        <v>57</v>
      </c>
      <c r="AA894" s="2" t="str">
        <f>CLEAN(TRIM(Working_Sales[[#This Row],[Price per Unit]]))</f>
        <v>500</v>
      </c>
      <c r="AB894" s="2">
        <f>INT(
   SUBSTITUTE(Working_Sales[[#This Row],[Price_Per_Unit_Whitespace_Removed]],
   "$",
   ""
   )
)</f>
        <v>500</v>
      </c>
      <c r="AC894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894" s="8">
        <f>IFERROR(
   Working_Sales[[#This Row],[Price_Per_Unit_Decimal_Separator_Fixed]],
   Working_Sales[[#This Row],[Total_Amount_Converted_To_Integer]]/Working_Sales[[#This Row],[Quantity_Converted_To_Integer]]
)</f>
        <v>500</v>
      </c>
      <c r="AE894" t="s">
        <v>57</v>
      </c>
      <c r="AF894" s="2" t="str">
        <f>CLEAN(TRIM(Working_Sales[[#This Row],[Total Amount]]))</f>
        <v>500</v>
      </c>
      <c r="AG894" s="2">
        <f>INT(Working_Sales[[#This Row],[Total_Amount_Whitespace_Removed]])</f>
        <v>500</v>
      </c>
      <c r="AH89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895" spans="1:34" x14ac:dyDescent="0.35">
      <c r="A895" t="s">
        <v>1818</v>
      </c>
      <c r="B895" s="6" t="str">
        <f>CLEAN(TRIM(Working_Sales[[#This Row],[Transaction ID]]))</f>
        <v>953</v>
      </c>
      <c r="C895" t="s">
        <v>1819</v>
      </c>
      <c r="D895" s="2" t="str">
        <f>CLEAN(TRIM(Working_Sales[[#This Row],[Date]]))</f>
        <v>April 26, 2023</v>
      </c>
      <c r="E895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895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89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45042</v>
      </c>
      <c r="H895" t="s">
        <v>1260</v>
      </c>
      <c r="I895" s="2" t="str">
        <f>CLEAN(TRIM(Working_Sales[[#This Row],[Customer ID]]))</f>
        <v>CUST369</v>
      </c>
      <c r="J89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CUST369</v>
      </c>
      <c r="K89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CUST369</v>
      </c>
      <c r="L895" t="s">
        <v>20</v>
      </c>
      <c r="M895" s="4" t="str">
        <f>CLEAN(TRIM(Working_Sales[[#This Row],[Gender]]))</f>
        <v>male</v>
      </c>
      <c r="N895" s="4" t="str" cm="1">
        <f t="array" ref="N895">_xlfn.SWITCH(
   Working_Sales[[#This Row],[Gender_Whitespace_Removed]],
   "m", "Male",
   "f", "Female",
   Working_Sales[[#This Row],[Gender_Whitespace_Removed]]
)</f>
        <v>male</v>
      </c>
      <c r="O895" s="6" t="str">
        <f>PROPER(Working_Sales[[#This Row],[Gender_Abbreviation_Expanded]])</f>
        <v>Male</v>
      </c>
      <c r="P895">
        <v>45</v>
      </c>
      <c r="Q895" s="2" t="str">
        <f>CLEAN(TRIM(Working_Sales[[#This Row],[Age]]))</f>
        <v>45</v>
      </c>
      <c r="R895" s="6">
        <f>INT(SUBSTITUTE(Working_Sales[[#This Row],[Age_Whitespace_Removed]],".",","))</f>
        <v>45</v>
      </c>
      <c r="S895" t="s">
        <v>36</v>
      </c>
      <c r="T895" s="2" t="str">
        <f>CLEAN(TRIM(Working_Sales[[#This Row],[Product Category]]))</f>
        <v>Beauty</v>
      </c>
      <c r="U895" s="6" t="str">
        <f>PROPER(Working_Sales[[#This Row],[Product_Category_Whitespace_Removed]])</f>
        <v>Beauty</v>
      </c>
      <c r="V895" t="s">
        <v>29</v>
      </c>
      <c r="W895" s="2" t="str">
        <f>CLEAN(TRIM(Working_Sales[[#This Row],[Quantity]]))</f>
        <v>3</v>
      </c>
      <c r="X895" s="2">
        <f>INT(Working_Sales[[#This Row],[`]])</f>
        <v>3</v>
      </c>
      <c r="Y895" s="6">
        <f>IFERROR(
   Working_Sales[[#This Row],[Quantity_Converted_To_Integer]],
   Working_Sales[[#This Row],[Total_Amount_Whitespace_Removed]]/Working_Sales[[#This Row],[Price_Per_Unit_Decimal_Separator_Fixed]])</f>
        <v>3</v>
      </c>
      <c r="Z895" t="s">
        <v>70</v>
      </c>
      <c r="AA895" s="2" t="str">
        <f>CLEAN(TRIM(Working_Sales[[#This Row],[Price per Unit]]))</f>
        <v>30</v>
      </c>
      <c r="AB895" s="2">
        <f>INT(
   SUBSTITUTE(Working_Sales[[#This Row],[Price_Per_Unit_Whitespace_Removed]],
   "$",
   ""
   )
)</f>
        <v>30</v>
      </c>
      <c r="AC895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895" s="8">
        <f>IFERROR(
   Working_Sales[[#This Row],[Price_Per_Unit_Decimal_Separator_Fixed]],
   Working_Sales[[#This Row],[Total_Amount_Converted_To_Integer]]/Working_Sales[[#This Row],[Quantity_Converted_To_Integer]]
)</f>
        <v>30</v>
      </c>
      <c r="AE895" t="s">
        <v>191</v>
      </c>
      <c r="AF895" s="2" t="str">
        <f>CLEAN(TRIM(Working_Sales[[#This Row],[Total Amount]]))</f>
        <v>90</v>
      </c>
      <c r="AG895" s="2">
        <f>INT(Working_Sales[[#This Row],[Total_Amount_Whitespace_Removed]])</f>
        <v>90</v>
      </c>
      <c r="AH89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896" spans="1:34" x14ac:dyDescent="0.35">
      <c r="A896" t="s">
        <v>1820</v>
      </c>
      <c r="B896" s="6" t="str">
        <f>CLEAN(TRIM(Working_Sales[[#This Row],[Transaction ID]]))</f>
        <v>108</v>
      </c>
      <c r="C896" t="s">
        <v>770</v>
      </c>
      <c r="D896" s="2" t="str">
        <f>CLEAN(TRIM(Working_Sales[[#This Row],[Date]]))</f>
        <v>19/04/2023</v>
      </c>
      <c r="E89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45035</v>
      </c>
      <c r="F89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45035</v>
      </c>
      <c r="G89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45035</v>
      </c>
      <c r="H896" t="s">
        <v>3053</v>
      </c>
      <c r="I896" s="2" t="str">
        <f>CLEAN(TRIM(Working_Sales[[#This Row],[Customer ID]]))</f>
        <v>Cust454</v>
      </c>
      <c r="J89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9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CUST454</v>
      </c>
      <c r="L896" t="s">
        <v>26</v>
      </c>
      <c r="M896" s="4" t="str">
        <f>CLEAN(TRIM(Working_Sales[[#This Row],[Gender]]))</f>
        <v>Female</v>
      </c>
      <c r="N896" s="4" t="str" cm="1">
        <f t="array" ref="N896">_xlfn.SWITCH(
   Working_Sales[[#This Row],[Gender_Whitespace_Removed]],
   "m", "Male",
   "f", "Female",
   Working_Sales[[#This Row],[Gender_Whitespace_Removed]]
)</f>
        <v>Female</v>
      </c>
      <c r="O896" s="6" t="str">
        <f>PROPER(Working_Sales[[#This Row],[Gender_Abbreviation_Expanded]])</f>
        <v>Female</v>
      </c>
      <c r="P896">
        <v>27</v>
      </c>
      <c r="Q896" s="2" t="str">
        <f>CLEAN(TRIM(Working_Sales[[#This Row],[Age]]))</f>
        <v>27</v>
      </c>
      <c r="R896" s="6">
        <f>INT(SUBSTITUTE(Working_Sales[[#This Row],[Age_Whitespace_Removed]],".",","))</f>
        <v>27</v>
      </c>
      <c r="S896" t="s">
        <v>36</v>
      </c>
      <c r="T896" s="2" t="str">
        <f>CLEAN(TRIM(Working_Sales[[#This Row],[Product Category]]))</f>
        <v>Beauty</v>
      </c>
      <c r="U896" s="6" t="str">
        <f>PROPER(Working_Sales[[#This Row],[Product_Category_Whitespace_Removed]])</f>
        <v>Beauty</v>
      </c>
      <c r="V896" t="s">
        <v>29</v>
      </c>
      <c r="W896" s="2" t="str">
        <f>CLEAN(TRIM(Working_Sales[[#This Row],[Quantity]]))</f>
        <v>3</v>
      </c>
      <c r="X896" s="2">
        <f>INT(Working_Sales[[#This Row],[`]])</f>
        <v>3</v>
      </c>
      <c r="Y896" s="6">
        <f>IFERROR(
   Working_Sales[[#This Row],[Quantity_Converted_To_Integer]],
   Working_Sales[[#This Row],[Total_Amount_Whitespace_Removed]]/Working_Sales[[#This Row],[Price_Per_Unit_Decimal_Separator_Fixed]])</f>
        <v>3</v>
      </c>
      <c r="Z896" t="s">
        <v>371</v>
      </c>
      <c r="AA896" s="2" t="str">
        <f>CLEAN(TRIM(Working_Sales[[#This Row],[Price per Unit]]))</f>
        <v>25.00</v>
      </c>
      <c r="AB896" s="2" t="e">
        <f>INT(
   SUBSTITUTE(Working_Sales[[#This Row],[Price_Per_Unit_Whitespace_Removed]],
   "$",
   ""
   )
)</f>
        <v>#VALUE!</v>
      </c>
      <c r="AC896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896" s="8">
        <f>IFERROR(
   Working_Sales[[#This Row],[Price_Per_Unit_Decimal_Separator_Fixed]],
   Working_Sales[[#This Row],[Total_Amount_Converted_To_Integer]]/Working_Sales[[#This Row],[Quantity_Converted_To_Integer]]
)</f>
        <v>25</v>
      </c>
      <c r="AE896" t="s">
        <v>31</v>
      </c>
      <c r="AF896" s="2" t="str">
        <f>CLEAN(TRIM(Working_Sales[[#This Row],[Total Amount]]))</f>
        <v>75</v>
      </c>
      <c r="AG896" s="2">
        <f>INT(Working_Sales[[#This Row],[Total_Amount_Whitespace_Removed]])</f>
        <v>75</v>
      </c>
      <c r="AH89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897" spans="1:34" x14ac:dyDescent="0.35">
      <c r="A897" t="s">
        <v>1821</v>
      </c>
      <c r="B897" s="6" t="str">
        <f>CLEAN(TRIM(Working_Sales[[#This Row],[Transaction ID]]))</f>
        <v>960</v>
      </c>
      <c r="C897" t="s">
        <v>2166</v>
      </c>
      <c r="D897" s="2" t="str">
        <f>CLEAN(TRIM(Working_Sales[[#This Row],[Date]]))</f>
        <v>08-Aug-2023</v>
      </c>
      <c r="E89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45146</v>
      </c>
      <c r="F89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45146</v>
      </c>
      <c r="G89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45146</v>
      </c>
      <c r="H897" t="s">
        <v>194</v>
      </c>
      <c r="I897" s="2" t="str">
        <f>CLEAN(TRIM(Working_Sales[[#This Row],[Customer ID]]))</f>
        <v>CUST409</v>
      </c>
      <c r="J89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CUST409</v>
      </c>
      <c r="K89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CUST409</v>
      </c>
      <c r="L897" t="s">
        <v>34</v>
      </c>
      <c r="M897" s="4" t="str">
        <f>CLEAN(TRIM(Working_Sales[[#This Row],[Gender]]))</f>
        <v>Male</v>
      </c>
      <c r="N897" s="4" t="str" cm="1">
        <f t="array" ref="N897">_xlfn.SWITCH(
   Working_Sales[[#This Row],[Gender_Whitespace_Removed]],
   "m", "Male",
   "f", "Female",
   Working_Sales[[#This Row],[Gender_Whitespace_Removed]]
)</f>
        <v>Male</v>
      </c>
      <c r="O897" s="6" t="str">
        <f>PROPER(Working_Sales[[#This Row],[Gender_Abbreviation_Expanded]])</f>
        <v>Male</v>
      </c>
      <c r="P897">
        <v>59</v>
      </c>
      <c r="Q897" s="2" t="str">
        <f>CLEAN(TRIM(Working_Sales[[#This Row],[Age]]))</f>
        <v>59</v>
      </c>
      <c r="R897" s="6">
        <f>INT(SUBSTITUTE(Working_Sales[[#This Row],[Age_Whitespace_Removed]],".",","))</f>
        <v>59</v>
      </c>
      <c r="S897" t="s">
        <v>56</v>
      </c>
      <c r="T897" s="2" t="str">
        <f>CLEAN(TRIM(Working_Sales[[#This Row],[Product Category]]))</f>
        <v>Clothing</v>
      </c>
      <c r="U897" s="6" t="str">
        <f>PROPER(Working_Sales[[#This Row],[Product_Category_Whitespace_Removed]])</f>
        <v>Clothing</v>
      </c>
      <c r="V897" t="s">
        <v>37</v>
      </c>
      <c r="W897" s="2" t="str">
        <f>CLEAN(TRIM(Working_Sales[[#This Row],[Quantity]]))</f>
        <v>2</v>
      </c>
      <c r="X897" s="2">
        <f>INT(Working_Sales[[#This Row],[`]])</f>
        <v>2</v>
      </c>
      <c r="Y897" s="6">
        <f>IFERROR(
   Working_Sales[[#This Row],[Quantity_Converted_To_Integer]],
   Working_Sales[[#This Row],[Total_Amount_Whitespace_Removed]]/Working_Sales[[#This Row],[Price_Per_Unit_Decimal_Separator_Fixed]])</f>
        <v>2</v>
      </c>
      <c r="Z897" t="s">
        <v>147</v>
      </c>
      <c r="AA897" s="2" t="str">
        <f>CLEAN(TRIM(Working_Sales[[#This Row],[Price per Unit]]))</f>
        <v>$30</v>
      </c>
      <c r="AB897" s="2">
        <f>INT(
   SUBSTITUTE(Working_Sales[[#This Row],[Price_Per_Unit_Whitespace_Removed]],
   "$",
   ""
   )
)</f>
        <v>30</v>
      </c>
      <c r="AC897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897" s="8">
        <f>IFERROR(
   Working_Sales[[#This Row],[Price_Per_Unit_Decimal_Separator_Fixed]],
   Working_Sales[[#This Row],[Total_Amount_Converted_To_Integer]]/Working_Sales[[#This Row],[Quantity_Converted_To_Integer]]
)</f>
        <v>30</v>
      </c>
      <c r="AE897" t="s">
        <v>71</v>
      </c>
      <c r="AF897" s="2" t="str">
        <f>CLEAN(TRIM(Working_Sales[[#This Row],[Total Amount]]))</f>
        <v>60</v>
      </c>
      <c r="AG897" s="2">
        <f>INT(Working_Sales[[#This Row],[Total_Amount_Whitespace_Removed]])</f>
        <v>60</v>
      </c>
      <c r="AH89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898" spans="1:34" x14ac:dyDescent="0.35">
      <c r="A898" t="s">
        <v>1822</v>
      </c>
      <c r="B898" s="6" t="str">
        <f>CLEAN(TRIM(Working_Sales[[#This Row],[Transaction ID]]))</f>
        <v>525</v>
      </c>
      <c r="C898" t="s">
        <v>193</v>
      </c>
      <c r="D898" s="2" t="str">
        <f>CLEAN(TRIM(Working_Sales[[#This Row],[Date]]))</f>
        <v>12/18/2023</v>
      </c>
      <c r="E898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89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45278</v>
      </c>
      <c r="G89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45278</v>
      </c>
      <c r="H898" t="s">
        <v>3054</v>
      </c>
      <c r="I898" s="2" t="str">
        <f>CLEAN(TRIM(Working_Sales[[#This Row],[Customer ID]]))</f>
        <v>cust483</v>
      </c>
      <c r="J89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9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CUST483</v>
      </c>
      <c r="L898" t="s">
        <v>26</v>
      </c>
      <c r="M898" s="4" t="str">
        <f>CLEAN(TRIM(Working_Sales[[#This Row],[Gender]]))</f>
        <v>Female</v>
      </c>
      <c r="N898" s="4" t="str" cm="1">
        <f t="array" ref="N898">_xlfn.SWITCH(
   Working_Sales[[#This Row],[Gender_Whitespace_Removed]],
   "m", "Male",
   "f", "Female",
   Working_Sales[[#This Row],[Gender_Whitespace_Removed]]
)</f>
        <v>Female</v>
      </c>
      <c r="O898" s="6" t="str">
        <f>PROPER(Working_Sales[[#This Row],[Gender_Abbreviation_Expanded]])</f>
        <v>Female</v>
      </c>
      <c r="P898">
        <v>47</v>
      </c>
      <c r="Q898" s="2" t="str">
        <f>CLEAN(TRIM(Working_Sales[[#This Row],[Age]]))</f>
        <v>47</v>
      </c>
      <c r="R898" s="6">
        <f>INT(SUBSTITUTE(Working_Sales[[#This Row],[Age_Whitespace_Removed]],".",","))</f>
        <v>47</v>
      </c>
      <c r="S898" t="s">
        <v>434</v>
      </c>
      <c r="T898" s="2" t="str">
        <f>CLEAN(TRIM(Working_Sales[[#This Row],[Product Category]]))</f>
        <v>Beauty</v>
      </c>
      <c r="U898" s="6" t="str">
        <f>PROPER(Working_Sales[[#This Row],[Product_Category_Whitespace_Removed]])</f>
        <v>Beauty</v>
      </c>
      <c r="V898" t="s">
        <v>37</v>
      </c>
      <c r="W898" s="2" t="str">
        <f>CLEAN(TRIM(Working_Sales[[#This Row],[Quantity]]))</f>
        <v>2</v>
      </c>
      <c r="X898" s="2">
        <f>INT(Working_Sales[[#This Row],[`]])</f>
        <v>2</v>
      </c>
      <c r="Y898" s="6">
        <f>IFERROR(
   Working_Sales[[#This Row],[Quantity_Converted_To_Integer]],
   Working_Sales[[#This Row],[Total_Amount_Whitespace_Removed]]/Working_Sales[[#This Row],[Price_Per_Unit_Decimal_Separator_Fixed]])</f>
        <v>2</v>
      </c>
      <c r="Z898" t="s">
        <v>30</v>
      </c>
      <c r="AA898" s="2" t="str">
        <f>CLEAN(TRIM(Working_Sales[[#This Row],[Price per Unit]]))</f>
        <v>25</v>
      </c>
      <c r="AB898" s="2">
        <f>INT(
   SUBSTITUTE(Working_Sales[[#This Row],[Price_Per_Unit_Whitespace_Removed]],
   "$",
   ""
   )
)</f>
        <v>25</v>
      </c>
      <c r="AC898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898" s="8">
        <f>IFERROR(
   Working_Sales[[#This Row],[Price_Per_Unit_Decimal_Separator_Fixed]],
   Working_Sales[[#This Row],[Total_Amount_Converted_To_Integer]]/Working_Sales[[#This Row],[Quantity_Converted_To_Integer]]
)</f>
        <v>25</v>
      </c>
      <c r="AE898" t="s">
        <v>15</v>
      </c>
      <c r="AF898" s="2" t="str">
        <f>CLEAN(TRIM(Working_Sales[[#This Row],[Total Amount]]))</f>
        <v>50</v>
      </c>
      <c r="AG898" s="2">
        <f>INT(Working_Sales[[#This Row],[Total_Amount_Whitespace_Removed]])</f>
        <v>50</v>
      </c>
      <c r="AH89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899" spans="1:34" x14ac:dyDescent="0.35">
      <c r="A899" t="s">
        <v>1823</v>
      </c>
      <c r="B899" s="6" t="str">
        <f>CLEAN(TRIM(Working_Sales[[#This Row],[Transaction ID]]))</f>
        <v>785</v>
      </c>
      <c r="C899" t="s">
        <v>1824</v>
      </c>
      <c r="D899" s="2" t="str">
        <f>CLEAN(TRIM(Working_Sales[[#This Row],[Date]]))</f>
        <v>2023-03-03</v>
      </c>
      <c r="E89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44988</v>
      </c>
      <c r="F89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44988</v>
      </c>
      <c r="G89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44988</v>
      </c>
      <c r="H899" t="s">
        <v>558</v>
      </c>
      <c r="I899" s="2" t="str">
        <f>CLEAN(TRIM(Working_Sales[[#This Row],[Customer ID]]))</f>
        <v>cust300</v>
      </c>
      <c r="J89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89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CUST300</v>
      </c>
      <c r="L899" t="s">
        <v>46</v>
      </c>
      <c r="M899" s="4" t="str">
        <f>CLEAN(TRIM(Working_Sales[[#This Row],[Gender]]))</f>
        <v>F</v>
      </c>
      <c r="N899" s="4" t="str" cm="1">
        <f t="array" ref="N899">_xlfn.SWITCH(
   Working_Sales[[#This Row],[Gender_Whitespace_Removed]],
   "m", "Male",
   "f", "Female",
   Working_Sales[[#This Row],[Gender_Whitespace_Removed]]
)</f>
        <v>Female</v>
      </c>
      <c r="O899" s="6" t="str">
        <f>PROPER(Working_Sales[[#This Row],[Gender_Abbreviation_Expanded]])</f>
        <v>Female</v>
      </c>
      <c r="P899">
        <v>31</v>
      </c>
      <c r="Q899" s="2" t="str">
        <f>CLEAN(TRIM(Working_Sales[[#This Row],[Age]]))</f>
        <v>31</v>
      </c>
      <c r="R899" s="6">
        <f>INT(SUBSTITUTE(Working_Sales[[#This Row],[Age_Whitespace_Removed]],".",","))</f>
        <v>31</v>
      </c>
      <c r="S899" t="s">
        <v>434</v>
      </c>
      <c r="T899" s="2" t="str">
        <f>CLEAN(TRIM(Working_Sales[[#This Row],[Product Category]]))</f>
        <v>Beauty</v>
      </c>
      <c r="U899" s="6" t="str">
        <f>PROPER(Working_Sales[[#This Row],[Product_Category_Whitespace_Removed]])</f>
        <v>Beauty</v>
      </c>
      <c r="V899" t="s">
        <v>14</v>
      </c>
      <c r="W899" s="2" t="str">
        <f>CLEAN(TRIM(Working_Sales[[#This Row],[Quantity]]))</f>
        <v>4</v>
      </c>
      <c r="X899" s="2">
        <f>INT(Working_Sales[[#This Row],[`]])</f>
        <v>4</v>
      </c>
      <c r="Y899" s="6">
        <f>IFERROR(
   Working_Sales[[#This Row],[Quantity_Converted_To_Integer]],
   Working_Sales[[#This Row],[Total_Amount_Whitespace_Removed]]/Working_Sales[[#This Row],[Price_Per_Unit_Decimal_Separator_Fixed]])</f>
        <v>4</v>
      </c>
      <c r="Z899" t="s">
        <v>15</v>
      </c>
      <c r="AA899" s="2" t="str">
        <f>CLEAN(TRIM(Working_Sales[[#This Row],[Price per Unit]]))</f>
        <v>50</v>
      </c>
      <c r="AB899" s="2">
        <f>INT(
   SUBSTITUTE(Working_Sales[[#This Row],[Price_Per_Unit_Whitespace_Removed]],
   "$",
   ""
   )
)</f>
        <v>50</v>
      </c>
      <c r="AC899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899" s="8">
        <f>IFERROR(
   Working_Sales[[#This Row],[Price_Per_Unit_Decimal_Separator_Fixed]],
   Working_Sales[[#This Row],[Total_Amount_Converted_To_Integer]]/Working_Sales[[#This Row],[Quantity_Converted_To_Integer]]
)</f>
        <v>50</v>
      </c>
      <c r="AE899" t="s">
        <v>16</v>
      </c>
      <c r="AF899" s="2" t="str">
        <f>CLEAN(TRIM(Working_Sales[[#This Row],[Total Amount]]))</f>
        <v>200</v>
      </c>
      <c r="AG899" s="2">
        <f>INT(Working_Sales[[#This Row],[Total_Amount_Whitespace_Removed]])</f>
        <v>200</v>
      </c>
      <c r="AH89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900" spans="1:34" x14ac:dyDescent="0.35">
      <c r="A900" t="s">
        <v>226</v>
      </c>
      <c r="B900" s="6" t="str">
        <f>CLEAN(TRIM(Working_Sales[[#This Row],[Transaction ID]]))</f>
        <v>48</v>
      </c>
      <c r="C900" t="s">
        <v>210</v>
      </c>
      <c r="D900" s="2" t="str">
        <f>CLEAN(TRIM(Working_Sales[[#This Row],[Date]]))</f>
        <v>2023-05-16</v>
      </c>
      <c r="E90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45062</v>
      </c>
      <c r="F90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45062</v>
      </c>
      <c r="G90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45062</v>
      </c>
      <c r="H900" t="s">
        <v>2248</v>
      </c>
      <c r="I900" s="2" t="str">
        <f>CLEAN(TRIM(Working_Sales[[#This Row],[Customer ID]]))</f>
        <v>CUST471</v>
      </c>
      <c r="J90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CUST471</v>
      </c>
      <c r="K90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CUST471</v>
      </c>
      <c r="L900" t="s">
        <v>34</v>
      </c>
      <c r="M900" s="4" t="str">
        <f>CLEAN(TRIM(Working_Sales[[#This Row],[Gender]]))</f>
        <v>Male</v>
      </c>
      <c r="N900" s="4" t="str" cm="1">
        <f t="array" ref="N900">_xlfn.SWITCH(
   Working_Sales[[#This Row],[Gender_Whitespace_Removed]],
   "m", "Male",
   "f", "Female",
   Working_Sales[[#This Row],[Gender_Whitespace_Removed]]
)</f>
        <v>Male</v>
      </c>
      <c r="O900" s="6" t="str">
        <f>PROPER(Working_Sales[[#This Row],[Gender_Abbreviation_Expanded]])</f>
        <v>Male</v>
      </c>
      <c r="P900" t="s">
        <v>748</v>
      </c>
      <c r="Q900" s="2" t="str">
        <f>CLEAN(TRIM(Working_Sales[[#This Row],[Age]]))</f>
        <v>54</v>
      </c>
      <c r="R900" s="6">
        <f>INT(SUBSTITUTE(Working_Sales[[#This Row],[Age_Whitespace_Removed]],".",","))</f>
        <v>54</v>
      </c>
      <c r="S900" t="s">
        <v>99</v>
      </c>
      <c r="T900" s="2" t="str">
        <f>CLEAN(TRIM(Working_Sales[[#This Row],[Product Category]]))</f>
        <v>ELECTRONICS</v>
      </c>
      <c r="U900" s="6" t="str">
        <f>PROPER(Working_Sales[[#This Row],[Product_Category_Whitespace_Removed]])</f>
        <v>Electronics</v>
      </c>
      <c r="V900" t="s">
        <v>29</v>
      </c>
      <c r="W900" s="2" t="str">
        <f>CLEAN(TRIM(Working_Sales[[#This Row],[Quantity]]))</f>
        <v>3</v>
      </c>
      <c r="X900" s="2">
        <f>INT(Working_Sales[[#This Row],[`]])</f>
        <v>3</v>
      </c>
      <c r="Y900" s="6">
        <f>IFERROR(
   Working_Sales[[#This Row],[Quantity_Converted_To_Integer]],
   Working_Sales[[#This Row],[Total_Amount_Whitespace_Removed]]/Working_Sales[[#This Row],[Price_Per_Unit_Decimal_Separator_Fixed]])</f>
        <v>3</v>
      </c>
      <c r="Z900" t="s">
        <v>23</v>
      </c>
      <c r="AA900" s="2" t="str">
        <f>CLEAN(TRIM(Working_Sales[[#This Row],[Price per Unit]]))</f>
        <v>300</v>
      </c>
      <c r="AB900" s="2">
        <f>INT(
   SUBSTITUTE(Working_Sales[[#This Row],[Price_Per_Unit_Whitespace_Removed]],
   "$",
   ""
   )
)</f>
        <v>300</v>
      </c>
      <c r="AC900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900" s="8">
        <f>IFERROR(
   Working_Sales[[#This Row],[Price_Per_Unit_Decimal_Separator_Fixed]],
   Working_Sales[[#This Row],[Total_Amount_Converted_To_Integer]]/Working_Sales[[#This Row],[Quantity_Converted_To_Integer]]
)</f>
        <v>300</v>
      </c>
      <c r="AE900" t="s">
        <v>128</v>
      </c>
      <c r="AF900" s="2" t="str">
        <f>CLEAN(TRIM(Working_Sales[[#This Row],[Total Amount]]))</f>
        <v>900</v>
      </c>
      <c r="AG900" s="2">
        <f>INT(Working_Sales[[#This Row],[Total_Amount_Whitespace_Removed]])</f>
        <v>900</v>
      </c>
      <c r="AH90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901" spans="1:34" x14ac:dyDescent="0.35">
      <c r="A901" t="s">
        <v>1826</v>
      </c>
      <c r="B901" s="6" t="str">
        <f>CLEAN(TRIM(Working_Sales[[#This Row],[Transaction ID]]))</f>
        <v>204</v>
      </c>
      <c r="C901" t="s">
        <v>1827</v>
      </c>
      <c r="D901" s="2" t="str">
        <f>CLEAN(TRIM(Working_Sales[[#This Row],[Date]]))</f>
        <v>2023-09-28</v>
      </c>
      <c r="E90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45197</v>
      </c>
      <c r="F90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45197</v>
      </c>
      <c r="G90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45197</v>
      </c>
      <c r="H901" t="s">
        <v>3055</v>
      </c>
      <c r="I901" s="2" t="str">
        <f>CLEAN(TRIM(Working_Sales[[#This Row],[Customer ID]]))</f>
        <v>CUST422</v>
      </c>
      <c r="J90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CUST422</v>
      </c>
      <c r="K90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CUST422</v>
      </c>
      <c r="L901" t="s">
        <v>34</v>
      </c>
      <c r="M901" s="4" t="str">
        <f>CLEAN(TRIM(Working_Sales[[#This Row],[Gender]]))</f>
        <v>Male</v>
      </c>
      <c r="N901" s="4" t="str" cm="1">
        <f t="array" ref="N901">_xlfn.SWITCH(
   Working_Sales[[#This Row],[Gender_Whitespace_Removed]],
   "m", "Male",
   "f", "Female",
   Working_Sales[[#This Row],[Gender_Whitespace_Removed]]
)</f>
        <v>Male</v>
      </c>
      <c r="O901" s="6" t="str">
        <f>PROPER(Working_Sales[[#This Row],[Gender_Abbreviation_Expanded]])</f>
        <v>Male</v>
      </c>
      <c r="P901">
        <v>39</v>
      </c>
      <c r="Q901" s="2" t="str">
        <f>CLEAN(TRIM(Working_Sales[[#This Row],[Age]]))</f>
        <v>39</v>
      </c>
      <c r="R901" s="6">
        <f>INT(SUBSTITUTE(Working_Sales[[#This Row],[Age_Whitespace_Removed]],".",","))</f>
        <v>39</v>
      </c>
      <c r="S901" t="s">
        <v>62</v>
      </c>
      <c r="T901" s="2" t="str">
        <f>CLEAN(TRIM(Working_Sales[[#This Row],[Product Category]]))</f>
        <v>beauty</v>
      </c>
      <c r="U901" s="6" t="str">
        <f>PROPER(Working_Sales[[#This Row],[Product_Category_Whitespace_Removed]])</f>
        <v>Beauty</v>
      </c>
      <c r="V901" t="s">
        <v>22</v>
      </c>
      <c r="W901" s="2" t="str">
        <f>CLEAN(TRIM(Working_Sales[[#This Row],[Quantity]]))</f>
        <v>1</v>
      </c>
      <c r="X901" s="2">
        <f>INT(Working_Sales[[#This Row],[`]])</f>
        <v>1</v>
      </c>
      <c r="Y901" s="6">
        <f>IFERROR(
   Working_Sales[[#This Row],[Quantity_Converted_To_Integer]],
   Working_Sales[[#This Row],[Total_Amount_Whitespace_Removed]]/Working_Sales[[#This Row],[Price_Per_Unit_Decimal_Separator_Fixed]])</f>
        <v>1</v>
      </c>
      <c r="Z901" t="s">
        <v>30</v>
      </c>
      <c r="AA901" s="2" t="str">
        <f>CLEAN(TRIM(Working_Sales[[#This Row],[Price per Unit]]))</f>
        <v>25</v>
      </c>
      <c r="AB901" s="2">
        <f>INT(
   SUBSTITUTE(Working_Sales[[#This Row],[Price_Per_Unit_Whitespace_Removed]],
   "$",
   ""
   )
)</f>
        <v>25</v>
      </c>
      <c r="AC901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901" s="8">
        <f>IFERROR(
   Working_Sales[[#This Row],[Price_Per_Unit_Decimal_Separator_Fixed]],
   Working_Sales[[#This Row],[Total_Amount_Converted_To_Integer]]/Working_Sales[[#This Row],[Quantity_Converted_To_Integer]]
)</f>
        <v>25</v>
      </c>
      <c r="AE901" t="s">
        <v>30</v>
      </c>
      <c r="AF901" s="2" t="str">
        <f>CLEAN(TRIM(Working_Sales[[#This Row],[Total Amount]]))</f>
        <v>25</v>
      </c>
      <c r="AG901" s="2">
        <f>INT(Working_Sales[[#This Row],[Total_Amount_Whitespace_Removed]])</f>
        <v>25</v>
      </c>
      <c r="AH90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902" spans="1:34" x14ac:dyDescent="0.35">
      <c r="A902" t="s">
        <v>1829</v>
      </c>
      <c r="B902" s="6" t="str">
        <f>CLEAN(TRIM(Working_Sales[[#This Row],[Transaction ID]]))</f>
        <v>940</v>
      </c>
      <c r="C902" t="s">
        <v>821</v>
      </c>
      <c r="D902" s="2" t="str">
        <f>CLEAN(TRIM(Working_Sales[[#This Row],[Date]]))</f>
        <v>2023-01-28</v>
      </c>
      <c r="E90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44954</v>
      </c>
      <c r="F90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44954</v>
      </c>
      <c r="G90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44954</v>
      </c>
      <c r="H902" t="s">
        <v>3056</v>
      </c>
      <c r="I902" s="2" t="str">
        <f>CLEAN(TRIM(Working_Sales[[#This Row],[Customer ID]]))</f>
        <v>CUST484</v>
      </c>
      <c r="J90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CUST484</v>
      </c>
      <c r="K90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CUST484</v>
      </c>
      <c r="L902" t="s">
        <v>112</v>
      </c>
      <c r="M902" s="4" t="str">
        <f>CLEAN(TRIM(Working_Sales[[#This Row],[Gender]]))</f>
        <v>female</v>
      </c>
      <c r="N902" s="4" t="str" cm="1">
        <f t="array" ref="N902">_xlfn.SWITCH(
   Working_Sales[[#This Row],[Gender_Whitespace_Removed]],
   "m", "Male",
   "f", "Female",
   Working_Sales[[#This Row],[Gender_Whitespace_Removed]]
)</f>
        <v>female</v>
      </c>
      <c r="O902" s="6" t="str">
        <f>PROPER(Working_Sales[[#This Row],[Gender_Abbreviation_Expanded]])</f>
        <v>Female</v>
      </c>
      <c r="P902">
        <v>20</v>
      </c>
      <c r="Q902" s="2" t="str">
        <f>CLEAN(TRIM(Working_Sales[[#This Row],[Age]]))</f>
        <v>20</v>
      </c>
      <c r="R902" s="6">
        <f>INT(SUBSTITUTE(Working_Sales[[#This Row],[Age_Whitespace_Removed]],".",","))</f>
        <v>20</v>
      </c>
      <c r="S902" t="s">
        <v>13</v>
      </c>
      <c r="T902" s="2" t="str">
        <f>CLEAN(TRIM(Working_Sales[[#This Row],[Product Category]]))</f>
        <v>Electronics</v>
      </c>
      <c r="U902" s="6" t="str">
        <f>PROPER(Working_Sales[[#This Row],[Product_Category_Whitespace_Removed]])</f>
        <v>Electronics</v>
      </c>
      <c r="V902" t="s">
        <v>22</v>
      </c>
      <c r="W902" s="2" t="str">
        <f>CLEAN(TRIM(Working_Sales[[#This Row],[Quantity]]))</f>
        <v>1</v>
      </c>
      <c r="X902" s="2">
        <f>INT(Working_Sales[[#This Row],[`]])</f>
        <v>1</v>
      </c>
      <c r="Y902" s="6">
        <f>IFERROR(
   Working_Sales[[#This Row],[Quantity_Converted_To_Integer]],
   Working_Sales[[#This Row],[Total_Amount_Whitespace_Removed]]/Working_Sales[[#This Row],[Price_Per_Unit_Decimal_Separator_Fixed]])</f>
        <v>1</v>
      </c>
      <c r="Z902" t="s">
        <v>147</v>
      </c>
      <c r="AA902" s="2" t="str">
        <f>CLEAN(TRIM(Working_Sales[[#This Row],[Price per Unit]]))</f>
        <v>$30</v>
      </c>
      <c r="AB902" s="2">
        <f>INT(
   SUBSTITUTE(Working_Sales[[#This Row],[Price_Per_Unit_Whitespace_Removed]],
   "$",
   ""
   )
)</f>
        <v>30</v>
      </c>
      <c r="AC902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902" s="8">
        <f>IFERROR(
   Working_Sales[[#This Row],[Price_Per_Unit_Decimal_Separator_Fixed]],
   Working_Sales[[#This Row],[Total_Amount_Converted_To_Integer]]/Working_Sales[[#This Row],[Quantity_Converted_To_Integer]]
)</f>
        <v>30</v>
      </c>
      <c r="AE902" t="s">
        <v>70</v>
      </c>
      <c r="AF902" s="2" t="str">
        <f>CLEAN(TRIM(Working_Sales[[#This Row],[Total Amount]]))</f>
        <v>30</v>
      </c>
      <c r="AG902" s="2">
        <f>INT(Working_Sales[[#This Row],[Total_Amount_Whitespace_Removed]])</f>
        <v>30</v>
      </c>
      <c r="AH90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903" spans="1:34" x14ac:dyDescent="0.35">
      <c r="A903" t="s">
        <v>1830</v>
      </c>
      <c r="B903" s="6" t="str">
        <f>CLEAN(TRIM(Working_Sales[[#This Row],[Transaction ID]]))</f>
        <v>632</v>
      </c>
      <c r="C903" t="s">
        <v>1831</v>
      </c>
      <c r="D903" s="2" t="str">
        <f>CLEAN(TRIM(Working_Sales[[#This Row],[Date]]))</f>
        <v>16/09/2023</v>
      </c>
      <c r="E90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45185</v>
      </c>
      <c r="F90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45185</v>
      </c>
      <c r="G90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45185</v>
      </c>
      <c r="H903" t="s">
        <v>3057</v>
      </c>
      <c r="I903" s="2" t="str">
        <f>CLEAN(TRIM(Working_Sales[[#This Row],[Customer ID]]))</f>
        <v>cust485</v>
      </c>
      <c r="J90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0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CUST485</v>
      </c>
      <c r="L903" t="s">
        <v>26</v>
      </c>
      <c r="M903" s="4" t="str">
        <f>CLEAN(TRIM(Working_Sales[[#This Row],[Gender]]))</f>
        <v>Female</v>
      </c>
      <c r="N903" s="4" t="str" cm="1">
        <f t="array" ref="N903">_xlfn.SWITCH(
   Working_Sales[[#This Row],[Gender_Whitespace_Removed]],
   "m", "Male",
   "f", "Female",
   Working_Sales[[#This Row],[Gender_Whitespace_Removed]]
)</f>
        <v>Female</v>
      </c>
      <c r="O903" s="6" t="str">
        <f>PROPER(Working_Sales[[#This Row],[Gender_Abbreviation_Expanded]])</f>
        <v>Female</v>
      </c>
      <c r="P903">
        <v>26</v>
      </c>
      <c r="Q903" s="2" t="str">
        <f>CLEAN(TRIM(Working_Sales[[#This Row],[Age]]))</f>
        <v>26</v>
      </c>
      <c r="R903" s="6">
        <f>INT(SUBSTITUTE(Working_Sales[[#This Row],[Age_Whitespace_Removed]],".",","))</f>
        <v>26</v>
      </c>
      <c r="S903" t="s">
        <v>99</v>
      </c>
      <c r="T903" s="2" t="str">
        <f>CLEAN(TRIM(Working_Sales[[#This Row],[Product Category]]))</f>
        <v>ELECTRONICS</v>
      </c>
      <c r="U903" s="6" t="str">
        <f>PROPER(Working_Sales[[#This Row],[Product_Category_Whitespace_Removed]])</f>
        <v>Electronics</v>
      </c>
      <c r="V903" t="s">
        <v>14</v>
      </c>
      <c r="W903" s="2" t="str">
        <f>CLEAN(TRIM(Working_Sales[[#This Row],[Quantity]]))</f>
        <v>4</v>
      </c>
      <c r="X903" s="2">
        <f>INT(Working_Sales[[#This Row],[`]])</f>
        <v>4</v>
      </c>
      <c r="Y903" s="6">
        <f>IFERROR(
   Working_Sales[[#This Row],[Quantity_Converted_To_Integer]],
   Working_Sales[[#This Row],[Total_Amount_Whitespace_Removed]]/Working_Sales[[#This Row],[Price_Per_Unit_Decimal_Separator_Fixed]])</f>
        <v>4</v>
      </c>
      <c r="Z903" t="s">
        <v>30</v>
      </c>
      <c r="AA903" s="2" t="str">
        <f>CLEAN(TRIM(Working_Sales[[#This Row],[Price per Unit]]))</f>
        <v>25</v>
      </c>
      <c r="AB903" s="2">
        <f>INT(
   SUBSTITUTE(Working_Sales[[#This Row],[Price_Per_Unit_Whitespace_Removed]],
   "$",
   ""
   )
)</f>
        <v>25</v>
      </c>
      <c r="AC903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903" s="8">
        <f>IFERROR(
   Working_Sales[[#This Row],[Price_Per_Unit_Decimal_Separator_Fixed]],
   Working_Sales[[#This Row],[Total_Amount_Converted_To_Integer]]/Working_Sales[[#This Row],[Quantity_Converted_To_Integer]]
)</f>
        <v>25</v>
      </c>
      <c r="AE903" t="s">
        <v>38</v>
      </c>
      <c r="AF903" s="2" t="str">
        <f>CLEAN(TRIM(Working_Sales[[#This Row],[Total Amount]]))</f>
        <v>100</v>
      </c>
      <c r="AG903" s="2">
        <f>INT(Working_Sales[[#This Row],[Total_Amount_Whitespace_Removed]])</f>
        <v>100</v>
      </c>
      <c r="AH90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904" spans="1:34" x14ac:dyDescent="0.35">
      <c r="A904" t="s">
        <v>216</v>
      </c>
      <c r="B904" s="6" t="str">
        <f>CLEAN(TRIM(Working_Sales[[#This Row],[Transaction ID]]))</f>
        <v>22</v>
      </c>
      <c r="C904" t="s">
        <v>1832</v>
      </c>
      <c r="D904" s="2" t="str">
        <f>CLEAN(TRIM(Working_Sales[[#This Row],[Date]]))</f>
        <v>10/15/2023</v>
      </c>
      <c r="E904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90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45214</v>
      </c>
      <c r="G90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45214</v>
      </c>
      <c r="H904" t="s">
        <v>3058</v>
      </c>
      <c r="I904" s="2" t="str">
        <f>CLEAN(TRIM(Working_Sales[[#This Row],[Customer ID]]))</f>
        <v>CUST-339</v>
      </c>
      <c r="J90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0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CUST339</v>
      </c>
      <c r="L904" t="s">
        <v>11</v>
      </c>
      <c r="M904" s="4" t="str">
        <f>CLEAN(TRIM(Working_Sales[[#This Row],[Gender]]))</f>
        <v>MALE</v>
      </c>
      <c r="N904" s="4" t="str" cm="1">
        <f t="array" ref="N904">_xlfn.SWITCH(
   Working_Sales[[#This Row],[Gender_Whitespace_Removed]],
   "m", "Male",
   "f", "Female",
   Working_Sales[[#This Row],[Gender_Whitespace_Removed]]
)</f>
        <v>MALE</v>
      </c>
      <c r="O904" s="6" t="str">
        <f>PROPER(Working_Sales[[#This Row],[Gender_Abbreviation_Expanded]])</f>
        <v>Male</v>
      </c>
      <c r="P904" t="s">
        <v>1834</v>
      </c>
      <c r="Q904" s="2" t="str">
        <f>CLEAN(TRIM(Working_Sales[[#This Row],[Age]]))</f>
        <v>18.0</v>
      </c>
      <c r="R904" s="6">
        <f>INT(SUBSTITUTE(Working_Sales[[#This Row],[Age_Whitespace_Removed]],".",","))</f>
        <v>18</v>
      </c>
      <c r="S904" t="s">
        <v>56</v>
      </c>
      <c r="T904" s="2" t="str">
        <f>CLEAN(TRIM(Working_Sales[[#This Row],[Product Category]]))</f>
        <v>Clothing</v>
      </c>
      <c r="U904" s="6" t="str">
        <f>PROPER(Working_Sales[[#This Row],[Product_Category_Whitespace_Removed]])</f>
        <v>Clothing</v>
      </c>
      <c r="V904" t="s">
        <v>37</v>
      </c>
      <c r="W904" s="2" t="str">
        <f>CLEAN(TRIM(Working_Sales[[#This Row],[Quantity]]))</f>
        <v>2</v>
      </c>
      <c r="X904" s="2">
        <f>INT(Working_Sales[[#This Row],[`]])</f>
        <v>2</v>
      </c>
      <c r="Y904" s="6">
        <f>IFERROR(
   Working_Sales[[#This Row],[Quantity_Converted_To_Integer]],
   Working_Sales[[#This Row],[Total_Amount_Whitespace_Removed]]/Working_Sales[[#This Row],[Price_Per_Unit_Decimal_Separator_Fixed]])</f>
        <v>2</v>
      </c>
      <c r="Z904" t="s">
        <v>15</v>
      </c>
      <c r="AA904" s="2" t="str">
        <f>CLEAN(TRIM(Working_Sales[[#This Row],[Price per Unit]]))</f>
        <v>50</v>
      </c>
      <c r="AB904" s="2">
        <f>INT(
   SUBSTITUTE(Working_Sales[[#This Row],[Price_Per_Unit_Whitespace_Removed]],
   "$",
   ""
   )
)</f>
        <v>50</v>
      </c>
      <c r="AC904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904" s="8">
        <f>IFERROR(
   Working_Sales[[#This Row],[Price_Per_Unit_Decimal_Separator_Fixed]],
   Working_Sales[[#This Row],[Total_Amount_Converted_To_Integer]]/Working_Sales[[#This Row],[Quantity_Converted_To_Integer]]
)</f>
        <v>50</v>
      </c>
      <c r="AE904" t="s">
        <v>38</v>
      </c>
      <c r="AF904" s="2" t="str">
        <f>CLEAN(TRIM(Working_Sales[[#This Row],[Total Amount]]))</f>
        <v>100</v>
      </c>
      <c r="AG904" s="2">
        <f>INT(Working_Sales[[#This Row],[Total_Amount_Whitespace_Removed]])</f>
        <v>100</v>
      </c>
      <c r="AH90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905" spans="1:34" x14ac:dyDescent="0.35">
      <c r="A905" t="s">
        <v>1835</v>
      </c>
      <c r="B905" s="6" t="str">
        <f>CLEAN(TRIM(Working_Sales[[#This Row],[Transaction ID]]))</f>
        <v>403</v>
      </c>
      <c r="C905" t="s">
        <v>1836</v>
      </c>
      <c r="D905" s="2" t="str">
        <f>CLEAN(TRIM(Working_Sales[[#This Row],[Date]]))</f>
        <v>20/05/2023</v>
      </c>
      <c r="E90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45066</v>
      </c>
      <c r="F90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45066</v>
      </c>
      <c r="G90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45066</v>
      </c>
      <c r="H905" t="s">
        <v>3059</v>
      </c>
      <c r="I905" s="2" t="str">
        <f>CLEAN(TRIM(Working_Sales[[#This Row],[Customer ID]]))</f>
        <v>CUST-075</v>
      </c>
      <c r="J90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0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CUST075</v>
      </c>
      <c r="L905" t="s">
        <v>34</v>
      </c>
      <c r="M905" s="4" t="str">
        <f>CLEAN(TRIM(Working_Sales[[#This Row],[Gender]]))</f>
        <v>Male</v>
      </c>
      <c r="N905" s="4" t="str" cm="1">
        <f t="array" ref="N905">_xlfn.SWITCH(
   Working_Sales[[#This Row],[Gender_Whitespace_Removed]],
   "m", "Male",
   "f", "Female",
   Working_Sales[[#This Row],[Gender_Whitespace_Removed]]
)</f>
        <v>Male</v>
      </c>
      <c r="O905" s="6" t="str">
        <f>PROPER(Working_Sales[[#This Row],[Gender_Abbreviation_Expanded]])</f>
        <v>Male</v>
      </c>
      <c r="P905">
        <v>32</v>
      </c>
      <c r="Q905" s="2" t="str">
        <f>CLEAN(TRIM(Working_Sales[[#This Row],[Age]]))</f>
        <v>32</v>
      </c>
      <c r="R905" s="6">
        <f>INT(SUBSTITUTE(Working_Sales[[#This Row],[Age_Whitespace_Removed]],".",","))</f>
        <v>32</v>
      </c>
      <c r="S905" t="s">
        <v>56</v>
      </c>
      <c r="T905" s="2" t="str">
        <f>CLEAN(TRIM(Working_Sales[[#This Row],[Product Category]]))</f>
        <v>Clothing</v>
      </c>
      <c r="U905" s="6" t="str">
        <f>PROPER(Working_Sales[[#This Row],[Product_Category_Whitespace_Removed]])</f>
        <v>Clothing</v>
      </c>
      <c r="V905" t="s">
        <v>37</v>
      </c>
      <c r="W905" s="2" t="str">
        <f>CLEAN(TRIM(Working_Sales[[#This Row],[Quantity]]))</f>
        <v>2</v>
      </c>
      <c r="X905" s="2">
        <f>INT(Working_Sales[[#This Row],[`]])</f>
        <v>2</v>
      </c>
      <c r="Y905" s="6">
        <f>IFERROR(
   Working_Sales[[#This Row],[Quantity_Converted_To_Integer]],
   Working_Sales[[#This Row],[Total_Amount_Whitespace_Removed]]/Working_Sales[[#This Row],[Price_Per_Unit_Decimal_Separator_Fixed]])</f>
        <v>2</v>
      </c>
      <c r="Z905" t="s">
        <v>288</v>
      </c>
      <c r="AA905" s="2" t="str">
        <f>CLEAN(TRIM(Working_Sales[[#This Row],[Price per Unit]]))</f>
        <v>300.00</v>
      </c>
      <c r="AB905" s="2" t="e">
        <f>INT(
   SUBSTITUTE(Working_Sales[[#This Row],[Price_Per_Unit_Whitespace_Removed]],
   "$",
   ""
   )
)</f>
        <v>#VALUE!</v>
      </c>
      <c r="AC905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905" s="8">
        <f>IFERROR(
   Working_Sales[[#This Row],[Price_Per_Unit_Decimal_Separator_Fixed]],
   Working_Sales[[#This Row],[Total_Amount_Converted_To_Integer]]/Working_Sales[[#This Row],[Quantity_Converted_To_Integer]]
)</f>
        <v>300</v>
      </c>
      <c r="AE905" t="s">
        <v>107</v>
      </c>
      <c r="AF905" s="2" t="str">
        <f>CLEAN(TRIM(Working_Sales[[#This Row],[Total Amount]]))</f>
        <v>600</v>
      </c>
      <c r="AG905" s="2">
        <f>INT(Working_Sales[[#This Row],[Total_Amount_Whitespace_Removed]])</f>
        <v>600</v>
      </c>
      <c r="AH90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600</v>
      </c>
    </row>
    <row r="906" spans="1:34" x14ac:dyDescent="0.35">
      <c r="A906" t="s">
        <v>1838</v>
      </c>
      <c r="B906" s="6" t="str">
        <f>CLEAN(TRIM(Working_Sales[[#This Row],[Transaction ID]]))</f>
        <v>84</v>
      </c>
      <c r="C906" t="s">
        <v>2167</v>
      </c>
      <c r="D906" s="2" t="str">
        <f>CLEAN(TRIM(Working_Sales[[#This Row],[Date]]))</f>
        <v>11/28/2023</v>
      </c>
      <c r="E906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90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45258</v>
      </c>
      <c r="G90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45258</v>
      </c>
      <c r="H906" t="s">
        <v>2936</v>
      </c>
      <c r="I906" s="2" t="str">
        <f>CLEAN(TRIM(Working_Sales[[#This Row],[Customer ID]]))</f>
        <v>CUST442</v>
      </c>
      <c r="J90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CUST442</v>
      </c>
      <c r="K90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CUST442</v>
      </c>
      <c r="L906" t="s">
        <v>26</v>
      </c>
      <c r="M906" s="4" t="str">
        <f>CLEAN(TRIM(Working_Sales[[#This Row],[Gender]]))</f>
        <v>Female</v>
      </c>
      <c r="N906" s="4" t="str" cm="1">
        <f t="array" ref="N906">_xlfn.SWITCH(
   Working_Sales[[#This Row],[Gender_Whitespace_Removed]],
   "m", "Male",
   "f", "Female",
   Working_Sales[[#This Row],[Gender_Whitespace_Removed]]
)</f>
        <v>Female</v>
      </c>
      <c r="O906" s="6" t="str">
        <f>PROPER(Working_Sales[[#This Row],[Gender_Abbreviation_Expanded]])</f>
        <v>Female</v>
      </c>
      <c r="P906">
        <v>38</v>
      </c>
      <c r="Q906" s="2" t="str">
        <f>CLEAN(TRIM(Working_Sales[[#This Row],[Age]]))</f>
        <v>38</v>
      </c>
      <c r="R906" s="6">
        <f>INT(SUBSTITUTE(Working_Sales[[#This Row],[Age_Whitespace_Removed]],".",","))</f>
        <v>38</v>
      </c>
      <c r="S906" t="s">
        <v>13</v>
      </c>
      <c r="T906" s="2" t="str">
        <f>CLEAN(TRIM(Working_Sales[[#This Row],[Product Category]]))</f>
        <v>Electronics</v>
      </c>
      <c r="U906" s="6" t="str">
        <f>PROPER(Working_Sales[[#This Row],[Product_Category_Whitespace_Removed]])</f>
        <v>Electronics</v>
      </c>
      <c r="V906" t="s">
        <v>29</v>
      </c>
      <c r="W906" s="2" t="str">
        <f>CLEAN(TRIM(Working_Sales[[#This Row],[Quantity]]))</f>
        <v>3</v>
      </c>
      <c r="X906" s="2">
        <f>INT(Working_Sales[[#This Row],[`]])</f>
        <v>3</v>
      </c>
      <c r="Y906" s="6">
        <f>IFERROR(
   Working_Sales[[#This Row],[Quantity_Converted_To_Integer]],
   Working_Sales[[#This Row],[Total_Amount_Whitespace_Removed]]/Working_Sales[[#This Row],[Price_Per_Unit_Decimal_Separator_Fixed]])</f>
        <v>3</v>
      </c>
      <c r="Z906" t="s">
        <v>70</v>
      </c>
      <c r="AA906" s="2" t="str">
        <f>CLEAN(TRIM(Working_Sales[[#This Row],[Price per Unit]]))</f>
        <v>30</v>
      </c>
      <c r="AB906" s="2">
        <f>INT(
   SUBSTITUTE(Working_Sales[[#This Row],[Price_Per_Unit_Whitespace_Removed]],
   "$",
   ""
   )
)</f>
        <v>30</v>
      </c>
      <c r="AC906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906" s="8">
        <f>IFERROR(
   Working_Sales[[#This Row],[Price_Per_Unit_Decimal_Separator_Fixed]],
   Working_Sales[[#This Row],[Total_Amount_Converted_To_Integer]]/Working_Sales[[#This Row],[Quantity_Converted_To_Integer]]
)</f>
        <v>30</v>
      </c>
      <c r="AE906" t="s">
        <v>191</v>
      </c>
      <c r="AF906" s="2" t="str">
        <f>CLEAN(TRIM(Working_Sales[[#This Row],[Total Amount]]))</f>
        <v>90</v>
      </c>
      <c r="AG906" s="2">
        <f>INT(Working_Sales[[#This Row],[Total_Amount_Whitespace_Removed]])</f>
        <v>90</v>
      </c>
      <c r="AH90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907" spans="1:34" x14ac:dyDescent="0.35">
      <c r="A907" t="s">
        <v>1840</v>
      </c>
      <c r="B907" s="6" t="str">
        <f>CLEAN(TRIM(Working_Sales[[#This Row],[Transaction ID]]))</f>
        <v>131</v>
      </c>
      <c r="C907" t="s">
        <v>73</v>
      </c>
      <c r="D907" s="2" t="str">
        <f>CLEAN(TRIM(Working_Sales[[#This Row],[Date]]))</f>
        <v>2023-09-18</v>
      </c>
      <c r="E90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45187</v>
      </c>
      <c r="F90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45187</v>
      </c>
      <c r="G90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45187</v>
      </c>
      <c r="H907" t="s">
        <v>3060</v>
      </c>
      <c r="I907" s="2" t="str">
        <f>CLEAN(TRIM(Working_Sales[[#This Row],[Customer ID]]))</f>
        <v>CUST-174</v>
      </c>
      <c r="J90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0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CUST174</v>
      </c>
      <c r="L907" t="s">
        <v>46</v>
      </c>
      <c r="M907" s="4" t="str">
        <f>CLEAN(TRIM(Working_Sales[[#This Row],[Gender]]))</f>
        <v>F</v>
      </c>
      <c r="N907" s="4" t="str" cm="1">
        <f t="array" ref="N907">_xlfn.SWITCH(
   Working_Sales[[#This Row],[Gender_Whitespace_Removed]],
   "m", "Male",
   "f", "Female",
   Working_Sales[[#This Row],[Gender_Whitespace_Removed]]
)</f>
        <v>Female</v>
      </c>
      <c r="O907" s="6" t="str">
        <f>PROPER(Working_Sales[[#This Row],[Gender_Abbreviation_Expanded]])</f>
        <v>Female</v>
      </c>
      <c r="P907">
        <v>21</v>
      </c>
      <c r="Q907" s="2" t="str">
        <f>CLEAN(TRIM(Working_Sales[[#This Row],[Age]]))</f>
        <v>21</v>
      </c>
      <c r="R907" s="6">
        <f>INT(SUBSTITUTE(Working_Sales[[#This Row],[Age_Whitespace_Removed]],".",","))</f>
        <v>21</v>
      </c>
      <c r="S907" t="s">
        <v>434</v>
      </c>
      <c r="T907" s="2" t="str">
        <f>CLEAN(TRIM(Working_Sales[[#This Row],[Product Category]]))</f>
        <v>Beauty</v>
      </c>
      <c r="U907" s="6" t="str">
        <f>PROPER(Working_Sales[[#This Row],[Product_Category_Whitespace_Removed]])</f>
        <v>Beauty</v>
      </c>
      <c r="V907" t="s">
        <v>37</v>
      </c>
      <c r="W907" s="2" t="str">
        <f>CLEAN(TRIM(Working_Sales[[#This Row],[Quantity]]))</f>
        <v>2</v>
      </c>
      <c r="X907" s="2">
        <f>INT(Working_Sales[[#This Row],[`]])</f>
        <v>2</v>
      </c>
      <c r="Y907" s="6">
        <f>IFERROR(
   Working_Sales[[#This Row],[Quantity_Converted_To_Integer]],
   Working_Sales[[#This Row],[Total_Amount_Whitespace_Removed]]/Working_Sales[[#This Row],[Price_Per_Unit_Decimal_Separator_Fixed]])</f>
        <v>2</v>
      </c>
      <c r="Z907" t="s">
        <v>23</v>
      </c>
      <c r="AA907" s="2" t="str">
        <f>CLEAN(TRIM(Working_Sales[[#This Row],[Price per Unit]]))</f>
        <v>300</v>
      </c>
      <c r="AB907" s="2">
        <f>INT(
   SUBSTITUTE(Working_Sales[[#This Row],[Price_Per_Unit_Whitespace_Removed]],
   "$",
   ""
   )
)</f>
        <v>300</v>
      </c>
      <c r="AC907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907" s="8">
        <f>IFERROR(
   Working_Sales[[#This Row],[Price_Per_Unit_Decimal_Separator_Fixed]],
   Working_Sales[[#This Row],[Total_Amount_Converted_To_Integer]]/Working_Sales[[#This Row],[Quantity_Converted_To_Integer]]
)</f>
        <v>300</v>
      </c>
      <c r="AE907" t="s">
        <v>107</v>
      </c>
      <c r="AF907" s="2" t="str">
        <f>CLEAN(TRIM(Working_Sales[[#This Row],[Total Amount]]))</f>
        <v>600</v>
      </c>
      <c r="AG907" s="2">
        <f>INT(Working_Sales[[#This Row],[Total_Amount_Whitespace_Removed]])</f>
        <v>600</v>
      </c>
      <c r="AH90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600</v>
      </c>
    </row>
    <row r="908" spans="1:34" x14ac:dyDescent="0.35">
      <c r="A908" t="s">
        <v>1841</v>
      </c>
      <c r="B908" s="6" t="str">
        <f>CLEAN(TRIM(Working_Sales[[#This Row],[Transaction ID]]))</f>
        <v>416</v>
      </c>
      <c r="C908" t="s">
        <v>1328</v>
      </c>
      <c r="D908" s="2" t="str">
        <f>CLEAN(TRIM(Working_Sales[[#This Row],[Date]]))</f>
        <v>2023-02-17</v>
      </c>
      <c r="E90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44974</v>
      </c>
      <c r="F90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44974</v>
      </c>
      <c r="G90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44974</v>
      </c>
      <c r="H908" t="s">
        <v>626</v>
      </c>
      <c r="I908" s="2" t="str">
        <f>CLEAN(TRIM(Working_Sales[[#This Row],[Customer ID]]))</f>
        <v>CUST385</v>
      </c>
      <c r="J90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CUST385</v>
      </c>
      <c r="K90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CUST385</v>
      </c>
      <c r="L908" t="s">
        <v>34</v>
      </c>
      <c r="M908" s="4" t="str">
        <f>CLEAN(TRIM(Working_Sales[[#This Row],[Gender]]))</f>
        <v>Male</v>
      </c>
      <c r="N908" s="4" t="str" cm="1">
        <f t="array" ref="N908">_xlfn.SWITCH(
   Working_Sales[[#This Row],[Gender_Whitespace_Removed]],
   "m", "Male",
   "f", "Female",
   Working_Sales[[#This Row],[Gender_Whitespace_Removed]]
)</f>
        <v>Male</v>
      </c>
      <c r="O908" s="6" t="str">
        <f>PROPER(Working_Sales[[#This Row],[Gender_Abbreviation_Expanded]])</f>
        <v>Male</v>
      </c>
      <c r="P908">
        <v>53</v>
      </c>
      <c r="Q908" s="2" t="str">
        <f>CLEAN(TRIM(Working_Sales[[#This Row],[Age]]))</f>
        <v>53</v>
      </c>
      <c r="R908" s="6">
        <f>INT(SUBSTITUTE(Working_Sales[[#This Row],[Age_Whitespace_Removed]],".",","))</f>
        <v>53</v>
      </c>
      <c r="S908" t="s">
        <v>117</v>
      </c>
      <c r="T908" s="2" t="str">
        <f>CLEAN(TRIM(Working_Sales[[#This Row],[Product Category]]))</f>
        <v>Electronics</v>
      </c>
      <c r="U908" s="6" t="str">
        <f>PROPER(Working_Sales[[#This Row],[Product_Category_Whitespace_Removed]])</f>
        <v>Electronics</v>
      </c>
      <c r="V908" t="s">
        <v>14</v>
      </c>
      <c r="W908" s="2" t="str">
        <f>CLEAN(TRIM(Working_Sales[[#This Row],[Quantity]]))</f>
        <v>4</v>
      </c>
      <c r="X908" s="2">
        <f>INT(Working_Sales[[#This Row],[`]])</f>
        <v>4</v>
      </c>
      <c r="Y908" s="6">
        <f>IFERROR(
   Working_Sales[[#This Row],[Quantity_Converted_To_Integer]],
   Working_Sales[[#This Row],[Total_Amount_Whitespace_Removed]]/Working_Sales[[#This Row],[Price_Per_Unit_Decimal_Separator_Fixed]])</f>
        <v>4</v>
      </c>
      <c r="Z908" t="s">
        <v>84</v>
      </c>
      <c r="AA908" s="2" t="str">
        <f>CLEAN(TRIM(Working_Sales[[#This Row],[Price per Unit]]))</f>
        <v>500.00</v>
      </c>
      <c r="AB908" s="2" t="e">
        <f>INT(
   SUBSTITUTE(Working_Sales[[#This Row],[Price_Per_Unit_Whitespace_Removed]],
   "$",
   ""
   )
)</f>
        <v>#VALUE!</v>
      </c>
      <c r="AC908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908" s="8">
        <f>IFERROR(
   Working_Sales[[#This Row],[Price_Per_Unit_Decimal_Separator_Fixed]],
   Working_Sales[[#This Row],[Total_Amount_Converted_To_Integer]]/Working_Sales[[#This Row],[Quantity_Converted_To_Integer]]
)</f>
        <v>500</v>
      </c>
      <c r="AE908" t="s">
        <v>232</v>
      </c>
      <c r="AF908" s="2" t="str">
        <f>CLEAN(TRIM(Working_Sales[[#This Row],[Total Amount]]))</f>
        <v>2000</v>
      </c>
      <c r="AG908" s="2">
        <f>INT(Working_Sales[[#This Row],[Total_Amount_Whitespace_Removed]])</f>
        <v>2000</v>
      </c>
      <c r="AH90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909" spans="1:34" x14ac:dyDescent="0.35">
      <c r="A909" t="s">
        <v>163</v>
      </c>
      <c r="B909" s="6" t="str">
        <f>CLEAN(TRIM(Working_Sales[[#This Row],[Transaction ID]]))</f>
        <v>1000</v>
      </c>
      <c r="C909" t="s">
        <v>2123</v>
      </c>
      <c r="D909" s="2" t="str">
        <f>CLEAN(TRIM(Working_Sales[[#This Row],[Date]]))</f>
        <v>April 12, 2023</v>
      </c>
      <c r="E909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909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90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45028</v>
      </c>
      <c r="H909" t="s">
        <v>3061</v>
      </c>
      <c r="I909" s="2" t="str">
        <f>CLEAN(TRIM(Working_Sales[[#This Row],[Customer ID]]))</f>
        <v>CUST052</v>
      </c>
      <c r="J90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CUST052</v>
      </c>
      <c r="K90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CUST052</v>
      </c>
      <c r="L909" t="s">
        <v>11</v>
      </c>
      <c r="M909" s="4" t="str">
        <f>CLEAN(TRIM(Working_Sales[[#This Row],[Gender]]))</f>
        <v>MALE</v>
      </c>
      <c r="N909" s="4" t="str" cm="1">
        <f t="array" ref="N909">_xlfn.SWITCH(
   Working_Sales[[#This Row],[Gender_Whitespace_Removed]],
   "m", "Male",
   "f", "Female",
   Working_Sales[[#This Row],[Gender_Whitespace_Removed]]
)</f>
        <v>MALE</v>
      </c>
      <c r="O909" s="6" t="str">
        <f>PROPER(Working_Sales[[#This Row],[Gender_Abbreviation_Expanded]])</f>
        <v>Male</v>
      </c>
      <c r="P909">
        <v>47</v>
      </c>
      <c r="Q909" s="2" t="str">
        <f>CLEAN(TRIM(Working_Sales[[#This Row],[Age]]))</f>
        <v>47</v>
      </c>
      <c r="R909" s="6">
        <f>INT(SUBSTITUTE(Working_Sales[[#This Row],[Age_Whitespace_Removed]],".",","))</f>
        <v>47</v>
      </c>
      <c r="S909" t="s">
        <v>13</v>
      </c>
      <c r="T909" s="2" t="str">
        <f>CLEAN(TRIM(Working_Sales[[#This Row],[Product Category]]))</f>
        <v>Electronics</v>
      </c>
      <c r="U909" s="6" t="str">
        <f>PROPER(Working_Sales[[#This Row],[Product_Category_Whitespace_Removed]])</f>
        <v>Electronics</v>
      </c>
      <c r="V909" t="s">
        <v>14</v>
      </c>
      <c r="W909" s="2" t="str">
        <f>CLEAN(TRIM(Working_Sales[[#This Row],[Quantity]]))</f>
        <v>4</v>
      </c>
      <c r="X909" s="2">
        <f>INT(Working_Sales[[#This Row],[`]])</f>
        <v>4</v>
      </c>
      <c r="Y909" s="6">
        <f>IFERROR(
   Working_Sales[[#This Row],[Quantity_Converted_To_Integer]],
   Working_Sales[[#This Row],[Total_Amount_Whitespace_Removed]]/Working_Sales[[#This Row],[Price_Per_Unit_Decimal_Separator_Fixed]])</f>
        <v>4</v>
      </c>
      <c r="Z909" t="s">
        <v>70</v>
      </c>
      <c r="AA909" s="2" t="str">
        <f>CLEAN(TRIM(Working_Sales[[#This Row],[Price per Unit]]))</f>
        <v>30</v>
      </c>
      <c r="AB909" s="2">
        <f>INT(
   SUBSTITUTE(Working_Sales[[#This Row],[Price_Per_Unit_Whitespace_Removed]],
   "$",
   ""
   )
)</f>
        <v>30</v>
      </c>
      <c r="AC909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909" s="8">
        <f>IFERROR(
   Working_Sales[[#This Row],[Price_Per_Unit_Decimal_Separator_Fixed]],
   Working_Sales[[#This Row],[Total_Amount_Converted_To_Integer]]/Working_Sales[[#This Row],[Quantity_Converted_To_Integer]]
)</f>
        <v>30</v>
      </c>
      <c r="AE909" t="s">
        <v>44</v>
      </c>
      <c r="AF909" s="2" t="str">
        <f>CLEAN(TRIM(Working_Sales[[#This Row],[Total Amount]]))</f>
        <v>120</v>
      </c>
      <c r="AG909" s="2">
        <f>INT(Working_Sales[[#This Row],[Total_Amount_Whitespace_Removed]])</f>
        <v>120</v>
      </c>
      <c r="AH90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910" spans="1:34" x14ac:dyDescent="0.35">
      <c r="A910" t="s">
        <v>1843</v>
      </c>
      <c r="B910" s="6" t="str">
        <f>CLEAN(TRIM(Working_Sales[[#This Row],[Transaction ID]]))</f>
        <v>842</v>
      </c>
      <c r="C910" t="s">
        <v>1844</v>
      </c>
      <c r="D910" s="2" t="str">
        <f>CLEAN(TRIM(Working_Sales[[#This Row],[Date]]))</f>
        <v>12/26/2023</v>
      </c>
      <c r="E910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91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45286</v>
      </c>
      <c r="G91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45286</v>
      </c>
      <c r="H910" t="s">
        <v>543</v>
      </c>
      <c r="I910" s="2" t="str">
        <f>CLEAN(TRIM(Working_Sales[[#This Row],[Customer ID]]))</f>
        <v>CUST-055</v>
      </c>
      <c r="J91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1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CUST055</v>
      </c>
      <c r="L910" t="s">
        <v>26</v>
      </c>
      <c r="M910" s="4" t="str">
        <f>CLEAN(TRIM(Working_Sales[[#This Row],[Gender]]))</f>
        <v>Female</v>
      </c>
      <c r="N910" s="4" t="str" cm="1">
        <f t="array" ref="N910">_xlfn.SWITCH(
   Working_Sales[[#This Row],[Gender_Whitespace_Removed]],
   "m", "Male",
   "f", "Female",
   Working_Sales[[#This Row],[Gender_Whitespace_Removed]]
)</f>
        <v>Female</v>
      </c>
      <c r="O910" s="6" t="str">
        <f>PROPER(Working_Sales[[#This Row],[Gender_Abbreviation_Expanded]])</f>
        <v>Female</v>
      </c>
      <c r="P910">
        <v>47</v>
      </c>
      <c r="Q910" s="2" t="str">
        <f>CLEAN(TRIM(Working_Sales[[#This Row],[Age]]))</f>
        <v>47</v>
      </c>
      <c r="R910" s="6">
        <f>INT(SUBSTITUTE(Working_Sales[[#This Row],[Age_Whitespace_Removed]],".",","))</f>
        <v>47</v>
      </c>
      <c r="S910" t="s">
        <v>400</v>
      </c>
      <c r="T910" s="2" t="str">
        <f>CLEAN(TRIM(Working_Sales[[#This Row],[Product Category]]))</f>
        <v>Clothing</v>
      </c>
      <c r="U910" s="6" t="str">
        <f>PROPER(Working_Sales[[#This Row],[Product_Category_Whitespace_Removed]])</f>
        <v>Clothing</v>
      </c>
      <c r="V910" t="s">
        <v>37</v>
      </c>
      <c r="W910" s="2" t="str">
        <f>CLEAN(TRIM(Working_Sales[[#This Row],[Quantity]]))</f>
        <v>2</v>
      </c>
      <c r="X910" s="2">
        <f>INT(Working_Sales[[#This Row],[`]])</f>
        <v>2</v>
      </c>
      <c r="Y910" s="6">
        <f>IFERROR(
   Working_Sales[[#This Row],[Quantity_Converted_To_Integer]],
   Working_Sales[[#This Row],[Total_Amount_Whitespace_Removed]]/Working_Sales[[#This Row],[Price_Per_Unit_Decimal_Separator_Fixed]])</f>
        <v>2</v>
      </c>
      <c r="Z910" t="s">
        <v>23</v>
      </c>
      <c r="AA910" s="2" t="str">
        <f>CLEAN(TRIM(Working_Sales[[#This Row],[Price per Unit]]))</f>
        <v>300</v>
      </c>
      <c r="AB910" s="2">
        <f>INT(
   SUBSTITUTE(Working_Sales[[#This Row],[Price_Per_Unit_Whitespace_Removed]],
   "$",
   ""
   )
)</f>
        <v>300</v>
      </c>
      <c r="AC910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910" s="8">
        <f>IFERROR(
   Working_Sales[[#This Row],[Price_Per_Unit_Decimal_Separator_Fixed]],
   Working_Sales[[#This Row],[Total_Amount_Converted_To_Integer]]/Working_Sales[[#This Row],[Quantity_Converted_To_Integer]]
)</f>
        <v>300</v>
      </c>
      <c r="AE910" t="s">
        <v>107</v>
      </c>
      <c r="AF910" s="2" t="str">
        <f>CLEAN(TRIM(Working_Sales[[#This Row],[Total Amount]]))</f>
        <v>600</v>
      </c>
      <c r="AG910" s="2">
        <f>INT(Working_Sales[[#This Row],[Total_Amount_Whitespace_Removed]])</f>
        <v>600</v>
      </c>
      <c r="AH91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600</v>
      </c>
    </row>
    <row r="911" spans="1:34" x14ac:dyDescent="0.35">
      <c r="A911" t="s">
        <v>1845</v>
      </c>
      <c r="B911" s="6" t="str">
        <f>CLEAN(TRIM(Working_Sales[[#This Row],[Transaction ID]]))</f>
        <v>742</v>
      </c>
      <c r="C911" t="s">
        <v>2168</v>
      </c>
      <c r="D911" s="2" t="str">
        <f>CLEAN(TRIM(Working_Sales[[#This Row],[Date]]))</f>
        <v>01/21/2023</v>
      </c>
      <c r="E911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91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44947</v>
      </c>
      <c r="G91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44947</v>
      </c>
      <c r="H911" t="s">
        <v>2375</v>
      </c>
      <c r="I911" s="2" t="str">
        <f>CLEAN(TRIM(Working_Sales[[#This Row],[Customer ID]]))</f>
        <v>CUST061</v>
      </c>
      <c r="J91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CUST061</v>
      </c>
      <c r="K91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CUST061</v>
      </c>
      <c r="L911" t="s">
        <v>112</v>
      </c>
      <c r="M911" s="4" t="str">
        <f>CLEAN(TRIM(Working_Sales[[#This Row],[Gender]]))</f>
        <v>female</v>
      </c>
      <c r="N911" s="4" t="str" cm="1">
        <f t="array" ref="N911">_xlfn.SWITCH(
   Working_Sales[[#This Row],[Gender_Whitespace_Removed]],
   "m", "Male",
   "f", "Female",
   Working_Sales[[#This Row],[Gender_Whitespace_Removed]]
)</f>
        <v>female</v>
      </c>
      <c r="O911" s="6" t="str">
        <f>PROPER(Working_Sales[[#This Row],[Gender_Abbreviation_Expanded]])</f>
        <v>Female</v>
      </c>
      <c r="P911">
        <v>38</v>
      </c>
      <c r="Q911" s="2" t="str">
        <f>CLEAN(TRIM(Working_Sales[[#This Row],[Age]]))</f>
        <v>38</v>
      </c>
      <c r="R911" s="6">
        <f>INT(SUBSTITUTE(Working_Sales[[#This Row],[Age_Whitespace_Removed]],".",","))</f>
        <v>38</v>
      </c>
      <c r="S911" t="s">
        <v>13</v>
      </c>
      <c r="T911" s="2" t="str">
        <f>CLEAN(TRIM(Working_Sales[[#This Row],[Product Category]]))</f>
        <v>Electronics</v>
      </c>
      <c r="U911" s="6" t="str">
        <f>PROPER(Working_Sales[[#This Row],[Product_Category_Whitespace_Removed]])</f>
        <v>Electronics</v>
      </c>
      <c r="V911" t="s">
        <v>14</v>
      </c>
      <c r="W911" s="2" t="str">
        <f>CLEAN(TRIM(Working_Sales[[#This Row],[Quantity]]))</f>
        <v>4</v>
      </c>
      <c r="X911" s="2">
        <f>INT(Working_Sales[[#This Row],[`]])</f>
        <v>4</v>
      </c>
      <c r="Y911" s="6">
        <f>IFERROR(
   Working_Sales[[#This Row],[Quantity_Converted_To_Integer]],
   Working_Sales[[#This Row],[Total_Amount_Whitespace_Removed]]/Working_Sales[[#This Row],[Price_Per_Unit_Decimal_Separator_Fixed]])</f>
        <v>4</v>
      </c>
      <c r="Z911" t="s">
        <v>84</v>
      </c>
      <c r="AA911" s="2" t="str">
        <f>CLEAN(TRIM(Working_Sales[[#This Row],[Price per Unit]]))</f>
        <v>500.00</v>
      </c>
      <c r="AB911" s="2" t="e">
        <f>INT(
   SUBSTITUTE(Working_Sales[[#This Row],[Price_Per_Unit_Whitespace_Removed]],
   "$",
   ""
   )
)</f>
        <v>#VALUE!</v>
      </c>
      <c r="AC911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911" s="8">
        <f>IFERROR(
   Working_Sales[[#This Row],[Price_Per_Unit_Decimal_Separator_Fixed]],
   Working_Sales[[#This Row],[Total_Amount_Converted_To_Integer]]/Working_Sales[[#This Row],[Quantity_Converted_To_Integer]]
)</f>
        <v>500</v>
      </c>
      <c r="AF911" s="2" t="str">
        <f>CLEAN(TRIM(Working_Sales[[#This Row],[Total Amount]]))</f>
        <v/>
      </c>
      <c r="AG911" s="2" t="e">
        <f>INT(Working_Sales[[#This Row],[Total_Amount_Whitespace_Removed]])</f>
        <v>#VALUE!</v>
      </c>
      <c r="AH91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912" spans="1:34" x14ac:dyDescent="0.35">
      <c r="A912" t="s">
        <v>1846</v>
      </c>
      <c r="B912" s="6" t="str">
        <f>CLEAN(TRIM(Working_Sales[[#This Row],[Transaction ID]]))</f>
        <v>698</v>
      </c>
      <c r="C912" t="s">
        <v>2169</v>
      </c>
      <c r="D912" s="2" t="str">
        <f>CLEAN(TRIM(Working_Sales[[#This Row],[Date]]))</f>
        <v>19-Jul-2023</v>
      </c>
      <c r="E91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45126</v>
      </c>
      <c r="F91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45126</v>
      </c>
      <c r="G91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45126</v>
      </c>
      <c r="H912" t="s">
        <v>3062</v>
      </c>
      <c r="I912" s="2" t="str">
        <f>CLEAN(TRIM(Working_Sales[[#This Row],[Customer ID]]))</f>
        <v>CUST135</v>
      </c>
      <c r="J91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CUST135</v>
      </c>
      <c r="K91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CUST135</v>
      </c>
      <c r="L912" t="s">
        <v>26</v>
      </c>
      <c r="M912" s="4" t="str">
        <f>CLEAN(TRIM(Working_Sales[[#This Row],[Gender]]))</f>
        <v>Female</v>
      </c>
      <c r="N912" s="4" t="str" cm="1">
        <f t="array" ref="N912">_xlfn.SWITCH(
   Working_Sales[[#This Row],[Gender_Whitespace_Removed]],
   "m", "Male",
   "f", "Female",
   Working_Sales[[#This Row],[Gender_Whitespace_Removed]]
)</f>
        <v>Female</v>
      </c>
      <c r="O912" s="6" t="str">
        <f>PROPER(Working_Sales[[#This Row],[Gender_Abbreviation_Expanded]])</f>
        <v>Female</v>
      </c>
      <c r="P912">
        <v>64</v>
      </c>
      <c r="Q912" s="2" t="str">
        <f>CLEAN(TRIM(Working_Sales[[#This Row],[Age]]))</f>
        <v>64</v>
      </c>
      <c r="R912" s="6">
        <f>INT(SUBSTITUTE(Working_Sales[[#This Row],[Age_Whitespace_Removed]],".",","))</f>
        <v>64</v>
      </c>
      <c r="S912" t="s">
        <v>13</v>
      </c>
      <c r="T912" s="2" t="str">
        <f>CLEAN(TRIM(Working_Sales[[#This Row],[Product Category]]))</f>
        <v>Electronics</v>
      </c>
      <c r="U912" s="6" t="str">
        <f>PROPER(Working_Sales[[#This Row],[Product_Category_Whitespace_Removed]])</f>
        <v>Electronics</v>
      </c>
      <c r="V912" t="s">
        <v>22</v>
      </c>
      <c r="W912" s="2" t="str">
        <f>CLEAN(TRIM(Working_Sales[[#This Row],[Quantity]]))</f>
        <v>1</v>
      </c>
      <c r="X912" s="2">
        <f>INT(Working_Sales[[#This Row],[`]])</f>
        <v>1</v>
      </c>
      <c r="Y912" s="6">
        <f>IFERROR(
   Working_Sales[[#This Row],[Quantity_Converted_To_Integer]],
   Working_Sales[[#This Row],[Total_Amount_Whitespace_Removed]]/Working_Sales[[#This Row],[Price_Per_Unit_Decimal_Separator_Fixed]])</f>
        <v>1</v>
      </c>
      <c r="Z912" t="s">
        <v>186</v>
      </c>
      <c r="AA912" s="2" t="str">
        <f>CLEAN(TRIM(Working_Sales[[#This Row],[Price per Unit]]))</f>
        <v>$300</v>
      </c>
      <c r="AB912" s="2">
        <f>INT(
   SUBSTITUTE(Working_Sales[[#This Row],[Price_Per_Unit_Whitespace_Removed]],
   "$",
   ""
   )
)</f>
        <v>300</v>
      </c>
      <c r="AC912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912" s="8">
        <f>IFERROR(
   Working_Sales[[#This Row],[Price_Per_Unit_Decimal_Separator_Fixed]],
   Working_Sales[[#This Row],[Total_Amount_Converted_To_Integer]]/Working_Sales[[#This Row],[Quantity_Converted_To_Integer]]
)</f>
        <v>300</v>
      </c>
      <c r="AE912" t="s">
        <v>23</v>
      </c>
      <c r="AF912" s="2" t="str">
        <f>CLEAN(TRIM(Working_Sales[[#This Row],[Total Amount]]))</f>
        <v>300</v>
      </c>
      <c r="AG912" s="2">
        <f>INT(Working_Sales[[#This Row],[Total_Amount_Whitespace_Removed]])</f>
        <v>300</v>
      </c>
      <c r="AH91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913" spans="1:34" x14ac:dyDescent="0.35">
      <c r="A913" t="s">
        <v>1847</v>
      </c>
      <c r="B913" s="6" t="str">
        <f>CLEAN(TRIM(Working_Sales[[#This Row],[Transaction ID]]))</f>
        <v>287</v>
      </c>
      <c r="C913" t="s">
        <v>2170</v>
      </c>
      <c r="D913" s="2" t="str">
        <f>CLEAN(TRIM(Working_Sales[[#This Row],[Date]]))</f>
        <v>02/20/2023</v>
      </c>
      <c r="E913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91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44977</v>
      </c>
      <c r="G91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44977</v>
      </c>
      <c r="H913" t="s">
        <v>1863</v>
      </c>
      <c r="I913" s="2" t="str">
        <f>CLEAN(TRIM(Working_Sales[[#This Row],[Customer ID]]))</f>
        <v>CUST482</v>
      </c>
      <c r="J91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CUST482</v>
      </c>
      <c r="K91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CUST482</v>
      </c>
      <c r="L913" t="s">
        <v>34</v>
      </c>
      <c r="M913" s="4" t="str">
        <f>CLEAN(TRIM(Working_Sales[[#This Row],[Gender]]))</f>
        <v>Male</v>
      </c>
      <c r="N913" s="4" t="str" cm="1">
        <f t="array" ref="N913">_xlfn.SWITCH(
   Working_Sales[[#This Row],[Gender_Whitespace_Removed]],
   "m", "Male",
   "f", "Female",
   Working_Sales[[#This Row],[Gender_Whitespace_Removed]]
)</f>
        <v>Male</v>
      </c>
      <c r="O913" s="6" t="str">
        <f>PROPER(Working_Sales[[#This Row],[Gender_Abbreviation_Expanded]])</f>
        <v>Male</v>
      </c>
      <c r="P913">
        <v>54</v>
      </c>
      <c r="Q913" s="2" t="str">
        <f>CLEAN(TRIM(Working_Sales[[#This Row],[Age]]))</f>
        <v>54</v>
      </c>
      <c r="R913" s="6">
        <f>INT(SUBSTITUTE(Working_Sales[[#This Row],[Age_Whitespace_Removed]],".",","))</f>
        <v>54</v>
      </c>
      <c r="S913" t="s">
        <v>28</v>
      </c>
      <c r="T913" s="2" t="str">
        <f>CLEAN(TRIM(Working_Sales[[#This Row],[Product Category]]))</f>
        <v>clothing</v>
      </c>
      <c r="U913" s="6" t="str">
        <f>PROPER(Working_Sales[[#This Row],[Product_Category_Whitespace_Removed]])</f>
        <v>Clothing</v>
      </c>
      <c r="V913" t="s">
        <v>14</v>
      </c>
      <c r="W913" s="2" t="str">
        <f>CLEAN(TRIM(Working_Sales[[#This Row],[Quantity]]))</f>
        <v>4</v>
      </c>
      <c r="X913" s="2">
        <f>INT(Working_Sales[[#This Row],[`]])</f>
        <v>4</v>
      </c>
      <c r="Y913" s="6">
        <f>IFERROR(
   Working_Sales[[#This Row],[Quantity_Converted_To_Integer]],
   Working_Sales[[#This Row],[Total_Amount_Whitespace_Removed]]/Working_Sales[[#This Row],[Price_Per_Unit_Decimal_Separator_Fixed]])</f>
        <v>4</v>
      </c>
      <c r="Z913" t="s">
        <v>49</v>
      </c>
      <c r="AA913" s="2" t="str">
        <f>CLEAN(TRIM(Working_Sales[[#This Row],[Price per Unit]]))</f>
        <v>$25</v>
      </c>
      <c r="AB913" s="2">
        <f>INT(
   SUBSTITUTE(Working_Sales[[#This Row],[Price_Per_Unit_Whitespace_Removed]],
   "$",
   ""
   )
)</f>
        <v>25</v>
      </c>
      <c r="AC913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913" s="8">
        <f>IFERROR(
   Working_Sales[[#This Row],[Price_Per_Unit_Decimal_Separator_Fixed]],
   Working_Sales[[#This Row],[Total_Amount_Converted_To_Integer]]/Working_Sales[[#This Row],[Quantity_Converted_To_Integer]]
)</f>
        <v>25</v>
      </c>
      <c r="AE913" t="s">
        <v>38</v>
      </c>
      <c r="AF913" s="2" t="str">
        <f>CLEAN(TRIM(Working_Sales[[#This Row],[Total Amount]]))</f>
        <v>100</v>
      </c>
      <c r="AG913" s="2">
        <f>INT(Working_Sales[[#This Row],[Total_Amount_Whitespace_Removed]])</f>
        <v>100</v>
      </c>
      <c r="AH91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914" spans="1:34" x14ac:dyDescent="0.35">
      <c r="A914" t="s">
        <v>1848</v>
      </c>
      <c r="B914" s="6" t="str">
        <f>CLEAN(TRIM(Working_Sales[[#This Row],[Transaction ID]]))</f>
        <v>124</v>
      </c>
      <c r="C914" t="s">
        <v>1849</v>
      </c>
      <c r="D914" s="2" t="str">
        <f>CLEAN(TRIM(Working_Sales[[#This Row],[Date]]))</f>
        <v>27/10/2023</v>
      </c>
      <c r="E91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45226</v>
      </c>
      <c r="F91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45226</v>
      </c>
      <c r="G91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45226</v>
      </c>
      <c r="H914" t="s">
        <v>2854</v>
      </c>
      <c r="I914" s="2" t="str">
        <f>CLEAN(TRIM(Working_Sales[[#This Row],[Customer ID]]))</f>
        <v>cust412</v>
      </c>
      <c r="J91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1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CUST412</v>
      </c>
      <c r="L914" t="s">
        <v>268</v>
      </c>
      <c r="M914" s="4" t="str">
        <f>CLEAN(TRIM(Working_Sales[[#This Row],[Gender]]))</f>
        <v>M</v>
      </c>
      <c r="N914" s="4" t="str" cm="1">
        <f t="array" ref="N914">_xlfn.SWITCH(
   Working_Sales[[#This Row],[Gender_Whitespace_Removed]],
   "m", "Male",
   "f", "Female",
   Working_Sales[[#This Row],[Gender_Whitespace_Removed]]
)</f>
        <v>Male</v>
      </c>
      <c r="O914" s="6" t="str">
        <f>PROPER(Working_Sales[[#This Row],[Gender_Abbreviation_Expanded]])</f>
        <v>Male</v>
      </c>
      <c r="P914">
        <v>33</v>
      </c>
      <c r="Q914" s="2" t="str">
        <f>CLEAN(TRIM(Working_Sales[[#This Row],[Age]]))</f>
        <v>33</v>
      </c>
      <c r="R914" s="6">
        <f>INT(SUBSTITUTE(Working_Sales[[#This Row],[Age_Whitespace_Removed]],".",","))</f>
        <v>33</v>
      </c>
      <c r="S914" t="s">
        <v>56</v>
      </c>
      <c r="T914" s="2" t="str">
        <f>CLEAN(TRIM(Working_Sales[[#This Row],[Product Category]]))</f>
        <v>Clothing</v>
      </c>
      <c r="U914" s="6" t="str">
        <f>PROPER(Working_Sales[[#This Row],[Product_Category_Whitespace_Removed]])</f>
        <v>Clothing</v>
      </c>
      <c r="V914" t="s">
        <v>14</v>
      </c>
      <c r="W914" s="2" t="str">
        <f>CLEAN(TRIM(Working_Sales[[#This Row],[Quantity]]))</f>
        <v>4</v>
      </c>
      <c r="X914" s="2">
        <f>INT(Working_Sales[[#This Row],[`]])</f>
        <v>4</v>
      </c>
      <c r="Y914" s="6">
        <f>IFERROR(
   Working_Sales[[#This Row],[Quantity_Converted_To_Integer]],
   Working_Sales[[#This Row],[Total_Amount_Whitespace_Removed]]/Working_Sales[[#This Row],[Price_Per_Unit_Decimal_Separator_Fixed]])</f>
        <v>4</v>
      </c>
      <c r="AA914" s="2" t="str">
        <f>CLEAN(TRIM(Working_Sales[[#This Row],[Price per Unit]]))</f>
        <v/>
      </c>
      <c r="AB914" s="2" t="e">
        <f>INT(
   SUBSTITUTE(Working_Sales[[#This Row],[Price_Per_Unit_Whitespace_Removed]],
   "$",
   ""
   )
)</f>
        <v>#VALUE!</v>
      </c>
      <c r="AC914" s="2" t="e">
        <f>INT(
   IFERROR(
      Working_Sales[[#This Row],[Price_Per_Unit_Dollar_Sign_Removed]],
      SUBSTITUTE(
         Working_Sales[[#This Row],[Price_Per_Unit_Whitespace_Removed]],
        ".",
         ","
      )
   )
)</f>
        <v>#VALUE!</v>
      </c>
      <c r="AD914" s="8">
        <f>IFERROR(
   Working_Sales[[#This Row],[Price_Per_Unit_Decimal_Separator_Fixed]],
   Working_Sales[[#This Row],[Total_Amount_Converted_To_Integer]]/Working_Sales[[#This Row],[Quantity_Converted_To_Integer]]
)</f>
        <v>500</v>
      </c>
      <c r="AE914" t="s">
        <v>232</v>
      </c>
      <c r="AF914" s="2" t="str">
        <f>CLEAN(TRIM(Working_Sales[[#This Row],[Total Amount]]))</f>
        <v>2000</v>
      </c>
      <c r="AG914" s="2">
        <f>INT(Working_Sales[[#This Row],[Total_Amount_Whitespace_Removed]])</f>
        <v>2000</v>
      </c>
      <c r="AH91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915" spans="1:34" x14ac:dyDescent="0.35">
      <c r="A915" t="s">
        <v>285</v>
      </c>
      <c r="B915" s="6" t="str">
        <f>CLEAN(TRIM(Working_Sales[[#This Row],[Transaction ID]]))</f>
        <v>34</v>
      </c>
      <c r="C915" t="s">
        <v>1851</v>
      </c>
      <c r="D915" s="2" t="str">
        <f>CLEAN(TRIM(Working_Sales[[#This Row],[Date]]))</f>
        <v>December 24, 2023</v>
      </c>
      <c r="E915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915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91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45284</v>
      </c>
      <c r="H915" t="s">
        <v>329</v>
      </c>
      <c r="I915" s="2" t="str">
        <f>CLEAN(TRIM(Working_Sales[[#This Row],[Customer ID]]))</f>
        <v>CUST154</v>
      </c>
      <c r="J91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CUST154</v>
      </c>
      <c r="K91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CUST154</v>
      </c>
      <c r="L915" t="s">
        <v>140</v>
      </c>
      <c r="M915" s="4" t="str">
        <f>CLEAN(TRIM(Working_Sales[[#This Row],[Gender]]))</f>
        <v>FEMALE</v>
      </c>
      <c r="N915" s="4" t="str" cm="1">
        <f t="array" ref="N915">_xlfn.SWITCH(
   Working_Sales[[#This Row],[Gender_Whitespace_Removed]],
   "m", "Male",
   "f", "Female",
   Working_Sales[[#This Row],[Gender_Whitespace_Removed]]
)</f>
        <v>FEMALE</v>
      </c>
      <c r="O915" s="6" t="str">
        <f>PROPER(Working_Sales[[#This Row],[Gender_Abbreviation_Expanded]])</f>
        <v>Female</v>
      </c>
      <c r="P915">
        <v>51</v>
      </c>
      <c r="Q915" s="2" t="str">
        <f>CLEAN(TRIM(Working_Sales[[#This Row],[Age]]))</f>
        <v>51</v>
      </c>
      <c r="R915" s="6">
        <f>INT(SUBSTITUTE(Working_Sales[[#This Row],[Age_Whitespace_Removed]],".",","))</f>
        <v>51</v>
      </c>
      <c r="S915" t="s">
        <v>56</v>
      </c>
      <c r="T915" s="2" t="str">
        <f>CLEAN(TRIM(Working_Sales[[#This Row],[Product Category]]))</f>
        <v>Clothing</v>
      </c>
      <c r="U915" s="6" t="str">
        <f>PROPER(Working_Sales[[#This Row],[Product_Category_Whitespace_Removed]])</f>
        <v>Clothing</v>
      </c>
      <c r="V915" t="s">
        <v>29</v>
      </c>
      <c r="W915" s="2" t="str">
        <f>CLEAN(TRIM(Working_Sales[[#This Row],[Quantity]]))</f>
        <v>3</v>
      </c>
      <c r="X915" s="2">
        <f>INT(Working_Sales[[#This Row],[`]])</f>
        <v>3</v>
      </c>
      <c r="Y915" s="6">
        <f>IFERROR(
   Working_Sales[[#This Row],[Quantity_Converted_To_Integer]],
   Working_Sales[[#This Row],[Total_Amount_Whitespace_Removed]]/Working_Sales[[#This Row],[Price_Per_Unit_Decimal_Separator_Fixed]])</f>
        <v>3</v>
      </c>
      <c r="Z915" t="s">
        <v>15</v>
      </c>
      <c r="AA915" s="2" t="str">
        <f>CLEAN(TRIM(Working_Sales[[#This Row],[Price per Unit]]))</f>
        <v>50</v>
      </c>
      <c r="AB915" s="2">
        <f>INT(
   SUBSTITUTE(Working_Sales[[#This Row],[Price_Per_Unit_Whitespace_Removed]],
   "$",
   ""
   )
)</f>
        <v>50</v>
      </c>
      <c r="AC915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915" s="8">
        <f>IFERROR(
   Working_Sales[[#This Row],[Price_Per_Unit_Decimal_Separator_Fixed]],
   Working_Sales[[#This Row],[Total_Amount_Converted_To_Integer]]/Working_Sales[[#This Row],[Quantity_Converted_To_Integer]]
)</f>
        <v>50</v>
      </c>
      <c r="AE915" t="s">
        <v>130</v>
      </c>
      <c r="AF915" s="2" t="str">
        <f>CLEAN(TRIM(Working_Sales[[#This Row],[Total Amount]]))</f>
        <v>150</v>
      </c>
      <c r="AG915" s="2">
        <f>INT(Working_Sales[[#This Row],[Total_Amount_Whitespace_Removed]])</f>
        <v>150</v>
      </c>
      <c r="AH91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916" spans="1:34" x14ac:dyDescent="0.35">
      <c r="A916" t="s">
        <v>1853</v>
      </c>
      <c r="B916" s="6" t="str">
        <f>CLEAN(TRIM(Working_Sales[[#This Row],[Transaction ID]]))</f>
        <v>992</v>
      </c>
      <c r="C916" t="s">
        <v>339</v>
      </c>
      <c r="D916" s="2" t="str">
        <f>CLEAN(TRIM(Working_Sales[[#This Row],[Date]]))</f>
        <v>2023-08-21</v>
      </c>
      <c r="E91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45159</v>
      </c>
      <c r="F91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45159</v>
      </c>
      <c r="G91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45159</v>
      </c>
      <c r="H916" t="s">
        <v>3063</v>
      </c>
      <c r="I916" s="2" t="str">
        <f>CLEAN(TRIM(Working_Sales[[#This Row],[Customer ID]]))</f>
        <v>CUST486</v>
      </c>
      <c r="J91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CUST486</v>
      </c>
      <c r="K91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CUST486</v>
      </c>
      <c r="L916" t="s">
        <v>26</v>
      </c>
      <c r="M916" s="4" t="str">
        <f>CLEAN(TRIM(Working_Sales[[#This Row],[Gender]]))</f>
        <v>Female</v>
      </c>
      <c r="N916" s="4" t="str" cm="1">
        <f t="array" ref="N916">_xlfn.SWITCH(
   Working_Sales[[#This Row],[Gender_Whitespace_Removed]],
   "m", "Male",
   "f", "Female",
   Working_Sales[[#This Row],[Gender_Whitespace_Removed]]
)</f>
        <v>Female</v>
      </c>
      <c r="O916" s="6" t="str">
        <f>PROPER(Working_Sales[[#This Row],[Gender_Abbreviation_Expanded]])</f>
        <v>Female</v>
      </c>
      <c r="P916">
        <v>57</v>
      </c>
      <c r="Q916" s="2" t="str">
        <f>CLEAN(TRIM(Working_Sales[[#This Row],[Age]]))</f>
        <v>57</v>
      </c>
      <c r="R916" s="6">
        <f>INT(SUBSTITUTE(Working_Sales[[#This Row],[Age_Whitespace_Removed]],".",","))</f>
        <v>57</v>
      </c>
      <c r="S916" t="s">
        <v>13</v>
      </c>
      <c r="T916" s="2" t="str">
        <f>CLEAN(TRIM(Working_Sales[[#This Row],[Product Category]]))</f>
        <v>Electronics</v>
      </c>
      <c r="U916" s="6" t="str">
        <f>PROPER(Working_Sales[[#This Row],[Product_Category_Whitespace_Removed]])</f>
        <v>Electronics</v>
      </c>
      <c r="V916" t="s">
        <v>37</v>
      </c>
      <c r="W916" s="2" t="str">
        <f>CLEAN(TRIM(Working_Sales[[#This Row],[Quantity]]))</f>
        <v>2</v>
      </c>
      <c r="X916" s="2">
        <f>INT(Working_Sales[[#This Row],[`]])</f>
        <v>2</v>
      </c>
      <c r="Y916" s="6">
        <f>IFERROR(
   Working_Sales[[#This Row],[Quantity_Converted_To_Integer]],
   Working_Sales[[#This Row],[Total_Amount_Whitespace_Removed]]/Working_Sales[[#This Row],[Price_Per_Unit_Decimal_Separator_Fixed]])</f>
        <v>2</v>
      </c>
      <c r="Z916" t="s">
        <v>147</v>
      </c>
      <c r="AA916" s="2" t="str">
        <f>CLEAN(TRIM(Working_Sales[[#This Row],[Price per Unit]]))</f>
        <v>$30</v>
      </c>
      <c r="AB916" s="2">
        <f>INT(
   SUBSTITUTE(Working_Sales[[#This Row],[Price_Per_Unit_Whitespace_Removed]],
   "$",
   ""
   )
)</f>
        <v>30</v>
      </c>
      <c r="AC916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916" s="8">
        <f>IFERROR(
   Working_Sales[[#This Row],[Price_Per_Unit_Decimal_Separator_Fixed]],
   Working_Sales[[#This Row],[Total_Amount_Converted_To_Integer]]/Working_Sales[[#This Row],[Quantity_Converted_To_Integer]]
)</f>
        <v>30</v>
      </c>
      <c r="AE916" t="s">
        <v>71</v>
      </c>
      <c r="AF916" s="2" t="str">
        <f>CLEAN(TRIM(Working_Sales[[#This Row],[Total Amount]]))</f>
        <v>60</v>
      </c>
      <c r="AG916" s="2">
        <f>INT(Working_Sales[[#This Row],[Total_Amount_Whitespace_Removed]])</f>
        <v>60</v>
      </c>
      <c r="AH91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917" spans="1:34" x14ac:dyDescent="0.35">
      <c r="A917" t="s">
        <v>1854</v>
      </c>
      <c r="B917" s="6" t="str">
        <f>CLEAN(TRIM(Working_Sales[[#This Row],[Transaction ID]]))</f>
        <v>517</v>
      </c>
      <c r="C917" t="s">
        <v>953</v>
      </c>
      <c r="D917" s="2" t="str">
        <f>CLEAN(TRIM(Working_Sales[[#This Row],[Date]]))</f>
        <v>2023-04-08</v>
      </c>
      <c r="E91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45024</v>
      </c>
      <c r="F91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45024</v>
      </c>
      <c r="G91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45024</v>
      </c>
      <c r="H917" t="s">
        <v>3064</v>
      </c>
      <c r="I917" s="2" t="str">
        <f>CLEAN(TRIM(Working_Sales[[#This Row],[Customer ID]]))</f>
        <v>cust095</v>
      </c>
      <c r="J91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1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CUST095</v>
      </c>
      <c r="L917" t="s">
        <v>26</v>
      </c>
      <c r="M917" s="4" t="str">
        <f>CLEAN(TRIM(Working_Sales[[#This Row],[Gender]]))</f>
        <v>Female</v>
      </c>
      <c r="N917" s="4" t="str" cm="1">
        <f t="array" ref="N917">_xlfn.SWITCH(
   Working_Sales[[#This Row],[Gender_Whitespace_Removed]],
   "m", "Male",
   "f", "Female",
   Working_Sales[[#This Row],[Gender_Whitespace_Removed]]
)</f>
        <v>Female</v>
      </c>
      <c r="O917" s="6" t="str">
        <f>PROPER(Working_Sales[[#This Row],[Gender_Abbreviation_Expanded]])</f>
        <v>Female</v>
      </c>
      <c r="P917">
        <v>47</v>
      </c>
      <c r="Q917" s="2" t="str">
        <f>CLEAN(TRIM(Working_Sales[[#This Row],[Age]]))</f>
        <v>47</v>
      </c>
      <c r="R917" s="6">
        <f>INT(SUBSTITUTE(Working_Sales[[#This Row],[Age_Whitespace_Removed]],".",","))</f>
        <v>47</v>
      </c>
      <c r="S917" t="s">
        <v>400</v>
      </c>
      <c r="T917" s="2" t="str">
        <f>CLEAN(TRIM(Working_Sales[[#This Row],[Product Category]]))</f>
        <v>Clothing</v>
      </c>
      <c r="U917" s="6" t="str">
        <f>PROPER(Working_Sales[[#This Row],[Product_Category_Whitespace_Removed]])</f>
        <v>Clothing</v>
      </c>
      <c r="V917" t="s">
        <v>14</v>
      </c>
      <c r="W917" s="2" t="str">
        <f>CLEAN(TRIM(Working_Sales[[#This Row],[Quantity]]))</f>
        <v>4</v>
      </c>
      <c r="X917" s="2">
        <f>INT(Working_Sales[[#This Row],[`]])</f>
        <v>4</v>
      </c>
      <c r="Y917" s="6">
        <f>IFERROR(
   Working_Sales[[#This Row],[Quantity_Converted_To_Integer]],
   Working_Sales[[#This Row],[Total_Amount_Whitespace_Removed]]/Working_Sales[[#This Row],[Price_Per_Unit_Decimal_Separator_Fixed]])</f>
        <v>4</v>
      </c>
      <c r="Z917" t="s">
        <v>30</v>
      </c>
      <c r="AA917" s="2" t="str">
        <f>CLEAN(TRIM(Working_Sales[[#This Row],[Price per Unit]]))</f>
        <v>25</v>
      </c>
      <c r="AB917" s="2">
        <f>INT(
   SUBSTITUTE(Working_Sales[[#This Row],[Price_Per_Unit_Whitespace_Removed]],
   "$",
   ""
   )
)</f>
        <v>25</v>
      </c>
      <c r="AC917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917" s="8">
        <f>IFERROR(
   Working_Sales[[#This Row],[Price_Per_Unit_Decimal_Separator_Fixed]],
   Working_Sales[[#This Row],[Total_Amount_Converted_To_Integer]]/Working_Sales[[#This Row],[Quantity_Converted_To_Integer]]
)</f>
        <v>25</v>
      </c>
      <c r="AE917" t="s">
        <v>38</v>
      </c>
      <c r="AF917" s="2" t="str">
        <f>CLEAN(TRIM(Working_Sales[[#This Row],[Total Amount]]))</f>
        <v>100</v>
      </c>
      <c r="AG917" s="2">
        <f>INT(Working_Sales[[#This Row],[Total_Amount_Whitespace_Removed]])</f>
        <v>100</v>
      </c>
      <c r="AH91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918" spans="1:34" x14ac:dyDescent="0.35">
      <c r="A918" t="s">
        <v>1855</v>
      </c>
      <c r="B918" s="6" t="str">
        <f>CLEAN(TRIM(Working_Sales[[#This Row],[Transaction ID]]))</f>
        <v>924</v>
      </c>
      <c r="C918" t="s">
        <v>2127</v>
      </c>
      <c r="D918" s="2" t="str">
        <f>CLEAN(TRIM(Working_Sales[[#This Row],[Date]]))</f>
        <v>29-Aug-2023</v>
      </c>
      <c r="E91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45167</v>
      </c>
      <c r="F91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45167</v>
      </c>
      <c r="G91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45167</v>
      </c>
      <c r="H918" t="s">
        <v>2565</v>
      </c>
      <c r="I918" s="2" t="str">
        <f>CLEAN(TRIM(Working_Sales[[#This Row],[Customer ID]]))</f>
        <v>cust044</v>
      </c>
      <c r="J91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1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CUST044</v>
      </c>
      <c r="L918" t="s">
        <v>20</v>
      </c>
      <c r="M918" s="4" t="str">
        <f>CLEAN(TRIM(Working_Sales[[#This Row],[Gender]]))</f>
        <v>male</v>
      </c>
      <c r="N918" s="4" t="str" cm="1">
        <f t="array" ref="N918">_xlfn.SWITCH(
   Working_Sales[[#This Row],[Gender_Whitespace_Removed]],
   "m", "Male",
   "f", "Female",
   Working_Sales[[#This Row],[Gender_Whitespace_Removed]]
)</f>
        <v>male</v>
      </c>
      <c r="O918" s="6" t="str">
        <f>PROPER(Working_Sales[[#This Row],[Gender_Abbreviation_Expanded]])</f>
        <v>Male</v>
      </c>
      <c r="P918">
        <v>55</v>
      </c>
      <c r="Q918" s="2" t="str">
        <f>CLEAN(TRIM(Working_Sales[[#This Row],[Age]]))</f>
        <v>55</v>
      </c>
      <c r="R918" s="6">
        <f>INT(SUBSTITUTE(Working_Sales[[#This Row],[Age_Whitespace_Removed]],".",","))</f>
        <v>55</v>
      </c>
      <c r="S918" t="s">
        <v>36</v>
      </c>
      <c r="T918" s="2" t="str">
        <f>CLEAN(TRIM(Working_Sales[[#This Row],[Product Category]]))</f>
        <v>Beauty</v>
      </c>
      <c r="U918" s="6" t="str">
        <f>PROPER(Working_Sales[[#This Row],[Product_Category_Whitespace_Removed]])</f>
        <v>Beauty</v>
      </c>
      <c r="V918" t="s">
        <v>37</v>
      </c>
      <c r="W918" s="2" t="str">
        <f>CLEAN(TRIM(Working_Sales[[#This Row],[Quantity]]))</f>
        <v>2</v>
      </c>
      <c r="X918" s="2">
        <f>INT(Working_Sales[[#This Row],[`]])</f>
        <v>2</v>
      </c>
      <c r="Y918" s="6">
        <f>IFERROR(
   Working_Sales[[#This Row],[Quantity_Converted_To_Integer]],
   Working_Sales[[#This Row],[Total_Amount_Whitespace_Removed]]/Working_Sales[[#This Row],[Price_Per_Unit_Decimal_Separator_Fixed]])</f>
        <v>2</v>
      </c>
      <c r="Z918" t="s">
        <v>75</v>
      </c>
      <c r="AA918" s="2" t="str">
        <f>CLEAN(TRIM(Working_Sales[[#This Row],[Price per Unit]]))</f>
        <v>50</v>
      </c>
      <c r="AB918" s="2">
        <f>INT(
   SUBSTITUTE(Working_Sales[[#This Row],[Price_Per_Unit_Whitespace_Removed]],
   "$",
   ""
   )
)</f>
        <v>50</v>
      </c>
      <c r="AC918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918" s="8">
        <f>IFERROR(
   Working_Sales[[#This Row],[Price_Per_Unit_Decimal_Separator_Fixed]],
   Working_Sales[[#This Row],[Total_Amount_Converted_To_Integer]]/Working_Sales[[#This Row],[Quantity_Converted_To_Integer]]
)</f>
        <v>50</v>
      </c>
      <c r="AE918" t="s">
        <v>38</v>
      </c>
      <c r="AF918" s="2" t="str">
        <f>CLEAN(TRIM(Working_Sales[[#This Row],[Total Amount]]))</f>
        <v>100</v>
      </c>
      <c r="AG918" s="2">
        <f>INT(Working_Sales[[#This Row],[Total_Amount_Whitespace_Removed]])</f>
        <v>100</v>
      </c>
      <c r="AH91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919" spans="1:34" x14ac:dyDescent="0.35">
      <c r="A919" t="s">
        <v>246</v>
      </c>
      <c r="B919" s="6" t="str">
        <f>CLEAN(TRIM(Working_Sales[[#This Row],[Transaction ID]]))</f>
        <v>20</v>
      </c>
      <c r="C919" t="s">
        <v>1856</v>
      </c>
      <c r="D919" s="2" t="str">
        <f>CLEAN(TRIM(Working_Sales[[#This Row],[Date]]))</f>
        <v>2023-11-05</v>
      </c>
      <c r="E91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45235</v>
      </c>
      <c r="F91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45235</v>
      </c>
      <c r="G91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45235</v>
      </c>
      <c r="H919" t="s">
        <v>2372</v>
      </c>
      <c r="I919" s="2" t="str">
        <f>CLEAN(TRIM(Working_Sales[[#This Row],[Customer ID]]))</f>
        <v>cust058</v>
      </c>
      <c r="J91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1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CUST058</v>
      </c>
      <c r="L919" t="s">
        <v>34</v>
      </c>
      <c r="M919" s="4" t="str">
        <f>CLEAN(TRIM(Working_Sales[[#This Row],[Gender]]))</f>
        <v>Male</v>
      </c>
      <c r="N919" s="4" t="str" cm="1">
        <f t="array" ref="N919">_xlfn.SWITCH(
   Working_Sales[[#This Row],[Gender_Whitespace_Removed]],
   "m", "Male",
   "f", "Female",
   Working_Sales[[#This Row],[Gender_Whitespace_Removed]]
)</f>
        <v>Male</v>
      </c>
      <c r="O919" s="6" t="str">
        <f>PROPER(Working_Sales[[#This Row],[Gender_Abbreviation_Expanded]])</f>
        <v>Male</v>
      </c>
      <c r="P919">
        <v>22</v>
      </c>
      <c r="Q919" s="2" t="str">
        <f>CLEAN(TRIM(Working_Sales[[#This Row],[Age]]))</f>
        <v>22</v>
      </c>
      <c r="R919" s="6">
        <f>INT(SUBSTITUTE(Working_Sales[[#This Row],[Age_Whitespace_Removed]],".",","))</f>
        <v>22</v>
      </c>
      <c r="S919" t="s">
        <v>400</v>
      </c>
      <c r="T919" s="2" t="str">
        <f>CLEAN(TRIM(Working_Sales[[#This Row],[Product Category]]))</f>
        <v>Clothing</v>
      </c>
      <c r="U919" s="6" t="str">
        <f>PROPER(Working_Sales[[#This Row],[Product_Category_Whitespace_Removed]])</f>
        <v>Clothing</v>
      </c>
      <c r="V919" t="s">
        <v>29</v>
      </c>
      <c r="W919" s="2" t="str">
        <f>CLEAN(TRIM(Working_Sales[[#This Row],[Quantity]]))</f>
        <v>3</v>
      </c>
      <c r="X919" s="2">
        <f>INT(Working_Sales[[#This Row],[`]])</f>
        <v>3</v>
      </c>
      <c r="Y919" s="6">
        <f>IFERROR(
   Working_Sales[[#This Row],[Quantity_Converted_To_Integer]],
   Working_Sales[[#This Row],[Total_Amount_Whitespace_Removed]]/Working_Sales[[#This Row],[Price_Per_Unit_Decimal_Separator_Fixed]])</f>
        <v>3</v>
      </c>
      <c r="Z919" t="s">
        <v>23</v>
      </c>
      <c r="AA919" s="2" t="str">
        <f>CLEAN(TRIM(Working_Sales[[#This Row],[Price per Unit]]))</f>
        <v>300</v>
      </c>
      <c r="AB919" s="2">
        <f>INT(
   SUBSTITUTE(Working_Sales[[#This Row],[Price_Per_Unit_Whitespace_Removed]],
   "$",
   ""
   )
)</f>
        <v>300</v>
      </c>
      <c r="AC919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919" s="8">
        <f>IFERROR(
   Working_Sales[[#This Row],[Price_Per_Unit_Decimal_Separator_Fixed]],
   Working_Sales[[#This Row],[Total_Amount_Converted_To_Integer]]/Working_Sales[[#This Row],[Quantity_Converted_To_Integer]]
)</f>
        <v>300</v>
      </c>
      <c r="AE919" t="s">
        <v>128</v>
      </c>
      <c r="AF919" s="2" t="str">
        <f>CLEAN(TRIM(Working_Sales[[#This Row],[Total Amount]]))</f>
        <v>900</v>
      </c>
      <c r="AG919" s="2">
        <f>INT(Working_Sales[[#This Row],[Total_Amount_Whitespace_Removed]])</f>
        <v>900</v>
      </c>
      <c r="AH91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920" spans="1:34" x14ac:dyDescent="0.35">
      <c r="A920" t="s">
        <v>1857</v>
      </c>
      <c r="B920" s="6" t="str">
        <f>CLEAN(TRIM(Working_Sales[[#This Row],[Transaction ID]]))</f>
        <v>959</v>
      </c>
      <c r="C920" t="s">
        <v>1688</v>
      </c>
      <c r="D920" s="2" t="str">
        <f>CLEAN(TRIM(Working_Sales[[#This Row],[Date]]))</f>
        <v>29/10/2023</v>
      </c>
      <c r="E92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45228</v>
      </c>
      <c r="F92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45228</v>
      </c>
      <c r="G92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45228</v>
      </c>
      <c r="H920" t="s">
        <v>2627</v>
      </c>
      <c r="I920" s="2" t="str">
        <f>CLEAN(TRIM(Working_Sales[[#This Row],[Customer ID]]))</f>
        <v>Cust281</v>
      </c>
      <c r="J92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2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CUST281</v>
      </c>
      <c r="L920" t="s">
        <v>26</v>
      </c>
      <c r="M920" s="4" t="str">
        <f>CLEAN(TRIM(Working_Sales[[#This Row],[Gender]]))</f>
        <v>Female</v>
      </c>
      <c r="N920" s="4" t="str" cm="1">
        <f t="array" ref="N920">_xlfn.SWITCH(
   Working_Sales[[#This Row],[Gender_Whitespace_Removed]],
   "m", "Male",
   "f", "Female",
   Working_Sales[[#This Row],[Gender_Whitespace_Removed]]
)</f>
        <v>Female</v>
      </c>
      <c r="O920" s="6" t="str">
        <f>PROPER(Working_Sales[[#This Row],[Gender_Abbreviation_Expanded]])</f>
        <v>Female</v>
      </c>
      <c r="P920">
        <v>42</v>
      </c>
      <c r="Q920" s="2" t="str">
        <f>CLEAN(TRIM(Working_Sales[[#This Row],[Age]]))</f>
        <v>42</v>
      </c>
      <c r="R920" s="6">
        <f>INT(SUBSTITUTE(Working_Sales[[#This Row],[Age_Whitespace_Removed]],".",","))</f>
        <v>42</v>
      </c>
      <c r="S920" t="s">
        <v>13</v>
      </c>
      <c r="T920" s="2" t="str">
        <f>CLEAN(TRIM(Working_Sales[[#This Row],[Product Category]]))</f>
        <v>Electronics</v>
      </c>
      <c r="U920" s="6" t="str">
        <f>PROPER(Working_Sales[[#This Row],[Product_Category_Whitespace_Removed]])</f>
        <v>Electronics</v>
      </c>
      <c r="V920" t="s">
        <v>37</v>
      </c>
      <c r="W920" s="2" t="str">
        <f>CLEAN(TRIM(Working_Sales[[#This Row],[Quantity]]))</f>
        <v>2</v>
      </c>
      <c r="X920" s="2">
        <f>INT(Working_Sales[[#This Row],[`]])</f>
        <v>2</v>
      </c>
      <c r="Y920" s="6">
        <f>IFERROR(
   Working_Sales[[#This Row],[Quantity_Converted_To_Integer]],
   Working_Sales[[#This Row],[Total_Amount_Whitespace_Removed]]/Working_Sales[[#This Row],[Price_Per_Unit_Decimal_Separator_Fixed]])</f>
        <v>2</v>
      </c>
      <c r="Z920" t="s">
        <v>70</v>
      </c>
      <c r="AA920" s="2" t="str">
        <f>CLEAN(TRIM(Working_Sales[[#This Row],[Price per Unit]]))</f>
        <v>30</v>
      </c>
      <c r="AB920" s="2">
        <f>INT(
   SUBSTITUTE(Working_Sales[[#This Row],[Price_Per_Unit_Whitespace_Removed]],
   "$",
   ""
   )
)</f>
        <v>30</v>
      </c>
      <c r="AC920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920" s="8">
        <f>IFERROR(
   Working_Sales[[#This Row],[Price_Per_Unit_Decimal_Separator_Fixed]],
   Working_Sales[[#This Row],[Total_Amount_Converted_To_Integer]]/Working_Sales[[#This Row],[Quantity_Converted_To_Integer]]
)</f>
        <v>30</v>
      </c>
      <c r="AE920" t="s">
        <v>71</v>
      </c>
      <c r="AF920" s="2" t="str">
        <f>CLEAN(TRIM(Working_Sales[[#This Row],[Total Amount]]))</f>
        <v>60</v>
      </c>
      <c r="AG920" s="2">
        <f>INT(Working_Sales[[#This Row],[Total_Amount_Whitespace_Removed]])</f>
        <v>60</v>
      </c>
      <c r="AH92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921" spans="1:34" x14ac:dyDescent="0.35">
      <c r="A921" t="s">
        <v>1858</v>
      </c>
      <c r="B921" s="6" t="str">
        <f>CLEAN(TRIM(Working_Sales[[#This Row],[Transaction ID]]))</f>
        <v>220</v>
      </c>
      <c r="C921" t="s">
        <v>1824</v>
      </c>
      <c r="D921" s="2" t="str">
        <f>CLEAN(TRIM(Working_Sales[[#This Row],[Date]]))</f>
        <v>2023-03-03</v>
      </c>
      <c r="E92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44988</v>
      </c>
      <c r="F92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44988</v>
      </c>
      <c r="G92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44988</v>
      </c>
      <c r="H921" t="s">
        <v>3065</v>
      </c>
      <c r="I921" s="2" t="str">
        <f>CLEAN(TRIM(Working_Sales[[#This Row],[Customer ID]]))</f>
        <v>CUST028</v>
      </c>
      <c r="J92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CUST028</v>
      </c>
      <c r="K92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CUST028</v>
      </c>
      <c r="L921" t="s">
        <v>34</v>
      </c>
      <c r="M921" s="4" t="str">
        <f>CLEAN(TRIM(Working_Sales[[#This Row],[Gender]]))</f>
        <v>Male</v>
      </c>
      <c r="N921" s="4" t="str" cm="1">
        <f t="array" ref="N921">_xlfn.SWITCH(
   Working_Sales[[#This Row],[Gender_Whitespace_Removed]],
   "m", "Male",
   "f", "Female",
   Working_Sales[[#This Row],[Gender_Whitespace_Removed]]
)</f>
        <v>Male</v>
      </c>
      <c r="O921" s="6" t="str">
        <f>PROPER(Working_Sales[[#This Row],[Gender_Abbreviation_Expanded]])</f>
        <v>Male</v>
      </c>
      <c r="P921">
        <v>64</v>
      </c>
      <c r="Q921" s="2" t="str">
        <f>CLEAN(TRIM(Working_Sales[[#This Row],[Age]]))</f>
        <v>64</v>
      </c>
      <c r="R921" s="6">
        <f>INT(SUBSTITUTE(Working_Sales[[#This Row],[Age_Whitespace_Removed]],".",","))</f>
        <v>64</v>
      </c>
      <c r="S921" t="s">
        <v>62</v>
      </c>
      <c r="T921" s="2" t="str">
        <f>CLEAN(TRIM(Working_Sales[[#This Row],[Product Category]]))</f>
        <v>beauty</v>
      </c>
      <c r="U921" s="6" t="str">
        <f>PROPER(Working_Sales[[#This Row],[Product_Category_Whitespace_Removed]])</f>
        <v>Beauty</v>
      </c>
      <c r="V921" t="s">
        <v>22</v>
      </c>
      <c r="W921" s="2" t="str">
        <f>CLEAN(TRIM(Working_Sales[[#This Row],[Quantity]]))</f>
        <v>1</v>
      </c>
      <c r="X921" s="2">
        <f>INT(Working_Sales[[#This Row],[`]])</f>
        <v>1</v>
      </c>
      <c r="Y921" s="6">
        <f>IFERROR(
   Working_Sales[[#This Row],[Quantity_Converted_To_Integer]],
   Working_Sales[[#This Row],[Total_Amount_Whitespace_Removed]]/Working_Sales[[#This Row],[Price_Per_Unit_Decimal_Separator_Fixed]])</f>
        <v>1</v>
      </c>
      <c r="Z921" t="s">
        <v>57</v>
      </c>
      <c r="AA921" s="2" t="str">
        <f>CLEAN(TRIM(Working_Sales[[#This Row],[Price per Unit]]))</f>
        <v>500</v>
      </c>
      <c r="AB921" s="2">
        <f>INT(
   SUBSTITUTE(Working_Sales[[#This Row],[Price_Per_Unit_Whitespace_Removed]],
   "$",
   ""
   )
)</f>
        <v>500</v>
      </c>
      <c r="AC921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921" s="8">
        <f>IFERROR(
   Working_Sales[[#This Row],[Price_Per_Unit_Decimal_Separator_Fixed]],
   Working_Sales[[#This Row],[Total_Amount_Converted_To_Integer]]/Working_Sales[[#This Row],[Quantity_Converted_To_Integer]]
)</f>
        <v>500</v>
      </c>
      <c r="AE921" t="s">
        <v>57</v>
      </c>
      <c r="AF921" s="2" t="str">
        <f>CLEAN(TRIM(Working_Sales[[#This Row],[Total Amount]]))</f>
        <v>500</v>
      </c>
      <c r="AG921" s="2">
        <f>INT(Working_Sales[[#This Row],[Total_Amount_Whitespace_Removed]])</f>
        <v>500</v>
      </c>
      <c r="AH92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922" spans="1:34" x14ac:dyDescent="0.35">
      <c r="A922" t="s">
        <v>1860</v>
      </c>
      <c r="B922" s="6" t="str">
        <f>CLEAN(TRIM(Working_Sales[[#This Row],[Transaction ID]]))</f>
        <v>892</v>
      </c>
      <c r="C922" t="s">
        <v>263</v>
      </c>
      <c r="D922" s="2" t="str">
        <f>CLEAN(TRIM(Working_Sales[[#This Row],[Date]]))</f>
        <v>2023-04-09</v>
      </c>
      <c r="E92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45025</v>
      </c>
      <c r="F92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45025</v>
      </c>
      <c r="G92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45025</v>
      </c>
      <c r="H922" t="s">
        <v>3066</v>
      </c>
      <c r="I922" s="2" t="str">
        <f>CLEAN(TRIM(Working_Sales[[#This Row],[Customer ID]]))</f>
        <v>Cust171</v>
      </c>
      <c r="J92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2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CUST171</v>
      </c>
      <c r="L922" t="s">
        <v>34</v>
      </c>
      <c r="M922" s="4" t="str">
        <f>CLEAN(TRIM(Working_Sales[[#This Row],[Gender]]))</f>
        <v>Male</v>
      </c>
      <c r="N922" s="4" t="str" cm="1">
        <f t="array" ref="N922">_xlfn.SWITCH(
   Working_Sales[[#This Row],[Gender_Whitespace_Removed]],
   "m", "Male",
   "f", "Female",
   Working_Sales[[#This Row],[Gender_Whitespace_Removed]]
)</f>
        <v>Male</v>
      </c>
      <c r="O922" s="6" t="str">
        <f>PROPER(Working_Sales[[#This Row],[Gender_Abbreviation_Expanded]])</f>
        <v>Male</v>
      </c>
      <c r="P922">
        <v>20</v>
      </c>
      <c r="Q922" s="2" t="str">
        <f>CLEAN(TRIM(Working_Sales[[#This Row],[Age]]))</f>
        <v>20</v>
      </c>
      <c r="R922" s="6">
        <f>INT(SUBSTITUTE(Working_Sales[[#This Row],[Age_Whitespace_Removed]],".",","))</f>
        <v>20</v>
      </c>
      <c r="S922" t="s">
        <v>13</v>
      </c>
      <c r="T922" s="2" t="str">
        <f>CLEAN(TRIM(Working_Sales[[#This Row],[Product Category]]))</f>
        <v>Electronics</v>
      </c>
      <c r="U922" s="6" t="str">
        <f>PROPER(Working_Sales[[#This Row],[Product_Category_Whitespace_Removed]])</f>
        <v>Electronics</v>
      </c>
      <c r="V922" t="s">
        <v>22</v>
      </c>
      <c r="W922" s="2" t="str">
        <f>CLEAN(TRIM(Working_Sales[[#This Row],[Quantity]]))</f>
        <v>1</v>
      </c>
      <c r="X922" s="2">
        <f>INT(Working_Sales[[#This Row],[`]])</f>
        <v>1</v>
      </c>
      <c r="Y922" s="6">
        <f>IFERROR(
   Working_Sales[[#This Row],[Quantity_Converted_To_Integer]],
   Working_Sales[[#This Row],[Total_Amount_Whitespace_Removed]]/Working_Sales[[#This Row],[Price_Per_Unit_Decimal_Separator_Fixed]])</f>
        <v>1</v>
      </c>
      <c r="Z922" t="s">
        <v>15</v>
      </c>
      <c r="AA922" s="2" t="str">
        <f>CLEAN(TRIM(Working_Sales[[#This Row],[Price per Unit]]))</f>
        <v>50</v>
      </c>
      <c r="AB922" s="2">
        <f>INT(
   SUBSTITUTE(Working_Sales[[#This Row],[Price_Per_Unit_Whitespace_Removed]],
   "$",
   ""
   )
)</f>
        <v>50</v>
      </c>
      <c r="AC922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922" s="8">
        <f>IFERROR(
   Working_Sales[[#This Row],[Price_Per_Unit_Decimal_Separator_Fixed]],
   Working_Sales[[#This Row],[Total_Amount_Converted_To_Integer]]/Working_Sales[[#This Row],[Quantity_Converted_To_Integer]]
)</f>
        <v>50</v>
      </c>
      <c r="AE922" t="s">
        <v>15</v>
      </c>
      <c r="AF922" s="2" t="str">
        <f>CLEAN(TRIM(Working_Sales[[#This Row],[Total Amount]]))</f>
        <v>50</v>
      </c>
      <c r="AG922" s="2">
        <f>INT(Working_Sales[[#This Row],[Total_Amount_Whitespace_Removed]])</f>
        <v>50</v>
      </c>
      <c r="AH92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923" spans="1:34" x14ac:dyDescent="0.35">
      <c r="A923" t="s">
        <v>1861</v>
      </c>
      <c r="B923" s="6" t="str">
        <f>CLEAN(TRIM(Working_Sales[[#This Row],[Transaction ID]]))</f>
        <v>482</v>
      </c>
      <c r="C923" t="s">
        <v>1862</v>
      </c>
      <c r="D923" s="2" t="str">
        <f>CLEAN(TRIM(Working_Sales[[#This Row],[Date]]))</f>
        <v>2023-04-27</v>
      </c>
      <c r="E92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45043</v>
      </c>
      <c r="F92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45043</v>
      </c>
      <c r="G92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45043</v>
      </c>
      <c r="H923" t="s">
        <v>3068</v>
      </c>
      <c r="I923" s="2" t="str">
        <f>CLEAN(TRIM(Working_Sales[[#This Row],[Customer ID]]))</f>
        <v>CUST487</v>
      </c>
      <c r="J92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2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CUST487</v>
      </c>
      <c r="L923" t="s">
        <v>26</v>
      </c>
      <c r="M923" s="4" t="str">
        <f>CLEAN(TRIM(Working_Sales[[#This Row],[Gender]]))</f>
        <v>Female</v>
      </c>
      <c r="N923" s="4" t="str" cm="1">
        <f t="array" ref="N923">_xlfn.SWITCH(
   Working_Sales[[#This Row],[Gender_Whitespace_Removed]],
   "m", "Male",
   "f", "Female",
   Working_Sales[[#This Row],[Gender_Whitespace_Removed]]
)</f>
        <v>Female</v>
      </c>
      <c r="O923" s="6" t="str">
        <f>PROPER(Working_Sales[[#This Row],[Gender_Abbreviation_Expanded]])</f>
        <v>Female</v>
      </c>
      <c r="P923">
        <v>28</v>
      </c>
      <c r="Q923" s="2" t="str">
        <f>CLEAN(TRIM(Working_Sales[[#This Row],[Age]]))</f>
        <v>28</v>
      </c>
      <c r="R923" s="6">
        <f>INT(SUBSTITUTE(Working_Sales[[#This Row],[Age_Whitespace_Removed]],".",","))</f>
        <v>28</v>
      </c>
      <c r="S923" t="s">
        <v>28</v>
      </c>
      <c r="T923" s="2" t="str">
        <f>CLEAN(TRIM(Working_Sales[[#This Row],[Product Category]]))</f>
        <v>clothing</v>
      </c>
      <c r="U923" s="6" t="str">
        <f>PROPER(Working_Sales[[#This Row],[Product_Category_Whitespace_Removed]])</f>
        <v>Clothing</v>
      </c>
      <c r="V923" t="s">
        <v>14</v>
      </c>
      <c r="W923" s="2" t="str">
        <f>CLEAN(TRIM(Working_Sales[[#This Row],[Quantity]]))</f>
        <v>4</v>
      </c>
      <c r="X923" s="2">
        <f>INT(Working_Sales[[#This Row],[`]])</f>
        <v>4</v>
      </c>
      <c r="Y923" s="6">
        <f>IFERROR(
   Working_Sales[[#This Row],[Quantity_Converted_To_Integer]],
   Working_Sales[[#This Row],[Total_Amount_Whitespace_Removed]]/Working_Sales[[#This Row],[Price_Per_Unit_Decimal_Separator_Fixed]])</f>
        <v>4</v>
      </c>
      <c r="Z923" t="s">
        <v>23</v>
      </c>
      <c r="AA923" s="2" t="str">
        <f>CLEAN(TRIM(Working_Sales[[#This Row],[Price per Unit]]))</f>
        <v>300</v>
      </c>
      <c r="AB923" s="2">
        <f>INT(
   SUBSTITUTE(Working_Sales[[#This Row],[Price_Per_Unit_Whitespace_Removed]],
   "$",
   ""
   )
)</f>
        <v>300</v>
      </c>
      <c r="AC923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923" s="8">
        <f>IFERROR(
   Working_Sales[[#This Row],[Price_Per_Unit_Decimal_Separator_Fixed]],
   Working_Sales[[#This Row],[Total_Amount_Converted_To_Integer]]/Working_Sales[[#This Row],[Quantity_Converted_To_Integer]]
)</f>
        <v>300</v>
      </c>
      <c r="AE923" t="s">
        <v>79</v>
      </c>
      <c r="AF923" s="2" t="str">
        <f>CLEAN(TRIM(Working_Sales[[#This Row],[Total Amount]]))</f>
        <v>1200</v>
      </c>
      <c r="AG923" s="2">
        <f>INT(Working_Sales[[#This Row],[Total_Amount_Whitespace_Removed]])</f>
        <v>1200</v>
      </c>
      <c r="AH92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924" spans="1:34" x14ac:dyDescent="0.35">
      <c r="A924" t="s">
        <v>1864</v>
      </c>
      <c r="B924" s="6" t="str">
        <f>CLEAN(TRIM(Working_Sales[[#This Row],[Transaction ID]]))</f>
        <v>932</v>
      </c>
      <c r="C924" t="s">
        <v>1865</v>
      </c>
      <c r="D924" s="2" t="str">
        <f>CLEAN(TRIM(Working_Sales[[#This Row],[Date]]))</f>
        <v>02/28/2023</v>
      </c>
      <c r="E924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92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44985</v>
      </c>
      <c r="G92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44985</v>
      </c>
      <c r="H924" t="s">
        <v>3069</v>
      </c>
      <c r="I924" s="2" t="str">
        <f>CLEAN(TRIM(Working_Sales[[#This Row],[Customer ID]]))</f>
        <v>cust052</v>
      </c>
      <c r="J92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2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CUST052</v>
      </c>
      <c r="L924" t="s">
        <v>112</v>
      </c>
      <c r="M924" s="4" t="str">
        <f>CLEAN(TRIM(Working_Sales[[#This Row],[Gender]]))</f>
        <v>female</v>
      </c>
      <c r="N924" s="4" t="str" cm="1">
        <f t="array" ref="N924">_xlfn.SWITCH(
   Working_Sales[[#This Row],[Gender_Whitespace_Removed]],
   "m", "Male",
   "f", "Female",
   Working_Sales[[#This Row],[Gender_Whitespace_Removed]]
)</f>
        <v>female</v>
      </c>
      <c r="O924" s="6" t="str">
        <f>PROPER(Working_Sales[[#This Row],[Gender_Abbreviation_Expanded]])</f>
        <v>Female</v>
      </c>
      <c r="P924">
        <v>45</v>
      </c>
      <c r="Q924" s="2" t="str">
        <f>CLEAN(TRIM(Working_Sales[[#This Row],[Age]]))</f>
        <v>45</v>
      </c>
      <c r="R924" s="6">
        <f>INT(SUBSTITUTE(Working_Sales[[#This Row],[Age_Whitespace_Removed]],".",","))</f>
        <v>45</v>
      </c>
      <c r="S924" t="s">
        <v>36</v>
      </c>
      <c r="T924" s="2" t="str">
        <f>CLEAN(TRIM(Working_Sales[[#This Row],[Product Category]]))</f>
        <v>Beauty</v>
      </c>
      <c r="U924" s="6" t="str">
        <f>PROPER(Working_Sales[[#This Row],[Product_Category_Whitespace_Removed]])</f>
        <v>Beauty</v>
      </c>
      <c r="V924" t="s">
        <v>14</v>
      </c>
      <c r="W924" s="2" t="str">
        <f>CLEAN(TRIM(Working_Sales[[#This Row],[Quantity]]))</f>
        <v>4</v>
      </c>
      <c r="X924" s="2">
        <f>INT(Working_Sales[[#This Row],[`]])</f>
        <v>4</v>
      </c>
      <c r="Y924" s="6">
        <f>IFERROR(
   Working_Sales[[#This Row],[Quantity_Converted_To_Integer]],
   Working_Sales[[#This Row],[Total_Amount_Whitespace_Removed]]/Working_Sales[[#This Row],[Price_Per_Unit_Decimal_Separator_Fixed]])</f>
        <v>4</v>
      </c>
      <c r="Z924" t="s">
        <v>30</v>
      </c>
      <c r="AA924" s="2" t="str">
        <f>CLEAN(TRIM(Working_Sales[[#This Row],[Price per Unit]]))</f>
        <v>25</v>
      </c>
      <c r="AB924" s="2">
        <f>INT(
   SUBSTITUTE(Working_Sales[[#This Row],[Price_Per_Unit_Whitespace_Removed]],
   "$",
   ""
   )
)</f>
        <v>25</v>
      </c>
      <c r="AC924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924" s="8">
        <f>IFERROR(
   Working_Sales[[#This Row],[Price_Per_Unit_Decimal_Separator_Fixed]],
   Working_Sales[[#This Row],[Total_Amount_Converted_To_Integer]]/Working_Sales[[#This Row],[Quantity_Converted_To_Integer]]
)</f>
        <v>25</v>
      </c>
      <c r="AE924" t="s">
        <v>38</v>
      </c>
      <c r="AF924" s="2" t="str">
        <f>CLEAN(TRIM(Working_Sales[[#This Row],[Total Amount]]))</f>
        <v>100</v>
      </c>
      <c r="AG924" s="2">
        <f>INT(Working_Sales[[#This Row],[Total_Amount_Whitespace_Removed]])</f>
        <v>100</v>
      </c>
      <c r="AH92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925" spans="1:34" x14ac:dyDescent="0.35">
      <c r="A925" t="s">
        <v>1866</v>
      </c>
      <c r="B925" s="6" t="str">
        <f>CLEAN(TRIM(Working_Sales[[#This Row],[Transaction ID]]))</f>
        <v>357</v>
      </c>
      <c r="C925" t="s">
        <v>361</v>
      </c>
      <c r="D925" s="2" t="str">
        <f>CLEAN(TRIM(Working_Sales[[#This Row],[Date]]))</f>
        <v>May 03, 2023</v>
      </c>
      <c r="E925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925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92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45049</v>
      </c>
      <c r="H925" t="s">
        <v>3070</v>
      </c>
      <c r="I925" s="2" t="str">
        <f>CLEAN(TRIM(Working_Sales[[#This Row],[Customer ID]]))</f>
        <v>CUST320</v>
      </c>
      <c r="J92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2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CUST320</v>
      </c>
      <c r="L925" t="s">
        <v>26</v>
      </c>
      <c r="M925" s="4" t="str">
        <f>CLEAN(TRIM(Working_Sales[[#This Row],[Gender]]))</f>
        <v>Female</v>
      </c>
      <c r="N925" s="4" t="str" cm="1">
        <f t="array" ref="N925">_xlfn.SWITCH(
   Working_Sales[[#This Row],[Gender_Whitespace_Removed]],
   "m", "Male",
   "f", "Female",
   Working_Sales[[#This Row],[Gender_Whitespace_Removed]]
)</f>
        <v>Female</v>
      </c>
      <c r="O925" s="6" t="str">
        <f>PROPER(Working_Sales[[#This Row],[Gender_Abbreviation_Expanded]])</f>
        <v>Female</v>
      </c>
      <c r="P925">
        <v>40</v>
      </c>
      <c r="Q925" s="2" t="str">
        <f>CLEAN(TRIM(Working_Sales[[#This Row],[Age]]))</f>
        <v>40</v>
      </c>
      <c r="R925" s="6">
        <f>INT(SUBSTITUTE(Working_Sales[[#This Row],[Age_Whitespace_Removed]],".",","))</f>
        <v>40</v>
      </c>
      <c r="S925" t="s">
        <v>13</v>
      </c>
      <c r="T925" s="2" t="str">
        <f>CLEAN(TRIM(Working_Sales[[#This Row],[Product Category]]))</f>
        <v>Electronics</v>
      </c>
      <c r="U925" s="6" t="str">
        <f>PROPER(Working_Sales[[#This Row],[Product_Category_Whitespace_Removed]])</f>
        <v>Electronics</v>
      </c>
      <c r="V925" t="s">
        <v>29</v>
      </c>
      <c r="W925" s="2" t="str">
        <f>CLEAN(TRIM(Working_Sales[[#This Row],[Quantity]]))</f>
        <v>3</v>
      </c>
      <c r="X925" s="2">
        <f>INT(Working_Sales[[#This Row],[`]])</f>
        <v>3</v>
      </c>
      <c r="Y925" s="6">
        <f>IFERROR(
   Working_Sales[[#This Row],[Quantity_Converted_To_Integer]],
   Working_Sales[[#This Row],[Total_Amount_Whitespace_Removed]]/Working_Sales[[#This Row],[Price_Per_Unit_Decimal_Separator_Fixed]])</f>
        <v>3</v>
      </c>
      <c r="Z925" t="s">
        <v>30</v>
      </c>
      <c r="AA925" s="2" t="str">
        <f>CLEAN(TRIM(Working_Sales[[#This Row],[Price per Unit]]))</f>
        <v>25</v>
      </c>
      <c r="AB925" s="2">
        <f>INT(
   SUBSTITUTE(Working_Sales[[#This Row],[Price_Per_Unit_Whitespace_Removed]],
   "$",
   ""
   )
)</f>
        <v>25</v>
      </c>
      <c r="AC925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925" s="8">
        <f>IFERROR(
   Working_Sales[[#This Row],[Price_Per_Unit_Decimal_Separator_Fixed]],
   Working_Sales[[#This Row],[Total_Amount_Converted_To_Integer]]/Working_Sales[[#This Row],[Quantity_Converted_To_Integer]]
)</f>
        <v>25</v>
      </c>
      <c r="AE925" t="s">
        <v>31</v>
      </c>
      <c r="AF925" s="2" t="str">
        <f>CLEAN(TRIM(Working_Sales[[#This Row],[Total Amount]]))</f>
        <v>75</v>
      </c>
      <c r="AG925" s="2">
        <f>INT(Working_Sales[[#This Row],[Total_Amount_Whitespace_Removed]])</f>
        <v>75</v>
      </c>
      <c r="AH92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926" spans="1:34" x14ac:dyDescent="0.35">
      <c r="A926" t="s">
        <v>1868</v>
      </c>
      <c r="B926" s="6" t="str">
        <f>CLEAN(TRIM(Working_Sales[[#This Row],[Transaction ID]]))</f>
        <v>662</v>
      </c>
      <c r="C926" t="s">
        <v>1869</v>
      </c>
      <c r="D926" s="2" t="str">
        <f>CLEAN(TRIM(Working_Sales[[#This Row],[Date]]))</f>
        <v>2023-12-22</v>
      </c>
      <c r="E92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45282</v>
      </c>
      <c r="F92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45282</v>
      </c>
      <c r="G92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45282</v>
      </c>
      <c r="H926" t="s">
        <v>1689</v>
      </c>
      <c r="I926" s="2" t="str">
        <f>CLEAN(TRIM(Working_Sales[[#This Row],[Customer ID]]))</f>
        <v>CUST226</v>
      </c>
      <c r="J92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CUST226</v>
      </c>
      <c r="K92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CUST226</v>
      </c>
      <c r="L926" t="s">
        <v>34</v>
      </c>
      <c r="M926" s="4" t="str">
        <f>CLEAN(TRIM(Working_Sales[[#This Row],[Gender]]))</f>
        <v>Male</v>
      </c>
      <c r="N926" s="4" t="str" cm="1">
        <f t="array" ref="N926">_xlfn.SWITCH(
   Working_Sales[[#This Row],[Gender_Whitespace_Removed]],
   "m", "Male",
   "f", "Female",
   Working_Sales[[#This Row],[Gender_Whitespace_Removed]]
)</f>
        <v>Male</v>
      </c>
      <c r="O926" s="6" t="str">
        <f>PROPER(Working_Sales[[#This Row],[Gender_Abbreviation_Expanded]])</f>
        <v>Male</v>
      </c>
      <c r="P926">
        <v>48</v>
      </c>
      <c r="Q926" s="2" t="str">
        <f>CLEAN(TRIM(Working_Sales[[#This Row],[Age]]))</f>
        <v>48</v>
      </c>
      <c r="R926" s="6">
        <f>INT(SUBSTITUTE(Working_Sales[[#This Row],[Age_Whitespace_Removed]],".",","))</f>
        <v>48</v>
      </c>
      <c r="S926" t="s">
        <v>36</v>
      </c>
      <c r="T926" s="2" t="str">
        <f>CLEAN(TRIM(Working_Sales[[#This Row],[Product Category]]))</f>
        <v>Beauty</v>
      </c>
      <c r="U926" s="6" t="str">
        <f>PROPER(Working_Sales[[#This Row],[Product_Category_Whitespace_Removed]])</f>
        <v>Beauty</v>
      </c>
      <c r="V926" t="s">
        <v>37</v>
      </c>
      <c r="W926" s="2" t="str">
        <f>CLEAN(TRIM(Working_Sales[[#This Row],[Quantity]]))</f>
        <v>2</v>
      </c>
      <c r="X926" s="2">
        <f>INT(Working_Sales[[#This Row],[`]])</f>
        <v>2</v>
      </c>
      <c r="Y926" s="6">
        <f>IFERROR(
   Working_Sales[[#This Row],[Quantity_Converted_To_Integer]],
   Working_Sales[[#This Row],[Total_Amount_Whitespace_Removed]]/Working_Sales[[#This Row],[Price_Per_Unit_Decimal_Separator_Fixed]])</f>
        <v>2</v>
      </c>
      <c r="Z926" t="s">
        <v>57</v>
      </c>
      <c r="AA926" s="2" t="str">
        <f>CLEAN(TRIM(Working_Sales[[#This Row],[Price per Unit]]))</f>
        <v>500</v>
      </c>
      <c r="AB926" s="2">
        <f>INT(
   SUBSTITUTE(Working_Sales[[#This Row],[Price_Per_Unit_Whitespace_Removed]],
   "$",
   ""
   )
)</f>
        <v>500</v>
      </c>
      <c r="AC926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926" s="8">
        <f>IFERROR(
   Working_Sales[[#This Row],[Price_Per_Unit_Decimal_Separator_Fixed]],
   Working_Sales[[#This Row],[Total_Amount_Converted_To_Integer]]/Working_Sales[[#This Row],[Quantity_Converted_To_Integer]]
)</f>
        <v>500</v>
      </c>
      <c r="AE926" t="s">
        <v>163</v>
      </c>
      <c r="AF926" s="2" t="str">
        <f>CLEAN(TRIM(Working_Sales[[#This Row],[Total Amount]]))</f>
        <v>1000</v>
      </c>
      <c r="AG926" s="2">
        <f>INT(Working_Sales[[#This Row],[Total_Amount_Whitespace_Removed]])</f>
        <v>1000</v>
      </c>
      <c r="AH92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927" spans="1:34" x14ac:dyDescent="0.35">
      <c r="A927" t="s">
        <v>1870</v>
      </c>
      <c r="B927" s="6" t="str">
        <f>CLEAN(TRIM(Working_Sales[[#This Row],[Transaction ID]]))</f>
        <v>225</v>
      </c>
      <c r="C927" t="s">
        <v>1772</v>
      </c>
      <c r="D927" s="2" t="str">
        <f>CLEAN(TRIM(Working_Sales[[#This Row],[Date]]))</f>
        <v>2023-01-11</v>
      </c>
      <c r="E92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44937</v>
      </c>
      <c r="F92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44937</v>
      </c>
      <c r="G92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44937</v>
      </c>
      <c r="H927" t="s">
        <v>2617</v>
      </c>
      <c r="I927" s="2" t="str">
        <f>CLEAN(TRIM(Working_Sales[[#This Row],[Customer ID]]))</f>
        <v>CUST272</v>
      </c>
      <c r="J92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CUST272</v>
      </c>
      <c r="K92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CUST272</v>
      </c>
      <c r="L927" t="s">
        <v>26</v>
      </c>
      <c r="M927" s="4" t="str">
        <f>CLEAN(TRIM(Working_Sales[[#This Row],[Gender]]))</f>
        <v>Female</v>
      </c>
      <c r="N927" s="4" t="str" cm="1">
        <f t="array" ref="N927">_xlfn.SWITCH(
   Working_Sales[[#This Row],[Gender_Whitespace_Removed]],
   "m", "Male",
   "f", "Female",
   Working_Sales[[#This Row],[Gender_Whitespace_Removed]]
)</f>
        <v>Female</v>
      </c>
      <c r="O927" s="6" t="str">
        <f>PROPER(Working_Sales[[#This Row],[Gender_Abbreviation_Expanded]])</f>
        <v>Female</v>
      </c>
      <c r="P927">
        <v>57</v>
      </c>
      <c r="Q927" s="2" t="str">
        <f>CLEAN(TRIM(Working_Sales[[#This Row],[Age]]))</f>
        <v>57</v>
      </c>
      <c r="R927" s="6">
        <f>INT(SUBSTITUTE(Working_Sales[[#This Row],[Age_Whitespace_Removed]],".",","))</f>
        <v>57</v>
      </c>
      <c r="S927" t="s">
        <v>62</v>
      </c>
      <c r="T927" s="2" t="str">
        <f>CLEAN(TRIM(Working_Sales[[#This Row],[Product Category]]))</f>
        <v>beauty</v>
      </c>
      <c r="U927" s="6" t="str">
        <f>PROPER(Working_Sales[[#This Row],[Product_Category_Whitespace_Removed]])</f>
        <v>Beauty</v>
      </c>
      <c r="V927" t="s">
        <v>14</v>
      </c>
      <c r="W927" s="2" t="str">
        <f>CLEAN(TRIM(Working_Sales[[#This Row],[Quantity]]))</f>
        <v>4</v>
      </c>
      <c r="X927" s="2">
        <f>INT(Working_Sales[[#This Row],[`]])</f>
        <v>4</v>
      </c>
      <c r="Y927" s="6">
        <f>IFERROR(
   Working_Sales[[#This Row],[Quantity_Converted_To_Integer]],
   Working_Sales[[#This Row],[Total_Amount_Whitespace_Removed]]/Working_Sales[[#This Row],[Price_Per_Unit_Decimal_Separator_Fixed]])</f>
        <v>4</v>
      </c>
      <c r="Z927" t="s">
        <v>30</v>
      </c>
      <c r="AA927" s="2" t="str">
        <f>CLEAN(TRIM(Working_Sales[[#This Row],[Price per Unit]]))</f>
        <v>25</v>
      </c>
      <c r="AB927" s="2">
        <f>INT(
   SUBSTITUTE(Working_Sales[[#This Row],[Price_Per_Unit_Whitespace_Removed]],
   "$",
   ""
   )
)</f>
        <v>25</v>
      </c>
      <c r="AC927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927" s="8">
        <f>IFERROR(
   Working_Sales[[#This Row],[Price_Per_Unit_Decimal_Separator_Fixed]],
   Working_Sales[[#This Row],[Total_Amount_Converted_To_Integer]]/Working_Sales[[#This Row],[Quantity_Converted_To_Integer]]
)</f>
        <v>25</v>
      </c>
      <c r="AE927" t="s">
        <v>38</v>
      </c>
      <c r="AF927" s="2" t="str">
        <f>CLEAN(TRIM(Working_Sales[[#This Row],[Total Amount]]))</f>
        <v>100</v>
      </c>
      <c r="AG927" s="2">
        <f>INT(Working_Sales[[#This Row],[Total_Amount_Whitespace_Removed]])</f>
        <v>100</v>
      </c>
      <c r="AH92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928" spans="1:34" x14ac:dyDescent="0.35">
      <c r="A928" t="s">
        <v>1871</v>
      </c>
      <c r="B928" s="6" t="str">
        <f>CLEAN(TRIM(Working_Sales[[#This Row],[Transaction ID]]))</f>
        <v>760</v>
      </c>
      <c r="C928" t="s">
        <v>1299</v>
      </c>
      <c r="D928" s="2" t="str">
        <f>CLEAN(TRIM(Working_Sales[[#This Row],[Date]]))</f>
        <v>2023-03-27</v>
      </c>
      <c r="E92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45012</v>
      </c>
      <c r="F92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45012</v>
      </c>
      <c r="G92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45012</v>
      </c>
      <c r="H928" t="s">
        <v>3071</v>
      </c>
      <c r="I928" s="2" t="str">
        <f>CLEAN(TRIM(Working_Sales[[#This Row],[Customer ID]]))</f>
        <v>CUST280</v>
      </c>
      <c r="J92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2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CUST280</v>
      </c>
      <c r="L928" t="s">
        <v>20</v>
      </c>
      <c r="M928" s="4" t="str">
        <f>CLEAN(TRIM(Working_Sales[[#This Row],[Gender]]))</f>
        <v>male</v>
      </c>
      <c r="N928" s="4" t="str" cm="1">
        <f t="array" ref="N928">_xlfn.SWITCH(
   Working_Sales[[#This Row],[Gender_Whitespace_Removed]],
   "m", "Male",
   "f", "Female",
   Working_Sales[[#This Row],[Gender_Whitespace_Removed]]
)</f>
        <v>male</v>
      </c>
      <c r="O928" s="6" t="str">
        <f>PROPER(Working_Sales[[#This Row],[Gender_Abbreviation_Expanded]])</f>
        <v>Male</v>
      </c>
      <c r="P928" t="s">
        <v>1699</v>
      </c>
      <c r="Q928" s="2" t="str">
        <f>CLEAN(TRIM(Working_Sales[[#This Row],[Age]]))</f>
        <v>27.0</v>
      </c>
      <c r="R928" s="6">
        <f>INT(SUBSTITUTE(Working_Sales[[#This Row],[Age_Whitespace_Removed]],".",","))</f>
        <v>27</v>
      </c>
      <c r="S928" t="s">
        <v>36</v>
      </c>
      <c r="T928" s="2" t="str">
        <f>CLEAN(TRIM(Working_Sales[[#This Row],[Product Category]]))</f>
        <v>Beauty</v>
      </c>
      <c r="U928" s="6" t="str">
        <f>PROPER(Working_Sales[[#This Row],[Product_Category_Whitespace_Removed]])</f>
        <v>Beauty</v>
      </c>
      <c r="V928" t="s">
        <v>22</v>
      </c>
      <c r="W928" s="2" t="str">
        <f>CLEAN(TRIM(Working_Sales[[#This Row],[Quantity]]))</f>
        <v>1</v>
      </c>
      <c r="X928" s="2">
        <f>INT(Working_Sales[[#This Row],[`]])</f>
        <v>1</v>
      </c>
      <c r="Y928" s="6">
        <f>IFERROR(
   Working_Sales[[#This Row],[Quantity_Converted_To_Integer]],
   Working_Sales[[#This Row],[Total_Amount_Whitespace_Removed]]/Working_Sales[[#This Row],[Price_Per_Unit_Decimal_Separator_Fixed]])</f>
        <v>1</v>
      </c>
      <c r="Z928" t="s">
        <v>57</v>
      </c>
      <c r="AA928" s="2" t="str">
        <f>CLEAN(TRIM(Working_Sales[[#This Row],[Price per Unit]]))</f>
        <v>500</v>
      </c>
      <c r="AB928" s="2">
        <f>INT(
   SUBSTITUTE(Working_Sales[[#This Row],[Price_Per_Unit_Whitespace_Removed]],
   "$",
   ""
   )
)</f>
        <v>500</v>
      </c>
      <c r="AC928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928" s="8">
        <f>IFERROR(
   Working_Sales[[#This Row],[Price_Per_Unit_Decimal_Separator_Fixed]],
   Working_Sales[[#This Row],[Total_Amount_Converted_To_Integer]]/Working_Sales[[#This Row],[Quantity_Converted_To_Integer]]
)</f>
        <v>500</v>
      </c>
      <c r="AE928" t="s">
        <v>57</v>
      </c>
      <c r="AF928" s="2" t="str">
        <f>CLEAN(TRIM(Working_Sales[[#This Row],[Total Amount]]))</f>
        <v>500</v>
      </c>
      <c r="AG928" s="2">
        <f>INT(Working_Sales[[#This Row],[Total_Amount_Whitespace_Removed]])</f>
        <v>500</v>
      </c>
      <c r="AH92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500</v>
      </c>
    </row>
    <row r="929" spans="1:34" x14ac:dyDescent="0.35">
      <c r="A929" t="s">
        <v>1872</v>
      </c>
      <c r="B929" s="6" t="str">
        <f>CLEAN(TRIM(Working_Sales[[#This Row],[Transaction ID]]))</f>
        <v>93</v>
      </c>
      <c r="C929" t="s">
        <v>810</v>
      </c>
      <c r="D929" s="2" t="str">
        <f>CLEAN(TRIM(Working_Sales[[#This Row],[Date]]))</f>
        <v>07/14/2023</v>
      </c>
      <c r="E929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92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45121</v>
      </c>
      <c r="G92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45121</v>
      </c>
      <c r="H929" t="s">
        <v>3072</v>
      </c>
      <c r="I929" s="2" t="str">
        <f>CLEAN(TRIM(Working_Sales[[#This Row],[Customer ID]]))</f>
        <v>CUST265</v>
      </c>
      <c r="J92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CUST265</v>
      </c>
      <c r="K92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CUST265</v>
      </c>
      <c r="L929" t="s">
        <v>26</v>
      </c>
      <c r="M929" s="4" t="str">
        <f>CLEAN(TRIM(Working_Sales[[#This Row],[Gender]]))</f>
        <v>Female</v>
      </c>
      <c r="N929" s="4" t="str" cm="1">
        <f t="array" ref="N929">_xlfn.SWITCH(
   Working_Sales[[#This Row],[Gender_Whitespace_Removed]],
   "m", "Male",
   "f", "Female",
   Working_Sales[[#This Row],[Gender_Whitespace_Removed]]
)</f>
        <v>Female</v>
      </c>
      <c r="O929" s="6" t="str">
        <f>PROPER(Working_Sales[[#This Row],[Gender_Abbreviation_Expanded]])</f>
        <v>Female</v>
      </c>
      <c r="P929">
        <v>35</v>
      </c>
      <c r="Q929" s="2" t="str">
        <f>CLEAN(TRIM(Working_Sales[[#This Row],[Age]]))</f>
        <v>35</v>
      </c>
      <c r="R929" s="6">
        <f>INT(SUBSTITUTE(Working_Sales[[#This Row],[Age_Whitespace_Removed]],".",","))</f>
        <v>35</v>
      </c>
      <c r="S929" t="s">
        <v>36</v>
      </c>
      <c r="T929" s="2" t="str">
        <f>CLEAN(TRIM(Working_Sales[[#This Row],[Product Category]]))</f>
        <v>Beauty</v>
      </c>
      <c r="U929" s="6" t="str">
        <f>PROPER(Working_Sales[[#This Row],[Product_Category_Whitespace_Removed]])</f>
        <v>Beauty</v>
      </c>
      <c r="V929" t="s">
        <v>14</v>
      </c>
      <c r="W929" s="2" t="str">
        <f>CLEAN(TRIM(Working_Sales[[#This Row],[Quantity]]))</f>
        <v>4</v>
      </c>
      <c r="X929" s="2">
        <f>INT(Working_Sales[[#This Row],[`]])</f>
        <v>4</v>
      </c>
      <c r="Y929" s="6">
        <f>IFERROR(
   Working_Sales[[#This Row],[Quantity_Converted_To_Integer]],
   Working_Sales[[#This Row],[Total_Amount_Whitespace_Removed]]/Working_Sales[[#This Row],[Price_Per_Unit_Decimal_Separator_Fixed]])</f>
        <v>4</v>
      </c>
      <c r="AA929" s="2" t="str">
        <f>CLEAN(TRIM(Working_Sales[[#This Row],[Price per Unit]]))</f>
        <v/>
      </c>
      <c r="AB929" s="2" t="e">
        <f>INT(
   SUBSTITUTE(Working_Sales[[#This Row],[Price_Per_Unit_Whitespace_Removed]],
   "$",
   ""
   )
)</f>
        <v>#VALUE!</v>
      </c>
      <c r="AC929" s="2" t="e">
        <f>INT(
   IFERROR(
      Working_Sales[[#This Row],[Price_Per_Unit_Dollar_Sign_Removed]],
      SUBSTITUTE(
         Working_Sales[[#This Row],[Price_Per_Unit_Whitespace_Removed]],
        ".",
         ","
      )
   )
)</f>
        <v>#VALUE!</v>
      </c>
      <c r="AD929" s="8">
        <f>IFERROR(
   Working_Sales[[#This Row],[Price_Per_Unit_Decimal_Separator_Fixed]],
   Working_Sales[[#This Row],[Total_Amount_Converted_To_Integer]]/Working_Sales[[#This Row],[Quantity_Converted_To_Integer]]
)</f>
        <v>500</v>
      </c>
      <c r="AE929" t="s">
        <v>232</v>
      </c>
      <c r="AF929" s="2" t="str">
        <f>CLEAN(TRIM(Working_Sales[[#This Row],[Total Amount]]))</f>
        <v>2000</v>
      </c>
      <c r="AG929" s="2">
        <f>INT(Working_Sales[[#This Row],[Total_Amount_Whitespace_Removed]])</f>
        <v>2000</v>
      </c>
      <c r="AH92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930" spans="1:34" x14ac:dyDescent="0.35">
      <c r="A930" t="s">
        <v>1873</v>
      </c>
      <c r="B930" s="6" t="str">
        <f>CLEAN(TRIM(Working_Sales[[#This Row],[Transaction ID]]))</f>
        <v>152</v>
      </c>
      <c r="C930" t="s">
        <v>1007</v>
      </c>
      <c r="D930" s="2" t="str">
        <f>CLEAN(TRIM(Working_Sales[[#This Row],[Date]]))</f>
        <v>28/02/2023</v>
      </c>
      <c r="E93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44985</v>
      </c>
      <c r="F93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44985</v>
      </c>
      <c r="G93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44985</v>
      </c>
      <c r="H930" t="s">
        <v>3073</v>
      </c>
      <c r="I930" s="2" t="str">
        <f>CLEAN(TRIM(Working_Sales[[#This Row],[Customer ID]]))</f>
        <v>CUST-058</v>
      </c>
      <c r="J93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3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CUST058</v>
      </c>
      <c r="L930" t="s">
        <v>34</v>
      </c>
      <c r="M930" s="4" t="str">
        <f>CLEAN(TRIM(Working_Sales[[#This Row],[Gender]]))</f>
        <v>Male</v>
      </c>
      <c r="N930" s="4" t="str" cm="1">
        <f t="array" ref="N930">_xlfn.SWITCH(
   Working_Sales[[#This Row],[Gender_Whitespace_Removed]],
   "m", "Male",
   "f", "Female",
   Working_Sales[[#This Row],[Gender_Whitespace_Removed]]
)</f>
        <v>Male</v>
      </c>
      <c r="O930" s="6" t="str">
        <f>PROPER(Working_Sales[[#This Row],[Gender_Abbreviation_Expanded]])</f>
        <v>Male</v>
      </c>
      <c r="P930">
        <v>43</v>
      </c>
      <c r="Q930" s="2" t="str">
        <f>CLEAN(TRIM(Working_Sales[[#This Row],[Age]]))</f>
        <v>43</v>
      </c>
      <c r="R930" s="6">
        <f>INT(SUBSTITUTE(Working_Sales[[#This Row],[Age_Whitespace_Removed]],".",","))</f>
        <v>43</v>
      </c>
      <c r="S930" t="s">
        <v>13</v>
      </c>
      <c r="T930" s="2" t="str">
        <f>CLEAN(TRIM(Working_Sales[[#This Row],[Product Category]]))</f>
        <v>Electronics</v>
      </c>
      <c r="U930" s="6" t="str">
        <f>PROPER(Working_Sales[[#This Row],[Product_Category_Whitespace_Removed]])</f>
        <v>Electronics</v>
      </c>
      <c r="V930" t="s">
        <v>14</v>
      </c>
      <c r="W930" s="2" t="str">
        <f>CLEAN(TRIM(Working_Sales[[#This Row],[Quantity]]))</f>
        <v>4</v>
      </c>
      <c r="X930" s="2">
        <f>INT(Working_Sales[[#This Row],[`]])</f>
        <v>4</v>
      </c>
      <c r="Y930" s="6">
        <f>IFERROR(
   Working_Sales[[#This Row],[Quantity_Converted_To_Integer]],
   Working_Sales[[#This Row],[Total_Amount_Whitespace_Removed]]/Working_Sales[[#This Row],[Price_Per_Unit_Decimal_Separator_Fixed]])</f>
        <v>4</v>
      </c>
      <c r="Z930" t="s">
        <v>57</v>
      </c>
      <c r="AA930" s="2" t="str">
        <f>CLEAN(TRIM(Working_Sales[[#This Row],[Price per Unit]]))</f>
        <v>500</v>
      </c>
      <c r="AB930" s="2">
        <f>INT(
   SUBSTITUTE(Working_Sales[[#This Row],[Price_Per_Unit_Whitespace_Removed]],
   "$",
   ""
   )
)</f>
        <v>500</v>
      </c>
      <c r="AC930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930" s="8">
        <f>IFERROR(
   Working_Sales[[#This Row],[Price_Per_Unit_Decimal_Separator_Fixed]],
   Working_Sales[[#This Row],[Total_Amount_Converted_To_Integer]]/Working_Sales[[#This Row],[Quantity_Converted_To_Integer]]
)</f>
        <v>500</v>
      </c>
      <c r="AE930" t="s">
        <v>232</v>
      </c>
      <c r="AF930" s="2" t="str">
        <f>CLEAN(TRIM(Working_Sales[[#This Row],[Total Amount]]))</f>
        <v>2000</v>
      </c>
      <c r="AG930" s="2">
        <f>INT(Working_Sales[[#This Row],[Total_Amount_Whitespace_Removed]])</f>
        <v>2000</v>
      </c>
      <c r="AH93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931" spans="1:34" x14ac:dyDescent="0.35">
      <c r="A931" t="s">
        <v>1875</v>
      </c>
      <c r="B931" s="6" t="str">
        <f>CLEAN(TRIM(Working_Sales[[#This Row],[Transaction ID]]))</f>
        <v>318</v>
      </c>
      <c r="C931" t="s">
        <v>1592</v>
      </c>
      <c r="D931" s="2" t="str">
        <f>CLEAN(TRIM(Working_Sales[[#This Row],[Date]]))</f>
        <v>24/10/2023</v>
      </c>
      <c r="E93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45223</v>
      </c>
      <c r="F93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45223</v>
      </c>
      <c r="G93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45223</v>
      </c>
      <c r="H931" t="s">
        <v>3075</v>
      </c>
      <c r="I931" s="2" t="str">
        <f>CLEAN(TRIM(Working_Sales[[#This Row],[Customer ID]]))</f>
        <v>cust147</v>
      </c>
      <c r="J93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3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CUST147</v>
      </c>
      <c r="L931" t="s">
        <v>34</v>
      </c>
      <c r="M931" s="4" t="str">
        <f>CLEAN(TRIM(Working_Sales[[#This Row],[Gender]]))</f>
        <v>Male</v>
      </c>
      <c r="N931" s="4" t="str" cm="1">
        <f t="array" ref="N931">_xlfn.SWITCH(
   Working_Sales[[#This Row],[Gender_Whitespace_Removed]],
   "m", "Male",
   "f", "Female",
   Working_Sales[[#This Row],[Gender_Whitespace_Removed]]
)</f>
        <v>Male</v>
      </c>
      <c r="O931" s="6" t="str">
        <f>PROPER(Working_Sales[[#This Row],[Gender_Abbreviation_Expanded]])</f>
        <v>Male</v>
      </c>
      <c r="P931">
        <v>61</v>
      </c>
      <c r="Q931" s="2" t="str">
        <f>CLEAN(TRIM(Working_Sales[[#This Row],[Age]]))</f>
        <v>61</v>
      </c>
      <c r="R931" s="6">
        <f>INT(SUBSTITUTE(Working_Sales[[#This Row],[Age_Whitespace_Removed]],".",","))</f>
        <v>61</v>
      </c>
      <c r="S931" t="s">
        <v>56</v>
      </c>
      <c r="T931" s="2" t="str">
        <f>CLEAN(TRIM(Working_Sales[[#This Row],[Product Category]]))</f>
        <v>Clothing</v>
      </c>
      <c r="U931" s="6" t="str">
        <f>PROPER(Working_Sales[[#This Row],[Product_Category_Whitespace_Removed]])</f>
        <v>Clothing</v>
      </c>
      <c r="W931" s="2" t="str">
        <f>CLEAN(TRIM(Working_Sales[[#This Row],[Quantity]]))</f>
        <v/>
      </c>
      <c r="X931" s="2" t="e">
        <f>INT(Working_Sales[[#This Row],[`]])</f>
        <v>#VALUE!</v>
      </c>
      <c r="Y931" s="6">
        <f>IFERROR(
   Working_Sales[[#This Row],[Quantity_Converted_To_Integer]],
   Working_Sales[[#This Row],[Total_Amount_Whitespace_Removed]]/Working_Sales[[#This Row],[Price_Per_Unit_Decimal_Separator_Fixed]])</f>
        <v>1</v>
      </c>
      <c r="Z931" t="s">
        <v>30</v>
      </c>
      <c r="AA931" s="2" t="str">
        <f>CLEAN(TRIM(Working_Sales[[#This Row],[Price per Unit]]))</f>
        <v>25</v>
      </c>
      <c r="AB931" s="2">
        <f>INT(
   SUBSTITUTE(Working_Sales[[#This Row],[Price_Per_Unit_Whitespace_Removed]],
   "$",
   ""
   )
)</f>
        <v>25</v>
      </c>
      <c r="AC931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931" s="8">
        <f>IFERROR(
   Working_Sales[[#This Row],[Price_Per_Unit_Decimal_Separator_Fixed]],
   Working_Sales[[#This Row],[Total_Amount_Converted_To_Integer]]/Working_Sales[[#This Row],[Quantity_Converted_To_Integer]]
)</f>
        <v>25</v>
      </c>
      <c r="AE931" t="s">
        <v>30</v>
      </c>
      <c r="AF931" s="2" t="str">
        <f>CLEAN(TRIM(Working_Sales[[#This Row],[Total Amount]]))</f>
        <v>25</v>
      </c>
      <c r="AG931" s="2">
        <f>INT(Working_Sales[[#This Row],[Total_Amount_Whitespace_Removed]])</f>
        <v>25</v>
      </c>
      <c r="AH93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932" spans="1:34" x14ac:dyDescent="0.35">
      <c r="A932" t="s">
        <v>1876</v>
      </c>
      <c r="B932" s="6" t="str">
        <f>CLEAN(TRIM(Working_Sales[[#This Row],[Transaction ID]]))</f>
        <v>449</v>
      </c>
      <c r="C932" t="s">
        <v>2171</v>
      </c>
      <c r="D932" s="2" t="str">
        <f>CLEAN(TRIM(Working_Sales[[#This Row],[Date]]))</f>
        <v>July 03, 2023</v>
      </c>
      <c r="E932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932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93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45110</v>
      </c>
      <c r="H932" t="s">
        <v>2588</v>
      </c>
      <c r="I932" s="2" t="str">
        <f>CLEAN(TRIM(Working_Sales[[#This Row],[Customer ID]]))</f>
        <v>CUST-252</v>
      </c>
      <c r="J93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3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CUST252</v>
      </c>
      <c r="L932" t="s">
        <v>34</v>
      </c>
      <c r="M932" s="4" t="str">
        <f>CLEAN(TRIM(Working_Sales[[#This Row],[Gender]]))</f>
        <v>Male</v>
      </c>
      <c r="N932" s="4" t="str" cm="1">
        <f t="array" ref="N932">_xlfn.SWITCH(
   Working_Sales[[#This Row],[Gender_Whitespace_Removed]],
   "m", "Male",
   "f", "Female",
   Working_Sales[[#This Row],[Gender_Whitespace_Removed]]
)</f>
        <v>Male</v>
      </c>
      <c r="O932" s="6" t="str">
        <f>PROPER(Working_Sales[[#This Row],[Gender_Abbreviation_Expanded]])</f>
        <v>Male</v>
      </c>
      <c r="P932">
        <v>25</v>
      </c>
      <c r="Q932" s="2" t="str">
        <f>CLEAN(TRIM(Working_Sales[[#This Row],[Age]]))</f>
        <v>25</v>
      </c>
      <c r="R932" s="6">
        <f>INT(SUBSTITUTE(Working_Sales[[#This Row],[Age_Whitespace_Removed]],".",","))</f>
        <v>25</v>
      </c>
      <c r="S932" t="s">
        <v>13</v>
      </c>
      <c r="T932" s="2" t="str">
        <f>CLEAN(TRIM(Working_Sales[[#This Row],[Product Category]]))</f>
        <v>Electronics</v>
      </c>
      <c r="U932" s="6" t="str">
        <f>PROPER(Working_Sales[[#This Row],[Product_Category_Whitespace_Removed]])</f>
        <v>Electronics</v>
      </c>
      <c r="V932" t="s">
        <v>14</v>
      </c>
      <c r="W932" s="2" t="str">
        <f>CLEAN(TRIM(Working_Sales[[#This Row],[Quantity]]))</f>
        <v>4</v>
      </c>
      <c r="X932" s="2">
        <f>INT(Working_Sales[[#This Row],[`]])</f>
        <v>4</v>
      </c>
      <c r="Y932" s="6">
        <f>IFERROR(
   Working_Sales[[#This Row],[Quantity_Converted_To_Integer]],
   Working_Sales[[#This Row],[Total_Amount_Whitespace_Removed]]/Working_Sales[[#This Row],[Price_Per_Unit_Decimal_Separator_Fixed]])</f>
        <v>4</v>
      </c>
      <c r="Z932" t="s">
        <v>15</v>
      </c>
      <c r="AA932" s="2" t="str">
        <f>CLEAN(TRIM(Working_Sales[[#This Row],[Price per Unit]]))</f>
        <v>50</v>
      </c>
      <c r="AB932" s="2">
        <f>INT(
   SUBSTITUTE(Working_Sales[[#This Row],[Price_Per_Unit_Whitespace_Removed]],
   "$",
   ""
   )
)</f>
        <v>50</v>
      </c>
      <c r="AC932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932" s="8">
        <f>IFERROR(
   Working_Sales[[#This Row],[Price_Per_Unit_Decimal_Separator_Fixed]],
   Working_Sales[[#This Row],[Total_Amount_Converted_To_Integer]]/Working_Sales[[#This Row],[Quantity_Converted_To_Integer]]
)</f>
        <v>50</v>
      </c>
      <c r="AE932" t="s">
        <v>16</v>
      </c>
      <c r="AF932" s="2" t="str">
        <f>CLEAN(TRIM(Working_Sales[[#This Row],[Total Amount]]))</f>
        <v>200</v>
      </c>
      <c r="AG932" s="2">
        <f>INT(Working_Sales[[#This Row],[Total_Amount_Whitespace_Removed]])</f>
        <v>200</v>
      </c>
      <c r="AH93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933" spans="1:34" x14ac:dyDescent="0.35">
      <c r="A933" t="s">
        <v>1877</v>
      </c>
      <c r="B933" s="6" t="str">
        <f>CLEAN(TRIM(Working_Sales[[#This Row],[Transaction ID]]))</f>
        <v>804</v>
      </c>
      <c r="C933" t="s">
        <v>1878</v>
      </c>
      <c r="D933" s="2" t="str">
        <f>CLEAN(TRIM(Working_Sales[[#This Row],[Date]]))</f>
        <v>August 24, 2023</v>
      </c>
      <c r="E933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933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93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45162</v>
      </c>
      <c r="H933" t="s">
        <v>3076</v>
      </c>
      <c r="I933" s="2" t="str">
        <f>CLEAN(TRIM(Working_Sales[[#This Row],[Customer ID]]))</f>
        <v>cust460</v>
      </c>
      <c r="J93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3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CUST460</v>
      </c>
      <c r="L933" t="s">
        <v>34</v>
      </c>
      <c r="M933" s="4" t="str">
        <f>CLEAN(TRIM(Working_Sales[[#This Row],[Gender]]))</f>
        <v>Male</v>
      </c>
      <c r="N933" s="4" t="str" cm="1">
        <f t="array" ref="N933">_xlfn.SWITCH(
   Working_Sales[[#This Row],[Gender_Whitespace_Removed]],
   "m", "Male",
   "f", "Female",
   Working_Sales[[#This Row],[Gender_Whitespace_Removed]]
)</f>
        <v>Male</v>
      </c>
      <c r="O933" s="6" t="str">
        <f>PROPER(Working_Sales[[#This Row],[Gender_Abbreviation_Expanded]])</f>
        <v>Male</v>
      </c>
      <c r="P933">
        <v>42</v>
      </c>
      <c r="Q933" s="2" t="str">
        <f>CLEAN(TRIM(Working_Sales[[#This Row],[Age]]))</f>
        <v>42</v>
      </c>
      <c r="R933" s="6">
        <f>INT(SUBSTITUTE(Working_Sales[[#This Row],[Age_Whitespace_Removed]],".",","))</f>
        <v>42</v>
      </c>
      <c r="S933" t="s">
        <v>13</v>
      </c>
      <c r="T933" s="2" t="str">
        <f>CLEAN(TRIM(Working_Sales[[#This Row],[Product Category]]))</f>
        <v>Electronics</v>
      </c>
      <c r="U933" s="6" t="str">
        <f>PROPER(Working_Sales[[#This Row],[Product_Category_Whitespace_Removed]])</f>
        <v>Electronics</v>
      </c>
      <c r="V933" t="s">
        <v>22</v>
      </c>
      <c r="W933" s="2" t="str">
        <f>CLEAN(TRIM(Working_Sales[[#This Row],[Quantity]]))</f>
        <v>1</v>
      </c>
      <c r="X933" s="2">
        <f>INT(Working_Sales[[#This Row],[`]])</f>
        <v>1</v>
      </c>
      <c r="Y933" s="6">
        <f>IFERROR(
   Working_Sales[[#This Row],[Quantity_Converted_To_Integer]],
   Working_Sales[[#This Row],[Total_Amount_Whitespace_Removed]]/Working_Sales[[#This Row],[Price_Per_Unit_Decimal_Separator_Fixed]])</f>
        <v>1</v>
      </c>
      <c r="Z933" t="s">
        <v>100</v>
      </c>
      <c r="AA933" s="2" t="str">
        <f>CLEAN(TRIM(Working_Sales[[#This Row],[Price per Unit]]))</f>
        <v>30</v>
      </c>
      <c r="AB933" s="2">
        <f>INT(
   SUBSTITUTE(Working_Sales[[#This Row],[Price_Per_Unit_Whitespace_Removed]],
   "$",
   ""
   )
)</f>
        <v>30</v>
      </c>
      <c r="AC933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933" s="8">
        <f>IFERROR(
   Working_Sales[[#This Row],[Price_Per_Unit_Decimal_Separator_Fixed]],
   Working_Sales[[#This Row],[Total_Amount_Converted_To_Integer]]/Working_Sales[[#This Row],[Quantity_Converted_To_Integer]]
)</f>
        <v>30</v>
      </c>
      <c r="AE933" t="s">
        <v>70</v>
      </c>
      <c r="AF933" s="2" t="str">
        <f>CLEAN(TRIM(Working_Sales[[#This Row],[Total Amount]]))</f>
        <v>30</v>
      </c>
      <c r="AG933" s="2">
        <f>INT(Working_Sales[[#This Row],[Total_Amount_Whitespace_Removed]])</f>
        <v>30</v>
      </c>
      <c r="AH93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934" spans="1:34" x14ac:dyDescent="0.35">
      <c r="A934" t="s">
        <v>1879</v>
      </c>
      <c r="B934" s="6" t="str">
        <f>CLEAN(TRIM(Working_Sales[[#This Row],[Transaction ID]]))</f>
        <v>746</v>
      </c>
      <c r="C934" t="s">
        <v>1880</v>
      </c>
      <c r="D934" s="2" t="str">
        <f>CLEAN(TRIM(Working_Sales[[#This Row],[Date]]))</f>
        <v>January 11, 2023</v>
      </c>
      <c r="E934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934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93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44937</v>
      </c>
      <c r="H934" t="s">
        <v>2828</v>
      </c>
      <c r="I934" s="2" t="str">
        <f>CLEAN(TRIM(Working_Sales[[#This Row],[Customer ID]]))</f>
        <v>CUST355</v>
      </c>
      <c r="J93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CUST355</v>
      </c>
      <c r="K93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CUST355</v>
      </c>
      <c r="L934" t="s">
        <v>26</v>
      </c>
      <c r="M934" s="4" t="str">
        <f>CLEAN(TRIM(Working_Sales[[#This Row],[Gender]]))</f>
        <v>Female</v>
      </c>
      <c r="N934" s="4" t="str" cm="1">
        <f t="array" ref="N934">_xlfn.SWITCH(
   Working_Sales[[#This Row],[Gender_Whitespace_Removed]],
   "m", "Male",
   "f", "Female",
   Working_Sales[[#This Row],[Gender_Whitespace_Removed]]
)</f>
        <v>Female</v>
      </c>
      <c r="O934" s="6" t="str">
        <f>PROPER(Working_Sales[[#This Row],[Gender_Abbreviation_Expanded]])</f>
        <v>Female</v>
      </c>
      <c r="P934">
        <v>33</v>
      </c>
      <c r="Q934" s="2" t="str">
        <f>CLEAN(TRIM(Working_Sales[[#This Row],[Age]]))</f>
        <v>33</v>
      </c>
      <c r="R934" s="6">
        <f>INT(SUBSTITUTE(Working_Sales[[#This Row],[Age_Whitespace_Removed]],".",","))</f>
        <v>33</v>
      </c>
      <c r="S934" t="s">
        <v>124</v>
      </c>
      <c r="T934" s="2" t="str">
        <f>CLEAN(TRIM(Working_Sales[[#This Row],[Product Category]]))</f>
        <v>Clothing</v>
      </c>
      <c r="U934" s="6" t="str">
        <f>PROPER(Working_Sales[[#This Row],[Product_Category_Whitespace_Removed]])</f>
        <v>Clothing</v>
      </c>
      <c r="V934" t="s">
        <v>29</v>
      </c>
      <c r="W934" s="2" t="str">
        <f>CLEAN(TRIM(Working_Sales[[#This Row],[Quantity]]))</f>
        <v>3</v>
      </c>
      <c r="X934" s="2">
        <f>INT(Working_Sales[[#This Row],[`]])</f>
        <v>3</v>
      </c>
      <c r="Y934" s="6">
        <f>IFERROR(
   Working_Sales[[#This Row],[Quantity_Converted_To_Integer]],
   Working_Sales[[#This Row],[Total_Amount_Whitespace_Removed]]/Working_Sales[[#This Row],[Price_Per_Unit_Decimal_Separator_Fixed]])</f>
        <v>3</v>
      </c>
      <c r="Z934" t="s">
        <v>70</v>
      </c>
      <c r="AA934" s="2" t="str">
        <f>CLEAN(TRIM(Working_Sales[[#This Row],[Price per Unit]]))</f>
        <v>30</v>
      </c>
      <c r="AB934" s="2">
        <f>INT(
   SUBSTITUTE(Working_Sales[[#This Row],[Price_Per_Unit_Whitespace_Removed]],
   "$",
   ""
   )
)</f>
        <v>30</v>
      </c>
      <c r="AC934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934" s="8">
        <f>IFERROR(
   Working_Sales[[#This Row],[Price_Per_Unit_Decimal_Separator_Fixed]],
   Working_Sales[[#This Row],[Total_Amount_Converted_To_Integer]]/Working_Sales[[#This Row],[Quantity_Converted_To_Integer]]
)</f>
        <v>30</v>
      </c>
      <c r="AE934" t="s">
        <v>191</v>
      </c>
      <c r="AF934" s="2" t="str">
        <f>CLEAN(TRIM(Working_Sales[[#This Row],[Total Amount]]))</f>
        <v>90</v>
      </c>
      <c r="AG934" s="2">
        <f>INT(Working_Sales[[#This Row],[Total_Amount_Whitespace_Removed]])</f>
        <v>90</v>
      </c>
      <c r="AH93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935" spans="1:34" x14ac:dyDescent="0.35">
      <c r="A935" t="s">
        <v>1881</v>
      </c>
      <c r="B935" s="6" t="str">
        <f>CLEAN(TRIM(Working_Sales[[#This Row],[Transaction ID]]))</f>
        <v>523</v>
      </c>
      <c r="C935" t="s">
        <v>1232</v>
      </c>
      <c r="D935" s="2" t="str">
        <f>CLEAN(TRIM(Working_Sales[[#This Row],[Date]]))</f>
        <v>09/24/2023</v>
      </c>
      <c r="E935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93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45193</v>
      </c>
      <c r="G93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45193</v>
      </c>
      <c r="H935" t="s">
        <v>3077</v>
      </c>
      <c r="I935" s="2" t="str">
        <f>CLEAN(TRIM(Working_Sales[[#This Row],[Customer ID]]))</f>
        <v>CUST027</v>
      </c>
      <c r="J93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CUST027</v>
      </c>
      <c r="K93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CUST027</v>
      </c>
      <c r="L935" t="s">
        <v>26</v>
      </c>
      <c r="M935" s="4" t="str">
        <f>CLEAN(TRIM(Working_Sales[[#This Row],[Gender]]))</f>
        <v>Female</v>
      </c>
      <c r="N935" s="4" t="str" cm="1">
        <f t="array" ref="N935">_xlfn.SWITCH(
   Working_Sales[[#This Row],[Gender_Whitespace_Removed]],
   "m", "Male",
   "f", "Female",
   Working_Sales[[#This Row],[Gender_Whitespace_Removed]]
)</f>
        <v>Female</v>
      </c>
      <c r="O935" s="6" t="str">
        <f>PROPER(Working_Sales[[#This Row],[Gender_Abbreviation_Expanded]])</f>
        <v>Female</v>
      </c>
      <c r="P935">
        <v>62</v>
      </c>
      <c r="Q935" s="2" t="str">
        <f>CLEAN(TRIM(Working_Sales[[#This Row],[Age]]))</f>
        <v>62</v>
      </c>
      <c r="R935" s="6">
        <f>INT(SUBSTITUTE(Working_Sales[[#This Row],[Age_Whitespace_Removed]],".",","))</f>
        <v>62</v>
      </c>
      <c r="S935" t="s">
        <v>13</v>
      </c>
      <c r="T935" s="2" t="str">
        <f>CLEAN(TRIM(Working_Sales[[#This Row],[Product Category]]))</f>
        <v>Electronics</v>
      </c>
      <c r="U935" s="6" t="str">
        <f>PROPER(Working_Sales[[#This Row],[Product_Category_Whitespace_Removed]])</f>
        <v>Electronics</v>
      </c>
      <c r="V935" t="s">
        <v>22</v>
      </c>
      <c r="W935" s="2" t="str">
        <f>CLEAN(TRIM(Working_Sales[[#This Row],[Quantity]]))</f>
        <v>1</v>
      </c>
      <c r="X935" s="2">
        <f>INT(Working_Sales[[#This Row],[`]])</f>
        <v>1</v>
      </c>
      <c r="Y935" s="6">
        <f>IFERROR(
   Working_Sales[[#This Row],[Quantity_Converted_To_Integer]],
   Working_Sales[[#This Row],[Total_Amount_Whitespace_Removed]]/Working_Sales[[#This Row],[Price_Per_Unit_Decimal_Separator_Fixed]])</f>
        <v>1</v>
      </c>
      <c r="Z935" t="s">
        <v>23</v>
      </c>
      <c r="AA935" s="2" t="str">
        <f>CLEAN(TRIM(Working_Sales[[#This Row],[Price per Unit]]))</f>
        <v>300</v>
      </c>
      <c r="AB935" s="2">
        <f>INT(
   SUBSTITUTE(Working_Sales[[#This Row],[Price_Per_Unit_Whitespace_Removed]],
   "$",
   ""
   )
)</f>
        <v>300</v>
      </c>
      <c r="AC935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935" s="8">
        <f>IFERROR(
   Working_Sales[[#This Row],[Price_Per_Unit_Decimal_Separator_Fixed]],
   Working_Sales[[#This Row],[Total_Amount_Converted_To_Integer]]/Working_Sales[[#This Row],[Quantity_Converted_To_Integer]]
)</f>
        <v>300</v>
      </c>
      <c r="AE935" t="s">
        <v>23</v>
      </c>
      <c r="AF935" s="2" t="str">
        <f>CLEAN(TRIM(Working_Sales[[#This Row],[Total Amount]]))</f>
        <v>300</v>
      </c>
      <c r="AG935" s="2">
        <f>INT(Working_Sales[[#This Row],[Total_Amount_Whitespace_Removed]])</f>
        <v>300</v>
      </c>
      <c r="AH93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936" spans="1:34" x14ac:dyDescent="0.35">
      <c r="A936" t="s">
        <v>1882</v>
      </c>
      <c r="B936" s="6" t="str">
        <f>CLEAN(TRIM(Working_Sales[[#This Row],[Transaction ID]]))</f>
        <v>280</v>
      </c>
      <c r="C936" t="s">
        <v>2156</v>
      </c>
      <c r="D936" s="2" t="str">
        <f>CLEAN(TRIM(Working_Sales[[#This Row],[Date]]))</f>
        <v>04-Apr-2023</v>
      </c>
      <c r="E93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45020</v>
      </c>
      <c r="F93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45020</v>
      </c>
      <c r="G93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45020</v>
      </c>
      <c r="H936" t="s">
        <v>3078</v>
      </c>
      <c r="I936" s="2" t="str">
        <f>CLEAN(TRIM(Working_Sales[[#This Row],[Customer ID]]))</f>
        <v>Cust165</v>
      </c>
      <c r="J93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3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CUST165</v>
      </c>
      <c r="L936" t="s">
        <v>140</v>
      </c>
      <c r="M936" s="4" t="str">
        <f>CLEAN(TRIM(Working_Sales[[#This Row],[Gender]]))</f>
        <v>FEMALE</v>
      </c>
      <c r="N936" s="4" t="str" cm="1">
        <f t="array" ref="N936">_xlfn.SWITCH(
   Working_Sales[[#This Row],[Gender_Whitespace_Removed]],
   "m", "Male",
   "f", "Female",
   Working_Sales[[#This Row],[Gender_Whitespace_Removed]]
)</f>
        <v>FEMALE</v>
      </c>
      <c r="O936" s="6" t="str">
        <f>PROPER(Working_Sales[[#This Row],[Gender_Abbreviation_Expanded]])</f>
        <v>Female</v>
      </c>
      <c r="P936">
        <v>37</v>
      </c>
      <c r="Q936" s="2" t="str">
        <f>CLEAN(TRIM(Working_Sales[[#This Row],[Age]]))</f>
        <v>37</v>
      </c>
      <c r="R936" s="6">
        <f>INT(SUBSTITUTE(Working_Sales[[#This Row],[Age_Whitespace_Removed]],".",","))</f>
        <v>37</v>
      </c>
      <c r="S936" t="s">
        <v>56</v>
      </c>
      <c r="T936" s="2" t="str">
        <f>CLEAN(TRIM(Working_Sales[[#This Row],[Product Category]]))</f>
        <v>Clothing</v>
      </c>
      <c r="U936" s="6" t="str">
        <f>PROPER(Working_Sales[[#This Row],[Product_Category_Whitespace_Removed]])</f>
        <v>Clothing</v>
      </c>
      <c r="V936" t="s">
        <v>29</v>
      </c>
      <c r="W936" s="2" t="str">
        <f>CLEAN(TRIM(Working_Sales[[#This Row],[Quantity]]))</f>
        <v>3</v>
      </c>
      <c r="X936" s="2">
        <f>INT(Working_Sales[[#This Row],[`]])</f>
        <v>3</v>
      </c>
      <c r="Y936" s="6">
        <f>IFERROR(
   Working_Sales[[#This Row],[Quantity_Converted_To_Integer]],
   Working_Sales[[#This Row],[Total_Amount_Whitespace_Removed]]/Working_Sales[[#This Row],[Price_Per_Unit_Decimal_Separator_Fixed]])</f>
        <v>3</v>
      </c>
      <c r="Z936" t="s">
        <v>282</v>
      </c>
      <c r="AA936" s="2" t="str">
        <f>CLEAN(TRIM(Working_Sales[[#This Row],[Price per Unit]]))</f>
        <v>500</v>
      </c>
      <c r="AB936" s="2">
        <f>INT(
   SUBSTITUTE(Working_Sales[[#This Row],[Price_Per_Unit_Whitespace_Removed]],
   "$",
   ""
   )
)</f>
        <v>500</v>
      </c>
      <c r="AC936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936" s="8">
        <f>IFERROR(
   Working_Sales[[#This Row],[Price_Per_Unit_Decimal_Separator_Fixed]],
   Working_Sales[[#This Row],[Total_Amount_Converted_To_Integer]]/Working_Sales[[#This Row],[Quantity_Converted_To_Integer]]
)</f>
        <v>500</v>
      </c>
      <c r="AF936" s="2" t="str">
        <f>CLEAN(TRIM(Working_Sales[[#This Row],[Total Amount]]))</f>
        <v/>
      </c>
      <c r="AG936" s="2" t="e">
        <f>INT(Working_Sales[[#This Row],[Total_Amount_Whitespace_Removed]])</f>
        <v>#VALUE!</v>
      </c>
      <c r="AH93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937" spans="1:34" x14ac:dyDescent="0.35">
      <c r="A937" t="s">
        <v>1884</v>
      </c>
      <c r="B937" s="6" t="str">
        <f>CLEAN(TRIM(Working_Sales[[#This Row],[Transaction ID]]))</f>
        <v>584</v>
      </c>
      <c r="C937" t="s">
        <v>1328</v>
      </c>
      <c r="D937" s="2" t="str">
        <f>CLEAN(TRIM(Working_Sales[[#This Row],[Date]]))</f>
        <v>2023-02-17</v>
      </c>
      <c r="E93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44974</v>
      </c>
      <c r="F93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44974</v>
      </c>
      <c r="G93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44974</v>
      </c>
      <c r="H937" t="s">
        <v>3079</v>
      </c>
      <c r="I937" s="2" t="str">
        <f>CLEAN(TRIM(Working_Sales[[#This Row],[Customer ID]]))</f>
        <v>CUST063</v>
      </c>
      <c r="J93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3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CUST063</v>
      </c>
      <c r="L937" t="s">
        <v>26</v>
      </c>
      <c r="M937" s="4" t="str">
        <f>CLEAN(TRIM(Working_Sales[[#This Row],[Gender]]))</f>
        <v>Female</v>
      </c>
      <c r="N937" s="4" t="str" cm="1">
        <f t="array" ref="N937">_xlfn.SWITCH(
   Working_Sales[[#This Row],[Gender_Whitespace_Removed]],
   "m", "Male",
   "f", "Female",
   Working_Sales[[#This Row],[Gender_Whitespace_Removed]]
)</f>
        <v>Female</v>
      </c>
      <c r="O937" s="6" t="str">
        <f>PROPER(Working_Sales[[#This Row],[Gender_Abbreviation_Expanded]])</f>
        <v>Female</v>
      </c>
      <c r="P937">
        <v>27</v>
      </c>
      <c r="Q937" s="2" t="str">
        <f>CLEAN(TRIM(Working_Sales[[#This Row],[Age]]))</f>
        <v>27</v>
      </c>
      <c r="R937" s="6">
        <f>INT(SUBSTITUTE(Working_Sales[[#This Row],[Age_Whitespace_Removed]],".",","))</f>
        <v>27</v>
      </c>
      <c r="S937" t="s">
        <v>36</v>
      </c>
      <c r="T937" s="2" t="str">
        <f>CLEAN(TRIM(Working_Sales[[#This Row],[Product Category]]))</f>
        <v>Beauty</v>
      </c>
      <c r="U937" s="6" t="str">
        <f>PROPER(Working_Sales[[#This Row],[Product_Category_Whitespace_Removed]])</f>
        <v>Beauty</v>
      </c>
      <c r="V937" t="s">
        <v>14</v>
      </c>
      <c r="W937" s="2" t="str">
        <f>CLEAN(TRIM(Working_Sales[[#This Row],[Quantity]]))</f>
        <v>4</v>
      </c>
      <c r="X937" s="2">
        <f>INT(Working_Sales[[#This Row],[`]])</f>
        <v>4</v>
      </c>
      <c r="Y937" s="6">
        <f>IFERROR(
   Working_Sales[[#This Row],[Quantity_Converted_To_Integer]],
   Working_Sales[[#This Row],[Total_Amount_Whitespace_Removed]]/Working_Sales[[#This Row],[Price_Per_Unit_Decimal_Separator_Fixed]])</f>
        <v>4</v>
      </c>
      <c r="Z937" t="s">
        <v>153</v>
      </c>
      <c r="AA937" s="2" t="str">
        <f>CLEAN(TRIM(Working_Sales[[#This Row],[Price per Unit]]))</f>
        <v>50.00</v>
      </c>
      <c r="AB937" s="2" t="e">
        <f>INT(
   SUBSTITUTE(Working_Sales[[#This Row],[Price_Per_Unit_Whitespace_Removed]],
   "$",
   ""
   )
)</f>
        <v>#VALUE!</v>
      </c>
      <c r="AC937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937" s="8">
        <f>IFERROR(
   Working_Sales[[#This Row],[Price_Per_Unit_Decimal_Separator_Fixed]],
   Working_Sales[[#This Row],[Total_Amount_Converted_To_Integer]]/Working_Sales[[#This Row],[Quantity_Converted_To_Integer]]
)</f>
        <v>50</v>
      </c>
      <c r="AE937" t="s">
        <v>16</v>
      </c>
      <c r="AF937" s="2" t="str">
        <f>CLEAN(TRIM(Working_Sales[[#This Row],[Total Amount]]))</f>
        <v>200</v>
      </c>
      <c r="AG937" s="2">
        <f>INT(Working_Sales[[#This Row],[Total_Amount_Whitespace_Removed]])</f>
        <v>200</v>
      </c>
      <c r="AH93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938" spans="1:34" x14ac:dyDescent="0.35">
      <c r="A938" t="s">
        <v>1885</v>
      </c>
      <c r="B938" s="6" t="str">
        <f>CLEAN(TRIM(Working_Sales[[#This Row],[Transaction ID]]))</f>
        <v>765</v>
      </c>
      <c r="C938" t="s">
        <v>1988</v>
      </c>
      <c r="D938" s="2" t="str">
        <f>CLEAN(TRIM(Working_Sales[[#This Row],[Date]]))</f>
        <v>09-Jun-2023</v>
      </c>
      <c r="E93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45086</v>
      </c>
      <c r="F93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45086</v>
      </c>
      <c r="G93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45086</v>
      </c>
      <c r="H938" t="s">
        <v>3080</v>
      </c>
      <c r="I938" s="2" t="str">
        <f>CLEAN(TRIM(Working_Sales[[#This Row],[Customer ID]]))</f>
        <v>CUST488</v>
      </c>
      <c r="J93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CUST488</v>
      </c>
      <c r="K93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CUST488</v>
      </c>
      <c r="L938" t="s">
        <v>11</v>
      </c>
      <c r="M938" s="4" t="str">
        <f>CLEAN(TRIM(Working_Sales[[#This Row],[Gender]]))</f>
        <v>MALE</v>
      </c>
      <c r="N938" s="4" t="str" cm="1">
        <f t="array" ref="N938">_xlfn.SWITCH(
   Working_Sales[[#This Row],[Gender_Whitespace_Removed]],
   "m", "Male",
   "f", "Female",
   Working_Sales[[#This Row],[Gender_Whitespace_Removed]]
)</f>
        <v>MALE</v>
      </c>
      <c r="O938" s="6" t="str">
        <f>PROPER(Working_Sales[[#This Row],[Gender_Abbreviation_Expanded]])</f>
        <v>Male</v>
      </c>
      <c r="P938">
        <v>43</v>
      </c>
      <c r="Q938" s="2" t="str">
        <f>CLEAN(TRIM(Working_Sales[[#This Row],[Age]]))</f>
        <v>43</v>
      </c>
      <c r="R938" s="6">
        <f>INT(SUBSTITUTE(Working_Sales[[#This Row],[Age_Whitespace_Removed]],".",","))</f>
        <v>43</v>
      </c>
      <c r="S938" t="s">
        <v>56</v>
      </c>
      <c r="T938" s="2" t="str">
        <f>CLEAN(TRIM(Working_Sales[[#This Row],[Product Category]]))</f>
        <v>Clothing</v>
      </c>
      <c r="U938" s="6" t="str">
        <f>PROPER(Working_Sales[[#This Row],[Product_Category_Whitespace_Removed]])</f>
        <v>Clothing</v>
      </c>
      <c r="V938" t="s">
        <v>14</v>
      </c>
      <c r="W938" s="2" t="str">
        <f>CLEAN(TRIM(Working_Sales[[#This Row],[Quantity]]))</f>
        <v>4</v>
      </c>
      <c r="X938" s="2">
        <f>INT(Working_Sales[[#This Row],[`]])</f>
        <v>4</v>
      </c>
      <c r="Y938" s="6">
        <f>IFERROR(
   Working_Sales[[#This Row],[Quantity_Converted_To_Integer]],
   Working_Sales[[#This Row],[Total_Amount_Whitespace_Removed]]/Working_Sales[[#This Row],[Price_Per_Unit_Decimal_Separator_Fixed]])</f>
        <v>4</v>
      </c>
      <c r="Z938" t="s">
        <v>75</v>
      </c>
      <c r="AA938" s="2" t="str">
        <f>CLEAN(TRIM(Working_Sales[[#This Row],[Price per Unit]]))</f>
        <v>50</v>
      </c>
      <c r="AB938" s="2">
        <f>INT(
   SUBSTITUTE(Working_Sales[[#This Row],[Price_Per_Unit_Whitespace_Removed]],
   "$",
   ""
   )
)</f>
        <v>50</v>
      </c>
      <c r="AC938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938" s="8">
        <f>IFERROR(
   Working_Sales[[#This Row],[Price_Per_Unit_Decimal_Separator_Fixed]],
   Working_Sales[[#This Row],[Total_Amount_Converted_To_Integer]]/Working_Sales[[#This Row],[Quantity_Converted_To_Integer]]
)</f>
        <v>50</v>
      </c>
      <c r="AE938" t="s">
        <v>16</v>
      </c>
      <c r="AF938" s="2" t="str">
        <f>CLEAN(TRIM(Working_Sales[[#This Row],[Total Amount]]))</f>
        <v>200</v>
      </c>
      <c r="AG938" s="2">
        <f>INT(Working_Sales[[#This Row],[Total_Amount_Whitespace_Removed]])</f>
        <v>200</v>
      </c>
      <c r="AH93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939" spans="1:34" x14ac:dyDescent="0.35">
      <c r="A939" t="s">
        <v>1886</v>
      </c>
      <c r="B939" s="6" t="str">
        <f>CLEAN(TRIM(Working_Sales[[#This Row],[Transaction ID]]))</f>
        <v>605</v>
      </c>
      <c r="C939" t="s">
        <v>1887</v>
      </c>
      <c r="D939" s="2" t="str">
        <f>CLEAN(TRIM(Working_Sales[[#This Row],[Date]]))</f>
        <v>07/24/2023</v>
      </c>
      <c r="E939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93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45131</v>
      </c>
      <c r="G93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45131</v>
      </c>
      <c r="H939" t="s">
        <v>3081</v>
      </c>
      <c r="I939" s="2" t="str">
        <f>CLEAN(TRIM(Working_Sales[[#This Row],[Customer ID]]))</f>
        <v>Cust489</v>
      </c>
      <c r="J93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3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CUST489</v>
      </c>
      <c r="L939" t="s">
        <v>34</v>
      </c>
      <c r="M939" s="4" t="str">
        <f>CLEAN(TRIM(Working_Sales[[#This Row],[Gender]]))</f>
        <v>Male</v>
      </c>
      <c r="N939" s="4" t="str" cm="1">
        <f t="array" ref="N939">_xlfn.SWITCH(
   Working_Sales[[#This Row],[Gender_Whitespace_Removed]],
   "m", "Male",
   "f", "Female",
   Working_Sales[[#This Row],[Gender_Whitespace_Removed]]
)</f>
        <v>Male</v>
      </c>
      <c r="O939" s="6" t="str">
        <f>PROPER(Working_Sales[[#This Row],[Gender_Abbreviation_Expanded]])</f>
        <v>Male</v>
      </c>
      <c r="P939">
        <v>37</v>
      </c>
      <c r="Q939" s="2" t="str">
        <f>CLEAN(TRIM(Working_Sales[[#This Row],[Age]]))</f>
        <v>37</v>
      </c>
      <c r="R939" s="6">
        <f>INT(SUBSTITUTE(Working_Sales[[#This Row],[Age_Whitespace_Removed]],".",","))</f>
        <v>37</v>
      </c>
      <c r="S939" t="s">
        <v>13</v>
      </c>
      <c r="T939" s="2" t="str">
        <f>CLEAN(TRIM(Working_Sales[[#This Row],[Product Category]]))</f>
        <v>Electronics</v>
      </c>
      <c r="U939" s="6" t="str">
        <f>PROPER(Working_Sales[[#This Row],[Product_Category_Whitespace_Removed]])</f>
        <v>Electronics</v>
      </c>
      <c r="V939" t="s">
        <v>37</v>
      </c>
      <c r="W939" s="2" t="str">
        <f>CLEAN(TRIM(Working_Sales[[#This Row],[Quantity]]))</f>
        <v>2</v>
      </c>
      <c r="X939" s="2">
        <f>INT(Working_Sales[[#This Row],[`]])</f>
        <v>2</v>
      </c>
      <c r="Y939" s="6">
        <f>IFERROR(
   Working_Sales[[#This Row],[Quantity_Converted_To_Integer]],
   Working_Sales[[#This Row],[Total_Amount_Whitespace_Removed]]/Working_Sales[[#This Row],[Price_Per_Unit_Decimal_Separator_Fixed]])</f>
        <v>2</v>
      </c>
      <c r="Z939" t="s">
        <v>57</v>
      </c>
      <c r="AA939" s="2" t="str">
        <f>CLEAN(TRIM(Working_Sales[[#This Row],[Price per Unit]]))</f>
        <v>500</v>
      </c>
      <c r="AB939" s="2">
        <f>INT(
   SUBSTITUTE(Working_Sales[[#This Row],[Price_Per_Unit_Whitespace_Removed]],
   "$",
   ""
   )
)</f>
        <v>500</v>
      </c>
      <c r="AC939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939" s="8">
        <f>IFERROR(
   Working_Sales[[#This Row],[Price_Per_Unit_Decimal_Separator_Fixed]],
   Working_Sales[[#This Row],[Total_Amount_Converted_To_Integer]]/Working_Sales[[#This Row],[Quantity_Converted_To_Integer]]
)</f>
        <v>500</v>
      </c>
      <c r="AE939" t="s">
        <v>163</v>
      </c>
      <c r="AF939" s="2" t="str">
        <f>CLEAN(TRIM(Working_Sales[[#This Row],[Total Amount]]))</f>
        <v>1000</v>
      </c>
      <c r="AG939" s="2">
        <f>INT(Working_Sales[[#This Row],[Total_Amount_Whitespace_Removed]])</f>
        <v>1000</v>
      </c>
      <c r="AH93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940" spans="1:34" x14ac:dyDescent="0.35">
      <c r="A940" t="s">
        <v>1888</v>
      </c>
      <c r="B940" s="6" t="str">
        <f>CLEAN(TRIM(Working_Sales[[#This Row],[Transaction ID]]))</f>
        <v>998</v>
      </c>
      <c r="C940" t="s">
        <v>1688</v>
      </c>
      <c r="D940" s="2" t="str">
        <f>CLEAN(TRIM(Working_Sales[[#This Row],[Date]]))</f>
        <v>29/10/2023</v>
      </c>
      <c r="E94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45228</v>
      </c>
      <c r="F94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45228</v>
      </c>
      <c r="G94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45228</v>
      </c>
      <c r="H940" t="s">
        <v>3082</v>
      </c>
      <c r="I940" s="2" t="str">
        <f>CLEAN(TRIM(Working_Sales[[#This Row],[Customer ID]]))</f>
        <v>cust490</v>
      </c>
      <c r="J94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4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CUST490</v>
      </c>
      <c r="L940" t="s">
        <v>26</v>
      </c>
      <c r="M940" s="4" t="str">
        <f>CLEAN(TRIM(Working_Sales[[#This Row],[Gender]]))</f>
        <v>Female</v>
      </c>
      <c r="N940" s="4" t="str" cm="1">
        <f t="array" ref="N940">_xlfn.SWITCH(
   Working_Sales[[#This Row],[Gender_Whitespace_Removed]],
   "m", "Male",
   "f", "Female",
   Working_Sales[[#This Row],[Gender_Whitespace_Removed]]
)</f>
        <v>Female</v>
      </c>
      <c r="O940" s="6" t="str">
        <f>PROPER(Working_Sales[[#This Row],[Gender_Abbreviation_Expanded]])</f>
        <v>Female</v>
      </c>
      <c r="P940">
        <v>23</v>
      </c>
      <c r="Q940" s="2" t="str">
        <f>CLEAN(TRIM(Working_Sales[[#This Row],[Age]]))</f>
        <v>23</v>
      </c>
      <c r="R940" s="6">
        <f>INT(SUBSTITUTE(Working_Sales[[#This Row],[Age_Whitespace_Removed]],".",","))</f>
        <v>23</v>
      </c>
      <c r="S940" t="s">
        <v>42</v>
      </c>
      <c r="T940" s="2" t="str">
        <f>CLEAN(TRIM(Working_Sales[[#This Row],[Product Category]]))</f>
        <v>Beauty</v>
      </c>
      <c r="U940" s="6" t="str">
        <f>PROPER(Working_Sales[[#This Row],[Product_Category_Whitespace_Removed]])</f>
        <v>Beauty</v>
      </c>
      <c r="V940" t="s">
        <v>14</v>
      </c>
      <c r="W940" s="2" t="str">
        <f>CLEAN(TRIM(Working_Sales[[#This Row],[Quantity]]))</f>
        <v>4</v>
      </c>
      <c r="X940" s="2">
        <f>INT(Working_Sales[[#This Row],[`]])</f>
        <v>4</v>
      </c>
      <c r="Y940" s="6">
        <f>IFERROR(
   Working_Sales[[#This Row],[Quantity_Converted_To_Integer]],
   Working_Sales[[#This Row],[Total_Amount_Whitespace_Removed]]/Working_Sales[[#This Row],[Price_Per_Unit_Decimal_Separator_Fixed]])</f>
        <v>4</v>
      </c>
      <c r="Z940" t="s">
        <v>30</v>
      </c>
      <c r="AA940" s="2" t="str">
        <f>CLEAN(TRIM(Working_Sales[[#This Row],[Price per Unit]]))</f>
        <v>25</v>
      </c>
      <c r="AB940" s="2">
        <f>INT(
   SUBSTITUTE(Working_Sales[[#This Row],[Price_Per_Unit_Whitespace_Removed]],
   "$",
   ""
   )
)</f>
        <v>25</v>
      </c>
      <c r="AC940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940" s="8">
        <f>IFERROR(
   Working_Sales[[#This Row],[Price_Per_Unit_Decimal_Separator_Fixed]],
   Working_Sales[[#This Row],[Total_Amount_Converted_To_Integer]]/Working_Sales[[#This Row],[Quantity_Converted_To_Integer]]
)</f>
        <v>25</v>
      </c>
      <c r="AE940" t="s">
        <v>38</v>
      </c>
      <c r="AF940" s="2" t="str">
        <f>CLEAN(TRIM(Working_Sales[[#This Row],[Total Amount]]))</f>
        <v>100</v>
      </c>
      <c r="AG940" s="2">
        <f>INT(Working_Sales[[#This Row],[Total_Amount_Whitespace_Removed]])</f>
        <v>100</v>
      </c>
      <c r="AH94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941" spans="1:34" x14ac:dyDescent="0.35">
      <c r="A941" t="s">
        <v>1889</v>
      </c>
      <c r="B941" s="6" t="str">
        <f>CLEAN(TRIM(Working_Sales[[#This Row],[Transaction ID]]))</f>
        <v>350</v>
      </c>
      <c r="C941" t="s">
        <v>1890</v>
      </c>
      <c r="D941" s="2" t="str">
        <f>CLEAN(TRIM(Working_Sales[[#This Row],[Date]]))</f>
        <v>2023-10-17</v>
      </c>
      <c r="E94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45216</v>
      </c>
      <c r="F94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45216</v>
      </c>
      <c r="G94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45216</v>
      </c>
      <c r="H941" t="s">
        <v>1300</v>
      </c>
      <c r="I941" s="2" t="str">
        <f>CLEAN(TRIM(Working_Sales[[#This Row],[Customer ID]]))</f>
        <v>CUST294</v>
      </c>
      <c r="J94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CUST294</v>
      </c>
      <c r="K94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CUST294</v>
      </c>
      <c r="L941" t="s">
        <v>34</v>
      </c>
      <c r="M941" s="4" t="str">
        <f>CLEAN(TRIM(Working_Sales[[#This Row],[Gender]]))</f>
        <v>Male</v>
      </c>
      <c r="N941" s="4" t="str" cm="1">
        <f t="array" ref="N941">_xlfn.SWITCH(
   Working_Sales[[#This Row],[Gender_Whitespace_Removed]],
   "m", "Male",
   "f", "Female",
   Working_Sales[[#This Row],[Gender_Whitespace_Removed]]
)</f>
        <v>Male</v>
      </c>
      <c r="O941" s="6" t="str">
        <f>PROPER(Working_Sales[[#This Row],[Gender_Abbreviation_Expanded]])</f>
        <v>Male</v>
      </c>
      <c r="P941">
        <v>25</v>
      </c>
      <c r="Q941" s="2" t="str">
        <f>CLEAN(TRIM(Working_Sales[[#This Row],[Age]]))</f>
        <v>25</v>
      </c>
      <c r="R941" s="6">
        <f>INT(SUBSTITUTE(Working_Sales[[#This Row],[Age_Whitespace_Removed]],".",","))</f>
        <v>25</v>
      </c>
      <c r="S941" t="s">
        <v>36</v>
      </c>
      <c r="T941" s="2" t="str">
        <f>CLEAN(TRIM(Working_Sales[[#This Row],[Product Category]]))</f>
        <v>Beauty</v>
      </c>
      <c r="U941" s="6" t="str">
        <f>PROPER(Working_Sales[[#This Row],[Product_Category_Whitespace_Removed]])</f>
        <v>Beauty</v>
      </c>
      <c r="V941" t="s">
        <v>29</v>
      </c>
      <c r="W941" s="2" t="str">
        <f>CLEAN(TRIM(Working_Sales[[#This Row],[Quantity]]))</f>
        <v>3</v>
      </c>
      <c r="X941" s="2">
        <f>INT(Working_Sales[[#This Row],[`]])</f>
        <v>3</v>
      </c>
      <c r="Y941" s="6">
        <f>IFERROR(
   Working_Sales[[#This Row],[Quantity_Converted_To_Integer]],
   Working_Sales[[#This Row],[Total_Amount_Whitespace_Removed]]/Working_Sales[[#This Row],[Price_Per_Unit_Decimal_Separator_Fixed]])</f>
        <v>3</v>
      </c>
      <c r="Z941" t="s">
        <v>30</v>
      </c>
      <c r="AA941" s="2" t="str">
        <f>CLEAN(TRIM(Working_Sales[[#This Row],[Price per Unit]]))</f>
        <v>25</v>
      </c>
      <c r="AB941" s="2">
        <f>INT(
   SUBSTITUTE(Working_Sales[[#This Row],[Price_Per_Unit_Whitespace_Removed]],
   "$",
   ""
   )
)</f>
        <v>25</v>
      </c>
      <c r="AC941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941" s="8">
        <f>IFERROR(
   Working_Sales[[#This Row],[Price_Per_Unit_Decimal_Separator_Fixed]],
   Working_Sales[[#This Row],[Total_Amount_Converted_To_Integer]]/Working_Sales[[#This Row],[Quantity_Converted_To_Integer]]
)</f>
        <v>25</v>
      </c>
      <c r="AE941" t="s">
        <v>31</v>
      </c>
      <c r="AF941" s="2" t="str">
        <f>CLEAN(TRIM(Working_Sales[[#This Row],[Total Amount]]))</f>
        <v>75</v>
      </c>
      <c r="AG941" s="2">
        <f>INT(Working_Sales[[#This Row],[Total_Amount_Whitespace_Removed]])</f>
        <v>75</v>
      </c>
      <c r="AH94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942" spans="1:34" x14ac:dyDescent="0.35">
      <c r="A942" t="s">
        <v>1892</v>
      </c>
      <c r="B942" s="6" t="str">
        <f>CLEAN(TRIM(Working_Sales[[#This Row],[Transaction ID]]))</f>
        <v>928</v>
      </c>
      <c r="C942" t="s">
        <v>2062</v>
      </c>
      <c r="D942" s="2" t="str">
        <f>CLEAN(TRIM(Working_Sales[[#This Row],[Date]]))</f>
        <v>05-Apr-2023</v>
      </c>
      <c r="E94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45021</v>
      </c>
      <c r="F94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45021</v>
      </c>
      <c r="G94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45021</v>
      </c>
      <c r="H942" t="s">
        <v>3083</v>
      </c>
      <c r="I942" s="2" t="str">
        <f>CLEAN(TRIM(Working_Sales[[#This Row],[Customer ID]]))</f>
        <v>cust087</v>
      </c>
      <c r="J94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4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CUST087</v>
      </c>
      <c r="L942" t="s">
        <v>46</v>
      </c>
      <c r="M942" s="4" t="str">
        <f>CLEAN(TRIM(Working_Sales[[#This Row],[Gender]]))</f>
        <v>F</v>
      </c>
      <c r="N942" s="4" t="str" cm="1">
        <f t="array" ref="N942">_xlfn.SWITCH(
   Working_Sales[[#This Row],[Gender_Whitespace_Removed]],
   "m", "Male",
   "f", "Female",
   Working_Sales[[#This Row],[Gender_Whitespace_Removed]]
)</f>
        <v>Female</v>
      </c>
      <c r="O942" s="6" t="str">
        <f>PROPER(Working_Sales[[#This Row],[Gender_Abbreviation_Expanded]])</f>
        <v>Female</v>
      </c>
      <c r="P942">
        <v>35</v>
      </c>
      <c r="Q942" s="2" t="str">
        <f>CLEAN(TRIM(Working_Sales[[#This Row],[Age]]))</f>
        <v>35</v>
      </c>
      <c r="R942" s="6">
        <f>INT(SUBSTITUTE(Working_Sales[[#This Row],[Age_Whitespace_Removed]],".",","))</f>
        <v>35</v>
      </c>
      <c r="S942" t="s">
        <v>124</v>
      </c>
      <c r="T942" s="2" t="str">
        <f>CLEAN(TRIM(Working_Sales[[#This Row],[Product Category]]))</f>
        <v>Clothing</v>
      </c>
      <c r="U942" s="6" t="str">
        <f>PROPER(Working_Sales[[#This Row],[Product_Category_Whitespace_Removed]])</f>
        <v>Clothing</v>
      </c>
      <c r="V942" t="s">
        <v>14</v>
      </c>
      <c r="W942" s="2" t="str">
        <f>CLEAN(TRIM(Working_Sales[[#This Row],[Quantity]]))</f>
        <v>4</v>
      </c>
      <c r="X942" s="2">
        <f>INT(Working_Sales[[#This Row],[`]])</f>
        <v>4</v>
      </c>
      <c r="Y942" s="6">
        <f>IFERROR(
   Working_Sales[[#This Row],[Quantity_Converted_To_Integer]],
   Working_Sales[[#This Row],[Total_Amount_Whitespace_Removed]]/Working_Sales[[#This Row],[Price_Per_Unit_Decimal_Separator_Fixed]])</f>
        <v>4</v>
      </c>
      <c r="AA942" s="2" t="str">
        <f>CLEAN(TRIM(Working_Sales[[#This Row],[Price per Unit]]))</f>
        <v/>
      </c>
      <c r="AB942" s="2" t="e">
        <f>INT(
   SUBSTITUTE(Working_Sales[[#This Row],[Price_Per_Unit_Whitespace_Removed]],
   "$",
   ""
   )
)</f>
        <v>#VALUE!</v>
      </c>
      <c r="AC942" s="2" t="e">
        <f>INT(
   IFERROR(
      Working_Sales[[#This Row],[Price_Per_Unit_Dollar_Sign_Removed]],
      SUBSTITUTE(
         Working_Sales[[#This Row],[Price_Per_Unit_Whitespace_Removed]],
        ".",
         ","
      )
   )
)</f>
        <v>#VALUE!</v>
      </c>
      <c r="AD942" s="8">
        <f>IFERROR(
   Working_Sales[[#This Row],[Price_Per_Unit_Decimal_Separator_Fixed]],
   Working_Sales[[#This Row],[Total_Amount_Converted_To_Integer]]/Working_Sales[[#This Row],[Quantity_Converted_To_Integer]]
)</f>
        <v>300</v>
      </c>
      <c r="AE942" t="s">
        <v>79</v>
      </c>
      <c r="AF942" s="2" t="str">
        <f>CLEAN(TRIM(Working_Sales[[#This Row],[Total Amount]]))</f>
        <v>1200</v>
      </c>
      <c r="AG942" s="2">
        <f>INT(Working_Sales[[#This Row],[Total_Amount_Whitespace_Removed]])</f>
        <v>1200</v>
      </c>
      <c r="AH94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943" spans="1:34" x14ac:dyDescent="0.35">
      <c r="A943" t="s">
        <v>1893</v>
      </c>
      <c r="B943" s="6" t="str">
        <f>CLEAN(TRIM(Working_Sales[[#This Row],[Transaction ID]]))</f>
        <v>375</v>
      </c>
      <c r="C943" t="s">
        <v>672</v>
      </c>
      <c r="D943" s="2" t="str">
        <f>CLEAN(TRIM(Working_Sales[[#This Row],[Date]]))</f>
        <v>2023-09-17</v>
      </c>
      <c r="E94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45186</v>
      </c>
      <c r="F94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45186</v>
      </c>
      <c r="G94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45186</v>
      </c>
      <c r="H943" t="s">
        <v>2492</v>
      </c>
      <c r="I943" s="2" t="str">
        <f>CLEAN(TRIM(Working_Sales[[#This Row],[Customer ID]]))</f>
        <v>CUST171</v>
      </c>
      <c r="J94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CUST171</v>
      </c>
      <c r="K94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CUST171</v>
      </c>
      <c r="L943" t="s">
        <v>268</v>
      </c>
      <c r="M943" s="4" t="str">
        <f>CLEAN(TRIM(Working_Sales[[#This Row],[Gender]]))</f>
        <v>M</v>
      </c>
      <c r="N943" s="4" t="str" cm="1">
        <f t="array" ref="N943">_xlfn.SWITCH(
   Working_Sales[[#This Row],[Gender_Whitespace_Removed]],
   "m", "Male",
   "f", "Female",
   Working_Sales[[#This Row],[Gender_Whitespace_Removed]]
)</f>
        <v>Male</v>
      </c>
      <c r="O943" s="6" t="str">
        <f>PROPER(Working_Sales[[#This Row],[Gender_Abbreviation_Expanded]])</f>
        <v>Male</v>
      </c>
      <c r="P943">
        <v>32</v>
      </c>
      <c r="Q943" s="2" t="str">
        <f>CLEAN(TRIM(Working_Sales[[#This Row],[Age]]))</f>
        <v>32</v>
      </c>
      <c r="R943" s="6">
        <f>INT(SUBSTITUTE(Working_Sales[[#This Row],[Age_Whitespace_Removed]],".",","))</f>
        <v>32</v>
      </c>
      <c r="S943" t="s">
        <v>28</v>
      </c>
      <c r="T943" s="2" t="str">
        <f>CLEAN(TRIM(Working_Sales[[#This Row],[Product Category]]))</f>
        <v>clothing</v>
      </c>
      <c r="U943" s="6" t="str">
        <f>PROPER(Working_Sales[[#This Row],[Product_Category_Whitespace_Removed]])</f>
        <v>Clothing</v>
      </c>
      <c r="V943" t="s">
        <v>22</v>
      </c>
      <c r="W943" s="2" t="str">
        <f>CLEAN(TRIM(Working_Sales[[#This Row],[Quantity]]))</f>
        <v>1</v>
      </c>
      <c r="X943" s="2">
        <f>INT(Working_Sales[[#This Row],[`]])</f>
        <v>1</v>
      </c>
      <c r="Y943" s="6">
        <f>IFERROR(
   Working_Sales[[#This Row],[Quantity_Converted_To_Integer]],
   Working_Sales[[#This Row],[Total_Amount_Whitespace_Removed]]/Working_Sales[[#This Row],[Price_Per_Unit_Decimal_Separator_Fixed]])</f>
        <v>1</v>
      </c>
      <c r="Z943" t="s">
        <v>15</v>
      </c>
      <c r="AA943" s="2" t="str">
        <f>CLEAN(TRIM(Working_Sales[[#This Row],[Price per Unit]]))</f>
        <v>50</v>
      </c>
      <c r="AB943" s="2">
        <f>INT(
   SUBSTITUTE(Working_Sales[[#This Row],[Price_Per_Unit_Whitespace_Removed]],
   "$",
   ""
   )
)</f>
        <v>50</v>
      </c>
      <c r="AC943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943" s="8">
        <f>IFERROR(
   Working_Sales[[#This Row],[Price_Per_Unit_Decimal_Separator_Fixed]],
   Working_Sales[[#This Row],[Total_Amount_Converted_To_Integer]]/Working_Sales[[#This Row],[Quantity_Converted_To_Integer]]
)</f>
        <v>50</v>
      </c>
      <c r="AE943" t="s">
        <v>15</v>
      </c>
      <c r="AF943" s="2" t="str">
        <f>CLEAN(TRIM(Working_Sales[[#This Row],[Total Amount]]))</f>
        <v>50</v>
      </c>
      <c r="AG943" s="2">
        <f>INT(Working_Sales[[#This Row],[Total_Amount_Whitespace_Removed]])</f>
        <v>50</v>
      </c>
      <c r="AH94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944" spans="1:34" x14ac:dyDescent="0.35">
      <c r="A944" t="s">
        <v>1895</v>
      </c>
      <c r="B944" s="6" t="str">
        <f>CLEAN(TRIM(Working_Sales[[#This Row],[Transaction ID]]))</f>
        <v>401</v>
      </c>
      <c r="C944" t="s">
        <v>464</v>
      </c>
      <c r="D944" s="2" t="str">
        <f>CLEAN(TRIM(Working_Sales[[#This Row],[Date]]))</f>
        <v>2023-10-11</v>
      </c>
      <c r="E94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45210</v>
      </c>
      <c r="F94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45210</v>
      </c>
      <c r="G94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45210</v>
      </c>
      <c r="H944" t="s">
        <v>3084</v>
      </c>
      <c r="I944" s="2" t="str">
        <f>CLEAN(TRIM(Working_Sales[[#This Row],[Customer ID]]))</f>
        <v>CUST491</v>
      </c>
      <c r="J94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CUST491</v>
      </c>
      <c r="K94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CUST491</v>
      </c>
      <c r="L944" t="s">
        <v>26</v>
      </c>
      <c r="M944" s="4" t="str">
        <f>CLEAN(TRIM(Working_Sales[[#This Row],[Gender]]))</f>
        <v>Female</v>
      </c>
      <c r="N944" s="4" t="str" cm="1">
        <f t="array" ref="N944">_xlfn.SWITCH(
   Working_Sales[[#This Row],[Gender_Whitespace_Removed]],
   "m", "Male",
   "f", "Female",
   Working_Sales[[#This Row],[Gender_Whitespace_Removed]]
)</f>
        <v>Female</v>
      </c>
      <c r="O944" s="6" t="str">
        <f>PROPER(Working_Sales[[#This Row],[Gender_Abbreviation_Expanded]])</f>
        <v>Female</v>
      </c>
      <c r="P944">
        <v>62</v>
      </c>
      <c r="Q944" s="2" t="str">
        <f>CLEAN(TRIM(Working_Sales[[#This Row],[Age]]))</f>
        <v>62</v>
      </c>
      <c r="R944" s="6">
        <f>INT(SUBSTITUTE(Working_Sales[[#This Row],[Age_Whitespace_Removed]],".",","))</f>
        <v>62</v>
      </c>
      <c r="S944" t="s">
        <v>56</v>
      </c>
      <c r="T944" s="2" t="str">
        <f>CLEAN(TRIM(Working_Sales[[#This Row],[Product Category]]))</f>
        <v>Clothing</v>
      </c>
      <c r="U944" s="6" t="str">
        <f>PROPER(Working_Sales[[#This Row],[Product_Category_Whitespace_Removed]])</f>
        <v>Clothing</v>
      </c>
      <c r="V944" t="s">
        <v>22</v>
      </c>
      <c r="W944" s="2" t="str">
        <f>CLEAN(TRIM(Working_Sales[[#This Row],[Quantity]]))</f>
        <v>1</v>
      </c>
      <c r="X944" s="2">
        <f>INT(Working_Sales[[#This Row],[`]])</f>
        <v>1</v>
      </c>
      <c r="Y944" s="6">
        <f>IFERROR(
   Working_Sales[[#This Row],[Quantity_Converted_To_Integer]],
   Working_Sales[[#This Row],[Total_Amount_Whitespace_Removed]]/Working_Sales[[#This Row],[Price_Per_Unit_Decimal_Separator_Fixed]])</f>
        <v>1</v>
      </c>
      <c r="Z944" t="s">
        <v>23</v>
      </c>
      <c r="AA944" s="2" t="str">
        <f>CLEAN(TRIM(Working_Sales[[#This Row],[Price per Unit]]))</f>
        <v>300</v>
      </c>
      <c r="AB944" s="2">
        <f>INT(
   SUBSTITUTE(Working_Sales[[#This Row],[Price_Per_Unit_Whitespace_Removed]],
   "$",
   ""
   )
)</f>
        <v>300</v>
      </c>
      <c r="AC944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944" s="8">
        <f>IFERROR(
   Working_Sales[[#This Row],[Price_Per_Unit_Decimal_Separator_Fixed]],
   Working_Sales[[#This Row],[Total_Amount_Converted_To_Integer]]/Working_Sales[[#This Row],[Quantity_Converted_To_Integer]]
)</f>
        <v>300</v>
      </c>
      <c r="AE944" t="s">
        <v>23</v>
      </c>
      <c r="AF944" s="2" t="str">
        <f>CLEAN(TRIM(Working_Sales[[#This Row],[Total Amount]]))</f>
        <v>300</v>
      </c>
      <c r="AG944" s="2">
        <f>INT(Working_Sales[[#This Row],[Total_Amount_Whitespace_Removed]])</f>
        <v>300</v>
      </c>
      <c r="AH94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945" spans="1:34" x14ac:dyDescent="0.35">
      <c r="A945" t="s">
        <v>1897</v>
      </c>
      <c r="B945" s="6" t="str">
        <f>CLEAN(TRIM(Working_Sales[[#This Row],[Transaction ID]]))</f>
        <v>705</v>
      </c>
      <c r="C945" t="s">
        <v>1757</v>
      </c>
      <c r="D945" s="2" t="str">
        <f>CLEAN(TRIM(Working_Sales[[#This Row],[Date]]))</f>
        <v>2023-03-07</v>
      </c>
      <c r="E94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44992</v>
      </c>
      <c r="F94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44992</v>
      </c>
      <c r="G94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44992</v>
      </c>
      <c r="H945" t="s">
        <v>3085</v>
      </c>
      <c r="I945" s="2" t="str">
        <f>CLEAN(TRIM(Working_Sales[[#This Row],[Customer ID]]))</f>
        <v>CUST-465</v>
      </c>
      <c r="J94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4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CUST465</v>
      </c>
      <c r="L945" t="s">
        <v>34</v>
      </c>
      <c r="M945" s="4" t="str">
        <f>CLEAN(TRIM(Working_Sales[[#This Row],[Gender]]))</f>
        <v>Male</v>
      </c>
      <c r="N945" s="4" t="str" cm="1">
        <f t="array" ref="N945">_xlfn.SWITCH(
   Working_Sales[[#This Row],[Gender_Whitespace_Removed]],
   "m", "Male",
   "f", "Female",
   Working_Sales[[#This Row],[Gender_Whitespace_Removed]]
)</f>
        <v>Male</v>
      </c>
      <c r="O945" s="6" t="str">
        <f>PROPER(Working_Sales[[#This Row],[Gender_Abbreviation_Expanded]])</f>
        <v>Male</v>
      </c>
      <c r="P945">
        <v>60</v>
      </c>
      <c r="Q945" s="2" t="str">
        <f>CLEAN(TRIM(Working_Sales[[#This Row],[Age]]))</f>
        <v>60</v>
      </c>
      <c r="R945" s="6">
        <f>INT(SUBSTITUTE(Working_Sales[[#This Row],[Age_Whitespace_Removed]],".",","))</f>
        <v>60</v>
      </c>
      <c r="S945" t="s">
        <v>13</v>
      </c>
      <c r="T945" s="2" t="str">
        <f>CLEAN(TRIM(Working_Sales[[#This Row],[Product Category]]))</f>
        <v>Electronics</v>
      </c>
      <c r="U945" s="6" t="str">
        <f>PROPER(Working_Sales[[#This Row],[Product_Category_Whitespace_Removed]])</f>
        <v>Electronics</v>
      </c>
      <c r="V945" t="s">
        <v>37</v>
      </c>
      <c r="W945" s="2" t="str">
        <f>CLEAN(TRIM(Working_Sales[[#This Row],[Quantity]]))</f>
        <v>2</v>
      </c>
      <c r="X945" s="2">
        <f>INT(Working_Sales[[#This Row],[`]])</f>
        <v>2</v>
      </c>
      <c r="Y945" s="6">
        <f>IFERROR(
   Working_Sales[[#This Row],[Quantity_Converted_To_Integer]],
   Working_Sales[[#This Row],[Total_Amount_Whitespace_Removed]]/Working_Sales[[#This Row],[Price_Per_Unit_Decimal_Separator_Fixed]])</f>
        <v>2</v>
      </c>
      <c r="Z945" t="s">
        <v>30</v>
      </c>
      <c r="AA945" s="2" t="str">
        <f>CLEAN(TRIM(Working_Sales[[#This Row],[Price per Unit]]))</f>
        <v>25</v>
      </c>
      <c r="AB945" s="2">
        <f>INT(
   SUBSTITUTE(Working_Sales[[#This Row],[Price_Per_Unit_Whitespace_Removed]],
   "$",
   ""
   )
)</f>
        <v>25</v>
      </c>
      <c r="AC945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945" s="8">
        <f>IFERROR(
   Working_Sales[[#This Row],[Price_Per_Unit_Decimal_Separator_Fixed]],
   Working_Sales[[#This Row],[Total_Amount_Converted_To_Integer]]/Working_Sales[[#This Row],[Quantity_Converted_To_Integer]]
)</f>
        <v>25</v>
      </c>
      <c r="AE945" t="s">
        <v>15</v>
      </c>
      <c r="AF945" s="2" t="str">
        <f>CLEAN(TRIM(Working_Sales[[#This Row],[Total Amount]]))</f>
        <v>50</v>
      </c>
      <c r="AG945" s="2">
        <f>INT(Working_Sales[[#This Row],[Total_Amount_Whitespace_Removed]])</f>
        <v>50</v>
      </c>
      <c r="AH94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946" spans="1:34" x14ac:dyDescent="0.35">
      <c r="A946" t="s">
        <v>1898</v>
      </c>
      <c r="B946" s="6" t="str">
        <f>CLEAN(TRIM(Working_Sales[[#This Row],[Transaction ID]]))</f>
        <v>258</v>
      </c>
      <c r="C946" t="s">
        <v>1899</v>
      </c>
      <c r="D946" s="2" t="str">
        <f>CLEAN(TRIM(Working_Sales[[#This Row],[Date]]))</f>
        <v>2023-12-04</v>
      </c>
      <c r="E94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45264</v>
      </c>
      <c r="F94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45264</v>
      </c>
      <c r="G94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45264</v>
      </c>
      <c r="H946" t="s">
        <v>3086</v>
      </c>
      <c r="I946" s="2" t="str">
        <f>CLEAN(TRIM(Working_Sales[[#This Row],[Customer ID]]))</f>
        <v>CUST261</v>
      </c>
      <c r="J94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4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CUST261</v>
      </c>
      <c r="L946" t="s">
        <v>26</v>
      </c>
      <c r="M946" s="4" t="str">
        <f>CLEAN(TRIM(Working_Sales[[#This Row],[Gender]]))</f>
        <v>Female</v>
      </c>
      <c r="N946" s="4" t="str" cm="1">
        <f t="array" ref="N946">_xlfn.SWITCH(
   Working_Sales[[#This Row],[Gender_Whitespace_Removed]],
   "m", "Male",
   "f", "Female",
   Working_Sales[[#This Row],[Gender_Whitespace_Removed]]
)</f>
        <v>Female</v>
      </c>
      <c r="O946" s="6" t="str">
        <f>PROPER(Working_Sales[[#This Row],[Gender_Abbreviation_Expanded]])</f>
        <v>Female</v>
      </c>
      <c r="P946" t="s">
        <v>1607</v>
      </c>
      <c r="Q946" s="2" t="str">
        <f>CLEAN(TRIM(Working_Sales[[#This Row],[Age]]))</f>
        <v>37.0</v>
      </c>
      <c r="R946" s="6">
        <f>INT(SUBSTITUTE(Working_Sales[[#This Row],[Age_Whitespace_Removed]],".",","))</f>
        <v>37</v>
      </c>
      <c r="S946" t="s">
        <v>89</v>
      </c>
      <c r="T946" s="2" t="str">
        <f>CLEAN(TRIM(Working_Sales[[#This Row],[Product Category]]))</f>
        <v>CLOTHING</v>
      </c>
      <c r="U946" s="6" t="str">
        <f>PROPER(Working_Sales[[#This Row],[Product_Category_Whitespace_Removed]])</f>
        <v>Clothing</v>
      </c>
      <c r="V946" t="s">
        <v>22</v>
      </c>
      <c r="W946" s="2" t="str">
        <f>CLEAN(TRIM(Working_Sales[[#This Row],[Quantity]]))</f>
        <v>1</v>
      </c>
      <c r="X946" s="2">
        <f>INT(Working_Sales[[#This Row],[`]])</f>
        <v>1</v>
      </c>
      <c r="Y946" s="6">
        <f>IFERROR(
   Working_Sales[[#This Row],[Quantity_Converted_To_Integer]],
   Working_Sales[[#This Row],[Total_Amount_Whitespace_Removed]]/Working_Sales[[#This Row],[Price_Per_Unit_Decimal_Separator_Fixed]])</f>
        <v>1</v>
      </c>
      <c r="Z946" t="s">
        <v>15</v>
      </c>
      <c r="AA946" s="2" t="str">
        <f>CLEAN(TRIM(Working_Sales[[#This Row],[Price per Unit]]))</f>
        <v>50</v>
      </c>
      <c r="AB946" s="2">
        <f>INT(
   SUBSTITUTE(Working_Sales[[#This Row],[Price_Per_Unit_Whitespace_Removed]],
   "$",
   ""
   )
)</f>
        <v>50</v>
      </c>
      <c r="AC946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946" s="8">
        <f>IFERROR(
   Working_Sales[[#This Row],[Price_Per_Unit_Decimal_Separator_Fixed]],
   Working_Sales[[#This Row],[Total_Amount_Converted_To_Integer]]/Working_Sales[[#This Row],[Quantity_Converted_To_Integer]]
)</f>
        <v>50</v>
      </c>
      <c r="AF946" s="2" t="str">
        <f>CLEAN(TRIM(Working_Sales[[#This Row],[Total Amount]]))</f>
        <v/>
      </c>
      <c r="AG946" s="2" t="e">
        <f>INT(Working_Sales[[#This Row],[Total_Amount_Whitespace_Removed]])</f>
        <v>#VALUE!</v>
      </c>
      <c r="AH94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947" spans="1:34" x14ac:dyDescent="0.35">
      <c r="A947" t="s">
        <v>1901</v>
      </c>
      <c r="B947" s="6" t="str">
        <f>CLEAN(TRIM(Working_Sales[[#This Row],[Transaction ID]]))</f>
        <v>945</v>
      </c>
      <c r="C947" t="s">
        <v>801</v>
      </c>
      <c r="D947" s="2" t="str">
        <f>CLEAN(TRIM(Working_Sales[[#This Row],[Date]]))</f>
        <v>2023-02-13</v>
      </c>
      <c r="E94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44970</v>
      </c>
      <c r="F94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44970</v>
      </c>
      <c r="G94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44970</v>
      </c>
      <c r="H947" t="s">
        <v>3087</v>
      </c>
      <c r="I947" s="2" t="str">
        <f>CLEAN(TRIM(Working_Sales[[#This Row],[Customer ID]]))</f>
        <v>Cust492</v>
      </c>
      <c r="J94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4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CUST492</v>
      </c>
      <c r="L947" t="s">
        <v>34</v>
      </c>
      <c r="M947" s="4" t="str">
        <f>CLEAN(TRIM(Working_Sales[[#This Row],[Gender]]))</f>
        <v>Male</v>
      </c>
      <c r="N947" s="4" t="str" cm="1">
        <f t="array" ref="N947">_xlfn.SWITCH(
   Working_Sales[[#This Row],[Gender_Whitespace_Removed]],
   "m", "Male",
   "f", "Female",
   Working_Sales[[#This Row],[Gender_Whitespace_Removed]]
)</f>
        <v>Male</v>
      </c>
      <c r="O947" s="6" t="str">
        <f>PROPER(Working_Sales[[#This Row],[Gender_Abbreviation_Expanded]])</f>
        <v>Male</v>
      </c>
      <c r="P947" t="s">
        <v>1902</v>
      </c>
      <c r="Q947" s="2" t="str">
        <f>CLEAN(TRIM(Working_Sales[[#This Row],[Age]]))</f>
        <v>30.0</v>
      </c>
      <c r="R947" s="6">
        <f>INT(SUBSTITUTE(Working_Sales[[#This Row],[Age_Whitespace_Removed]],".",","))</f>
        <v>30</v>
      </c>
      <c r="S947" t="s">
        <v>36</v>
      </c>
      <c r="T947" s="2" t="str">
        <f>CLEAN(TRIM(Working_Sales[[#This Row],[Product Category]]))</f>
        <v>Beauty</v>
      </c>
      <c r="U947" s="6" t="str">
        <f>PROPER(Working_Sales[[#This Row],[Product_Category_Whitespace_Removed]])</f>
        <v>Beauty</v>
      </c>
      <c r="V947" t="s">
        <v>22</v>
      </c>
      <c r="W947" s="2" t="str">
        <f>CLEAN(TRIM(Working_Sales[[#This Row],[Quantity]]))</f>
        <v>1</v>
      </c>
      <c r="X947" s="2">
        <f>INT(Working_Sales[[#This Row],[`]])</f>
        <v>1</v>
      </c>
      <c r="Y947" s="6">
        <f>IFERROR(
   Working_Sales[[#This Row],[Quantity_Converted_To_Integer]],
   Working_Sales[[#This Row],[Total_Amount_Whitespace_Removed]]/Working_Sales[[#This Row],[Price_Per_Unit_Decimal_Separator_Fixed]])</f>
        <v>1</v>
      </c>
      <c r="Z947" t="s">
        <v>171</v>
      </c>
      <c r="AA947" s="2" t="str">
        <f>CLEAN(TRIM(Working_Sales[[#This Row],[Price per Unit]]))</f>
        <v>25</v>
      </c>
      <c r="AB947" s="2">
        <f>INT(
   SUBSTITUTE(Working_Sales[[#This Row],[Price_Per_Unit_Whitespace_Removed]],
   "$",
   ""
   )
)</f>
        <v>25</v>
      </c>
      <c r="AC947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947" s="8">
        <f>IFERROR(
   Working_Sales[[#This Row],[Price_Per_Unit_Decimal_Separator_Fixed]],
   Working_Sales[[#This Row],[Total_Amount_Converted_To_Integer]]/Working_Sales[[#This Row],[Quantity_Converted_To_Integer]]
)</f>
        <v>25</v>
      </c>
      <c r="AE947" t="s">
        <v>30</v>
      </c>
      <c r="AF947" s="2" t="str">
        <f>CLEAN(TRIM(Working_Sales[[#This Row],[Total Amount]]))</f>
        <v>25</v>
      </c>
      <c r="AG947" s="2">
        <f>INT(Working_Sales[[#This Row],[Total_Amount_Whitespace_Removed]])</f>
        <v>25</v>
      </c>
      <c r="AH94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948" spans="1:34" x14ac:dyDescent="0.35">
      <c r="A948" t="s">
        <v>1903</v>
      </c>
      <c r="B948" s="6" t="str">
        <f>CLEAN(TRIM(Working_Sales[[#This Row],[Transaction ID]]))</f>
        <v>852</v>
      </c>
      <c r="C948" t="s">
        <v>1904</v>
      </c>
      <c r="D948" s="2" t="str">
        <f>CLEAN(TRIM(Working_Sales[[#This Row],[Date]]))</f>
        <v>2023-10-12</v>
      </c>
      <c r="E94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45211</v>
      </c>
      <c r="F94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45211</v>
      </c>
      <c r="G94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45211</v>
      </c>
      <c r="H948" t="s">
        <v>3088</v>
      </c>
      <c r="I948" s="2" t="str">
        <f>CLEAN(TRIM(Working_Sales[[#This Row],[Customer ID]]))</f>
        <v>cust493</v>
      </c>
      <c r="J94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4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CUST493</v>
      </c>
      <c r="L948" t="s">
        <v>26</v>
      </c>
      <c r="M948" s="4" t="str">
        <f>CLEAN(TRIM(Working_Sales[[#This Row],[Gender]]))</f>
        <v>Female</v>
      </c>
      <c r="N948" s="4" t="str" cm="1">
        <f t="array" ref="N948">_xlfn.SWITCH(
   Working_Sales[[#This Row],[Gender_Whitespace_Removed]],
   "m", "Male",
   "f", "Female",
   Working_Sales[[#This Row],[Gender_Whitespace_Removed]]
)</f>
        <v>Female</v>
      </c>
      <c r="O948" s="6" t="str">
        <f>PROPER(Working_Sales[[#This Row],[Gender_Abbreviation_Expanded]])</f>
        <v>Female</v>
      </c>
      <c r="P948">
        <v>41</v>
      </c>
      <c r="Q948" s="2" t="str">
        <f>CLEAN(TRIM(Working_Sales[[#This Row],[Age]]))</f>
        <v>41</v>
      </c>
      <c r="R948" s="6">
        <f>INT(SUBSTITUTE(Working_Sales[[#This Row],[Age_Whitespace_Removed]],".",","))</f>
        <v>41</v>
      </c>
      <c r="S948" t="s">
        <v>124</v>
      </c>
      <c r="T948" s="2" t="str">
        <f>CLEAN(TRIM(Working_Sales[[#This Row],[Product Category]]))</f>
        <v>Clothing</v>
      </c>
      <c r="U948" s="6" t="str">
        <f>PROPER(Working_Sales[[#This Row],[Product_Category_Whitespace_Removed]])</f>
        <v>Clothing</v>
      </c>
      <c r="V948" t="s">
        <v>22</v>
      </c>
      <c r="W948" s="2" t="str">
        <f>CLEAN(TRIM(Working_Sales[[#This Row],[Quantity]]))</f>
        <v>1</v>
      </c>
      <c r="X948" s="2">
        <f>INT(Working_Sales[[#This Row],[`]])</f>
        <v>1</v>
      </c>
      <c r="Y948" s="6">
        <f>IFERROR(
   Working_Sales[[#This Row],[Quantity_Converted_To_Integer]],
   Working_Sales[[#This Row],[Total_Amount_Whitespace_Removed]]/Working_Sales[[#This Row],[Price_Per_Unit_Decimal_Separator_Fixed]])</f>
        <v>1</v>
      </c>
      <c r="Z948" t="s">
        <v>23</v>
      </c>
      <c r="AA948" s="2" t="str">
        <f>CLEAN(TRIM(Working_Sales[[#This Row],[Price per Unit]]))</f>
        <v>300</v>
      </c>
      <c r="AB948" s="2">
        <f>INT(
   SUBSTITUTE(Working_Sales[[#This Row],[Price_Per_Unit_Whitespace_Removed]],
   "$",
   ""
   )
)</f>
        <v>300</v>
      </c>
      <c r="AC948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948" s="8">
        <f>IFERROR(
   Working_Sales[[#This Row],[Price_Per_Unit_Decimal_Separator_Fixed]],
   Working_Sales[[#This Row],[Total_Amount_Converted_To_Integer]]/Working_Sales[[#This Row],[Quantity_Converted_To_Integer]]
)</f>
        <v>300</v>
      </c>
      <c r="AE948" t="s">
        <v>23</v>
      </c>
      <c r="AF948" s="2" t="str">
        <f>CLEAN(TRIM(Working_Sales[[#This Row],[Total Amount]]))</f>
        <v>300</v>
      </c>
      <c r="AG948" s="2">
        <f>INT(Working_Sales[[#This Row],[Total_Amount_Whitespace_Removed]])</f>
        <v>300</v>
      </c>
      <c r="AH94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949" spans="1:34" x14ac:dyDescent="0.35">
      <c r="A949" t="s">
        <v>1905</v>
      </c>
      <c r="B949" s="6" t="str">
        <f>CLEAN(TRIM(Working_Sales[[#This Row],[Transaction ID]]))</f>
        <v>73</v>
      </c>
      <c r="C949" t="s">
        <v>1646</v>
      </c>
      <c r="D949" s="2" t="str">
        <f>CLEAN(TRIM(Working_Sales[[#This Row],[Date]]))</f>
        <v>08/21/2023</v>
      </c>
      <c r="E949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94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45159</v>
      </c>
      <c r="G94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45159</v>
      </c>
      <c r="H949" t="s">
        <v>3089</v>
      </c>
      <c r="I949" s="2" t="str">
        <f>CLEAN(TRIM(Working_Sales[[#This Row],[Customer ID]]))</f>
        <v>cust494</v>
      </c>
      <c r="J94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4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CUST494</v>
      </c>
      <c r="L949" t="s">
        <v>268</v>
      </c>
      <c r="M949" s="4" t="str">
        <f>CLEAN(TRIM(Working_Sales[[#This Row],[Gender]]))</f>
        <v>M</v>
      </c>
      <c r="N949" s="4" t="str" cm="1">
        <f t="array" ref="N949">_xlfn.SWITCH(
   Working_Sales[[#This Row],[Gender_Whitespace_Removed]],
   "m", "Male",
   "f", "Female",
   Working_Sales[[#This Row],[Gender_Whitespace_Removed]]
)</f>
        <v>Male</v>
      </c>
      <c r="O949" s="6" t="str">
        <f>PROPER(Working_Sales[[#This Row],[Gender_Abbreviation_Expanded]])</f>
        <v>Male</v>
      </c>
      <c r="P949">
        <v>29</v>
      </c>
      <c r="Q949" s="2" t="str">
        <f>CLEAN(TRIM(Working_Sales[[#This Row],[Age]]))</f>
        <v>29</v>
      </c>
      <c r="R949" s="6">
        <f>INT(SUBSTITUTE(Working_Sales[[#This Row],[Age_Whitespace_Removed]],".",","))</f>
        <v>29</v>
      </c>
      <c r="S949" t="s">
        <v>109</v>
      </c>
      <c r="T949" s="2" t="str">
        <f>CLEAN(TRIM(Working_Sales[[#This Row],[Product Category]]))</f>
        <v>Electronics</v>
      </c>
      <c r="U949" s="6" t="str">
        <f>PROPER(Working_Sales[[#This Row],[Product_Category_Whitespace_Removed]])</f>
        <v>Electronics</v>
      </c>
      <c r="V949" t="s">
        <v>29</v>
      </c>
      <c r="W949" s="2" t="str">
        <f>CLEAN(TRIM(Working_Sales[[#This Row],[Quantity]]))</f>
        <v>3</v>
      </c>
      <c r="X949" s="2">
        <f>INT(Working_Sales[[#This Row],[`]])</f>
        <v>3</v>
      </c>
      <c r="Y949" s="6">
        <f>IFERROR(
   Working_Sales[[#This Row],[Quantity_Converted_To_Integer]],
   Working_Sales[[#This Row],[Total_Amount_Whitespace_Removed]]/Working_Sales[[#This Row],[Price_Per_Unit_Decimal_Separator_Fixed]])</f>
        <v>3</v>
      </c>
      <c r="Z949" t="s">
        <v>70</v>
      </c>
      <c r="AA949" s="2" t="str">
        <f>CLEAN(TRIM(Working_Sales[[#This Row],[Price per Unit]]))</f>
        <v>30</v>
      </c>
      <c r="AB949" s="2">
        <f>INT(
   SUBSTITUTE(Working_Sales[[#This Row],[Price_Per_Unit_Whitespace_Removed]],
   "$",
   ""
   )
)</f>
        <v>30</v>
      </c>
      <c r="AC949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949" s="8">
        <f>IFERROR(
   Working_Sales[[#This Row],[Price_Per_Unit_Decimal_Separator_Fixed]],
   Working_Sales[[#This Row],[Total_Amount_Converted_To_Integer]]/Working_Sales[[#This Row],[Quantity_Converted_To_Integer]]
)</f>
        <v>30</v>
      </c>
      <c r="AE949" t="s">
        <v>191</v>
      </c>
      <c r="AF949" s="2" t="str">
        <f>CLEAN(TRIM(Working_Sales[[#This Row],[Total Amount]]))</f>
        <v>90</v>
      </c>
      <c r="AG949" s="2">
        <f>INT(Working_Sales[[#This Row],[Total_Amount_Whitespace_Removed]])</f>
        <v>90</v>
      </c>
      <c r="AH94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950" spans="1:34" x14ac:dyDescent="0.35">
      <c r="A950" t="s">
        <v>1907</v>
      </c>
      <c r="B950" s="6" t="str">
        <f>CLEAN(TRIM(Working_Sales[[#This Row],[Transaction ID]]))</f>
        <v>196</v>
      </c>
      <c r="C950" t="s">
        <v>2172</v>
      </c>
      <c r="D950" s="2" t="str">
        <f>CLEAN(TRIM(Working_Sales[[#This Row],[Date]]))</f>
        <v>09/30/2023</v>
      </c>
      <c r="E950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95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45199</v>
      </c>
      <c r="G95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45199</v>
      </c>
      <c r="H950" t="s">
        <v>3090</v>
      </c>
      <c r="I950" s="2" t="str">
        <f>CLEAN(TRIM(Working_Sales[[#This Row],[Customer ID]]))</f>
        <v>CUST495</v>
      </c>
      <c r="J95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CUST495</v>
      </c>
      <c r="K95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CUST495</v>
      </c>
      <c r="L950" t="s">
        <v>26</v>
      </c>
      <c r="M950" s="4" t="str">
        <f>CLEAN(TRIM(Working_Sales[[#This Row],[Gender]]))</f>
        <v>Female</v>
      </c>
      <c r="N950" s="4" t="str" cm="1">
        <f t="array" ref="N950">_xlfn.SWITCH(
   Working_Sales[[#This Row],[Gender_Whitespace_Removed]],
   "m", "Male",
   "f", "Female",
   Working_Sales[[#This Row],[Gender_Whitespace_Removed]]
)</f>
        <v>Female</v>
      </c>
      <c r="O950" s="6" t="str">
        <f>PROPER(Working_Sales[[#This Row],[Gender_Abbreviation_Expanded]])</f>
        <v>Female</v>
      </c>
      <c r="P950">
        <v>32</v>
      </c>
      <c r="Q950" s="2" t="str">
        <f>CLEAN(TRIM(Working_Sales[[#This Row],[Age]]))</f>
        <v>32</v>
      </c>
      <c r="R950" s="6">
        <f>INT(SUBSTITUTE(Working_Sales[[#This Row],[Age_Whitespace_Removed]],".",","))</f>
        <v>32</v>
      </c>
      <c r="S950" t="s">
        <v>56</v>
      </c>
      <c r="T950" s="2" t="str">
        <f>CLEAN(TRIM(Working_Sales[[#This Row],[Product Category]]))</f>
        <v>Clothing</v>
      </c>
      <c r="U950" s="6" t="str">
        <f>PROPER(Working_Sales[[#This Row],[Product_Category_Whitespace_Removed]])</f>
        <v>Clothing</v>
      </c>
      <c r="V950" t="s">
        <v>29</v>
      </c>
      <c r="W950" s="2" t="str">
        <f>CLEAN(TRIM(Working_Sales[[#This Row],[Quantity]]))</f>
        <v>3</v>
      </c>
      <c r="X950" s="2">
        <f>INT(Working_Sales[[#This Row],[`]])</f>
        <v>3</v>
      </c>
      <c r="Y950" s="6">
        <f>IFERROR(
   Working_Sales[[#This Row],[Quantity_Converted_To_Integer]],
   Working_Sales[[#This Row],[Total_Amount_Whitespace_Removed]]/Working_Sales[[#This Row],[Price_Per_Unit_Decimal_Separator_Fixed]])</f>
        <v>3</v>
      </c>
      <c r="Z950" t="s">
        <v>23</v>
      </c>
      <c r="AA950" s="2" t="str">
        <f>CLEAN(TRIM(Working_Sales[[#This Row],[Price per Unit]]))</f>
        <v>300</v>
      </c>
      <c r="AB950" s="2">
        <f>INT(
   SUBSTITUTE(Working_Sales[[#This Row],[Price_Per_Unit_Whitespace_Removed]],
   "$",
   ""
   )
)</f>
        <v>300</v>
      </c>
      <c r="AC950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950" s="8">
        <f>IFERROR(
   Working_Sales[[#This Row],[Price_Per_Unit_Decimal_Separator_Fixed]],
   Working_Sales[[#This Row],[Total_Amount_Converted_To_Integer]]/Working_Sales[[#This Row],[Quantity_Converted_To_Integer]]
)</f>
        <v>300</v>
      </c>
      <c r="AE950" t="s">
        <v>128</v>
      </c>
      <c r="AF950" s="2" t="str">
        <f>CLEAN(TRIM(Working_Sales[[#This Row],[Total Amount]]))</f>
        <v>900</v>
      </c>
      <c r="AG950" s="2">
        <f>INT(Working_Sales[[#This Row],[Total_Amount_Whitespace_Removed]])</f>
        <v>900</v>
      </c>
      <c r="AH95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951" spans="1:34" x14ac:dyDescent="0.35">
      <c r="A951" t="s">
        <v>1908</v>
      </c>
      <c r="B951" s="6" t="str">
        <f>CLEAN(TRIM(Working_Sales[[#This Row],[Transaction ID]]))</f>
        <v>484</v>
      </c>
      <c r="C951" t="s">
        <v>2041</v>
      </c>
      <c r="D951" s="2" t="str">
        <f>CLEAN(TRIM(Working_Sales[[#This Row],[Date]]))</f>
        <v>01/13/2023</v>
      </c>
      <c r="E951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95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44939</v>
      </c>
      <c r="G95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44939</v>
      </c>
      <c r="H951" t="s">
        <v>3091</v>
      </c>
      <c r="I951" s="2" t="str">
        <f>CLEAN(TRIM(Working_Sales[[#This Row],[Customer ID]]))</f>
        <v>cust464</v>
      </c>
      <c r="J95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5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CUST464</v>
      </c>
      <c r="L951" t="s">
        <v>26</v>
      </c>
      <c r="M951" s="4" t="str">
        <f>CLEAN(TRIM(Working_Sales[[#This Row],[Gender]]))</f>
        <v>Female</v>
      </c>
      <c r="N951" s="4" t="str" cm="1">
        <f t="array" ref="N951">_xlfn.SWITCH(
   Working_Sales[[#This Row],[Gender_Whitespace_Removed]],
   "m", "Male",
   "f", "Female",
   Working_Sales[[#This Row],[Gender_Whitespace_Removed]]
)</f>
        <v>Female</v>
      </c>
      <c r="O951" s="6" t="str">
        <f>PROPER(Working_Sales[[#This Row],[Gender_Abbreviation_Expanded]])</f>
        <v>Female</v>
      </c>
      <c r="P951">
        <v>19</v>
      </c>
      <c r="Q951" s="2" t="str">
        <f>CLEAN(TRIM(Working_Sales[[#This Row],[Age]]))</f>
        <v>19</v>
      </c>
      <c r="R951" s="6">
        <f>INT(SUBSTITUTE(Working_Sales[[#This Row],[Age_Whitespace_Removed]],".",","))</f>
        <v>19</v>
      </c>
      <c r="S951" t="s">
        <v>400</v>
      </c>
      <c r="T951" s="2" t="str">
        <f>CLEAN(TRIM(Working_Sales[[#This Row],[Product Category]]))</f>
        <v>Clothing</v>
      </c>
      <c r="U951" s="6" t="str">
        <f>PROPER(Working_Sales[[#This Row],[Product_Category_Whitespace_Removed]])</f>
        <v>Clothing</v>
      </c>
      <c r="V951" t="s">
        <v>14</v>
      </c>
      <c r="W951" s="2" t="str">
        <f>CLEAN(TRIM(Working_Sales[[#This Row],[Quantity]]))</f>
        <v>4</v>
      </c>
      <c r="X951" s="2">
        <f>INT(Working_Sales[[#This Row],[`]])</f>
        <v>4</v>
      </c>
      <c r="Y951" s="6">
        <f>IFERROR(
   Working_Sales[[#This Row],[Quantity_Converted_To_Integer]],
   Working_Sales[[#This Row],[Total_Amount_Whitespace_Removed]]/Working_Sales[[#This Row],[Price_Per_Unit_Decimal_Separator_Fixed]])</f>
        <v>4</v>
      </c>
      <c r="Z951" t="s">
        <v>180</v>
      </c>
      <c r="AA951" s="2" t="str">
        <f>CLEAN(TRIM(Working_Sales[[#This Row],[Price per Unit]]))</f>
        <v>300</v>
      </c>
      <c r="AB951" s="2">
        <f>INT(
   SUBSTITUTE(Working_Sales[[#This Row],[Price_Per_Unit_Whitespace_Removed]],
   "$",
   ""
   )
)</f>
        <v>300</v>
      </c>
      <c r="AC951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951" s="8">
        <f>IFERROR(
   Working_Sales[[#This Row],[Price_Per_Unit_Decimal_Separator_Fixed]],
   Working_Sales[[#This Row],[Total_Amount_Converted_To_Integer]]/Working_Sales[[#This Row],[Quantity_Converted_To_Integer]]
)</f>
        <v>300</v>
      </c>
      <c r="AE951" t="s">
        <v>79</v>
      </c>
      <c r="AF951" s="2" t="str">
        <f>CLEAN(TRIM(Working_Sales[[#This Row],[Total Amount]]))</f>
        <v>1200</v>
      </c>
      <c r="AG951" s="2">
        <f>INT(Working_Sales[[#This Row],[Total_Amount_Whitespace_Removed]])</f>
        <v>1200</v>
      </c>
      <c r="AH95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952" spans="1:34" x14ac:dyDescent="0.35">
      <c r="A952" t="s">
        <v>1910</v>
      </c>
      <c r="B952" s="6" t="str">
        <f>CLEAN(TRIM(Working_Sales[[#This Row],[Transaction ID]]))</f>
        <v>856</v>
      </c>
      <c r="C952" t="s">
        <v>1911</v>
      </c>
      <c r="D952" s="2" t="str">
        <f>CLEAN(TRIM(Working_Sales[[#This Row],[Date]]))</f>
        <v>November 27, 2023</v>
      </c>
      <c r="E952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952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95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45257</v>
      </c>
      <c r="H952" t="s">
        <v>3092</v>
      </c>
      <c r="I952" s="2" t="str">
        <f>CLEAN(TRIM(Working_Sales[[#This Row],[Customer ID]]))</f>
        <v>CUST490</v>
      </c>
      <c r="J95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CUST490</v>
      </c>
      <c r="K95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CUST490</v>
      </c>
      <c r="L952" t="s">
        <v>34</v>
      </c>
      <c r="M952" s="4" t="str">
        <f>CLEAN(TRIM(Working_Sales[[#This Row],[Gender]]))</f>
        <v>Male</v>
      </c>
      <c r="N952" s="4" t="str" cm="1">
        <f t="array" ref="N952">_xlfn.SWITCH(
   Working_Sales[[#This Row],[Gender_Whitespace_Removed]],
   "m", "Male",
   "f", "Female",
   Working_Sales[[#This Row],[Gender_Whitespace_Removed]]
)</f>
        <v>Male</v>
      </c>
      <c r="O952" s="6" t="str">
        <f>PROPER(Working_Sales[[#This Row],[Gender_Abbreviation_Expanded]])</f>
        <v>Male</v>
      </c>
      <c r="P952">
        <v>54</v>
      </c>
      <c r="Q952" s="2" t="str">
        <f>CLEAN(TRIM(Working_Sales[[#This Row],[Age]]))</f>
        <v>54</v>
      </c>
      <c r="R952" s="6">
        <f>INT(SUBSTITUTE(Working_Sales[[#This Row],[Age_Whitespace_Removed]],".",","))</f>
        <v>54</v>
      </c>
      <c r="S952" t="s">
        <v>117</v>
      </c>
      <c r="T952" s="2" t="str">
        <f>CLEAN(TRIM(Working_Sales[[#This Row],[Product Category]]))</f>
        <v>Electronics</v>
      </c>
      <c r="U952" s="6" t="str">
        <f>PROPER(Working_Sales[[#This Row],[Product_Category_Whitespace_Removed]])</f>
        <v>Electronics</v>
      </c>
      <c r="V952" t="s">
        <v>14</v>
      </c>
      <c r="W952" s="2" t="str">
        <f>CLEAN(TRIM(Working_Sales[[#This Row],[Quantity]]))</f>
        <v>4</v>
      </c>
      <c r="X952" s="2">
        <f>INT(Working_Sales[[#This Row],[`]])</f>
        <v>4</v>
      </c>
      <c r="Y952" s="6">
        <f>IFERROR(
   Working_Sales[[#This Row],[Quantity_Converted_To_Integer]],
   Working_Sales[[#This Row],[Total_Amount_Whitespace_Removed]]/Working_Sales[[#This Row],[Price_Per_Unit_Decimal_Separator_Fixed]])</f>
        <v>4</v>
      </c>
      <c r="Z952" t="s">
        <v>70</v>
      </c>
      <c r="AA952" s="2" t="str">
        <f>CLEAN(TRIM(Working_Sales[[#This Row],[Price per Unit]]))</f>
        <v>30</v>
      </c>
      <c r="AB952" s="2">
        <f>INT(
   SUBSTITUTE(Working_Sales[[#This Row],[Price_Per_Unit_Whitespace_Removed]],
   "$",
   ""
   )
)</f>
        <v>30</v>
      </c>
      <c r="AC952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952" s="8">
        <f>IFERROR(
   Working_Sales[[#This Row],[Price_Per_Unit_Decimal_Separator_Fixed]],
   Working_Sales[[#This Row],[Total_Amount_Converted_To_Integer]]/Working_Sales[[#This Row],[Quantity_Converted_To_Integer]]
)</f>
        <v>30</v>
      </c>
      <c r="AE952" t="s">
        <v>44</v>
      </c>
      <c r="AF952" s="2" t="str">
        <f>CLEAN(TRIM(Working_Sales[[#This Row],[Total Amount]]))</f>
        <v>120</v>
      </c>
      <c r="AG952" s="2">
        <f>INT(Working_Sales[[#This Row],[Total_Amount_Whitespace_Removed]])</f>
        <v>120</v>
      </c>
      <c r="AH95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953" spans="1:34" x14ac:dyDescent="0.35">
      <c r="A953" t="s">
        <v>1912</v>
      </c>
      <c r="B953" s="6" t="str">
        <f>CLEAN(TRIM(Working_Sales[[#This Row],[Transaction ID]]))</f>
        <v>138</v>
      </c>
      <c r="C953" t="s">
        <v>2173</v>
      </c>
      <c r="D953" s="2" t="str">
        <f>CLEAN(TRIM(Working_Sales[[#This Row],[Date]]))</f>
        <v>03/23/2023</v>
      </c>
      <c r="E953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95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45008</v>
      </c>
      <c r="G95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45008</v>
      </c>
      <c r="H953" t="s">
        <v>3093</v>
      </c>
      <c r="I953" s="2" t="str">
        <f>CLEAN(TRIM(Working_Sales[[#This Row],[Customer ID]]))</f>
        <v>cust341</v>
      </c>
      <c r="J95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5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CUST341</v>
      </c>
      <c r="L953" t="s">
        <v>34</v>
      </c>
      <c r="M953" s="4" t="str">
        <f>CLEAN(TRIM(Working_Sales[[#This Row],[Gender]]))</f>
        <v>Male</v>
      </c>
      <c r="N953" s="4" t="str" cm="1">
        <f t="array" ref="N953">_xlfn.SWITCH(
   Working_Sales[[#This Row],[Gender_Whitespace_Removed]],
   "m", "Male",
   "f", "Female",
   Working_Sales[[#This Row],[Gender_Whitespace_Removed]]
)</f>
        <v>Male</v>
      </c>
      <c r="O953" s="6" t="str">
        <f>PROPER(Working_Sales[[#This Row],[Gender_Abbreviation_Expanded]])</f>
        <v>Male</v>
      </c>
      <c r="P953">
        <v>49</v>
      </c>
      <c r="Q953" s="2" t="str">
        <f>CLEAN(TRIM(Working_Sales[[#This Row],[Age]]))</f>
        <v>49</v>
      </c>
      <c r="R953" s="6">
        <f>INT(SUBSTITUTE(Working_Sales[[#This Row],[Age_Whitespace_Removed]],".",","))</f>
        <v>49</v>
      </c>
      <c r="S953" t="s">
        <v>89</v>
      </c>
      <c r="T953" s="2" t="str">
        <f>CLEAN(TRIM(Working_Sales[[#This Row],[Product Category]]))</f>
        <v>CLOTHING</v>
      </c>
      <c r="U953" s="6" t="str">
        <f>PROPER(Working_Sales[[#This Row],[Product_Category_Whitespace_Removed]])</f>
        <v>Clothing</v>
      </c>
      <c r="V953" t="s">
        <v>14</v>
      </c>
      <c r="W953" s="2" t="str">
        <f>CLEAN(TRIM(Working_Sales[[#This Row],[Quantity]]))</f>
        <v>4</v>
      </c>
      <c r="X953" s="2">
        <f>INT(Working_Sales[[#This Row],[`]])</f>
        <v>4</v>
      </c>
      <c r="Y953" s="6">
        <f>IFERROR(
   Working_Sales[[#This Row],[Quantity_Converted_To_Integer]],
   Working_Sales[[#This Row],[Total_Amount_Whitespace_Removed]]/Working_Sales[[#This Row],[Price_Per_Unit_Decimal_Separator_Fixed]])</f>
        <v>4</v>
      </c>
      <c r="Z953" t="s">
        <v>96</v>
      </c>
      <c r="AA953" s="2" t="str">
        <f>CLEAN(TRIM(Working_Sales[[#This Row],[Price per Unit]]))</f>
        <v>$50</v>
      </c>
      <c r="AB953" s="2">
        <f>INT(
   SUBSTITUTE(Working_Sales[[#This Row],[Price_Per_Unit_Whitespace_Removed]],
   "$",
   ""
   )
)</f>
        <v>50</v>
      </c>
      <c r="AC953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953" s="8">
        <f>IFERROR(
   Working_Sales[[#This Row],[Price_Per_Unit_Decimal_Separator_Fixed]],
   Working_Sales[[#This Row],[Total_Amount_Converted_To_Integer]]/Working_Sales[[#This Row],[Quantity_Converted_To_Integer]]
)</f>
        <v>50</v>
      </c>
      <c r="AE953" t="s">
        <v>16</v>
      </c>
      <c r="AF953" s="2" t="str">
        <f>CLEAN(TRIM(Working_Sales[[#This Row],[Total Amount]]))</f>
        <v>200</v>
      </c>
      <c r="AG953" s="2">
        <f>INT(Working_Sales[[#This Row],[Total_Amount_Whitespace_Removed]])</f>
        <v>200</v>
      </c>
      <c r="AH95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954" spans="1:34" x14ac:dyDescent="0.35">
      <c r="A954" t="s">
        <v>1914</v>
      </c>
      <c r="B954" s="6" t="str">
        <f>CLEAN(TRIM(Working_Sales[[#This Row],[Transaction ID]]))</f>
        <v>495</v>
      </c>
      <c r="C954" t="s">
        <v>1396</v>
      </c>
      <c r="D954" s="2" t="str">
        <f>CLEAN(TRIM(Working_Sales[[#This Row],[Date]]))</f>
        <v>2023-07-24</v>
      </c>
      <c r="E95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45131</v>
      </c>
      <c r="F95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45131</v>
      </c>
      <c r="G95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45131</v>
      </c>
      <c r="H954" t="s">
        <v>3094</v>
      </c>
      <c r="I954" s="2" t="str">
        <f>CLEAN(TRIM(Working_Sales[[#This Row],[Customer ID]]))</f>
        <v>Cust063</v>
      </c>
      <c r="J95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5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CUST063</v>
      </c>
      <c r="L954" t="s">
        <v>34</v>
      </c>
      <c r="M954" s="4" t="str">
        <f>CLEAN(TRIM(Working_Sales[[#This Row],[Gender]]))</f>
        <v>Male</v>
      </c>
      <c r="N954" s="4" t="str" cm="1">
        <f t="array" ref="N954">_xlfn.SWITCH(
   Working_Sales[[#This Row],[Gender_Whitespace_Removed]],
   "m", "Male",
   "f", "Female",
   Working_Sales[[#This Row],[Gender_Whitespace_Removed]]
)</f>
        <v>Male</v>
      </c>
      <c r="O954" s="6" t="str">
        <f>PROPER(Working_Sales[[#This Row],[Gender_Abbreviation_Expanded]])</f>
        <v>Male</v>
      </c>
      <c r="P954">
        <v>24</v>
      </c>
      <c r="Q954" s="2" t="str">
        <f>CLEAN(TRIM(Working_Sales[[#This Row],[Age]]))</f>
        <v>24</v>
      </c>
      <c r="R954" s="6">
        <f>INT(SUBSTITUTE(Working_Sales[[#This Row],[Age_Whitespace_Removed]],".",","))</f>
        <v>24</v>
      </c>
      <c r="S954" t="s">
        <v>36</v>
      </c>
      <c r="T954" s="2" t="str">
        <f>CLEAN(TRIM(Working_Sales[[#This Row],[Product Category]]))</f>
        <v>Beauty</v>
      </c>
      <c r="U954" s="6" t="str">
        <f>PROPER(Working_Sales[[#This Row],[Product_Category_Whitespace_Removed]])</f>
        <v>Beauty</v>
      </c>
      <c r="V954" t="s">
        <v>37</v>
      </c>
      <c r="W954" s="2" t="str">
        <f>CLEAN(TRIM(Working_Sales[[#This Row],[Quantity]]))</f>
        <v>2</v>
      </c>
      <c r="X954" s="2">
        <f>INT(Working_Sales[[#This Row],[`]])</f>
        <v>2</v>
      </c>
      <c r="Y954" s="6">
        <f>IFERROR(
   Working_Sales[[#This Row],[Quantity_Converted_To_Integer]],
   Working_Sales[[#This Row],[Total_Amount_Whitespace_Removed]]/Working_Sales[[#This Row],[Price_Per_Unit_Decimal_Separator_Fixed]])</f>
        <v>2</v>
      </c>
      <c r="Z954" t="s">
        <v>70</v>
      </c>
      <c r="AA954" s="2" t="str">
        <f>CLEAN(TRIM(Working_Sales[[#This Row],[Price per Unit]]))</f>
        <v>30</v>
      </c>
      <c r="AB954" s="2">
        <f>INT(
   SUBSTITUTE(Working_Sales[[#This Row],[Price_Per_Unit_Whitespace_Removed]],
   "$",
   ""
   )
)</f>
        <v>30</v>
      </c>
      <c r="AC954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954" s="8">
        <f>IFERROR(
   Working_Sales[[#This Row],[Price_Per_Unit_Decimal_Separator_Fixed]],
   Working_Sales[[#This Row],[Total_Amount_Converted_To_Integer]]/Working_Sales[[#This Row],[Quantity_Converted_To_Integer]]
)</f>
        <v>30</v>
      </c>
      <c r="AE954" t="s">
        <v>71</v>
      </c>
      <c r="AF954" s="2" t="str">
        <f>CLEAN(TRIM(Working_Sales[[#This Row],[Total Amount]]))</f>
        <v>60</v>
      </c>
      <c r="AG954" s="2">
        <f>INT(Working_Sales[[#This Row],[Total_Amount_Whitespace_Removed]])</f>
        <v>60</v>
      </c>
      <c r="AH95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955" spans="1:34" x14ac:dyDescent="0.35">
      <c r="A955" t="s">
        <v>1915</v>
      </c>
      <c r="B955" s="6" t="str">
        <f>CLEAN(TRIM(Working_Sales[[#This Row],[Transaction ID]]))</f>
        <v>773</v>
      </c>
      <c r="C955" t="s">
        <v>1916</v>
      </c>
      <c r="D955" s="2" t="str">
        <f>CLEAN(TRIM(Working_Sales[[#This Row],[Date]]))</f>
        <v>2023-07-23</v>
      </c>
      <c r="E95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45130</v>
      </c>
      <c r="F95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45130</v>
      </c>
      <c r="G95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45130</v>
      </c>
      <c r="H955" t="s">
        <v>3095</v>
      </c>
      <c r="I955" s="2" t="str">
        <f>CLEAN(TRIM(Working_Sales[[#This Row],[Customer ID]]))</f>
        <v>cust426</v>
      </c>
      <c r="J95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5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CUST426</v>
      </c>
      <c r="L955" t="s">
        <v>34</v>
      </c>
      <c r="M955" s="4" t="str">
        <f>CLEAN(TRIM(Working_Sales[[#This Row],[Gender]]))</f>
        <v>Male</v>
      </c>
      <c r="N955" s="4" t="str" cm="1">
        <f t="array" ref="N955">_xlfn.SWITCH(
   Working_Sales[[#This Row],[Gender_Whitespace_Removed]],
   "m", "Male",
   "f", "Female",
   Working_Sales[[#This Row],[Gender_Whitespace_Removed]]
)</f>
        <v>Male</v>
      </c>
      <c r="O955" s="6" t="str">
        <f>PROPER(Working_Sales[[#This Row],[Gender_Abbreviation_Expanded]])</f>
        <v>Male</v>
      </c>
      <c r="P955">
        <v>25</v>
      </c>
      <c r="Q955" s="2" t="str">
        <f>CLEAN(TRIM(Working_Sales[[#This Row],[Age]]))</f>
        <v>25</v>
      </c>
      <c r="R955" s="6">
        <f>INT(SUBSTITUTE(Working_Sales[[#This Row],[Age_Whitespace_Removed]],".",","))</f>
        <v>25</v>
      </c>
      <c r="S955" t="s">
        <v>13</v>
      </c>
      <c r="T955" s="2" t="str">
        <f>CLEAN(TRIM(Working_Sales[[#This Row],[Product Category]]))</f>
        <v>Electronics</v>
      </c>
      <c r="U955" s="6" t="str">
        <f>PROPER(Working_Sales[[#This Row],[Product_Category_Whitespace_Removed]])</f>
        <v>Electronics</v>
      </c>
      <c r="V955" t="s">
        <v>14</v>
      </c>
      <c r="W955" s="2" t="str">
        <f>CLEAN(TRIM(Working_Sales[[#This Row],[Quantity]]))</f>
        <v>4</v>
      </c>
      <c r="X955" s="2">
        <f>INT(Working_Sales[[#This Row],[`]])</f>
        <v>4</v>
      </c>
      <c r="Y955" s="6">
        <f>IFERROR(
   Working_Sales[[#This Row],[Quantity_Converted_To_Integer]],
   Working_Sales[[#This Row],[Total_Amount_Whitespace_Removed]]/Working_Sales[[#This Row],[Price_Per_Unit_Decimal_Separator_Fixed]])</f>
        <v>4</v>
      </c>
      <c r="Z955" t="s">
        <v>282</v>
      </c>
      <c r="AA955" s="2" t="str">
        <f>CLEAN(TRIM(Working_Sales[[#This Row],[Price per Unit]]))</f>
        <v>500</v>
      </c>
      <c r="AB955" s="2">
        <f>INT(
   SUBSTITUTE(Working_Sales[[#This Row],[Price_Per_Unit_Whitespace_Removed]],
   "$",
   ""
   )
)</f>
        <v>500</v>
      </c>
      <c r="AC955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955" s="8">
        <f>IFERROR(
   Working_Sales[[#This Row],[Price_Per_Unit_Decimal_Separator_Fixed]],
   Working_Sales[[#This Row],[Total_Amount_Converted_To_Integer]]/Working_Sales[[#This Row],[Quantity_Converted_To_Integer]]
)</f>
        <v>500</v>
      </c>
      <c r="AE955" t="s">
        <v>232</v>
      </c>
      <c r="AF955" s="2" t="str">
        <f>CLEAN(TRIM(Working_Sales[[#This Row],[Total Amount]]))</f>
        <v>2000</v>
      </c>
      <c r="AG955" s="2">
        <f>INT(Working_Sales[[#This Row],[Total_Amount_Whitespace_Removed]])</f>
        <v>2000</v>
      </c>
      <c r="AH95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956" spans="1:34" x14ac:dyDescent="0.35">
      <c r="A956" t="s">
        <v>1917</v>
      </c>
      <c r="B956" s="6" t="str">
        <f>CLEAN(TRIM(Working_Sales[[#This Row],[Transaction ID]]))</f>
        <v>551</v>
      </c>
      <c r="C956" t="s">
        <v>810</v>
      </c>
      <c r="D956" s="2" t="str">
        <f>CLEAN(TRIM(Working_Sales[[#This Row],[Date]]))</f>
        <v>07/14/2023</v>
      </c>
      <c r="E956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95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45121</v>
      </c>
      <c r="G95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45121</v>
      </c>
      <c r="H956" t="s">
        <v>3096</v>
      </c>
      <c r="I956" s="2" t="str">
        <f>CLEAN(TRIM(Working_Sales[[#This Row],[Customer ID]]))</f>
        <v>cust009</v>
      </c>
      <c r="J95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5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CUST009</v>
      </c>
      <c r="L956" t="s">
        <v>11</v>
      </c>
      <c r="M956" s="4" t="str">
        <f>CLEAN(TRIM(Working_Sales[[#This Row],[Gender]]))</f>
        <v>MALE</v>
      </c>
      <c r="N956" s="4" t="str" cm="1">
        <f t="array" ref="N956">_xlfn.SWITCH(
   Working_Sales[[#This Row],[Gender_Whitespace_Removed]],
   "m", "Male",
   "f", "Female",
   Working_Sales[[#This Row],[Gender_Whitespace_Removed]]
)</f>
        <v>MALE</v>
      </c>
      <c r="O956" s="6" t="str">
        <f>PROPER(Working_Sales[[#This Row],[Gender_Abbreviation_Expanded]])</f>
        <v>Male</v>
      </c>
      <c r="P956">
        <v>45</v>
      </c>
      <c r="Q956" s="2" t="str">
        <f>CLEAN(TRIM(Working_Sales[[#This Row],[Age]]))</f>
        <v>45</v>
      </c>
      <c r="R956" s="6">
        <f>INT(SUBSTITUTE(Working_Sales[[#This Row],[Age_Whitespace_Removed]],".",","))</f>
        <v>45</v>
      </c>
      <c r="S956" t="s">
        <v>13</v>
      </c>
      <c r="T956" s="2" t="str">
        <f>CLEAN(TRIM(Working_Sales[[#This Row],[Product Category]]))</f>
        <v>Electronics</v>
      </c>
      <c r="U956" s="6" t="str">
        <f>PROPER(Working_Sales[[#This Row],[Product_Category_Whitespace_Removed]])</f>
        <v>Electronics</v>
      </c>
      <c r="V956" t="s">
        <v>29</v>
      </c>
      <c r="W956" s="2" t="str">
        <f>CLEAN(TRIM(Working_Sales[[#This Row],[Quantity]]))</f>
        <v>3</v>
      </c>
      <c r="X956" s="2">
        <f>INT(Working_Sales[[#This Row],[`]])</f>
        <v>3</v>
      </c>
      <c r="Y956" s="6">
        <f>IFERROR(
   Working_Sales[[#This Row],[Quantity_Converted_To_Integer]],
   Working_Sales[[#This Row],[Total_Amount_Whitespace_Removed]]/Working_Sales[[#This Row],[Price_Per_Unit_Decimal_Separator_Fixed]])</f>
        <v>3</v>
      </c>
      <c r="Z956" t="s">
        <v>180</v>
      </c>
      <c r="AA956" s="2" t="str">
        <f>CLEAN(TRIM(Working_Sales[[#This Row],[Price per Unit]]))</f>
        <v>300</v>
      </c>
      <c r="AB956" s="2">
        <f>INT(
   SUBSTITUTE(Working_Sales[[#This Row],[Price_Per_Unit_Whitespace_Removed]],
   "$",
   ""
   )
)</f>
        <v>300</v>
      </c>
      <c r="AC956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956" s="8">
        <f>IFERROR(
   Working_Sales[[#This Row],[Price_Per_Unit_Decimal_Separator_Fixed]],
   Working_Sales[[#This Row],[Total_Amount_Converted_To_Integer]]/Working_Sales[[#This Row],[Quantity_Converted_To_Integer]]
)</f>
        <v>300</v>
      </c>
      <c r="AE956" t="s">
        <v>128</v>
      </c>
      <c r="AF956" s="2" t="str">
        <f>CLEAN(TRIM(Working_Sales[[#This Row],[Total Amount]]))</f>
        <v>900</v>
      </c>
      <c r="AG956" s="2">
        <f>INT(Working_Sales[[#This Row],[Total_Amount_Whitespace_Removed]])</f>
        <v>900</v>
      </c>
      <c r="AH95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957" spans="1:34" x14ac:dyDescent="0.35">
      <c r="A957" t="s">
        <v>1918</v>
      </c>
      <c r="B957" s="6" t="str">
        <f>CLEAN(TRIM(Working_Sales[[#This Row],[Transaction ID]]))</f>
        <v>463</v>
      </c>
      <c r="C957" t="s">
        <v>1919</v>
      </c>
      <c r="D957" s="2" t="str">
        <f>CLEAN(TRIM(Working_Sales[[#This Row],[Date]]))</f>
        <v>2023-07-31</v>
      </c>
      <c r="E95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45138</v>
      </c>
      <c r="F95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45138</v>
      </c>
      <c r="G95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45138</v>
      </c>
      <c r="H957" t="s">
        <v>3097</v>
      </c>
      <c r="I957" s="2" t="str">
        <f>CLEAN(TRIM(Working_Sales[[#This Row],[Customer ID]]))</f>
        <v>CUST180</v>
      </c>
      <c r="J95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5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CUST180</v>
      </c>
      <c r="L957" t="s">
        <v>112</v>
      </c>
      <c r="M957" s="4" t="str">
        <f>CLEAN(TRIM(Working_Sales[[#This Row],[Gender]]))</f>
        <v>female</v>
      </c>
      <c r="N957" s="4" t="str" cm="1">
        <f t="array" ref="N957">_xlfn.SWITCH(
   Working_Sales[[#This Row],[Gender_Whitespace_Removed]],
   "m", "Male",
   "f", "Female",
   Working_Sales[[#This Row],[Gender_Whitespace_Removed]]
)</f>
        <v>female</v>
      </c>
      <c r="O957" s="6" t="str">
        <f>PROPER(Working_Sales[[#This Row],[Gender_Abbreviation_Expanded]])</f>
        <v>Female</v>
      </c>
      <c r="P957" t="s">
        <v>748</v>
      </c>
      <c r="Q957" s="2" t="str">
        <f>CLEAN(TRIM(Working_Sales[[#This Row],[Age]]))</f>
        <v>54</v>
      </c>
      <c r="R957" s="6">
        <f>INT(SUBSTITUTE(Working_Sales[[#This Row],[Age_Whitespace_Removed]],".",","))</f>
        <v>54</v>
      </c>
      <c r="S957" t="s">
        <v>36</v>
      </c>
      <c r="T957" s="2" t="str">
        <f>CLEAN(TRIM(Working_Sales[[#This Row],[Product Category]]))</f>
        <v>Beauty</v>
      </c>
      <c r="U957" s="6" t="str">
        <f>PROPER(Working_Sales[[#This Row],[Product_Category_Whitespace_Removed]])</f>
        <v>Beauty</v>
      </c>
      <c r="V957" t="s">
        <v>29</v>
      </c>
      <c r="W957" s="2" t="str">
        <f>CLEAN(TRIM(Working_Sales[[#This Row],[Quantity]]))</f>
        <v>3</v>
      </c>
      <c r="X957" s="2">
        <f>INT(Working_Sales[[#This Row],[`]])</f>
        <v>3</v>
      </c>
      <c r="Y957" s="6">
        <f>IFERROR(
   Working_Sales[[#This Row],[Quantity_Converted_To_Integer]],
   Working_Sales[[#This Row],[Total_Amount_Whitespace_Removed]]/Working_Sales[[#This Row],[Price_Per_Unit_Decimal_Separator_Fixed]])</f>
        <v>3</v>
      </c>
      <c r="Z957" t="s">
        <v>57</v>
      </c>
      <c r="AA957" s="2" t="str">
        <f>CLEAN(TRIM(Working_Sales[[#This Row],[Price per Unit]]))</f>
        <v>500</v>
      </c>
      <c r="AB957" s="2">
        <f>INT(
   SUBSTITUTE(Working_Sales[[#This Row],[Price_Per_Unit_Whitespace_Removed]],
   "$",
   ""
   )
)</f>
        <v>500</v>
      </c>
      <c r="AC957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957" s="8">
        <f>IFERROR(
   Working_Sales[[#This Row],[Price_Per_Unit_Decimal_Separator_Fixed]],
   Working_Sales[[#This Row],[Total_Amount_Converted_To_Integer]]/Working_Sales[[#This Row],[Quantity_Converted_To_Integer]]
)</f>
        <v>500</v>
      </c>
      <c r="AE957" t="s">
        <v>85</v>
      </c>
      <c r="AF957" s="2" t="str">
        <f>CLEAN(TRIM(Working_Sales[[#This Row],[Total Amount]]))</f>
        <v>1500</v>
      </c>
      <c r="AG957" s="2">
        <f>INT(Working_Sales[[#This Row],[Total_Amount_Whitespace_Removed]])</f>
        <v>1500</v>
      </c>
      <c r="AH95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958" spans="1:34" x14ac:dyDescent="0.35">
      <c r="A958" t="s">
        <v>1920</v>
      </c>
      <c r="B958" s="6" t="str">
        <f>CLEAN(TRIM(Working_Sales[[#This Row],[Transaction ID]]))</f>
        <v>202</v>
      </c>
      <c r="C958" t="s">
        <v>1107</v>
      </c>
      <c r="D958" s="2" t="str">
        <f>CLEAN(TRIM(Working_Sales[[#This Row],[Date]]))</f>
        <v>26-Mar-2023</v>
      </c>
      <c r="E95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45011</v>
      </c>
      <c r="F95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45011</v>
      </c>
      <c r="G95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45011</v>
      </c>
      <c r="H958" t="s">
        <v>3098</v>
      </c>
      <c r="I958" s="2" t="str">
        <f>CLEAN(TRIM(Working_Sales[[#This Row],[Customer ID]]))</f>
        <v>CUST273</v>
      </c>
      <c r="J95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CUST273</v>
      </c>
      <c r="K95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CUST273</v>
      </c>
      <c r="L958" t="s">
        <v>46</v>
      </c>
      <c r="M958" s="4" t="str">
        <f>CLEAN(TRIM(Working_Sales[[#This Row],[Gender]]))</f>
        <v>F</v>
      </c>
      <c r="N958" s="4" t="str" cm="1">
        <f t="array" ref="N958">_xlfn.SWITCH(
   Working_Sales[[#This Row],[Gender_Whitespace_Removed]],
   "m", "Male",
   "f", "Female",
   Working_Sales[[#This Row],[Gender_Whitespace_Removed]]
)</f>
        <v>Female</v>
      </c>
      <c r="O958" s="6" t="str">
        <f>PROPER(Working_Sales[[#This Row],[Gender_Abbreviation_Expanded]])</f>
        <v>Female</v>
      </c>
      <c r="P958">
        <v>34</v>
      </c>
      <c r="Q958" s="2" t="str">
        <f>CLEAN(TRIM(Working_Sales[[#This Row],[Age]]))</f>
        <v>34</v>
      </c>
      <c r="R958" s="6">
        <f>INT(SUBSTITUTE(Working_Sales[[#This Row],[Age_Whitespace_Removed]],".",","))</f>
        <v>34</v>
      </c>
      <c r="S958" t="s">
        <v>56</v>
      </c>
      <c r="T958" s="2" t="str">
        <f>CLEAN(TRIM(Working_Sales[[#This Row],[Product Category]]))</f>
        <v>Clothing</v>
      </c>
      <c r="U958" s="6" t="str">
        <f>PROPER(Working_Sales[[#This Row],[Product_Category_Whitespace_Removed]])</f>
        <v>Clothing</v>
      </c>
      <c r="V958" t="s">
        <v>14</v>
      </c>
      <c r="W958" s="2" t="str">
        <f>CLEAN(TRIM(Working_Sales[[#This Row],[Quantity]]))</f>
        <v>4</v>
      </c>
      <c r="X958" s="2">
        <f>INT(Working_Sales[[#This Row],[`]])</f>
        <v>4</v>
      </c>
      <c r="Y958" s="6">
        <f>IFERROR(
   Working_Sales[[#This Row],[Quantity_Converted_To_Integer]],
   Working_Sales[[#This Row],[Total_Amount_Whitespace_Removed]]/Working_Sales[[#This Row],[Price_Per_Unit_Decimal_Separator_Fixed]])</f>
        <v>4</v>
      </c>
      <c r="Z958" t="s">
        <v>23</v>
      </c>
      <c r="AA958" s="2" t="str">
        <f>CLEAN(TRIM(Working_Sales[[#This Row],[Price per Unit]]))</f>
        <v>300</v>
      </c>
      <c r="AB958" s="2">
        <f>INT(
   SUBSTITUTE(Working_Sales[[#This Row],[Price_Per_Unit_Whitespace_Removed]],
   "$",
   ""
   )
)</f>
        <v>300</v>
      </c>
      <c r="AC958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958" s="8">
        <f>IFERROR(
   Working_Sales[[#This Row],[Price_Per_Unit_Decimal_Separator_Fixed]],
   Working_Sales[[#This Row],[Total_Amount_Converted_To_Integer]]/Working_Sales[[#This Row],[Quantity_Converted_To_Integer]]
)</f>
        <v>300</v>
      </c>
      <c r="AE958" t="s">
        <v>79</v>
      </c>
      <c r="AF958" s="2" t="str">
        <f>CLEAN(TRIM(Working_Sales[[#This Row],[Total Amount]]))</f>
        <v>1200</v>
      </c>
      <c r="AG958" s="2">
        <f>INT(Working_Sales[[#This Row],[Total_Amount_Whitespace_Removed]])</f>
        <v>1200</v>
      </c>
      <c r="AH95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1200</v>
      </c>
    </row>
    <row r="959" spans="1:34" x14ac:dyDescent="0.35">
      <c r="A959" t="s">
        <v>1922</v>
      </c>
      <c r="B959" s="6" t="str">
        <f>CLEAN(TRIM(Working_Sales[[#This Row],[Transaction ID]]))</f>
        <v>313</v>
      </c>
      <c r="C959" t="s">
        <v>1237</v>
      </c>
      <c r="D959" s="2" t="str">
        <f>CLEAN(TRIM(Working_Sales[[#This Row],[Date]]))</f>
        <v>2023-03-21</v>
      </c>
      <c r="E95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45006</v>
      </c>
      <c r="F95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45006</v>
      </c>
      <c r="G95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45006</v>
      </c>
      <c r="H959" t="s">
        <v>3099</v>
      </c>
      <c r="I959" s="2" t="str">
        <f>CLEAN(TRIM(Working_Sales[[#This Row],[Customer ID]]))</f>
        <v>CUST330</v>
      </c>
      <c r="J95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5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CUST330</v>
      </c>
      <c r="L959" t="s">
        <v>26</v>
      </c>
      <c r="M959" s="4" t="str">
        <f>CLEAN(TRIM(Working_Sales[[#This Row],[Gender]]))</f>
        <v>Female</v>
      </c>
      <c r="N959" s="4" t="str" cm="1">
        <f t="array" ref="N959">_xlfn.SWITCH(
   Working_Sales[[#This Row],[Gender_Whitespace_Removed]],
   "m", "Male",
   "f", "Female",
   Working_Sales[[#This Row],[Gender_Whitespace_Removed]]
)</f>
        <v>Female</v>
      </c>
      <c r="O959" s="6" t="str">
        <f>PROPER(Working_Sales[[#This Row],[Gender_Abbreviation_Expanded]])</f>
        <v>Female</v>
      </c>
      <c r="P959">
        <v>55</v>
      </c>
      <c r="Q959" s="2" t="str">
        <f>CLEAN(TRIM(Working_Sales[[#This Row],[Age]]))</f>
        <v>55</v>
      </c>
      <c r="R959" s="6">
        <f>INT(SUBSTITUTE(Working_Sales[[#This Row],[Age_Whitespace_Removed]],".",","))</f>
        <v>55</v>
      </c>
      <c r="S959" t="s">
        <v>69</v>
      </c>
      <c r="T959" s="2" t="str">
        <f>CLEAN(TRIM(Working_Sales[[#This Row],[Product Category]]))</f>
        <v>BEAUTY</v>
      </c>
      <c r="U959" s="6" t="str">
        <f>PROPER(Working_Sales[[#This Row],[Product_Category_Whitespace_Removed]])</f>
        <v>Beauty</v>
      </c>
      <c r="V959" t="s">
        <v>29</v>
      </c>
      <c r="W959" s="2" t="str">
        <f>CLEAN(TRIM(Working_Sales[[#This Row],[Quantity]]))</f>
        <v>3</v>
      </c>
      <c r="X959" s="2">
        <f>INT(Working_Sales[[#This Row],[`]])</f>
        <v>3</v>
      </c>
      <c r="Y959" s="6">
        <f>IFERROR(
   Working_Sales[[#This Row],[Quantity_Converted_To_Integer]],
   Working_Sales[[#This Row],[Total_Amount_Whitespace_Removed]]/Working_Sales[[#This Row],[Price_Per_Unit_Decimal_Separator_Fixed]])</f>
        <v>3</v>
      </c>
      <c r="Z959" t="s">
        <v>162</v>
      </c>
      <c r="AA959" s="2" t="str">
        <f>CLEAN(TRIM(Working_Sales[[#This Row],[Price per Unit]]))</f>
        <v>$500</v>
      </c>
      <c r="AB959" s="2">
        <f>INT(
   SUBSTITUTE(Working_Sales[[#This Row],[Price_Per_Unit_Whitespace_Removed]],
   "$",
   ""
   )
)</f>
        <v>500</v>
      </c>
      <c r="AC959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959" s="8">
        <f>IFERROR(
   Working_Sales[[#This Row],[Price_Per_Unit_Decimal_Separator_Fixed]],
   Working_Sales[[#This Row],[Total_Amount_Converted_To_Integer]]/Working_Sales[[#This Row],[Quantity_Converted_To_Integer]]
)</f>
        <v>500</v>
      </c>
      <c r="AE959" t="s">
        <v>85</v>
      </c>
      <c r="AF959" s="2" t="str">
        <f>CLEAN(TRIM(Working_Sales[[#This Row],[Total Amount]]))</f>
        <v>1500</v>
      </c>
      <c r="AG959" s="2">
        <f>INT(Working_Sales[[#This Row],[Total_Amount_Whitespace_Removed]])</f>
        <v>1500</v>
      </c>
      <c r="AH95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960" spans="1:34" x14ac:dyDescent="0.35">
      <c r="A960" t="s">
        <v>1923</v>
      </c>
      <c r="B960" s="6" t="str">
        <f>CLEAN(TRIM(Working_Sales[[#This Row],[Transaction ID]]))</f>
        <v>291</v>
      </c>
      <c r="C960" t="s">
        <v>1924</v>
      </c>
      <c r="D960" s="2" t="str">
        <f>CLEAN(TRIM(Working_Sales[[#This Row],[Date]]))</f>
        <v>2023-01-08</v>
      </c>
      <c r="E96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44934</v>
      </c>
      <c r="F96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44934</v>
      </c>
      <c r="G96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44934</v>
      </c>
      <c r="H960" t="s">
        <v>3100</v>
      </c>
      <c r="I960" s="2" t="str">
        <f>CLEAN(TRIM(Working_Sales[[#This Row],[Customer ID]]))</f>
        <v>Cust248</v>
      </c>
      <c r="J96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6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CUST248</v>
      </c>
      <c r="L960" t="s">
        <v>34</v>
      </c>
      <c r="M960" s="4" t="str">
        <f>CLEAN(TRIM(Working_Sales[[#This Row],[Gender]]))</f>
        <v>Male</v>
      </c>
      <c r="N960" s="4" t="str" cm="1">
        <f t="array" ref="N960">_xlfn.SWITCH(
   Working_Sales[[#This Row],[Gender_Whitespace_Removed]],
   "m", "Male",
   "f", "Female",
   Working_Sales[[#This Row],[Gender_Whitespace_Removed]]
)</f>
        <v>Male</v>
      </c>
      <c r="O960" s="6" t="str">
        <f>PROPER(Working_Sales[[#This Row],[Gender_Abbreviation_Expanded]])</f>
        <v>Male</v>
      </c>
      <c r="P960" t="s">
        <v>600</v>
      </c>
      <c r="Q960" s="2" t="str">
        <f>CLEAN(TRIM(Working_Sales[[#This Row],[Age]]))</f>
        <v>60</v>
      </c>
      <c r="R960" s="6">
        <f>INT(SUBSTITUTE(Working_Sales[[#This Row],[Age_Whitespace_Removed]],".",","))</f>
        <v>60</v>
      </c>
      <c r="S960" t="s">
        <v>89</v>
      </c>
      <c r="T960" s="2" t="str">
        <f>CLEAN(TRIM(Working_Sales[[#This Row],[Product Category]]))</f>
        <v>CLOTHING</v>
      </c>
      <c r="U960" s="6" t="str">
        <f>PROPER(Working_Sales[[#This Row],[Product_Category_Whitespace_Removed]])</f>
        <v>Clothing</v>
      </c>
      <c r="V960" t="s">
        <v>37</v>
      </c>
      <c r="W960" s="2" t="str">
        <f>CLEAN(TRIM(Working_Sales[[#This Row],[Quantity]]))</f>
        <v>2</v>
      </c>
      <c r="X960" s="2">
        <f>INT(Working_Sales[[#This Row],[`]])</f>
        <v>2</v>
      </c>
      <c r="Y960" s="6">
        <f>IFERROR(
   Working_Sales[[#This Row],[Quantity_Converted_To_Integer]],
   Working_Sales[[#This Row],[Total_Amount_Whitespace_Removed]]/Working_Sales[[#This Row],[Price_Per_Unit_Decimal_Separator_Fixed]])</f>
        <v>2</v>
      </c>
      <c r="Z960" t="s">
        <v>23</v>
      </c>
      <c r="AA960" s="2" t="str">
        <f>CLEAN(TRIM(Working_Sales[[#This Row],[Price per Unit]]))</f>
        <v>300</v>
      </c>
      <c r="AB960" s="2">
        <f>INT(
   SUBSTITUTE(Working_Sales[[#This Row],[Price_Per_Unit_Whitespace_Removed]],
   "$",
   ""
   )
)</f>
        <v>300</v>
      </c>
      <c r="AC960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960" s="8">
        <f>IFERROR(
   Working_Sales[[#This Row],[Price_Per_Unit_Decimal_Separator_Fixed]],
   Working_Sales[[#This Row],[Total_Amount_Converted_To_Integer]]/Working_Sales[[#This Row],[Quantity_Converted_To_Integer]]
)</f>
        <v>300</v>
      </c>
      <c r="AE960" t="s">
        <v>107</v>
      </c>
      <c r="AF960" s="2" t="str">
        <f>CLEAN(TRIM(Working_Sales[[#This Row],[Total Amount]]))</f>
        <v>600</v>
      </c>
      <c r="AG960" s="2">
        <f>INT(Working_Sales[[#This Row],[Total_Amount_Whitespace_Removed]])</f>
        <v>600</v>
      </c>
      <c r="AH96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600</v>
      </c>
    </row>
    <row r="961" spans="1:34" x14ac:dyDescent="0.35">
      <c r="A961" t="s">
        <v>1926</v>
      </c>
      <c r="B961" s="6" t="str">
        <f>CLEAN(TRIM(Working_Sales[[#This Row],[Transaction ID]]))</f>
        <v>961</v>
      </c>
      <c r="C961" t="s">
        <v>2174</v>
      </c>
      <c r="D961" s="2" t="str">
        <f>CLEAN(TRIM(Working_Sales[[#This Row],[Date]]))</f>
        <v>06-Jun-2023</v>
      </c>
      <c r="E96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45083</v>
      </c>
      <c r="F96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45083</v>
      </c>
      <c r="G96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45083</v>
      </c>
      <c r="H961" t="s">
        <v>3101</v>
      </c>
      <c r="I961" s="2" t="str">
        <f>CLEAN(TRIM(Working_Sales[[#This Row],[Customer ID]]))</f>
        <v>cust193</v>
      </c>
      <c r="J96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6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CUST193</v>
      </c>
      <c r="L961" t="s">
        <v>268</v>
      </c>
      <c r="M961" s="4" t="str">
        <f>CLEAN(TRIM(Working_Sales[[#This Row],[Gender]]))</f>
        <v>M</v>
      </c>
      <c r="N961" s="4" t="str" cm="1">
        <f t="array" ref="N961">_xlfn.SWITCH(
   Working_Sales[[#This Row],[Gender_Whitespace_Removed]],
   "m", "Male",
   "f", "Female",
   Working_Sales[[#This Row],[Gender_Whitespace_Removed]]
)</f>
        <v>Male</v>
      </c>
      <c r="O961" s="6" t="str">
        <f>PROPER(Working_Sales[[#This Row],[Gender_Abbreviation_Expanded]])</f>
        <v>Male</v>
      </c>
      <c r="P961">
        <v>53</v>
      </c>
      <c r="Q961" s="2" t="str">
        <f>CLEAN(TRIM(Working_Sales[[#This Row],[Age]]))</f>
        <v>53</v>
      </c>
      <c r="R961" s="6">
        <f>INT(SUBSTITUTE(Working_Sales[[#This Row],[Age_Whitespace_Removed]],".",","))</f>
        <v>53</v>
      </c>
      <c r="S961" t="s">
        <v>42</v>
      </c>
      <c r="T961" s="2" t="str">
        <f>CLEAN(TRIM(Working_Sales[[#This Row],[Product Category]]))</f>
        <v>Beauty</v>
      </c>
      <c r="U961" s="6" t="str">
        <f>PROPER(Working_Sales[[#This Row],[Product_Category_Whitespace_Removed]])</f>
        <v>Beauty</v>
      </c>
      <c r="V961" t="s">
        <v>14</v>
      </c>
      <c r="W961" s="2" t="str">
        <f>CLEAN(TRIM(Working_Sales[[#This Row],[Quantity]]))</f>
        <v>4</v>
      </c>
      <c r="X961" s="2">
        <f>INT(Working_Sales[[#This Row],[`]])</f>
        <v>4</v>
      </c>
      <c r="Y961" s="6">
        <f>IFERROR(
   Working_Sales[[#This Row],[Quantity_Converted_To_Integer]],
   Working_Sales[[#This Row],[Total_Amount_Whitespace_Removed]]/Working_Sales[[#This Row],[Price_Per_Unit_Decimal_Separator_Fixed]])</f>
        <v>4</v>
      </c>
      <c r="Z961" t="s">
        <v>15</v>
      </c>
      <c r="AA961" s="2" t="str">
        <f>CLEAN(TRIM(Working_Sales[[#This Row],[Price per Unit]]))</f>
        <v>50</v>
      </c>
      <c r="AB961" s="2">
        <f>INT(
   SUBSTITUTE(Working_Sales[[#This Row],[Price_Per_Unit_Whitespace_Removed]],
   "$",
   ""
   )
)</f>
        <v>50</v>
      </c>
      <c r="AC961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961" s="8">
        <f>IFERROR(
   Working_Sales[[#This Row],[Price_Per_Unit_Decimal_Separator_Fixed]],
   Working_Sales[[#This Row],[Total_Amount_Converted_To_Integer]]/Working_Sales[[#This Row],[Quantity_Converted_To_Integer]]
)</f>
        <v>50</v>
      </c>
      <c r="AE961" t="s">
        <v>16</v>
      </c>
      <c r="AF961" s="2" t="str">
        <f>CLEAN(TRIM(Working_Sales[[#This Row],[Total Amount]]))</f>
        <v>200</v>
      </c>
      <c r="AG961" s="2">
        <f>INT(Working_Sales[[#This Row],[Total_Amount_Whitespace_Removed]])</f>
        <v>200</v>
      </c>
      <c r="AH96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962" spans="1:34" x14ac:dyDescent="0.35">
      <c r="A962" t="s">
        <v>1927</v>
      </c>
      <c r="B962" s="6" t="str">
        <f>CLEAN(TRIM(Working_Sales[[#This Row],[Transaction ID]]))</f>
        <v>190</v>
      </c>
      <c r="C962" t="s">
        <v>1465</v>
      </c>
      <c r="D962" s="2" t="str">
        <f>CLEAN(TRIM(Working_Sales[[#This Row],[Date]]))</f>
        <v>2023-05-04</v>
      </c>
      <c r="E96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45050</v>
      </c>
      <c r="F96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45050</v>
      </c>
      <c r="G96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45050</v>
      </c>
      <c r="H962" t="s">
        <v>3102</v>
      </c>
      <c r="I962" s="2" t="str">
        <f>CLEAN(TRIM(Working_Sales[[#This Row],[Customer ID]]))</f>
        <v>CUST237</v>
      </c>
      <c r="J96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CUST237</v>
      </c>
      <c r="K96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CUST237</v>
      </c>
      <c r="L962" t="s">
        <v>26</v>
      </c>
      <c r="M962" s="4" t="str">
        <f>CLEAN(TRIM(Working_Sales[[#This Row],[Gender]]))</f>
        <v>Female</v>
      </c>
      <c r="N962" s="4" t="str" cm="1">
        <f t="array" ref="N962">_xlfn.SWITCH(
   Working_Sales[[#This Row],[Gender_Whitespace_Removed]],
   "m", "Male",
   "f", "Female",
   Working_Sales[[#This Row],[Gender_Whitespace_Removed]]
)</f>
        <v>Female</v>
      </c>
      <c r="O962" s="6" t="str">
        <f>PROPER(Working_Sales[[#This Row],[Gender_Abbreviation_Expanded]])</f>
        <v>Female</v>
      </c>
      <c r="P962">
        <v>60</v>
      </c>
      <c r="Q962" s="2" t="str">
        <f>CLEAN(TRIM(Working_Sales[[#This Row],[Age]]))</f>
        <v>60</v>
      </c>
      <c r="R962" s="6">
        <f>INT(SUBSTITUTE(Working_Sales[[#This Row],[Age_Whitespace_Removed]],".",","))</f>
        <v>60</v>
      </c>
      <c r="S962" t="s">
        <v>42</v>
      </c>
      <c r="T962" s="2" t="str">
        <f>CLEAN(TRIM(Working_Sales[[#This Row],[Product Category]]))</f>
        <v>Beauty</v>
      </c>
      <c r="U962" s="6" t="str">
        <f>PROPER(Working_Sales[[#This Row],[Product_Category_Whitespace_Removed]])</f>
        <v>Beauty</v>
      </c>
      <c r="V962" t="s">
        <v>29</v>
      </c>
      <c r="W962" s="2" t="str">
        <f>CLEAN(TRIM(Working_Sales[[#This Row],[Quantity]]))</f>
        <v>3</v>
      </c>
      <c r="X962" s="2">
        <f>INT(Working_Sales[[#This Row],[`]])</f>
        <v>3</v>
      </c>
      <c r="Y962" s="6">
        <f>IFERROR(
   Working_Sales[[#This Row],[Quantity_Converted_To_Integer]],
   Working_Sales[[#This Row],[Total_Amount_Whitespace_Removed]]/Working_Sales[[#This Row],[Price_Per_Unit_Decimal_Separator_Fixed]])</f>
        <v>3</v>
      </c>
      <c r="Z962" t="s">
        <v>70</v>
      </c>
      <c r="AA962" s="2" t="str">
        <f>CLEAN(TRIM(Working_Sales[[#This Row],[Price per Unit]]))</f>
        <v>30</v>
      </c>
      <c r="AB962" s="2">
        <f>INT(
   SUBSTITUTE(Working_Sales[[#This Row],[Price_Per_Unit_Whitespace_Removed]],
   "$",
   ""
   )
)</f>
        <v>30</v>
      </c>
      <c r="AC962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962" s="8">
        <f>IFERROR(
   Working_Sales[[#This Row],[Price_Per_Unit_Decimal_Separator_Fixed]],
   Working_Sales[[#This Row],[Total_Amount_Converted_To_Integer]]/Working_Sales[[#This Row],[Quantity_Converted_To_Integer]]
)</f>
        <v>30</v>
      </c>
      <c r="AE962" t="s">
        <v>191</v>
      </c>
      <c r="AF962" s="2" t="str">
        <f>CLEAN(TRIM(Working_Sales[[#This Row],[Total Amount]]))</f>
        <v>90</v>
      </c>
      <c r="AG962" s="2">
        <f>INT(Working_Sales[[#This Row],[Total_Amount_Whitespace_Removed]])</f>
        <v>90</v>
      </c>
      <c r="AH96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963" spans="1:34" x14ac:dyDescent="0.35">
      <c r="A963" t="s">
        <v>1929</v>
      </c>
      <c r="B963" s="6" t="str">
        <f>CLEAN(TRIM(Working_Sales[[#This Row],[Transaction ID]]))</f>
        <v>764</v>
      </c>
      <c r="C963" t="s">
        <v>1192</v>
      </c>
      <c r="D963" s="2" t="str">
        <f>CLEAN(TRIM(Working_Sales[[#This Row],[Date]]))</f>
        <v>2023-03-25</v>
      </c>
      <c r="E96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45010</v>
      </c>
      <c r="F96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45010</v>
      </c>
      <c r="G96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45010</v>
      </c>
      <c r="H963" t="s">
        <v>3103</v>
      </c>
      <c r="I963" s="2" t="str">
        <f>CLEAN(TRIM(Working_Sales[[#This Row],[Customer ID]]))</f>
        <v>CUST331</v>
      </c>
      <c r="J96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CUST331</v>
      </c>
      <c r="K96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CUST331</v>
      </c>
      <c r="L963" t="s">
        <v>26</v>
      </c>
      <c r="M963" s="4" t="str">
        <f>CLEAN(TRIM(Working_Sales[[#This Row],[Gender]]))</f>
        <v>Female</v>
      </c>
      <c r="N963" s="4" t="str" cm="1">
        <f t="array" ref="N963">_xlfn.SWITCH(
   Working_Sales[[#This Row],[Gender_Whitespace_Removed]],
   "m", "Male",
   "f", "Female",
   Working_Sales[[#This Row],[Gender_Whitespace_Removed]]
)</f>
        <v>Female</v>
      </c>
      <c r="O963" s="6" t="str">
        <f>PROPER(Working_Sales[[#This Row],[Gender_Abbreviation_Expanded]])</f>
        <v>Female</v>
      </c>
      <c r="P963">
        <v>40</v>
      </c>
      <c r="Q963" s="2" t="str">
        <f>CLEAN(TRIM(Working_Sales[[#This Row],[Age]]))</f>
        <v>40</v>
      </c>
      <c r="R963" s="6">
        <f>INT(SUBSTITUTE(Working_Sales[[#This Row],[Age_Whitespace_Removed]],".",","))</f>
        <v>40</v>
      </c>
      <c r="S963" t="s">
        <v>56</v>
      </c>
      <c r="T963" s="2" t="str">
        <f>CLEAN(TRIM(Working_Sales[[#This Row],[Product Category]]))</f>
        <v>Clothing</v>
      </c>
      <c r="U963" s="6" t="str">
        <f>PROPER(Working_Sales[[#This Row],[Product_Category_Whitespace_Removed]])</f>
        <v>Clothing</v>
      </c>
      <c r="V963" t="s">
        <v>22</v>
      </c>
      <c r="W963" s="2" t="str">
        <f>CLEAN(TRIM(Working_Sales[[#This Row],[Quantity]]))</f>
        <v>1</v>
      </c>
      <c r="X963" s="2">
        <f>INT(Working_Sales[[#This Row],[`]])</f>
        <v>1</v>
      </c>
      <c r="Y963" s="6">
        <f>IFERROR(
   Working_Sales[[#This Row],[Quantity_Converted_To_Integer]],
   Working_Sales[[#This Row],[Total_Amount_Whitespace_Removed]]/Working_Sales[[#This Row],[Price_Per_Unit_Decimal_Separator_Fixed]])</f>
        <v>1</v>
      </c>
      <c r="Z963" t="s">
        <v>30</v>
      </c>
      <c r="AA963" s="2" t="str">
        <f>CLEAN(TRIM(Working_Sales[[#This Row],[Price per Unit]]))</f>
        <v>25</v>
      </c>
      <c r="AB963" s="2">
        <f>INT(
   SUBSTITUTE(Working_Sales[[#This Row],[Price_Per_Unit_Whitespace_Removed]],
   "$",
   ""
   )
)</f>
        <v>25</v>
      </c>
      <c r="AC963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963" s="8">
        <f>IFERROR(
   Working_Sales[[#This Row],[Price_Per_Unit_Decimal_Separator_Fixed]],
   Working_Sales[[#This Row],[Total_Amount_Converted_To_Integer]]/Working_Sales[[#This Row],[Quantity_Converted_To_Integer]]
)</f>
        <v>25</v>
      </c>
      <c r="AE963" t="s">
        <v>30</v>
      </c>
      <c r="AF963" s="2" t="str">
        <f>CLEAN(TRIM(Working_Sales[[#This Row],[Total Amount]]))</f>
        <v>25</v>
      </c>
      <c r="AG963" s="2">
        <f>INT(Working_Sales[[#This Row],[Total_Amount_Whitespace_Removed]])</f>
        <v>25</v>
      </c>
      <c r="AH96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964" spans="1:34" x14ac:dyDescent="0.35">
      <c r="A964" t="s">
        <v>1930</v>
      </c>
      <c r="B964" s="6" t="str">
        <f>CLEAN(TRIM(Working_Sales[[#This Row],[Transaction ID]]))</f>
        <v>113</v>
      </c>
      <c r="C964" t="s">
        <v>1931</v>
      </c>
      <c r="D964" s="2" t="str">
        <f>CLEAN(TRIM(Working_Sales[[#This Row],[Date]]))</f>
        <v>13/09/2023</v>
      </c>
      <c r="E96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45182</v>
      </c>
      <c r="F96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45182</v>
      </c>
      <c r="G96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45182</v>
      </c>
      <c r="H964" t="s">
        <v>3104</v>
      </c>
      <c r="I964" s="2" t="str">
        <f>CLEAN(TRIM(Working_Sales[[#This Row],[Customer ID]]))</f>
        <v>cust487</v>
      </c>
      <c r="J96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6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CUST487</v>
      </c>
      <c r="L964" t="s">
        <v>26</v>
      </c>
      <c r="M964" s="4" t="str">
        <f>CLEAN(TRIM(Working_Sales[[#This Row],[Gender]]))</f>
        <v>Female</v>
      </c>
      <c r="N964" s="4" t="str" cm="1">
        <f t="array" ref="N964">_xlfn.SWITCH(
   Working_Sales[[#This Row],[Gender_Whitespace_Removed]],
   "m", "Male",
   "f", "Female",
   Working_Sales[[#This Row],[Gender_Whitespace_Removed]]
)</f>
        <v>Female</v>
      </c>
      <c r="O964" s="6" t="str">
        <f>PROPER(Working_Sales[[#This Row],[Gender_Abbreviation_Expanded]])</f>
        <v>Female</v>
      </c>
      <c r="P964">
        <v>41</v>
      </c>
      <c r="Q964" s="2" t="str">
        <f>CLEAN(TRIM(Working_Sales[[#This Row],[Age]]))</f>
        <v>41</v>
      </c>
      <c r="R964" s="6">
        <f>INT(SUBSTITUTE(Working_Sales[[#This Row],[Age_Whitespace_Removed]],".",","))</f>
        <v>41</v>
      </c>
      <c r="S964" t="s">
        <v>48</v>
      </c>
      <c r="T964" s="2" t="str">
        <f>CLEAN(TRIM(Working_Sales[[#This Row],[Product Category]]))</f>
        <v>electronics</v>
      </c>
      <c r="U964" s="6" t="str">
        <f>PROPER(Working_Sales[[#This Row],[Product_Category_Whitespace_Removed]])</f>
        <v>Electronics</v>
      </c>
      <c r="V964" t="s">
        <v>37</v>
      </c>
      <c r="W964" s="2" t="str">
        <f>CLEAN(TRIM(Working_Sales[[#This Row],[Quantity]]))</f>
        <v>2</v>
      </c>
      <c r="X964" s="2">
        <f>INT(Working_Sales[[#This Row],[`]])</f>
        <v>2</v>
      </c>
      <c r="Y964" s="6">
        <f>IFERROR(
   Working_Sales[[#This Row],[Quantity_Converted_To_Integer]],
   Working_Sales[[#This Row],[Total_Amount_Whitespace_Removed]]/Working_Sales[[#This Row],[Price_Per_Unit_Decimal_Separator_Fixed]])</f>
        <v>2</v>
      </c>
      <c r="Z964" t="s">
        <v>30</v>
      </c>
      <c r="AA964" s="2" t="str">
        <f>CLEAN(TRIM(Working_Sales[[#This Row],[Price per Unit]]))</f>
        <v>25</v>
      </c>
      <c r="AB964" s="2">
        <f>INT(
   SUBSTITUTE(Working_Sales[[#This Row],[Price_Per_Unit_Whitespace_Removed]],
   "$",
   ""
   )
)</f>
        <v>25</v>
      </c>
      <c r="AC964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964" s="8">
        <f>IFERROR(
   Working_Sales[[#This Row],[Price_Per_Unit_Decimal_Separator_Fixed]],
   Working_Sales[[#This Row],[Total_Amount_Converted_To_Integer]]/Working_Sales[[#This Row],[Quantity_Converted_To_Integer]]
)</f>
        <v>25</v>
      </c>
      <c r="AE964" t="s">
        <v>15</v>
      </c>
      <c r="AF964" s="2" t="str">
        <f>CLEAN(TRIM(Working_Sales[[#This Row],[Total Amount]]))</f>
        <v>50</v>
      </c>
      <c r="AG964" s="2">
        <f>INT(Working_Sales[[#This Row],[Total_Amount_Whitespace_Removed]])</f>
        <v>50</v>
      </c>
      <c r="AH96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965" spans="1:34" x14ac:dyDescent="0.35">
      <c r="A965" t="s">
        <v>1933</v>
      </c>
      <c r="B965" s="6" t="str">
        <f>CLEAN(TRIM(Working_Sales[[#This Row],[Transaction ID]]))</f>
        <v>950</v>
      </c>
      <c r="C965" t="s">
        <v>2002</v>
      </c>
      <c r="D965" s="2" t="str">
        <f>CLEAN(TRIM(Working_Sales[[#This Row],[Date]]))</f>
        <v>November 07, 2023</v>
      </c>
      <c r="E965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965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96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45237</v>
      </c>
      <c r="H965" t="s">
        <v>3105</v>
      </c>
      <c r="I965" s="2" t="str">
        <f>CLEAN(TRIM(Working_Sales[[#This Row],[Customer ID]]))</f>
        <v>CUST153</v>
      </c>
      <c r="J96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CUST153</v>
      </c>
      <c r="K96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CUST153</v>
      </c>
      <c r="L965" t="s">
        <v>34</v>
      </c>
      <c r="M965" s="4" t="str">
        <f>CLEAN(TRIM(Working_Sales[[#This Row],[Gender]]))</f>
        <v>Male</v>
      </c>
      <c r="N965" s="4" t="str" cm="1">
        <f t="array" ref="N965">_xlfn.SWITCH(
   Working_Sales[[#This Row],[Gender_Whitespace_Removed]],
   "m", "Male",
   "f", "Female",
   Working_Sales[[#This Row],[Gender_Whitespace_Removed]]
)</f>
        <v>Male</v>
      </c>
      <c r="O965" s="6" t="str">
        <f>PROPER(Working_Sales[[#This Row],[Gender_Abbreviation_Expanded]])</f>
        <v>Male</v>
      </c>
      <c r="P965">
        <v>36</v>
      </c>
      <c r="Q965" s="2" t="str">
        <f>CLEAN(TRIM(Working_Sales[[#This Row],[Age]]))</f>
        <v>36</v>
      </c>
      <c r="R965" s="6">
        <f>INT(SUBSTITUTE(Working_Sales[[#This Row],[Age_Whitespace_Removed]],".",","))</f>
        <v>36</v>
      </c>
      <c r="S965" t="s">
        <v>56</v>
      </c>
      <c r="T965" s="2" t="str">
        <f>CLEAN(TRIM(Working_Sales[[#This Row],[Product Category]]))</f>
        <v>Clothing</v>
      </c>
      <c r="U965" s="6" t="str">
        <f>PROPER(Working_Sales[[#This Row],[Product_Category_Whitespace_Removed]])</f>
        <v>Clothing</v>
      </c>
      <c r="V965" t="s">
        <v>29</v>
      </c>
      <c r="W965" s="2" t="str">
        <f>CLEAN(TRIM(Working_Sales[[#This Row],[Quantity]]))</f>
        <v>3</v>
      </c>
      <c r="X965" s="2">
        <f>INT(Working_Sales[[#This Row],[`]])</f>
        <v>3</v>
      </c>
      <c r="Y965" s="6">
        <f>IFERROR(
   Working_Sales[[#This Row],[Quantity_Converted_To_Integer]],
   Working_Sales[[#This Row],[Total_Amount_Whitespace_Removed]]/Working_Sales[[#This Row],[Price_Per_Unit_Decimal_Separator_Fixed]])</f>
        <v>3</v>
      </c>
      <c r="Z965" t="s">
        <v>186</v>
      </c>
      <c r="AA965" s="2" t="str">
        <f>CLEAN(TRIM(Working_Sales[[#This Row],[Price per Unit]]))</f>
        <v>$300</v>
      </c>
      <c r="AB965" s="2">
        <f>INT(
   SUBSTITUTE(Working_Sales[[#This Row],[Price_Per_Unit_Whitespace_Removed]],
   "$",
   ""
   )
)</f>
        <v>300</v>
      </c>
      <c r="AC965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965" s="8">
        <f>IFERROR(
   Working_Sales[[#This Row],[Price_Per_Unit_Decimal_Separator_Fixed]],
   Working_Sales[[#This Row],[Total_Amount_Converted_To_Integer]]/Working_Sales[[#This Row],[Quantity_Converted_To_Integer]]
)</f>
        <v>300</v>
      </c>
      <c r="AE965" t="s">
        <v>128</v>
      </c>
      <c r="AF965" s="2" t="str">
        <f>CLEAN(TRIM(Working_Sales[[#This Row],[Total Amount]]))</f>
        <v>900</v>
      </c>
      <c r="AG965" s="2">
        <f>INT(Working_Sales[[#This Row],[Total_Amount_Whitespace_Removed]])</f>
        <v>900</v>
      </c>
      <c r="AH96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966" spans="1:34" x14ac:dyDescent="0.35">
      <c r="A966" t="s">
        <v>1934</v>
      </c>
      <c r="B966" s="6" t="str">
        <f>CLEAN(TRIM(Working_Sales[[#This Row],[Transaction ID]]))</f>
        <v>184</v>
      </c>
      <c r="C966" t="s">
        <v>1180</v>
      </c>
      <c r="D966" s="2" t="str">
        <f>CLEAN(TRIM(Working_Sales[[#This Row],[Date]]))</f>
        <v>2023-01-10</v>
      </c>
      <c r="E966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44936</v>
      </c>
      <c r="F96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44936</v>
      </c>
      <c r="G96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44936</v>
      </c>
      <c r="H966" t="s">
        <v>2664</v>
      </c>
      <c r="I966" s="2" t="str">
        <f>CLEAN(TRIM(Working_Sales[[#This Row],[Customer ID]]))</f>
        <v>CUST104</v>
      </c>
      <c r="J96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CUST104</v>
      </c>
      <c r="K96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CUST104</v>
      </c>
      <c r="L966" t="s">
        <v>34</v>
      </c>
      <c r="M966" s="4" t="str">
        <f>CLEAN(TRIM(Working_Sales[[#This Row],[Gender]]))</f>
        <v>Male</v>
      </c>
      <c r="N966" s="4" t="str" cm="1">
        <f t="array" ref="N966">_xlfn.SWITCH(
   Working_Sales[[#This Row],[Gender_Whitespace_Removed]],
   "m", "Male",
   "f", "Female",
   Working_Sales[[#This Row],[Gender_Whitespace_Removed]]
)</f>
        <v>Male</v>
      </c>
      <c r="O966" s="6" t="str">
        <f>PROPER(Working_Sales[[#This Row],[Gender_Abbreviation_Expanded]])</f>
        <v>Male</v>
      </c>
      <c r="P966">
        <v>31</v>
      </c>
      <c r="Q966" s="2" t="str">
        <f>CLEAN(TRIM(Working_Sales[[#This Row],[Age]]))</f>
        <v>31</v>
      </c>
      <c r="R966" s="6">
        <f>INT(SUBSTITUTE(Working_Sales[[#This Row],[Age_Whitespace_Removed]],".",","))</f>
        <v>31</v>
      </c>
      <c r="S966" t="s">
        <v>13</v>
      </c>
      <c r="T966" s="2" t="str">
        <f>CLEAN(TRIM(Working_Sales[[#This Row],[Product Category]]))</f>
        <v>Electronics</v>
      </c>
      <c r="U966" s="6" t="str">
        <f>PROPER(Working_Sales[[#This Row],[Product_Category_Whitespace_Removed]])</f>
        <v>Electronics</v>
      </c>
      <c r="V966" t="s">
        <v>14</v>
      </c>
      <c r="W966" s="2" t="str">
        <f>CLEAN(TRIM(Working_Sales[[#This Row],[Quantity]]))</f>
        <v>4</v>
      </c>
      <c r="X966" s="2">
        <f>INT(Working_Sales[[#This Row],[`]])</f>
        <v>4</v>
      </c>
      <c r="Y966" s="6">
        <f>IFERROR(
   Working_Sales[[#This Row],[Quantity_Converted_To_Integer]],
   Working_Sales[[#This Row],[Total_Amount_Whitespace_Removed]]/Working_Sales[[#This Row],[Price_Per_Unit_Decimal_Separator_Fixed]])</f>
        <v>4</v>
      </c>
      <c r="Z966" t="s">
        <v>15</v>
      </c>
      <c r="AA966" s="2" t="str">
        <f>CLEAN(TRIM(Working_Sales[[#This Row],[Price per Unit]]))</f>
        <v>50</v>
      </c>
      <c r="AB966" s="2">
        <f>INT(
   SUBSTITUTE(Working_Sales[[#This Row],[Price_Per_Unit_Whitespace_Removed]],
   "$",
   ""
   )
)</f>
        <v>50</v>
      </c>
      <c r="AC966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966" s="8">
        <f>IFERROR(
   Working_Sales[[#This Row],[Price_Per_Unit_Decimal_Separator_Fixed]],
   Working_Sales[[#This Row],[Total_Amount_Converted_To_Integer]]/Working_Sales[[#This Row],[Quantity_Converted_To_Integer]]
)</f>
        <v>50</v>
      </c>
      <c r="AE966" t="s">
        <v>16</v>
      </c>
      <c r="AF966" s="2" t="str">
        <f>CLEAN(TRIM(Working_Sales[[#This Row],[Total Amount]]))</f>
        <v>200</v>
      </c>
      <c r="AG966" s="2">
        <f>INT(Working_Sales[[#This Row],[Total_Amount_Whitespace_Removed]])</f>
        <v>200</v>
      </c>
      <c r="AH96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967" spans="1:34" x14ac:dyDescent="0.35">
      <c r="A967" t="s">
        <v>1936</v>
      </c>
      <c r="B967" s="6" t="str">
        <f>CLEAN(TRIM(Working_Sales[[#This Row],[Transaction ID]]))</f>
        <v>153</v>
      </c>
      <c r="C967" t="s">
        <v>1123</v>
      </c>
      <c r="D967" s="2" t="str">
        <f>CLEAN(TRIM(Working_Sales[[#This Row],[Date]]))</f>
        <v>16/12/2023</v>
      </c>
      <c r="E96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45276</v>
      </c>
      <c r="F96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45276</v>
      </c>
      <c r="G96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45276</v>
      </c>
      <c r="H967" t="s">
        <v>3106</v>
      </c>
      <c r="I967" s="2" t="str">
        <f>CLEAN(TRIM(Working_Sales[[#This Row],[Customer ID]]))</f>
        <v>CUST149</v>
      </c>
      <c r="J96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CUST149</v>
      </c>
      <c r="K96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CUST149</v>
      </c>
      <c r="L967" t="s">
        <v>34</v>
      </c>
      <c r="M967" s="4" t="str">
        <f>CLEAN(TRIM(Working_Sales[[#This Row],[Gender]]))</f>
        <v>Male</v>
      </c>
      <c r="N967" s="4" t="str" cm="1">
        <f t="array" ref="N967">_xlfn.SWITCH(
   Working_Sales[[#This Row],[Gender_Whitespace_Removed]],
   "m", "Male",
   "f", "Female",
   Working_Sales[[#This Row],[Gender_Whitespace_Removed]]
)</f>
        <v>Male</v>
      </c>
      <c r="O967" s="6" t="str">
        <f>PROPER(Working_Sales[[#This Row],[Gender_Abbreviation_Expanded]])</f>
        <v>Male</v>
      </c>
      <c r="P967">
        <v>63</v>
      </c>
      <c r="Q967" s="2" t="str">
        <f>CLEAN(TRIM(Working_Sales[[#This Row],[Age]]))</f>
        <v>63</v>
      </c>
      <c r="R967" s="6">
        <f>INT(SUBSTITUTE(Working_Sales[[#This Row],[Age_Whitespace_Removed]],".",","))</f>
        <v>63</v>
      </c>
      <c r="S967" t="s">
        <v>48</v>
      </c>
      <c r="T967" s="2" t="str">
        <f>CLEAN(TRIM(Working_Sales[[#This Row],[Product Category]]))</f>
        <v>electronics</v>
      </c>
      <c r="U967" s="6" t="str">
        <f>PROPER(Working_Sales[[#This Row],[Product_Category_Whitespace_Removed]])</f>
        <v>Electronics</v>
      </c>
      <c r="V967" t="s">
        <v>37</v>
      </c>
      <c r="W967" s="2" t="str">
        <f>CLEAN(TRIM(Working_Sales[[#This Row],[Quantity]]))</f>
        <v>2</v>
      </c>
      <c r="X967" s="2">
        <f>INT(Working_Sales[[#This Row],[`]])</f>
        <v>2</v>
      </c>
      <c r="Y967" s="6">
        <f>IFERROR(
   Working_Sales[[#This Row],[Quantity_Converted_To_Integer]],
   Working_Sales[[#This Row],[Total_Amount_Whitespace_Removed]]/Working_Sales[[#This Row],[Price_Per_Unit_Decimal_Separator_Fixed]])</f>
        <v>2</v>
      </c>
      <c r="Z967" t="s">
        <v>57</v>
      </c>
      <c r="AA967" s="2" t="str">
        <f>CLEAN(TRIM(Working_Sales[[#This Row],[Price per Unit]]))</f>
        <v>500</v>
      </c>
      <c r="AB967" s="2">
        <f>INT(
   SUBSTITUTE(Working_Sales[[#This Row],[Price_Per_Unit_Whitespace_Removed]],
   "$",
   ""
   )
)</f>
        <v>500</v>
      </c>
      <c r="AC967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967" s="8">
        <f>IFERROR(
   Working_Sales[[#This Row],[Price_Per_Unit_Decimal_Separator_Fixed]],
   Working_Sales[[#This Row],[Total_Amount_Converted_To_Integer]]/Working_Sales[[#This Row],[Quantity_Converted_To_Integer]]
)</f>
        <v>500</v>
      </c>
      <c r="AE967" t="s">
        <v>163</v>
      </c>
      <c r="AF967" s="2" t="str">
        <f>CLEAN(TRIM(Working_Sales[[#This Row],[Total Amount]]))</f>
        <v>1000</v>
      </c>
      <c r="AG967" s="2">
        <f>INT(Working_Sales[[#This Row],[Total_Amount_Whitespace_Removed]])</f>
        <v>1000</v>
      </c>
      <c r="AH96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968" spans="1:34" x14ac:dyDescent="0.35">
      <c r="A968" t="s">
        <v>1938</v>
      </c>
      <c r="B968" s="6" t="str">
        <f>CLEAN(TRIM(Working_Sales[[#This Row],[Transaction ID]]))</f>
        <v>825</v>
      </c>
      <c r="C968" t="s">
        <v>1939</v>
      </c>
      <c r="D968" s="2" t="str">
        <f>CLEAN(TRIM(Working_Sales[[#This Row],[Date]]))</f>
        <v>August 26, 2023</v>
      </c>
      <c r="E968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968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96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45164</v>
      </c>
      <c r="H968" t="s">
        <v>3105</v>
      </c>
      <c r="I968" s="2" t="str">
        <f>CLEAN(TRIM(Working_Sales[[#This Row],[Customer ID]]))</f>
        <v>CUST153</v>
      </c>
      <c r="J96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CUST153</v>
      </c>
      <c r="K96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CUST153</v>
      </c>
      <c r="L968" t="s">
        <v>26</v>
      </c>
      <c r="M968" s="4" t="str">
        <f>CLEAN(TRIM(Working_Sales[[#This Row],[Gender]]))</f>
        <v>Female</v>
      </c>
      <c r="N968" s="4" t="str" cm="1">
        <f t="array" ref="N968">_xlfn.SWITCH(
   Working_Sales[[#This Row],[Gender_Whitespace_Removed]],
   "m", "Male",
   "f", "Female",
   Working_Sales[[#This Row],[Gender_Whitespace_Removed]]
)</f>
        <v>Female</v>
      </c>
      <c r="O968" s="6" t="str">
        <f>PROPER(Working_Sales[[#This Row],[Gender_Abbreviation_Expanded]])</f>
        <v>Female</v>
      </c>
      <c r="P968">
        <v>46</v>
      </c>
      <c r="Q968" s="2" t="str">
        <f>CLEAN(TRIM(Working_Sales[[#This Row],[Age]]))</f>
        <v>46</v>
      </c>
      <c r="R968" s="6">
        <f>INT(SUBSTITUTE(Working_Sales[[#This Row],[Age_Whitespace_Removed]],".",","))</f>
        <v>46</v>
      </c>
      <c r="S968" t="s">
        <v>36</v>
      </c>
      <c r="T968" s="2" t="str">
        <f>CLEAN(TRIM(Working_Sales[[#This Row],[Product Category]]))</f>
        <v>Beauty</v>
      </c>
      <c r="U968" s="6" t="str">
        <f>PROPER(Working_Sales[[#This Row],[Product_Category_Whitespace_Removed]])</f>
        <v>Beauty</v>
      </c>
      <c r="V968" t="s">
        <v>22</v>
      </c>
      <c r="W968" s="2" t="str">
        <f>CLEAN(TRIM(Working_Sales[[#This Row],[Quantity]]))</f>
        <v>1</v>
      </c>
      <c r="X968" s="2">
        <f>INT(Working_Sales[[#This Row],[`]])</f>
        <v>1</v>
      </c>
      <c r="Y968" s="6">
        <f>IFERROR(
   Working_Sales[[#This Row],[Quantity_Converted_To_Integer]],
   Working_Sales[[#This Row],[Total_Amount_Whitespace_Removed]]/Working_Sales[[#This Row],[Price_Per_Unit_Decimal_Separator_Fixed]])</f>
        <v>1</v>
      </c>
      <c r="Z968" t="s">
        <v>30</v>
      </c>
      <c r="AA968" s="2" t="str">
        <f>CLEAN(TRIM(Working_Sales[[#This Row],[Price per Unit]]))</f>
        <v>25</v>
      </c>
      <c r="AB968" s="2">
        <f>INT(
   SUBSTITUTE(Working_Sales[[#This Row],[Price_Per_Unit_Whitespace_Removed]],
   "$",
   ""
   )
)</f>
        <v>25</v>
      </c>
      <c r="AC968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968" s="8">
        <f>IFERROR(
   Working_Sales[[#This Row],[Price_Per_Unit_Decimal_Separator_Fixed]],
   Working_Sales[[#This Row],[Total_Amount_Converted_To_Integer]]/Working_Sales[[#This Row],[Quantity_Converted_To_Integer]]
)</f>
        <v>25</v>
      </c>
      <c r="AE968" t="s">
        <v>30</v>
      </c>
      <c r="AF968" s="2" t="str">
        <f>CLEAN(TRIM(Working_Sales[[#This Row],[Total Amount]]))</f>
        <v>25</v>
      </c>
      <c r="AG968" s="2">
        <f>INT(Working_Sales[[#This Row],[Total_Amount_Whitespace_Removed]])</f>
        <v>25</v>
      </c>
      <c r="AH96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969" spans="1:34" x14ac:dyDescent="0.35">
      <c r="A969" t="s">
        <v>1940</v>
      </c>
      <c r="B969" s="6" t="str">
        <f>CLEAN(TRIM(Working_Sales[[#This Row],[Transaction ID]]))</f>
        <v>326</v>
      </c>
      <c r="C969" t="s">
        <v>1941</v>
      </c>
      <c r="D969" s="2" t="str">
        <f>CLEAN(TRIM(Working_Sales[[#This Row],[Date]]))</f>
        <v>09/15/2023</v>
      </c>
      <c r="E969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96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45184</v>
      </c>
      <c r="G96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45184</v>
      </c>
      <c r="H969" t="s">
        <v>3107</v>
      </c>
      <c r="I969" s="2" t="str">
        <f>CLEAN(TRIM(Working_Sales[[#This Row],[Customer ID]]))</f>
        <v>CUST-030</v>
      </c>
      <c r="J96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6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CUST030</v>
      </c>
      <c r="L969" t="s">
        <v>46</v>
      </c>
      <c r="M969" s="4" t="str">
        <f>CLEAN(TRIM(Working_Sales[[#This Row],[Gender]]))</f>
        <v>F</v>
      </c>
      <c r="N969" s="4" t="str" cm="1">
        <f t="array" ref="N969">_xlfn.SWITCH(
   Working_Sales[[#This Row],[Gender_Whitespace_Removed]],
   "m", "Male",
   "f", "Female",
   Working_Sales[[#This Row],[Gender_Whitespace_Removed]]
)</f>
        <v>Female</v>
      </c>
      <c r="O969" s="6" t="str">
        <f>PROPER(Working_Sales[[#This Row],[Gender_Abbreviation_Expanded]])</f>
        <v>Female</v>
      </c>
      <c r="P969">
        <v>18</v>
      </c>
      <c r="Q969" s="2" t="str">
        <f>CLEAN(TRIM(Working_Sales[[#This Row],[Age]]))</f>
        <v>18</v>
      </c>
      <c r="R969" s="6">
        <f>INT(SUBSTITUTE(Working_Sales[[#This Row],[Age_Whitespace_Removed]],".",","))</f>
        <v>18</v>
      </c>
      <c r="S969" t="s">
        <v>400</v>
      </c>
      <c r="T969" s="2" t="str">
        <f>CLEAN(TRIM(Working_Sales[[#This Row],[Product Category]]))</f>
        <v>Clothing</v>
      </c>
      <c r="U969" s="6" t="str">
        <f>PROPER(Working_Sales[[#This Row],[Product_Category_Whitespace_Removed]])</f>
        <v>Clothing</v>
      </c>
      <c r="V969" t="s">
        <v>29</v>
      </c>
      <c r="W969" s="2" t="str">
        <f>CLEAN(TRIM(Working_Sales[[#This Row],[Quantity]]))</f>
        <v>3</v>
      </c>
      <c r="X969" s="2">
        <f>INT(Working_Sales[[#This Row],[`]])</f>
        <v>3</v>
      </c>
      <c r="Y969" s="6">
        <f>IFERROR(
   Working_Sales[[#This Row],[Quantity_Converted_To_Integer]],
   Working_Sales[[#This Row],[Total_Amount_Whitespace_Removed]]/Working_Sales[[#This Row],[Price_Per_Unit_Decimal_Separator_Fixed]])</f>
        <v>3</v>
      </c>
      <c r="Z969" t="s">
        <v>30</v>
      </c>
      <c r="AA969" s="2" t="str">
        <f>CLEAN(TRIM(Working_Sales[[#This Row],[Price per Unit]]))</f>
        <v>25</v>
      </c>
      <c r="AB969" s="2">
        <f>INT(
   SUBSTITUTE(Working_Sales[[#This Row],[Price_Per_Unit_Whitespace_Removed]],
   "$",
   ""
   )
)</f>
        <v>25</v>
      </c>
      <c r="AC969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969" s="8">
        <f>IFERROR(
   Working_Sales[[#This Row],[Price_Per_Unit_Decimal_Separator_Fixed]],
   Working_Sales[[#This Row],[Total_Amount_Converted_To_Integer]]/Working_Sales[[#This Row],[Quantity_Converted_To_Integer]]
)</f>
        <v>25</v>
      </c>
      <c r="AE969" t="s">
        <v>31</v>
      </c>
      <c r="AF969" s="2" t="str">
        <f>CLEAN(TRIM(Working_Sales[[#This Row],[Total Amount]]))</f>
        <v>75</v>
      </c>
      <c r="AG969" s="2">
        <f>INT(Working_Sales[[#This Row],[Total_Amount_Whitespace_Removed]])</f>
        <v>75</v>
      </c>
      <c r="AH96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970" spans="1:34" x14ac:dyDescent="0.35">
      <c r="A970" t="s">
        <v>1943</v>
      </c>
      <c r="B970" s="6" t="str">
        <f>CLEAN(TRIM(Working_Sales[[#This Row],[Transaction ID]]))</f>
        <v>704</v>
      </c>
      <c r="C970" t="s">
        <v>67</v>
      </c>
      <c r="D970" s="2" t="str">
        <f>CLEAN(TRIM(Working_Sales[[#This Row],[Date]]))</f>
        <v>2023-08-28</v>
      </c>
      <c r="E97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45166</v>
      </c>
      <c r="F97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45166</v>
      </c>
      <c r="G97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45166</v>
      </c>
      <c r="H970" t="s">
        <v>3108</v>
      </c>
      <c r="I970" s="2" t="str">
        <f>CLEAN(TRIM(Working_Sales[[#This Row],[Customer ID]]))</f>
        <v>CUST270</v>
      </c>
      <c r="J97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CUST270</v>
      </c>
      <c r="K97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CUST270</v>
      </c>
      <c r="L970" t="s">
        <v>26</v>
      </c>
      <c r="M970" s="4" t="str">
        <f>CLEAN(TRIM(Working_Sales[[#This Row],[Gender]]))</f>
        <v>Female</v>
      </c>
      <c r="N970" s="4" t="str" cm="1">
        <f t="array" ref="N970">_xlfn.SWITCH(
   Working_Sales[[#This Row],[Gender_Whitespace_Removed]],
   "m", "Male",
   "f", "Female",
   Working_Sales[[#This Row],[Gender_Whitespace_Removed]]
)</f>
        <v>Female</v>
      </c>
      <c r="O970" s="6" t="str">
        <f>PROPER(Working_Sales[[#This Row],[Gender_Abbreviation_Expanded]])</f>
        <v>Female</v>
      </c>
      <c r="P970">
        <v>62</v>
      </c>
      <c r="Q970" s="2" t="str">
        <f>CLEAN(TRIM(Working_Sales[[#This Row],[Age]]))</f>
        <v>62</v>
      </c>
      <c r="R970" s="6">
        <f>INT(SUBSTITUTE(Working_Sales[[#This Row],[Age_Whitespace_Removed]],".",","))</f>
        <v>62</v>
      </c>
      <c r="S970" t="s">
        <v>89</v>
      </c>
      <c r="T970" s="2" t="str">
        <f>CLEAN(TRIM(Working_Sales[[#This Row],[Product Category]]))</f>
        <v>CLOTHING</v>
      </c>
      <c r="U970" s="6" t="str">
        <f>PROPER(Working_Sales[[#This Row],[Product_Category_Whitespace_Removed]])</f>
        <v>Clothing</v>
      </c>
      <c r="V970" t="s">
        <v>29</v>
      </c>
      <c r="W970" s="2" t="str">
        <f>CLEAN(TRIM(Working_Sales[[#This Row],[Quantity]]))</f>
        <v>3</v>
      </c>
      <c r="X970" s="2">
        <f>INT(Working_Sales[[#This Row],[`]])</f>
        <v>3</v>
      </c>
      <c r="Y970" s="6">
        <f>IFERROR(
   Working_Sales[[#This Row],[Quantity_Converted_To_Integer]],
   Working_Sales[[#This Row],[Total_Amount_Whitespace_Removed]]/Working_Sales[[#This Row],[Price_Per_Unit_Decimal_Separator_Fixed]])</f>
        <v>3</v>
      </c>
      <c r="Z970" t="s">
        <v>70</v>
      </c>
      <c r="AA970" s="2" t="str">
        <f>CLEAN(TRIM(Working_Sales[[#This Row],[Price per Unit]]))</f>
        <v>30</v>
      </c>
      <c r="AB970" s="2">
        <f>INT(
   SUBSTITUTE(Working_Sales[[#This Row],[Price_Per_Unit_Whitespace_Removed]],
   "$",
   ""
   )
)</f>
        <v>30</v>
      </c>
      <c r="AC970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970" s="8">
        <f>IFERROR(
   Working_Sales[[#This Row],[Price_Per_Unit_Decimal_Separator_Fixed]],
   Working_Sales[[#This Row],[Total_Amount_Converted_To_Integer]]/Working_Sales[[#This Row],[Quantity_Converted_To_Integer]]
)</f>
        <v>30</v>
      </c>
      <c r="AE970" t="s">
        <v>191</v>
      </c>
      <c r="AF970" s="2" t="str">
        <f>CLEAN(TRIM(Working_Sales[[#This Row],[Total Amount]]))</f>
        <v>90</v>
      </c>
      <c r="AG970" s="2">
        <f>INT(Working_Sales[[#This Row],[Total_Amount_Whitespace_Removed]])</f>
        <v>90</v>
      </c>
      <c r="AH97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</v>
      </c>
    </row>
    <row r="971" spans="1:34" x14ac:dyDescent="0.35">
      <c r="A971" t="s">
        <v>146</v>
      </c>
      <c r="B971" s="6" t="str">
        <f>CLEAN(TRIM(Working_Sales[[#This Row],[Transaction ID]]))</f>
        <v>45</v>
      </c>
      <c r="C971" t="s">
        <v>1944</v>
      </c>
      <c r="D971" s="2" t="str">
        <f>CLEAN(TRIM(Working_Sales[[#This Row],[Date]]))</f>
        <v>2023-07-03</v>
      </c>
      <c r="E97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45110</v>
      </c>
      <c r="F97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45110</v>
      </c>
      <c r="G97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45110</v>
      </c>
      <c r="H971" t="s">
        <v>3109</v>
      </c>
      <c r="I971" s="2" t="str">
        <f>CLEAN(TRIM(Working_Sales[[#This Row],[Customer ID]]))</f>
        <v>CUST309</v>
      </c>
      <c r="J97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CUST309</v>
      </c>
      <c r="K97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CUST309</v>
      </c>
      <c r="L971" t="s">
        <v>26</v>
      </c>
      <c r="M971" s="4" t="str">
        <f>CLEAN(TRIM(Working_Sales[[#This Row],[Gender]]))</f>
        <v>Female</v>
      </c>
      <c r="N971" s="4" t="str" cm="1">
        <f t="array" ref="N971">_xlfn.SWITCH(
   Working_Sales[[#This Row],[Gender_Whitespace_Removed]],
   "m", "Male",
   "f", "Female",
   Working_Sales[[#This Row],[Gender_Whitespace_Removed]]
)</f>
        <v>Female</v>
      </c>
      <c r="O971" s="6" t="str">
        <f>PROPER(Working_Sales[[#This Row],[Gender_Abbreviation_Expanded]])</f>
        <v>Female</v>
      </c>
      <c r="P971">
        <v>55</v>
      </c>
      <c r="Q971" s="2" t="str">
        <f>CLEAN(TRIM(Working_Sales[[#This Row],[Age]]))</f>
        <v>55</v>
      </c>
      <c r="R971" s="6">
        <f>INT(SUBSTITUTE(Working_Sales[[#This Row],[Age_Whitespace_Removed]],".",","))</f>
        <v>55</v>
      </c>
      <c r="S971" t="s">
        <v>99</v>
      </c>
      <c r="T971" s="2" t="str">
        <f>CLEAN(TRIM(Working_Sales[[#This Row],[Product Category]]))</f>
        <v>ELECTRONICS</v>
      </c>
      <c r="U971" s="6" t="str">
        <f>PROPER(Working_Sales[[#This Row],[Product_Category_Whitespace_Removed]])</f>
        <v>Electronics</v>
      </c>
      <c r="V971" t="s">
        <v>22</v>
      </c>
      <c r="W971" s="2" t="str">
        <f>CLEAN(TRIM(Working_Sales[[#This Row],[Quantity]]))</f>
        <v>1</v>
      </c>
      <c r="X971" s="2">
        <f>INT(Working_Sales[[#This Row],[`]])</f>
        <v>1</v>
      </c>
      <c r="Y971" s="6">
        <f>IFERROR(
   Working_Sales[[#This Row],[Quantity_Converted_To_Integer]],
   Working_Sales[[#This Row],[Total_Amount_Whitespace_Removed]]/Working_Sales[[#This Row],[Price_Per_Unit_Decimal_Separator_Fixed]])</f>
        <v>1</v>
      </c>
      <c r="Z971" t="s">
        <v>70</v>
      </c>
      <c r="AA971" s="2" t="str">
        <f>CLEAN(TRIM(Working_Sales[[#This Row],[Price per Unit]]))</f>
        <v>30</v>
      </c>
      <c r="AB971" s="2">
        <f>INT(
   SUBSTITUTE(Working_Sales[[#This Row],[Price_Per_Unit_Whitespace_Removed]],
   "$",
   ""
   )
)</f>
        <v>30</v>
      </c>
      <c r="AC971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971" s="8">
        <f>IFERROR(
   Working_Sales[[#This Row],[Price_Per_Unit_Decimal_Separator_Fixed]],
   Working_Sales[[#This Row],[Total_Amount_Converted_To_Integer]]/Working_Sales[[#This Row],[Quantity_Converted_To_Integer]]
)</f>
        <v>30</v>
      </c>
      <c r="AE971" t="s">
        <v>70</v>
      </c>
      <c r="AF971" s="2" t="str">
        <f>CLEAN(TRIM(Working_Sales[[#This Row],[Total Amount]]))</f>
        <v>30</v>
      </c>
      <c r="AG971" s="2">
        <f>INT(Working_Sales[[#This Row],[Total_Amount_Whitespace_Removed]])</f>
        <v>30</v>
      </c>
      <c r="AH97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</v>
      </c>
    </row>
    <row r="972" spans="1:34" x14ac:dyDescent="0.35">
      <c r="A972" t="s">
        <v>1945</v>
      </c>
      <c r="B972" s="6" t="str">
        <f>CLEAN(TRIM(Working_Sales[[#This Row],[Transaction ID]]))</f>
        <v>445</v>
      </c>
      <c r="C972" t="s">
        <v>2175</v>
      </c>
      <c r="D972" s="2" t="str">
        <f>CLEAN(TRIM(Working_Sales[[#This Row],[Date]]))</f>
        <v>01/22/2023</v>
      </c>
      <c r="E972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97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44948</v>
      </c>
      <c r="G97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44948</v>
      </c>
      <c r="H972" t="s">
        <v>3110</v>
      </c>
      <c r="I972" s="2" t="str">
        <f>CLEAN(TRIM(Working_Sales[[#This Row],[Customer ID]]))</f>
        <v>CUST147</v>
      </c>
      <c r="J97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CUST147</v>
      </c>
      <c r="K97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CUST147</v>
      </c>
      <c r="L972" t="s">
        <v>46</v>
      </c>
      <c r="M972" s="4" t="str">
        <f>CLEAN(TRIM(Working_Sales[[#This Row],[Gender]]))</f>
        <v>F</v>
      </c>
      <c r="N972" s="4" t="str" cm="1">
        <f t="array" ref="N972">_xlfn.SWITCH(
   Working_Sales[[#This Row],[Gender_Whitespace_Removed]],
   "m", "Male",
   "f", "Female",
   Working_Sales[[#This Row],[Gender_Whitespace_Removed]]
)</f>
        <v>Female</v>
      </c>
      <c r="O972" s="6" t="str">
        <f>PROPER(Working_Sales[[#This Row],[Gender_Abbreviation_Expanded]])</f>
        <v>Female</v>
      </c>
      <c r="P972">
        <v>53</v>
      </c>
      <c r="Q972" s="2" t="str">
        <f>CLEAN(TRIM(Working_Sales[[#This Row],[Age]]))</f>
        <v>53</v>
      </c>
      <c r="R972" s="6">
        <f>INT(SUBSTITUTE(Working_Sales[[#This Row],[Age_Whitespace_Removed]],".",","))</f>
        <v>53</v>
      </c>
      <c r="S972" t="s">
        <v>48</v>
      </c>
      <c r="T972" s="2" t="str">
        <f>CLEAN(TRIM(Working_Sales[[#This Row],[Product Category]]))</f>
        <v>electronics</v>
      </c>
      <c r="U972" s="6" t="str">
        <f>PROPER(Working_Sales[[#This Row],[Product_Category_Whitespace_Removed]])</f>
        <v>Electronics</v>
      </c>
      <c r="V972" t="s">
        <v>22</v>
      </c>
      <c r="W972" s="2" t="str">
        <f>CLEAN(TRIM(Working_Sales[[#This Row],[Quantity]]))</f>
        <v>1</v>
      </c>
      <c r="X972" s="2">
        <f>INT(Working_Sales[[#This Row],[`]])</f>
        <v>1</v>
      </c>
      <c r="Y972" s="6">
        <f>IFERROR(
   Working_Sales[[#This Row],[Quantity_Converted_To_Integer]],
   Working_Sales[[#This Row],[Total_Amount_Whitespace_Removed]]/Working_Sales[[#This Row],[Price_Per_Unit_Decimal_Separator_Fixed]])</f>
        <v>1</v>
      </c>
      <c r="Z972" t="s">
        <v>180</v>
      </c>
      <c r="AA972" s="2" t="str">
        <f>CLEAN(TRIM(Working_Sales[[#This Row],[Price per Unit]]))</f>
        <v>300</v>
      </c>
      <c r="AB972" s="2">
        <f>INT(
   SUBSTITUTE(Working_Sales[[#This Row],[Price_Per_Unit_Whitespace_Removed]],
   "$",
   ""
   )
)</f>
        <v>300</v>
      </c>
      <c r="AC972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972" s="8">
        <f>IFERROR(
   Working_Sales[[#This Row],[Price_Per_Unit_Decimal_Separator_Fixed]],
   Working_Sales[[#This Row],[Total_Amount_Converted_To_Integer]]/Working_Sales[[#This Row],[Quantity_Converted_To_Integer]]
)</f>
        <v>300</v>
      </c>
      <c r="AE972" t="s">
        <v>23</v>
      </c>
      <c r="AF972" s="2" t="str">
        <f>CLEAN(TRIM(Working_Sales[[#This Row],[Total Amount]]))</f>
        <v>300</v>
      </c>
      <c r="AG972" s="2">
        <f>INT(Working_Sales[[#This Row],[Total_Amount_Whitespace_Removed]])</f>
        <v>300</v>
      </c>
      <c r="AH97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973" spans="1:34" x14ac:dyDescent="0.35">
      <c r="A973" t="s">
        <v>1947</v>
      </c>
      <c r="B973" s="6" t="str">
        <f>CLEAN(TRIM(Working_Sales[[#This Row],[Transaction ID]]))</f>
        <v>788</v>
      </c>
      <c r="C973" t="s">
        <v>1948</v>
      </c>
      <c r="D973" s="2" t="str">
        <f>CLEAN(TRIM(Working_Sales[[#This Row],[Date]]))</f>
        <v>2023-06-27</v>
      </c>
      <c r="E97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45104</v>
      </c>
      <c r="F97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45104</v>
      </c>
      <c r="G97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45104</v>
      </c>
      <c r="H973" t="s">
        <v>2802</v>
      </c>
      <c r="I973" s="2" t="str">
        <f>CLEAN(TRIM(Working_Sales[[#This Row],[Customer ID]]))</f>
        <v>cust309</v>
      </c>
      <c r="J97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7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CUST309</v>
      </c>
      <c r="L973" t="s">
        <v>26</v>
      </c>
      <c r="M973" s="4" t="str">
        <f>CLEAN(TRIM(Working_Sales[[#This Row],[Gender]]))</f>
        <v>Female</v>
      </c>
      <c r="N973" s="4" t="str" cm="1">
        <f t="array" ref="N973">_xlfn.SWITCH(
   Working_Sales[[#This Row],[Gender_Whitespace_Removed]],
   "m", "Male",
   "f", "Female",
   Working_Sales[[#This Row],[Gender_Whitespace_Removed]]
)</f>
        <v>Female</v>
      </c>
      <c r="O973" s="6" t="str">
        <f>PROPER(Working_Sales[[#This Row],[Gender_Abbreviation_Expanded]])</f>
        <v>Female</v>
      </c>
      <c r="P973">
        <v>52</v>
      </c>
      <c r="Q973" s="2" t="str">
        <f>CLEAN(TRIM(Working_Sales[[#This Row],[Age]]))</f>
        <v>52</v>
      </c>
      <c r="R973" s="6">
        <f>INT(SUBSTITUTE(Working_Sales[[#This Row],[Age_Whitespace_Removed]],".",","))</f>
        <v>52</v>
      </c>
      <c r="S973" t="s">
        <v>36</v>
      </c>
      <c r="T973" s="2" t="str">
        <f>CLEAN(TRIM(Working_Sales[[#This Row],[Product Category]]))</f>
        <v>Beauty</v>
      </c>
      <c r="U973" s="6" t="str">
        <f>PROPER(Working_Sales[[#This Row],[Product_Category_Whitespace_Removed]])</f>
        <v>Beauty</v>
      </c>
      <c r="V973" t="s">
        <v>29</v>
      </c>
      <c r="W973" s="2" t="str">
        <f>CLEAN(TRIM(Working_Sales[[#This Row],[Quantity]]))</f>
        <v>3</v>
      </c>
      <c r="X973" s="2">
        <f>INT(Working_Sales[[#This Row],[`]])</f>
        <v>3</v>
      </c>
      <c r="Y973" s="6">
        <f>IFERROR(
   Working_Sales[[#This Row],[Quantity_Converted_To_Integer]],
   Working_Sales[[#This Row],[Total_Amount_Whitespace_Removed]]/Working_Sales[[#This Row],[Price_Per_Unit_Decimal_Separator_Fixed]])</f>
        <v>3</v>
      </c>
      <c r="Z973" t="s">
        <v>23</v>
      </c>
      <c r="AA973" s="2" t="str">
        <f>CLEAN(TRIM(Working_Sales[[#This Row],[Price per Unit]]))</f>
        <v>300</v>
      </c>
      <c r="AB973" s="2">
        <f>INT(
   SUBSTITUTE(Working_Sales[[#This Row],[Price_Per_Unit_Whitespace_Removed]],
   "$",
   ""
   )
)</f>
        <v>300</v>
      </c>
      <c r="AC973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973" s="8">
        <f>IFERROR(
   Working_Sales[[#This Row],[Price_Per_Unit_Decimal_Separator_Fixed]],
   Working_Sales[[#This Row],[Total_Amount_Converted_To_Integer]]/Working_Sales[[#This Row],[Quantity_Converted_To_Integer]]
)</f>
        <v>300</v>
      </c>
      <c r="AE973" t="s">
        <v>128</v>
      </c>
      <c r="AF973" s="2" t="str">
        <f>CLEAN(TRIM(Working_Sales[[#This Row],[Total Amount]]))</f>
        <v>900</v>
      </c>
      <c r="AG973" s="2">
        <f>INT(Working_Sales[[#This Row],[Total_Amount_Whitespace_Removed]])</f>
        <v>900</v>
      </c>
      <c r="AH97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900</v>
      </c>
    </row>
    <row r="974" spans="1:34" x14ac:dyDescent="0.35">
      <c r="A974" t="s">
        <v>1949</v>
      </c>
      <c r="B974" s="6" t="str">
        <f>CLEAN(TRIM(Working_Sales[[#This Row],[Transaction ID]]))</f>
        <v>7</v>
      </c>
      <c r="C974" t="s">
        <v>1228</v>
      </c>
      <c r="D974" s="2" t="str">
        <f>CLEAN(TRIM(Working_Sales[[#This Row],[Date]]))</f>
        <v>03/13/2023</v>
      </c>
      <c r="E974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97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44998</v>
      </c>
      <c r="G97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44998</v>
      </c>
      <c r="H974" t="s">
        <v>3111</v>
      </c>
      <c r="I974" s="2" t="str">
        <f>CLEAN(TRIM(Working_Sales[[#This Row],[Customer ID]]))</f>
        <v>CUST090</v>
      </c>
      <c r="J97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CUST090</v>
      </c>
      <c r="K97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CUST090</v>
      </c>
      <c r="L974" t="s">
        <v>11</v>
      </c>
      <c r="M974" s="4" t="str">
        <f>CLEAN(TRIM(Working_Sales[[#This Row],[Gender]]))</f>
        <v>MALE</v>
      </c>
      <c r="N974" s="4" t="str" cm="1">
        <f t="array" ref="N974">_xlfn.SWITCH(
   Working_Sales[[#This Row],[Gender_Whitespace_Removed]],
   "m", "Male",
   "f", "Female",
   Working_Sales[[#This Row],[Gender_Whitespace_Removed]]
)</f>
        <v>MALE</v>
      </c>
      <c r="O974" s="6" t="str">
        <f>PROPER(Working_Sales[[#This Row],[Gender_Abbreviation_Expanded]])</f>
        <v>Male</v>
      </c>
      <c r="P974">
        <v>46</v>
      </c>
      <c r="Q974" s="2" t="str">
        <f>CLEAN(TRIM(Working_Sales[[#This Row],[Age]]))</f>
        <v>46</v>
      </c>
      <c r="R974" s="6">
        <f>INT(SUBSTITUTE(Working_Sales[[#This Row],[Age_Whitespace_Removed]],".",","))</f>
        <v>46</v>
      </c>
      <c r="S974" t="s">
        <v>28</v>
      </c>
      <c r="T974" s="2" t="str">
        <f>CLEAN(TRIM(Working_Sales[[#This Row],[Product Category]]))</f>
        <v>clothing</v>
      </c>
      <c r="U974" s="6" t="str">
        <f>PROPER(Working_Sales[[#This Row],[Product_Category_Whitespace_Removed]])</f>
        <v>Clothing</v>
      </c>
      <c r="V974" t="s">
        <v>37</v>
      </c>
      <c r="W974" s="2" t="str">
        <f>CLEAN(TRIM(Working_Sales[[#This Row],[Quantity]]))</f>
        <v>2</v>
      </c>
      <c r="X974" s="2">
        <f>INT(Working_Sales[[#This Row],[`]])</f>
        <v>2</v>
      </c>
      <c r="Y974" s="6">
        <f>IFERROR(
   Working_Sales[[#This Row],[Quantity_Converted_To_Integer]],
   Working_Sales[[#This Row],[Total_Amount_Whitespace_Removed]]/Working_Sales[[#This Row],[Price_Per_Unit_Decimal_Separator_Fixed]])</f>
        <v>2</v>
      </c>
      <c r="Z974" t="s">
        <v>30</v>
      </c>
      <c r="AA974" s="2" t="str">
        <f>CLEAN(TRIM(Working_Sales[[#This Row],[Price per Unit]]))</f>
        <v>25</v>
      </c>
      <c r="AB974" s="2">
        <f>INT(
   SUBSTITUTE(Working_Sales[[#This Row],[Price_Per_Unit_Whitespace_Removed]],
   "$",
   ""
   )
)</f>
        <v>25</v>
      </c>
      <c r="AC974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974" s="8">
        <f>IFERROR(
   Working_Sales[[#This Row],[Price_Per_Unit_Decimal_Separator_Fixed]],
   Working_Sales[[#This Row],[Total_Amount_Converted_To_Integer]]/Working_Sales[[#This Row],[Quantity_Converted_To_Integer]]
)</f>
        <v>25</v>
      </c>
      <c r="AE974" t="s">
        <v>15</v>
      </c>
      <c r="AF974" s="2" t="str">
        <f>CLEAN(TRIM(Working_Sales[[#This Row],[Total Amount]]))</f>
        <v>50</v>
      </c>
      <c r="AG974" s="2">
        <f>INT(Working_Sales[[#This Row],[Total_Amount_Whitespace_Removed]])</f>
        <v>50</v>
      </c>
      <c r="AH97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975" spans="1:34" x14ac:dyDescent="0.35">
      <c r="A975" t="s">
        <v>1951</v>
      </c>
      <c r="B975" s="6" t="str">
        <f>CLEAN(TRIM(Working_Sales[[#This Row],[Transaction ID]]))</f>
        <v>251</v>
      </c>
      <c r="C975" t="s">
        <v>356</v>
      </c>
      <c r="D975" s="2" t="str">
        <f>CLEAN(TRIM(Working_Sales[[#This Row],[Date]]))</f>
        <v>2023-08-31</v>
      </c>
      <c r="E97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45169</v>
      </c>
      <c r="F97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45169</v>
      </c>
      <c r="G97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45169</v>
      </c>
      <c r="H975" t="s">
        <v>3112</v>
      </c>
      <c r="I975" s="2" t="str">
        <f>CLEAN(TRIM(Working_Sales[[#This Row],[Customer ID]]))</f>
        <v>CUST167</v>
      </c>
      <c r="J97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7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CUST167</v>
      </c>
      <c r="L975" t="s">
        <v>26</v>
      </c>
      <c r="M975" s="4" t="str">
        <f>CLEAN(TRIM(Working_Sales[[#This Row],[Gender]]))</f>
        <v>Female</v>
      </c>
      <c r="N975" s="4" t="str" cm="1">
        <f t="array" ref="N975">_xlfn.SWITCH(
   Working_Sales[[#This Row],[Gender_Whitespace_Removed]],
   "m", "Male",
   "f", "Female",
   Working_Sales[[#This Row],[Gender_Whitespace_Removed]]
)</f>
        <v>Female</v>
      </c>
      <c r="O975" s="6" t="str">
        <f>PROPER(Working_Sales[[#This Row],[Gender_Abbreviation_Expanded]])</f>
        <v>Female</v>
      </c>
      <c r="P975">
        <v>57</v>
      </c>
      <c r="Q975" s="2" t="str">
        <f>CLEAN(TRIM(Working_Sales[[#This Row],[Age]]))</f>
        <v>57</v>
      </c>
      <c r="R975" s="6">
        <f>INT(SUBSTITUTE(Working_Sales[[#This Row],[Age_Whitespace_Removed]],".",","))</f>
        <v>57</v>
      </c>
      <c r="S975" t="s">
        <v>62</v>
      </c>
      <c r="T975" s="2" t="str">
        <f>CLEAN(TRIM(Working_Sales[[#This Row],[Product Category]]))</f>
        <v>beauty</v>
      </c>
      <c r="U975" s="6" t="str">
        <f>PROPER(Working_Sales[[#This Row],[Product_Category_Whitespace_Removed]])</f>
        <v>Beauty</v>
      </c>
      <c r="V975" t="s">
        <v>14</v>
      </c>
      <c r="W975" s="2" t="str">
        <f>CLEAN(TRIM(Working_Sales[[#This Row],[Quantity]]))</f>
        <v>4</v>
      </c>
      <c r="X975" s="2">
        <f>INT(Working_Sales[[#This Row],[`]])</f>
        <v>4</v>
      </c>
      <c r="Y975" s="6">
        <f>IFERROR(
   Working_Sales[[#This Row],[Quantity_Converted_To_Integer]],
   Working_Sales[[#This Row],[Total_Amount_Whitespace_Removed]]/Working_Sales[[#This Row],[Price_Per_Unit_Decimal_Separator_Fixed]])</f>
        <v>4</v>
      </c>
      <c r="Z975" t="s">
        <v>15</v>
      </c>
      <c r="AA975" s="2" t="str">
        <f>CLEAN(TRIM(Working_Sales[[#This Row],[Price per Unit]]))</f>
        <v>50</v>
      </c>
      <c r="AB975" s="2">
        <f>INT(
   SUBSTITUTE(Working_Sales[[#This Row],[Price_Per_Unit_Whitespace_Removed]],
   "$",
   ""
   )
)</f>
        <v>50</v>
      </c>
      <c r="AC975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975" s="8">
        <f>IFERROR(
   Working_Sales[[#This Row],[Price_Per_Unit_Decimal_Separator_Fixed]],
   Working_Sales[[#This Row],[Total_Amount_Converted_To_Integer]]/Working_Sales[[#This Row],[Quantity_Converted_To_Integer]]
)</f>
        <v>50</v>
      </c>
      <c r="AE975" t="s">
        <v>16</v>
      </c>
      <c r="AF975" s="2" t="str">
        <f>CLEAN(TRIM(Working_Sales[[#This Row],[Total Amount]]))</f>
        <v>200</v>
      </c>
      <c r="AG975" s="2">
        <f>INT(Working_Sales[[#This Row],[Total_Amount_Whitespace_Removed]])</f>
        <v>200</v>
      </c>
      <c r="AH97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976" spans="1:34" x14ac:dyDescent="0.35">
      <c r="A976" t="s">
        <v>1953</v>
      </c>
      <c r="B976" s="6" t="str">
        <f>CLEAN(TRIM(Working_Sales[[#This Row],[Transaction ID]]))</f>
        <v>824</v>
      </c>
      <c r="C976" t="s">
        <v>2037</v>
      </c>
      <c r="D976" s="2" t="str">
        <f>CLEAN(TRIM(Working_Sales[[#This Row],[Date]]))</f>
        <v>May 05, 2023</v>
      </c>
      <c r="E976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976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97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45051</v>
      </c>
      <c r="H976" t="s">
        <v>2333</v>
      </c>
      <c r="I976" s="2" t="str">
        <f>CLEAN(TRIM(Working_Sales[[#This Row],[Customer ID]]))</f>
        <v>CUST010</v>
      </c>
      <c r="J97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CUST010</v>
      </c>
      <c r="K97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CUST010</v>
      </c>
      <c r="L976" t="s">
        <v>34</v>
      </c>
      <c r="M976" s="4" t="str">
        <f>CLEAN(TRIM(Working_Sales[[#This Row],[Gender]]))</f>
        <v>Male</v>
      </c>
      <c r="N976" s="4" t="str" cm="1">
        <f t="array" ref="N976">_xlfn.SWITCH(
   Working_Sales[[#This Row],[Gender_Whitespace_Removed]],
   "m", "Male",
   "f", "Female",
   Working_Sales[[#This Row],[Gender_Whitespace_Removed]]
)</f>
        <v>Male</v>
      </c>
      <c r="O976" s="6" t="str">
        <f>PROPER(Working_Sales[[#This Row],[Gender_Abbreviation_Expanded]])</f>
        <v>Male</v>
      </c>
      <c r="P976" t="s">
        <v>1954</v>
      </c>
      <c r="Q976" s="2" t="str">
        <f>CLEAN(TRIM(Working_Sales[[#This Row],[Age]]))</f>
        <v>63</v>
      </c>
      <c r="R976" s="6">
        <f>INT(SUBSTITUTE(Working_Sales[[#This Row],[Age_Whitespace_Removed]],".",","))</f>
        <v>63</v>
      </c>
      <c r="S976" t="s">
        <v>124</v>
      </c>
      <c r="T976" s="2" t="str">
        <f>CLEAN(TRIM(Working_Sales[[#This Row],[Product Category]]))</f>
        <v>Clothing</v>
      </c>
      <c r="U976" s="6" t="str">
        <f>PROPER(Working_Sales[[#This Row],[Product_Category_Whitespace_Removed]])</f>
        <v>Clothing</v>
      </c>
      <c r="V976" t="s">
        <v>14</v>
      </c>
      <c r="W976" s="2" t="str">
        <f>CLEAN(TRIM(Working_Sales[[#This Row],[Quantity]]))</f>
        <v>4</v>
      </c>
      <c r="X976" s="2">
        <f>INT(Working_Sales[[#This Row],[`]])</f>
        <v>4</v>
      </c>
      <c r="Y976" s="6">
        <f>IFERROR(
   Working_Sales[[#This Row],[Quantity_Converted_To_Integer]],
   Working_Sales[[#This Row],[Total_Amount_Whitespace_Removed]]/Working_Sales[[#This Row],[Price_Per_Unit_Decimal_Separator_Fixed]])</f>
        <v>4</v>
      </c>
      <c r="Z976" t="s">
        <v>70</v>
      </c>
      <c r="AA976" s="2" t="str">
        <f>CLEAN(TRIM(Working_Sales[[#This Row],[Price per Unit]]))</f>
        <v>30</v>
      </c>
      <c r="AB976" s="2">
        <f>INT(
   SUBSTITUTE(Working_Sales[[#This Row],[Price_Per_Unit_Whitespace_Removed]],
   "$",
   ""
   )
)</f>
        <v>30</v>
      </c>
      <c r="AC976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976" s="8">
        <f>IFERROR(
   Working_Sales[[#This Row],[Price_Per_Unit_Decimal_Separator_Fixed]],
   Working_Sales[[#This Row],[Total_Amount_Converted_To_Integer]]/Working_Sales[[#This Row],[Quantity_Converted_To_Integer]]
)</f>
        <v>30</v>
      </c>
      <c r="AE976" t="s">
        <v>44</v>
      </c>
      <c r="AF976" s="2" t="str">
        <f>CLEAN(TRIM(Working_Sales[[#This Row],[Total Amount]]))</f>
        <v>120</v>
      </c>
      <c r="AG976" s="2">
        <f>INT(Working_Sales[[#This Row],[Total_Amount_Whitespace_Removed]])</f>
        <v>120</v>
      </c>
      <c r="AH97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977" spans="1:34" x14ac:dyDescent="0.35">
      <c r="A977" t="s">
        <v>1955</v>
      </c>
      <c r="B977" s="6" t="str">
        <f>CLEAN(TRIM(Working_Sales[[#This Row],[Transaction ID]]))</f>
        <v>76</v>
      </c>
      <c r="C977" t="s">
        <v>1192</v>
      </c>
      <c r="D977" s="2" t="str">
        <f>CLEAN(TRIM(Working_Sales[[#This Row],[Date]]))</f>
        <v>2023-03-25</v>
      </c>
      <c r="E97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45010</v>
      </c>
      <c r="F97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45010</v>
      </c>
      <c r="G97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45010</v>
      </c>
      <c r="H977" t="s">
        <v>3113</v>
      </c>
      <c r="I977" s="2" t="str">
        <f>CLEAN(TRIM(Working_Sales[[#This Row],[Customer ID]]))</f>
        <v>CUST077</v>
      </c>
      <c r="J97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CUST077</v>
      </c>
      <c r="K97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CUST077</v>
      </c>
      <c r="L977" t="s">
        <v>26</v>
      </c>
      <c r="M977" s="4" t="str">
        <f>CLEAN(TRIM(Working_Sales[[#This Row],[Gender]]))</f>
        <v>Female</v>
      </c>
      <c r="N977" s="4" t="str" cm="1">
        <f t="array" ref="N977">_xlfn.SWITCH(
   Working_Sales[[#This Row],[Gender_Whitespace_Removed]],
   "m", "Male",
   "f", "Female",
   Working_Sales[[#This Row],[Gender_Whitespace_Removed]]
)</f>
        <v>Female</v>
      </c>
      <c r="O977" s="6" t="str">
        <f>PROPER(Working_Sales[[#This Row],[Gender_Abbreviation_Expanded]])</f>
        <v>Female</v>
      </c>
      <c r="P977">
        <v>22</v>
      </c>
      <c r="Q977" s="2" t="str">
        <f>CLEAN(TRIM(Working_Sales[[#This Row],[Age]]))</f>
        <v>22</v>
      </c>
      <c r="R977" s="6">
        <f>INT(SUBSTITUTE(Working_Sales[[#This Row],[Age_Whitespace_Removed]],".",","))</f>
        <v>22</v>
      </c>
      <c r="S977" t="s">
        <v>13</v>
      </c>
      <c r="T977" s="2" t="str">
        <f>CLEAN(TRIM(Working_Sales[[#This Row],[Product Category]]))</f>
        <v>Electronics</v>
      </c>
      <c r="U977" s="6" t="str">
        <f>PROPER(Working_Sales[[#This Row],[Product_Category_Whitespace_Removed]])</f>
        <v>Electronics</v>
      </c>
      <c r="V977" t="s">
        <v>37</v>
      </c>
      <c r="W977" s="2" t="str">
        <f>CLEAN(TRIM(Working_Sales[[#This Row],[Quantity]]))</f>
        <v>2</v>
      </c>
      <c r="X977" s="2">
        <f>INT(Working_Sales[[#This Row],[`]])</f>
        <v>2</v>
      </c>
      <c r="Y977" s="6">
        <f>IFERROR(
   Working_Sales[[#This Row],[Quantity_Converted_To_Integer]],
   Working_Sales[[#This Row],[Total_Amount_Whitespace_Removed]]/Working_Sales[[#This Row],[Price_Per_Unit_Decimal_Separator_Fixed]])</f>
        <v>2</v>
      </c>
      <c r="Z977" t="s">
        <v>15</v>
      </c>
      <c r="AA977" s="2" t="str">
        <f>CLEAN(TRIM(Working_Sales[[#This Row],[Price per Unit]]))</f>
        <v>50</v>
      </c>
      <c r="AB977" s="2">
        <f>INT(
   SUBSTITUTE(Working_Sales[[#This Row],[Price_Per_Unit_Whitespace_Removed]],
   "$",
   ""
   )
)</f>
        <v>50</v>
      </c>
      <c r="AC977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977" s="8">
        <f>IFERROR(
   Working_Sales[[#This Row],[Price_Per_Unit_Decimal_Separator_Fixed]],
   Working_Sales[[#This Row],[Total_Amount_Converted_To_Integer]]/Working_Sales[[#This Row],[Quantity_Converted_To_Integer]]
)</f>
        <v>50</v>
      </c>
      <c r="AE977" t="s">
        <v>38</v>
      </c>
      <c r="AF977" s="2" t="str">
        <f>CLEAN(TRIM(Working_Sales[[#This Row],[Total Amount]]))</f>
        <v>100</v>
      </c>
      <c r="AG977" s="2">
        <f>INT(Working_Sales[[#This Row],[Total_Amount_Whitespace_Removed]])</f>
        <v>100</v>
      </c>
      <c r="AH97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978" spans="1:34" x14ac:dyDescent="0.35">
      <c r="A978" t="s">
        <v>1956</v>
      </c>
      <c r="B978" s="6" t="str">
        <f>CLEAN(TRIM(Working_Sales[[#This Row],[Transaction ID]]))</f>
        <v>513</v>
      </c>
      <c r="C978" t="s">
        <v>974</v>
      </c>
      <c r="D978" s="2" t="str">
        <f>CLEAN(TRIM(Working_Sales[[#This Row],[Date]]))</f>
        <v>09/19/2023</v>
      </c>
      <c r="E978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97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45188</v>
      </c>
      <c r="G97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45188</v>
      </c>
      <c r="H978" t="s">
        <v>3114</v>
      </c>
      <c r="I978" s="2" t="str">
        <f>CLEAN(TRIM(Working_Sales[[#This Row],[Customer ID]]))</f>
        <v>CUST203</v>
      </c>
      <c r="J97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7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CUST203</v>
      </c>
      <c r="L978" t="s">
        <v>34</v>
      </c>
      <c r="M978" s="4" t="str">
        <f>CLEAN(TRIM(Working_Sales[[#This Row],[Gender]]))</f>
        <v>Male</v>
      </c>
      <c r="N978" s="4" t="str" cm="1">
        <f t="array" ref="N978">_xlfn.SWITCH(
   Working_Sales[[#This Row],[Gender_Whitespace_Removed]],
   "m", "Male",
   "f", "Female",
   Working_Sales[[#This Row],[Gender_Whitespace_Removed]]
)</f>
        <v>Male</v>
      </c>
      <c r="O978" s="6" t="str">
        <f>PROPER(Working_Sales[[#This Row],[Gender_Abbreviation_Expanded]])</f>
        <v>Male</v>
      </c>
      <c r="P978">
        <v>24</v>
      </c>
      <c r="Q978" s="2" t="str">
        <f>CLEAN(TRIM(Working_Sales[[#This Row],[Age]]))</f>
        <v>24</v>
      </c>
      <c r="R978" s="6">
        <f>INT(SUBSTITUTE(Working_Sales[[#This Row],[Age_Whitespace_Removed]],".",","))</f>
        <v>24</v>
      </c>
      <c r="S978" t="s">
        <v>13</v>
      </c>
      <c r="T978" s="2" t="str">
        <f>CLEAN(TRIM(Working_Sales[[#This Row],[Product Category]]))</f>
        <v>Electronics</v>
      </c>
      <c r="U978" s="6" t="str">
        <f>PROPER(Working_Sales[[#This Row],[Product_Category_Whitespace_Removed]])</f>
        <v>Electronics</v>
      </c>
      <c r="V978" t="s">
        <v>14</v>
      </c>
      <c r="W978" s="2" t="str">
        <f>CLEAN(TRIM(Working_Sales[[#This Row],[Quantity]]))</f>
        <v>4</v>
      </c>
      <c r="X978" s="2">
        <f>INT(Working_Sales[[#This Row],[`]])</f>
        <v>4</v>
      </c>
      <c r="Y978" s="6">
        <f>IFERROR(
   Working_Sales[[#This Row],[Quantity_Converted_To_Integer]],
   Working_Sales[[#This Row],[Total_Amount_Whitespace_Removed]]/Working_Sales[[#This Row],[Price_Per_Unit_Decimal_Separator_Fixed]])</f>
        <v>4</v>
      </c>
      <c r="AA978" s="2" t="str">
        <f>CLEAN(TRIM(Working_Sales[[#This Row],[Price per Unit]]))</f>
        <v/>
      </c>
      <c r="AB978" s="2" t="e">
        <f>INT(
   SUBSTITUTE(Working_Sales[[#This Row],[Price_Per_Unit_Whitespace_Removed]],
   "$",
   ""
   )
)</f>
        <v>#VALUE!</v>
      </c>
      <c r="AC978" s="2" t="e">
        <f>INT(
   IFERROR(
      Working_Sales[[#This Row],[Price_Per_Unit_Dollar_Sign_Removed]],
      SUBSTITUTE(
         Working_Sales[[#This Row],[Price_Per_Unit_Whitespace_Removed]],
        ".",
         ","
      )
   )
)</f>
        <v>#VALUE!</v>
      </c>
      <c r="AD978" s="8">
        <f>IFERROR(
   Working_Sales[[#This Row],[Price_Per_Unit_Decimal_Separator_Fixed]],
   Working_Sales[[#This Row],[Total_Amount_Converted_To_Integer]]/Working_Sales[[#This Row],[Quantity_Converted_To_Integer]]
)</f>
        <v>25</v>
      </c>
      <c r="AE978" t="s">
        <v>38</v>
      </c>
      <c r="AF978" s="2" t="str">
        <f>CLEAN(TRIM(Working_Sales[[#This Row],[Total Amount]]))</f>
        <v>100</v>
      </c>
      <c r="AG978" s="2">
        <f>INT(Working_Sales[[#This Row],[Total_Amount_Whitespace_Removed]])</f>
        <v>100</v>
      </c>
      <c r="AH97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979" spans="1:34" x14ac:dyDescent="0.35">
      <c r="A979" t="s">
        <v>1957</v>
      </c>
      <c r="B979" s="6" t="str">
        <f>CLEAN(TRIM(Working_Sales[[#This Row],[Transaction ID]]))</f>
        <v>392</v>
      </c>
      <c r="C979" t="s">
        <v>2087</v>
      </c>
      <c r="D979" s="2" t="str">
        <f>CLEAN(TRIM(Working_Sales[[#This Row],[Date]]))</f>
        <v>08-Dec-2023</v>
      </c>
      <c r="E97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45268</v>
      </c>
      <c r="F97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45268</v>
      </c>
      <c r="G97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45268</v>
      </c>
      <c r="H979" t="s">
        <v>2646</v>
      </c>
      <c r="I979" s="2" t="str">
        <f>CLEAN(TRIM(Working_Sales[[#This Row],[Customer ID]]))</f>
        <v>CUST296</v>
      </c>
      <c r="J97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CUST296</v>
      </c>
      <c r="K97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CUST296</v>
      </c>
      <c r="L979" t="s">
        <v>268</v>
      </c>
      <c r="M979" s="4" t="str">
        <f>CLEAN(TRIM(Working_Sales[[#This Row],[Gender]]))</f>
        <v>M</v>
      </c>
      <c r="N979" s="4" t="str" cm="1">
        <f t="array" ref="N979">_xlfn.SWITCH(
   Working_Sales[[#This Row],[Gender_Whitespace_Removed]],
   "m", "Male",
   "f", "Female",
   Working_Sales[[#This Row],[Gender_Whitespace_Removed]]
)</f>
        <v>Male</v>
      </c>
      <c r="O979" s="6" t="str">
        <f>PROPER(Working_Sales[[#This Row],[Gender_Abbreviation_Expanded]])</f>
        <v>Male</v>
      </c>
      <c r="P979">
        <v>27</v>
      </c>
      <c r="Q979" s="2" t="str">
        <f>CLEAN(TRIM(Working_Sales[[#This Row],[Age]]))</f>
        <v>27</v>
      </c>
      <c r="R979" s="6">
        <f>INT(SUBSTITUTE(Working_Sales[[#This Row],[Age_Whitespace_Removed]],".",","))</f>
        <v>27</v>
      </c>
      <c r="S979" t="s">
        <v>28</v>
      </c>
      <c r="T979" s="2" t="str">
        <f>CLEAN(TRIM(Working_Sales[[#This Row],[Product Category]]))</f>
        <v>clothing</v>
      </c>
      <c r="U979" s="6" t="str">
        <f>PROPER(Working_Sales[[#This Row],[Product_Category_Whitespace_Removed]])</f>
        <v>Clothing</v>
      </c>
      <c r="V979" t="s">
        <v>37</v>
      </c>
      <c r="W979" s="2" t="str">
        <f>CLEAN(TRIM(Working_Sales[[#This Row],[Quantity]]))</f>
        <v>2</v>
      </c>
      <c r="X979" s="2">
        <f>INT(Working_Sales[[#This Row],[`]])</f>
        <v>2</v>
      </c>
      <c r="Y979" s="6">
        <f>IFERROR(
   Working_Sales[[#This Row],[Quantity_Converted_To_Integer]],
   Working_Sales[[#This Row],[Total_Amount_Whitespace_Removed]]/Working_Sales[[#This Row],[Price_Per_Unit_Decimal_Separator_Fixed]])</f>
        <v>2</v>
      </c>
      <c r="Z979" t="s">
        <v>23</v>
      </c>
      <c r="AA979" s="2" t="str">
        <f>CLEAN(TRIM(Working_Sales[[#This Row],[Price per Unit]]))</f>
        <v>300</v>
      </c>
      <c r="AB979" s="2">
        <f>INT(
   SUBSTITUTE(Working_Sales[[#This Row],[Price_Per_Unit_Whitespace_Removed]],
   "$",
   ""
   )
)</f>
        <v>300</v>
      </c>
      <c r="AC979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979" s="8">
        <f>IFERROR(
   Working_Sales[[#This Row],[Price_Per_Unit_Decimal_Separator_Fixed]],
   Working_Sales[[#This Row],[Total_Amount_Converted_To_Integer]]/Working_Sales[[#This Row],[Quantity_Converted_To_Integer]]
)</f>
        <v>300</v>
      </c>
      <c r="AE979" t="s">
        <v>107</v>
      </c>
      <c r="AF979" s="2" t="str">
        <f>CLEAN(TRIM(Working_Sales[[#This Row],[Total Amount]]))</f>
        <v>600</v>
      </c>
      <c r="AG979" s="2">
        <f>INT(Working_Sales[[#This Row],[Total_Amount_Whitespace_Removed]])</f>
        <v>600</v>
      </c>
      <c r="AH97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600</v>
      </c>
    </row>
    <row r="980" spans="1:34" x14ac:dyDescent="0.35">
      <c r="A980" t="s">
        <v>1959</v>
      </c>
      <c r="B980" s="6" t="str">
        <f>CLEAN(TRIM(Working_Sales[[#This Row],[Transaction ID]]))</f>
        <v>896</v>
      </c>
      <c r="C980" t="s">
        <v>391</v>
      </c>
      <c r="D980" s="2" t="str">
        <f>CLEAN(TRIM(Working_Sales[[#This Row],[Date]]))</f>
        <v>2023-10-29</v>
      </c>
      <c r="E98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45228</v>
      </c>
      <c r="F98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45228</v>
      </c>
      <c r="G98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45228</v>
      </c>
      <c r="H980" t="s">
        <v>3116</v>
      </c>
      <c r="I980" s="2" t="str">
        <f>CLEAN(TRIM(Working_Sales[[#This Row],[Customer ID]]))</f>
        <v>CUST-496</v>
      </c>
      <c r="J98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8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CUST496</v>
      </c>
      <c r="L980" t="s">
        <v>26</v>
      </c>
      <c r="M980" s="4" t="str">
        <f>CLEAN(TRIM(Working_Sales[[#This Row],[Gender]]))</f>
        <v>Female</v>
      </c>
      <c r="N980" s="4" t="str" cm="1">
        <f t="array" ref="N980">_xlfn.SWITCH(
   Working_Sales[[#This Row],[Gender_Whitespace_Removed]],
   "m", "Male",
   "f", "Female",
   Working_Sales[[#This Row],[Gender_Whitespace_Removed]]
)</f>
        <v>Female</v>
      </c>
      <c r="O980" s="6" t="str">
        <f>PROPER(Working_Sales[[#This Row],[Gender_Abbreviation_Expanded]])</f>
        <v>Female</v>
      </c>
      <c r="P980">
        <v>30</v>
      </c>
      <c r="Q980" s="2" t="str">
        <f>CLEAN(TRIM(Working_Sales[[#This Row],[Age]]))</f>
        <v>30</v>
      </c>
      <c r="R980" s="6">
        <f>INT(SUBSTITUTE(Working_Sales[[#This Row],[Age_Whitespace_Removed]],".",","))</f>
        <v>30</v>
      </c>
      <c r="S980" t="s">
        <v>13</v>
      </c>
      <c r="T980" s="2" t="str">
        <f>CLEAN(TRIM(Working_Sales[[#This Row],[Product Category]]))</f>
        <v>Electronics</v>
      </c>
      <c r="U980" s="6" t="str">
        <f>PROPER(Working_Sales[[#This Row],[Product_Category_Whitespace_Removed]])</f>
        <v>Electronics</v>
      </c>
      <c r="V980" t="s">
        <v>37</v>
      </c>
      <c r="W980" s="2" t="str">
        <f>CLEAN(TRIM(Working_Sales[[#This Row],[Quantity]]))</f>
        <v>2</v>
      </c>
      <c r="X980" s="2">
        <f>INT(Working_Sales[[#This Row],[`]])</f>
        <v>2</v>
      </c>
      <c r="Y980" s="6">
        <f>IFERROR(
   Working_Sales[[#This Row],[Quantity_Converted_To_Integer]],
   Working_Sales[[#This Row],[Total_Amount_Whitespace_Removed]]/Working_Sales[[#This Row],[Price_Per_Unit_Decimal_Separator_Fixed]])</f>
        <v>2</v>
      </c>
      <c r="Z980" t="s">
        <v>30</v>
      </c>
      <c r="AA980" s="2" t="str">
        <f>CLEAN(TRIM(Working_Sales[[#This Row],[Price per Unit]]))</f>
        <v>25</v>
      </c>
      <c r="AB980" s="2">
        <f>INT(
   SUBSTITUTE(Working_Sales[[#This Row],[Price_Per_Unit_Whitespace_Removed]],
   "$",
   ""
   )
)</f>
        <v>25</v>
      </c>
      <c r="AC980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980" s="8">
        <f>IFERROR(
   Working_Sales[[#This Row],[Price_Per_Unit_Decimal_Separator_Fixed]],
   Working_Sales[[#This Row],[Total_Amount_Converted_To_Integer]]/Working_Sales[[#This Row],[Quantity_Converted_To_Integer]]
)</f>
        <v>25</v>
      </c>
      <c r="AE980" t="s">
        <v>15</v>
      </c>
      <c r="AF980" s="2" t="str">
        <f>CLEAN(TRIM(Working_Sales[[#This Row],[Total Amount]]))</f>
        <v>50</v>
      </c>
      <c r="AG980" s="2">
        <f>INT(Working_Sales[[#This Row],[Total_Amount_Whitespace_Removed]])</f>
        <v>50</v>
      </c>
      <c r="AH98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981" spans="1:34" x14ac:dyDescent="0.35">
      <c r="A981" t="s">
        <v>1960</v>
      </c>
      <c r="B981" s="6" t="str">
        <f>CLEAN(TRIM(Working_Sales[[#This Row],[Transaction ID]]))</f>
        <v>69</v>
      </c>
      <c r="C981" t="s">
        <v>1961</v>
      </c>
      <c r="D981" s="2" t="str">
        <f>CLEAN(TRIM(Working_Sales[[#This Row],[Date]]))</f>
        <v>2023-04-30</v>
      </c>
      <c r="E98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45046</v>
      </c>
      <c r="F98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45046</v>
      </c>
      <c r="G98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45046</v>
      </c>
      <c r="H981" t="s">
        <v>3117</v>
      </c>
      <c r="I981" s="2" t="str">
        <f>CLEAN(TRIM(Working_Sales[[#This Row],[Customer ID]]))</f>
        <v>Cust189</v>
      </c>
      <c r="J98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8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CUST189</v>
      </c>
      <c r="L981" t="s">
        <v>46</v>
      </c>
      <c r="M981" s="4" t="str">
        <f>CLEAN(TRIM(Working_Sales[[#This Row],[Gender]]))</f>
        <v>F</v>
      </c>
      <c r="N981" s="4" t="str" cm="1">
        <f t="array" ref="N981">_xlfn.SWITCH(
   Working_Sales[[#This Row],[Gender_Whitespace_Removed]],
   "m", "Male",
   "f", "Female",
   Working_Sales[[#This Row],[Gender_Whitespace_Removed]]
)</f>
        <v>Female</v>
      </c>
      <c r="O981" s="6" t="str">
        <f>PROPER(Working_Sales[[#This Row],[Gender_Abbreviation_Expanded]])</f>
        <v>Female</v>
      </c>
      <c r="P981">
        <v>56</v>
      </c>
      <c r="Q981" s="2" t="str">
        <f>CLEAN(TRIM(Working_Sales[[#This Row],[Age]]))</f>
        <v>56</v>
      </c>
      <c r="R981" s="6">
        <f>INT(SUBSTITUTE(Working_Sales[[#This Row],[Age_Whitespace_Removed]],".",","))</f>
        <v>56</v>
      </c>
      <c r="S981" t="s">
        <v>42</v>
      </c>
      <c r="T981" s="2" t="str">
        <f>CLEAN(TRIM(Working_Sales[[#This Row],[Product Category]]))</f>
        <v>Beauty</v>
      </c>
      <c r="U981" s="6" t="str">
        <f>PROPER(Working_Sales[[#This Row],[Product_Category_Whitespace_Removed]])</f>
        <v>Beauty</v>
      </c>
      <c r="V981" t="s">
        <v>29</v>
      </c>
      <c r="W981" s="2" t="str">
        <f>CLEAN(TRIM(Working_Sales[[#This Row],[Quantity]]))</f>
        <v>3</v>
      </c>
      <c r="X981" s="2">
        <f>INT(Working_Sales[[#This Row],[`]])</f>
        <v>3</v>
      </c>
      <c r="Y981" s="6">
        <f>IFERROR(
   Working_Sales[[#This Row],[Quantity_Converted_To_Integer]],
   Working_Sales[[#This Row],[Total_Amount_Whitespace_Removed]]/Working_Sales[[#This Row],[Price_Per_Unit_Decimal_Separator_Fixed]])</f>
        <v>3</v>
      </c>
      <c r="Z981" t="s">
        <v>171</v>
      </c>
      <c r="AA981" s="2" t="str">
        <f>CLEAN(TRIM(Working_Sales[[#This Row],[Price per Unit]]))</f>
        <v>25</v>
      </c>
      <c r="AB981" s="2">
        <f>INT(
   SUBSTITUTE(Working_Sales[[#This Row],[Price_Per_Unit_Whitespace_Removed]],
   "$",
   ""
   )
)</f>
        <v>25</v>
      </c>
      <c r="AC981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981" s="8">
        <f>IFERROR(
   Working_Sales[[#This Row],[Price_Per_Unit_Decimal_Separator_Fixed]],
   Working_Sales[[#This Row],[Total_Amount_Converted_To_Integer]]/Working_Sales[[#This Row],[Quantity_Converted_To_Integer]]
)</f>
        <v>25</v>
      </c>
      <c r="AE981" t="s">
        <v>31</v>
      </c>
      <c r="AF981" s="2" t="str">
        <f>CLEAN(TRIM(Working_Sales[[#This Row],[Total Amount]]))</f>
        <v>75</v>
      </c>
      <c r="AG981" s="2">
        <f>INT(Working_Sales[[#This Row],[Total_Amount_Whitespace_Removed]])</f>
        <v>75</v>
      </c>
      <c r="AH98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982" spans="1:34" x14ac:dyDescent="0.35">
      <c r="A982" t="s">
        <v>1963</v>
      </c>
      <c r="B982" s="6" t="str">
        <f>CLEAN(TRIM(Working_Sales[[#This Row],[Transaction ID]]))</f>
        <v>999</v>
      </c>
      <c r="C982" t="s">
        <v>111</v>
      </c>
      <c r="D982" s="2" t="str">
        <f>CLEAN(TRIM(Working_Sales[[#This Row],[Date]]))</f>
        <v>December 05, 2023</v>
      </c>
      <c r="E982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982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98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45265</v>
      </c>
      <c r="H982" t="s">
        <v>3118</v>
      </c>
      <c r="I982" s="2" t="str">
        <f>CLEAN(TRIM(Working_Sales[[#This Row],[Customer ID]]))</f>
        <v>CUST012</v>
      </c>
      <c r="J98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CUST012</v>
      </c>
      <c r="K98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CUST012</v>
      </c>
      <c r="L982" t="s">
        <v>26</v>
      </c>
      <c r="M982" s="4" t="str">
        <f>CLEAN(TRIM(Working_Sales[[#This Row],[Gender]]))</f>
        <v>Female</v>
      </c>
      <c r="N982" s="4" t="str" cm="1">
        <f t="array" ref="N982">_xlfn.SWITCH(
   Working_Sales[[#This Row],[Gender_Whitespace_Removed]],
   "m", "Male",
   "f", "Female",
   Working_Sales[[#This Row],[Gender_Whitespace_Removed]]
)</f>
        <v>Female</v>
      </c>
      <c r="O982" s="6" t="str">
        <f>PROPER(Working_Sales[[#This Row],[Gender_Abbreviation_Expanded]])</f>
        <v>Female</v>
      </c>
      <c r="P982">
        <v>36</v>
      </c>
      <c r="Q982" s="2" t="str">
        <f>CLEAN(TRIM(Working_Sales[[#This Row],[Age]]))</f>
        <v>36</v>
      </c>
      <c r="R982" s="6">
        <f>INT(SUBSTITUTE(Working_Sales[[#This Row],[Age_Whitespace_Removed]],".",","))</f>
        <v>36</v>
      </c>
      <c r="S982" t="s">
        <v>99</v>
      </c>
      <c r="T982" s="2" t="str">
        <f>CLEAN(TRIM(Working_Sales[[#This Row],[Product Category]]))</f>
        <v>ELECTRONICS</v>
      </c>
      <c r="U982" s="6" t="str">
        <f>PROPER(Working_Sales[[#This Row],[Product_Category_Whitespace_Removed]])</f>
        <v>Electronics</v>
      </c>
      <c r="V982" t="s">
        <v>29</v>
      </c>
      <c r="W982" s="2" t="str">
        <f>CLEAN(TRIM(Working_Sales[[#This Row],[Quantity]]))</f>
        <v>3</v>
      </c>
      <c r="X982" s="2">
        <f>INT(Working_Sales[[#This Row],[`]])</f>
        <v>3</v>
      </c>
      <c r="Y982" s="6">
        <f>IFERROR(
   Working_Sales[[#This Row],[Quantity_Converted_To_Integer]],
   Working_Sales[[#This Row],[Total_Amount_Whitespace_Removed]]/Working_Sales[[#This Row],[Price_Per_Unit_Decimal_Separator_Fixed]])</f>
        <v>3</v>
      </c>
      <c r="Z982" t="s">
        <v>15</v>
      </c>
      <c r="AA982" s="2" t="str">
        <f>CLEAN(TRIM(Working_Sales[[#This Row],[Price per Unit]]))</f>
        <v>50</v>
      </c>
      <c r="AB982" s="2">
        <f>INT(
   SUBSTITUTE(Working_Sales[[#This Row],[Price_Per_Unit_Whitespace_Removed]],
   "$",
   ""
   )
)</f>
        <v>50</v>
      </c>
      <c r="AC982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982" s="8">
        <f>IFERROR(
   Working_Sales[[#This Row],[Price_Per_Unit_Decimal_Separator_Fixed]],
   Working_Sales[[#This Row],[Total_Amount_Converted_To_Integer]]/Working_Sales[[#This Row],[Quantity_Converted_To_Integer]]
)</f>
        <v>50</v>
      </c>
      <c r="AE982" t="s">
        <v>130</v>
      </c>
      <c r="AF982" s="2" t="str">
        <f>CLEAN(TRIM(Working_Sales[[#This Row],[Total Amount]]))</f>
        <v>150</v>
      </c>
      <c r="AG982" s="2">
        <f>INT(Working_Sales[[#This Row],[Total_Amount_Whitespace_Removed]])</f>
        <v>150</v>
      </c>
      <c r="AH98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983" spans="1:34" x14ac:dyDescent="0.35">
      <c r="A983" t="s">
        <v>1964</v>
      </c>
      <c r="B983" s="6" t="str">
        <f>CLEAN(TRIM(Working_Sales[[#This Row],[Transaction ID]]))</f>
        <v>168</v>
      </c>
      <c r="C983" t="s">
        <v>327</v>
      </c>
      <c r="D983" s="2" t="str">
        <f>CLEAN(TRIM(Working_Sales[[#This Row],[Date]]))</f>
        <v>02/24/2023</v>
      </c>
      <c r="E983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98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44981</v>
      </c>
      <c r="G98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44981</v>
      </c>
      <c r="H983" t="s">
        <v>3119</v>
      </c>
      <c r="I983" s="2" t="str">
        <f>CLEAN(TRIM(Working_Sales[[#This Row],[Customer ID]]))</f>
        <v>CUST472</v>
      </c>
      <c r="J98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CUST472</v>
      </c>
      <c r="K98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CUST472</v>
      </c>
      <c r="L983" t="s">
        <v>34</v>
      </c>
      <c r="M983" s="4" t="str">
        <f>CLEAN(TRIM(Working_Sales[[#This Row],[Gender]]))</f>
        <v>Male</v>
      </c>
      <c r="N983" s="4" t="str" cm="1">
        <f t="array" ref="N983">_xlfn.SWITCH(
   Working_Sales[[#This Row],[Gender_Whitespace_Removed]],
   "m", "Male",
   "f", "Female",
   Working_Sales[[#This Row],[Gender_Whitespace_Removed]]
)</f>
        <v>Male</v>
      </c>
      <c r="O983" s="6" t="str">
        <f>PROPER(Working_Sales[[#This Row],[Gender_Abbreviation_Expanded]])</f>
        <v>Male</v>
      </c>
      <c r="P983">
        <v>53</v>
      </c>
      <c r="Q983" s="2" t="str">
        <f>CLEAN(TRIM(Working_Sales[[#This Row],[Age]]))</f>
        <v>53</v>
      </c>
      <c r="R983" s="6">
        <f>INT(SUBSTITUTE(Working_Sales[[#This Row],[Age_Whitespace_Removed]],".",","))</f>
        <v>53</v>
      </c>
      <c r="S983" t="s">
        <v>56</v>
      </c>
      <c r="T983" s="2" t="str">
        <f>CLEAN(TRIM(Working_Sales[[#This Row],[Product Category]]))</f>
        <v>Clothing</v>
      </c>
      <c r="U983" s="6" t="str">
        <f>PROPER(Working_Sales[[#This Row],[Product_Category_Whitespace_Removed]])</f>
        <v>Clothing</v>
      </c>
      <c r="V983" t="s">
        <v>22</v>
      </c>
      <c r="W983" s="2" t="str">
        <f>CLEAN(TRIM(Working_Sales[[#This Row],[Quantity]]))</f>
        <v>1</v>
      </c>
      <c r="X983" s="2">
        <f>INT(Working_Sales[[#This Row],[`]])</f>
        <v>1</v>
      </c>
      <c r="Y983" s="6">
        <f>IFERROR(
   Working_Sales[[#This Row],[Quantity_Converted_To_Integer]],
   Working_Sales[[#This Row],[Total_Amount_Whitespace_Removed]]/Working_Sales[[#This Row],[Price_Per_Unit_Decimal_Separator_Fixed]])</f>
        <v>1</v>
      </c>
      <c r="Z983" t="s">
        <v>23</v>
      </c>
      <c r="AA983" s="2" t="str">
        <f>CLEAN(TRIM(Working_Sales[[#This Row],[Price per Unit]]))</f>
        <v>300</v>
      </c>
      <c r="AB983" s="2">
        <f>INT(
   SUBSTITUTE(Working_Sales[[#This Row],[Price_Per_Unit_Whitespace_Removed]],
   "$",
   ""
   )
)</f>
        <v>300</v>
      </c>
      <c r="AC983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983" s="8">
        <f>IFERROR(
   Working_Sales[[#This Row],[Price_Per_Unit_Decimal_Separator_Fixed]],
   Working_Sales[[#This Row],[Total_Amount_Converted_To_Integer]]/Working_Sales[[#This Row],[Quantity_Converted_To_Integer]]
)</f>
        <v>300</v>
      </c>
      <c r="AE983" t="s">
        <v>23</v>
      </c>
      <c r="AF983" s="2" t="str">
        <f>CLEAN(TRIM(Working_Sales[[#This Row],[Total Amount]]))</f>
        <v>300</v>
      </c>
      <c r="AG983" s="2">
        <f>INT(Working_Sales[[#This Row],[Total_Amount_Whitespace_Removed]])</f>
        <v>300</v>
      </c>
      <c r="AH98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984" spans="1:34" x14ac:dyDescent="0.35">
      <c r="A984" t="s">
        <v>1966</v>
      </c>
      <c r="B984" s="6" t="str">
        <f>CLEAN(TRIM(Working_Sales[[#This Row],[Transaction ID]]))</f>
        <v>905</v>
      </c>
      <c r="C984" t="s">
        <v>1287</v>
      </c>
      <c r="D984" s="2" t="str">
        <f>CLEAN(TRIM(Working_Sales[[#This Row],[Date]]))</f>
        <v>2023-04-02</v>
      </c>
      <c r="E98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45018</v>
      </c>
      <c r="F98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45018</v>
      </c>
      <c r="G98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45018</v>
      </c>
      <c r="H984" t="s">
        <v>3120</v>
      </c>
      <c r="I984" s="2" t="str">
        <f>CLEAN(TRIM(Working_Sales[[#This Row],[Customer ID]]))</f>
        <v>CUST497</v>
      </c>
      <c r="J98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CUST497</v>
      </c>
      <c r="K98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CUST497</v>
      </c>
      <c r="L984" t="s">
        <v>34</v>
      </c>
      <c r="M984" s="4" t="str">
        <f>CLEAN(TRIM(Working_Sales[[#This Row],[Gender]]))</f>
        <v>Male</v>
      </c>
      <c r="N984" s="4" t="str" cm="1">
        <f t="array" ref="N984">_xlfn.SWITCH(
   Working_Sales[[#This Row],[Gender_Whitespace_Removed]],
   "m", "Male",
   "f", "Female",
   Working_Sales[[#This Row],[Gender_Whitespace_Removed]]
)</f>
        <v>Male</v>
      </c>
      <c r="O984" s="6" t="str">
        <f>PROPER(Working_Sales[[#This Row],[Gender_Abbreviation_Expanded]])</f>
        <v>Male</v>
      </c>
      <c r="P984" t="s">
        <v>1218</v>
      </c>
      <c r="Q984" s="2" t="str">
        <f>CLEAN(TRIM(Working_Sales[[#This Row],[Age]]))</f>
        <v>58.0</v>
      </c>
      <c r="R984" s="6">
        <f>INT(SUBSTITUTE(Working_Sales[[#This Row],[Age_Whitespace_Removed]],".",","))</f>
        <v>58</v>
      </c>
      <c r="S984" t="s">
        <v>42</v>
      </c>
      <c r="T984" s="2" t="str">
        <f>CLEAN(TRIM(Working_Sales[[#This Row],[Product Category]]))</f>
        <v>Beauty</v>
      </c>
      <c r="U984" s="6" t="str">
        <f>PROPER(Working_Sales[[#This Row],[Product_Category_Whitespace_Removed]])</f>
        <v>Beauty</v>
      </c>
      <c r="V984" t="s">
        <v>22</v>
      </c>
      <c r="W984" s="2" t="str">
        <f>CLEAN(TRIM(Working_Sales[[#This Row],[Quantity]]))</f>
        <v>1</v>
      </c>
      <c r="X984" s="2">
        <f>INT(Working_Sales[[#This Row],[`]])</f>
        <v>1</v>
      </c>
      <c r="Y984" s="6">
        <f>IFERROR(
   Working_Sales[[#This Row],[Quantity_Converted_To_Integer]],
   Working_Sales[[#This Row],[Total_Amount_Whitespace_Removed]]/Working_Sales[[#This Row],[Price_Per_Unit_Decimal_Separator_Fixed]])</f>
        <v>1</v>
      </c>
      <c r="Z984" t="s">
        <v>23</v>
      </c>
      <c r="AA984" s="2" t="str">
        <f>CLEAN(TRIM(Working_Sales[[#This Row],[Price per Unit]]))</f>
        <v>300</v>
      </c>
      <c r="AB984" s="2">
        <f>INT(
   SUBSTITUTE(Working_Sales[[#This Row],[Price_Per_Unit_Whitespace_Removed]],
   "$",
   ""
   )
)</f>
        <v>300</v>
      </c>
      <c r="AC984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984" s="8">
        <f>IFERROR(
   Working_Sales[[#This Row],[Price_Per_Unit_Decimal_Separator_Fixed]],
   Working_Sales[[#This Row],[Total_Amount_Converted_To_Integer]]/Working_Sales[[#This Row],[Quantity_Converted_To_Integer]]
)</f>
        <v>300</v>
      </c>
      <c r="AE984" t="s">
        <v>23</v>
      </c>
      <c r="AF984" s="2" t="str">
        <f>CLEAN(TRIM(Working_Sales[[#This Row],[Total Amount]]))</f>
        <v>300</v>
      </c>
      <c r="AG984" s="2">
        <f>INT(Working_Sales[[#This Row],[Total_Amount_Whitespace_Removed]])</f>
        <v>300</v>
      </c>
      <c r="AH98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985" spans="1:34" x14ac:dyDescent="0.35">
      <c r="A985" t="s">
        <v>1967</v>
      </c>
      <c r="B985" s="6" t="str">
        <f>CLEAN(TRIM(Working_Sales[[#This Row],[Transaction ID]]))</f>
        <v>731</v>
      </c>
      <c r="C985" t="s">
        <v>2176</v>
      </c>
      <c r="D985" s="2" t="str">
        <f>CLEAN(TRIM(Working_Sales[[#This Row],[Date]]))</f>
        <v>10-May-2023</v>
      </c>
      <c r="E985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45056</v>
      </c>
      <c r="F98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45056</v>
      </c>
      <c r="G98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45056</v>
      </c>
      <c r="H985" t="s">
        <v>3121</v>
      </c>
      <c r="I985" s="2" t="str">
        <f>CLEAN(TRIM(Working_Sales[[#This Row],[Customer ID]]))</f>
        <v>CUST342</v>
      </c>
      <c r="J98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CUST342</v>
      </c>
      <c r="K98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CUST342</v>
      </c>
      <c r="L985" t="s">
        <v>34</v>
      </c>
      <c r="M985" s="4" t="str">
        <f>CLEAN(TRIM(Working_Sales[[#This Row],[Gender]]))</f>
        <v>Male</v>
      </c>
      <c r="N985" s="4" t="str" cm="1">
        <f t="array" ref="N985">_xlfn.SWITCH(
   Working_Sales[[#This Row],[Gender_Whitespace_Removed]],
   "m", "Male",
   "f", "Female",
   Working_Sales[[#This Row],[Gender_Whitespace_Removed]]
)</f>
        <v>Male</v>
      </c>
      <c r="O985" s="6" t="str">
        <f>PROPER(Working_Sales[[#This Row],[Gender_Abbreviation_Expanded]])</f>
        <v>Male</v>
      </c>
      <c r="P985">
        <v>54</v>
      </c>
      <c r="Q985" s="2" t="str">
        <f>CLEAN(TRIM(Working_Sales[[#This Row],[Age]]))</f>
        <v>54</v>
      </c>
      <c r="R985" s="6">
        <f>INT(SUBSTITUTE(Working_Sales[[#This Row],[Age_Whitespace_Removed]],".",","))</f>
        <v>54</v>
      </c>
      <c r="S985" t="s">
        <v>56</v>
      </c>
      <c r="T985" s="2" t="str">
        <f>CLEAN(TRIM(Working_Sales[[#This Row],[Product Category]]))</f>
        <v>Clothing</v>
      </c>
      <c r="U985" s="6" t="str">
        <f>PROPER(Working_Sales[[#This Row],[Product_Category_Whitespace_Removed]])</f>
        <v>Clothing</v>
      </c>
      <c r="V985" t="s">
        <v>14</v>
      </c>
      <c r="W985" s="2" t="str">
        <f>CLEAN(TRIM(Working_Sales[[#This Row],[Quantity]]))</f>
        <v>4</v>
      </c>
      <c r="X985" s="2">
        <f>INT(Working_Sales[[#This Row],[`]])</f>
        <v>4</v>
      </c>
      <c r="Y985" s="6">
        <f>IFERROR(
   Working_Sales[[#This Row],[Quantity_Converted_To_Integer]],
   Working_Sales[[#This Row],[Total_Amount_Whitespace_Removed]]/Working_Sales[[#This Row],[Price_Per_Unit_Decimal_Separator_Fixed]])</f>
        <v>4</v>
      </c>
      <c r="Z985" t="s">
        <v>57</v>
      </c>
      <c r="AA985" s="2" t="str">
        <f>CLEAN(TRIM(Working_Sales[[#This Row],[Price per Unit]]))</f>
        <v>500</v>
      </c>
      <c r="AB985" s="2">
        <f>INT(
   SUBSTITUTE(Working_Sales[[#This Row],[Price_Per_Unit_Whitespace_Removed]],
   "$",
   ""
   )
)</f>
        <v>500</v>
      </c>
      <c r="AC985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985" s="8">
        <f>IFERROR(
   Working_Sales[[#This Row],[Price_Per_Unit_Decimal_Separator_Fixed]],
   Working_Sales[[#This Row],[Total_Amount_Converted_To_Integer]]/Working_Sales[[#This Row],[Quantity_Converted_To_Integer]]
)</f>
        <v>500</v>
      </c>
      <c r="AE985" t="s">
        <v>232</v>
      </c>
      <c r="AF985" s="2" t="str">
        <f>CLEAN(TRIM(Working_Sales[[#This Row],[Total Amount]]))</f>
        <v>2000</v>
      </c>
      <c r="AG985" s="2">
        <f>INT(Working_Sales[[#This Row],[Total_Amount_Whitespace_Removed]])</f>
        <v>2000</v>
      </c>
      <c r="AH98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986" spans="1:34" x14ac:dyDescent="0.35">
      <c r="A986" t="s">
        <v>1968</v>
      </c>
      <c r="B986" s="6" t="str">
        <f>CLEAN(TRIM(Working_Sales[[#This Row],[Transaction ID]]))</f>
        <v>555</v>
      </c>
      <c r="C986" t="s">
        <v>2177</v>
      </c>
      <c r="D986" s="2" t="str">
        <f>CLEAN(TRIM(Working_Sales[[#This Row],[Date]]))</f>
        <v>10/19/2023</v>
      </c>
      <c r="E986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986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45218</v>
      </c>
      <c r="G98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45218</v>
      </c>
      <c r="H986" t="s">
        <v>1504</v>
      </c>
      <c r="I986" s="2" t="str">
        <f>CLEAN(TRIM(Working_Sales[[#This Row],[Customer ID]]))</f>
        <v>CUST370</v>
      </c>
      <c r="J98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CUST370</v>
      </c>
      <c r="K98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CUST370</v>
      </c>
      <c r="L986" t="s">
        <v>34</v>
      </c>
      <c r="M986" s="4" t="str">
        <f>CLEAN(TRIM(Working_Sales[[#This Row],[Gender]]))</f>
        <v>Male</v>
      </c>
      <c r="N986" s="4" t="str" cm="1">
        <f t="array" ref="N986">_xlfn.SWITCH(
   Working_Sales[[#This Row],[Gender_Whitespace_Removed]],
   "m", "Male",
   "f", "Female",
   Working_Sales[[#This Row],[Gender_Whitespace_Removed]]
)</f>
        <v>Male</v>
      </c>
      <c r="O986" s="6" t="str">
        <f>PROPER(Working_Sales[[#This Row],[Gender_Abbreviation_Expanded]])</f>
        <v>Male</v>
      </c>
      <c r="P986" t="s">
        <v>1969</v>
      </c>
      <c r="Q986" s="2" t="str">
        <f>CLEAN(TRIM(Working_Sales[[#This Row],[Age]]))</f>
        <v>25.0</v>
      </c>
      <c r="R986" s="6">
        <f>INT(SUBSTITUTE(Working_Sales[[#This Row],[Age_Whitespace_Removed]],".",","))</f>
        <v>25</v>
      </c>
      <c r="S986" t="s">
        <v>62</v>
      </c>
      <c r="T986" s="2" t="str">
        <f>CLEAN(TRIM(Working_Sales[[#This Row],[Product Category]]))</f>
        <v>beauty</v>
      </c>
      <c r="U986" s="6" t="str">
        <f>PROPER(Working_Sales[[#This Row],[Product_Category_Whitespace_Removed]])</f>
        <v>Beauty</v>
      </c>
      <c r="V986" t="s">
        <v>22</v>
      </c>
      <c r="W986" s="2" t="str">
        <f>CLEAN(TRIM(Working_Sales[[#This Row],[Quantity]]))</f>
        <v>1</v>
      </c>
      <c r="X986" s="2">
        <f>INT(Working_Sales[[#This Row],[`]])</f>
        <v>1</v>
      </c>
      <c r="Y986" s="6">
        <f>IFERROR(
   Working_Sales[[#This Row],[Quantity_Converted_To_Integer]],
   Working_Sales[[#This Row],[Total_Amount_Whitespace_Removed]]/Working_Sales[[#This Row],[Price_Per_Unit_Decimal_Separator_Fixed]])</f>
        <v>1</v>
      </c>
      <c r="Z986" t="s">
        <v>23</v>
      </c>
      <c r="AA986" s="2" t="str">
        <f>CLEAN(TRIM(Working_Sales[[#This Row],[Price per Unit]]))</f>
        <v>300</v>
      </c>
      <c r="AB986" s="2">
        <f>INT(
   SUBSTITUTE(Working_Sales[[#This Row],[Price_Per_Unit_Whitespace_Removed]],
   "$",
   ""
   )
)</f>
        <v>300</v>
      </c>
      <c r="AC986" s="2">
        <f>INT(
   IFERROR(
      Working_Sales[[#This Row],[Price_Per_Unit_Dollar_Sign_Removed]],
      SUBSTITUTE(
         Working_Sales[[#This Row],[Price_Per_Unit_Whitespace_Removed]],
        ".",
         ","
      )
   )
)</f>
        <v>300</v>
      </c>
      <c r="AD986" s="8">
        <f>IFERROR(
   Working_Sales[[#This Row],[Price_Per_Unit_Decimal_Separator_Fixed]],
   Working_Sales[[#This Row],[Total_Amount_Converted_To_Integer]]/Working_Sales[[#This Row],[Quantity_Converted_To_Integer]]
)</f>
        <v>300</v>
      </c>
      <c r="AE986" t="s">
        <v>23</v>
      </c>
      <c r="AF986" s="2" t="str">
        <f>CLEAN(TRIM(Working_Sales[[#This Row],[Total Amount]]))</f>
        <v>300</v>
      </c>
      <c r="AG986" s="2">
        <f>INT(Working_Sales[[#This Row],[Total_Amount_Whitespace_Removed]])</f>
        <v>300</v>
      </c>
      <c r="AH98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300</v>
      </c>
    </row>
    <row r="987" spans="1:34" x14ac:dyDescent="0.35">
      <c r="A987" t="s">
        <v>1970</v>
      </c>
      <c r="B987" s="6" t="str">
        <f>CLEAN(TRIM(Working_Sales[[#This Row],[Transaction ID]]))</f>
        <v>367</v>
      </c>
      <c r="C987" t="s">
        <v>1971</v>
      </c>
      <c r="D987" s="2" t="str">
        <f>CLEAN(TRIM(Working_Sales[[#This Row],[Date]]))</f>
        <v>2023-01-05</v>
      </c>
      <c r="E98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44931</v>
      </c>
      <c r="F98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44931</v>
      </c>
      <c r="G98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44931</v>
      </c>
      <c r="H987" t="s">
        <v>3122</v>
      </c>
      <c r="I987" s="2" t="str">
        <f>CLEAN(TRIM(Working_Sales[[#This Row],[Customer ID]]))</f>
        <v>cust032</v>
      </c>
      <c r="J98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8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CUST032</v>
      </c>
      <c r="L987" t="s">
        <v>26</v>
      </c>
      <c r="M987" s="4" t="str">
        <f>CLEAN(TRIM(Working_Sales[[#This Row],[Gender]]))</f>
        <v>Female</v>
      </c>
      <c r="N987" s="4" t="str" cm="1">
        <f t="array" ref="N987">_xlfn.SWITCH(
   Working_Sales[[#This Row],[Gender_Whitespace_Removed]],
   "m", "Male",
   "f", "Female",
   Working_Sales[[#This Row],[Gender_Whitespace_Removed]]
)</f>
        <v>Female</v>
      </c>
      <c r="O987" s="6" t="str">
        <f>PROPER(Working_Sales[[#This Row],[Gender_Abbreviation_Expanded]])</f>
        <v>Female</v>
      </c>
      <c r="P987" t="s">
        <v>1972</v>
      </c>
      <c r="Q987" s="2" t="str">
        <f>CLEAN(TRIM(Working_Sales[[#This Row],[Age]]))</f>
        <v>57.0</v>
      </c>
      <c r="R987" s="6">
        <f>INT(SUBSTITUTE(Working_Sales[[#This Row],[Age_Whitespace_Removed]],".",","))</f>
        <v>57</v>
      </c>
      <c r="S987" t="s">
        <v>13</v>
      </c>
      <c r="T987" s="2" t="str">
        <f>CLEAN(TRIM(Working_Sales[[#This Row],[Product Category]]))</f>
        <v>Electronics</v>
      </c>
      <c r="U987" s="6" t="str">
        <f>PROPER(Working_Sales[[#This Row],[Product_Category_Whitespace_Removed]])</f>
        <v>Electronics</v>
      </c>
      <c r="V987" t="s">
        <v>22</v>
      </c>
      <c r="W987" s="2" t="str">
        <f>CLEAN(TRIM(Working_Sales[[#This Row],[Quantity]]))</f>
        <v>1</v>
      </c>
      <c r="X987" s="2">
        <f>INT(Working_Sales[[#This Row],[`]])</f>
        <v>1</v>
      </c>
      <c r="Y987" s="6">
        <f>IFERROR(
   Working_Sales[[#This Row],[Quantity_Converted_To_Integer]],
   Working_Sales[[#This Row],[Total_Amount_Whitespace_Removed]]/Working_Sales[[#This Row],[Price_Per_Unit_Decimal_Separator_Fixed]])</f>
        <v>1</v>
      </c>
      <c r="Z987" t="s">
        <v>75</v>
      </c>
      <c r="AA987" s="2" t="str">
        <f>CLEAN(TRIM(Working_Sales[[#This Row],[Price per Unit]]))</f>
        <v>50</v>
      </c>
      <c r="AB987" s="2">
        <f>INT(
   SUBSTITUTE(Working_Sales[[#This Row],[Price_Per_Unit_Whitespace_Removed]],
   "$",
   ""
   )
)</f>
        <v>50</v>
      </c>
      <c r="AC987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987" s="8">
        <f>IFERROR(
   Working_Sales[[#This Row],[Price_Per_Unit_Decimal_Separator_Fixed]],
   Working_Sales[[#This Row],[Total_Amount_Converted_To_Integer]]/Working_Sales[[#This Row],[Quantity_Converted_To_Integer]]
)</f>
        <v>50</v>
      </c>
      <c r="AE987" t="s">
        <v>15</v>
      </c>
      <c r="AF987" s="2" t="str">
        <f>CLEAN(TRIM(Working_Sales[[#This Row],[Total Amount]]))</f>
        <v>50</v>
      </c>
      <c r="AG987" s="2">
        <f>INT(Working_Sales[[#This Row],[Total_Amount_Whitespace_Removed]])</f>
        <v>50</v>
      </c>
      <c r="AH98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988" spans="1:34" x14ac:dyDescent="0.35">
      <c r="A988" t="s">
        <v>1973</v>
      </c>
      <c r="B988" s="6" t="str">
        <f>CLEAN(TRIM(Working_Sales[[#This Row],[Transaction ID]]))</f>
        <v>346</v>
      </c>
      <c r="C988" t="s">
        <v>2011</v>
      </c>
      <c r="D988" s="2" t="str">
        <f>CLEAN(TRIM(Working_Sales[[#This Row],[Date]]))</f>
        <v>February 11, 2023</v>
      </c>
      <c r="E988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988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98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44968</v>
      </c>
      <c r="H988" t="s">
        <v>3123</v>
      </c>
      <c r="I988" s="2" t="str">
        <f>CLEAN(TRIM(Working_Sales[[#This Row],[Customer ID]]))</f>
        <v>cust498</v>
      </c>
      <c r="J98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8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CUST498</v>
      </c>
      <c r="L988" t="s">
        <v>11</v>
      </c>
      <c r="M988" s="4" t="str">
        <f>CLEAN(TRIM(Working_Sales[[#This Row],[Gender]]))</f>
        <v>MALE</v>
      </c>
      <c r="N988" s="4" t="str" cm="1">
        <f t="array" ref="N988">_xlfn.SWITCH(
   Working_Sales[[#This Row],[Gender_Whitespace_Removed]],
   "m", "Male",
   "f", "Female",
   Working_Sales[[#This Row],[Gender_Whitespace_Removed]]
)</f>
        <v>MALE</v>
      </c>
      <c r="O988" s="6" t="str">
        <f>PROPER(Working_Sales[[#This Row],[Gender_Abbreviation_Expanded]])</f>
        <v>Male</v>
      </c>
      <c r="P988">
        <v>59</v>
      </c>
      <c r="Q988" s="2" t="str">
        <f>CLEAN(TRIM(Working_Sales[[#This Row],[Age]]))</f>
        <v>59</v>
      </c>
      <c r="R988" s="6">
        <f>INT(SUBSTITUTE(Working_Sales[[#This Row],[Age_Whitespace_Removed]],".",","))</f>
        <v>59</v>
      </c>
      <c r="S988" t="s">
        <v>56</v>
      </c>
      <c r="T988" s="2" t="str">
        <f>CLEAN(TRIM(Working_Sales[[#This Row],[Product Category]]))</f>
        <v>Clothing</v>
      </c>
      <c r="U988" s="6" t="str">
        <f>PROPER(Working_Sales[[#This Row],[Product_Category_Whitespace_Removed]])</f>
        <v>Clothing</v>
      </c>
      <c r="V988" t="s">
        <v>37</v>
      </c>
      <c r="W988" s="2" t="str">
        <f>CLEAN(TRIM(Working_Sales[[#This Row],[Quantity]]))</f>
        <v>2</v>
      </c>
      <c r="X988" s="2">
        <f>INT(Working_Sales[[#This Row],[`]])</f>
        <v>2</v>
      </c>
      <c r="Y988" s="6">
        <f>IFERROR(
   Working_Sales[[#This Row],[Quantity_Converted_To_Integer]],
   Working_Sales[[#This Row],[Total_Amount_Whitespace_Removed]]/Working_Sales[[#This Row],[Price_Per_Unit_Decimal_Separator_Fixed]])</f>
        <v>2</v>
      </c>
      <c r="Z988" t="s">
        <v>282</v>
      </c>
      <c r="AA988" s="2" t="str">
        <f>CLEAN(TRIM(Working_Sales[[#This Row],[Price per Unit]]))</f>
        <v>500</v>
      </c>
      <c r="AB988" s="2">
        <f>INT(
   SUBSTITUTE(Working_Sales[[#This Row],[Price_Per_Unit_Whitespace_Removed]],
   "$",
   ""
   )
)</f>
        <v>500</v>
      </c>
      <c r="AC988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988" s="8">
        <f>IFERROR(
   Working_Sales[[#This Row],[Price_Per_Unit_Decimal_Separator_Fixed]],
   Working_Sales[[#This Row],[Total_Amount_Converted_To_Integer]]/Working_Sales[[#This Row],[Quantity_Converted_To_Integer]]
)</f>
        <v>500</v>
      </c>
      <c r="AE988" t="s">
        <v>163</v>
      </c>
      <c r="AF988" s="2" t="str">
        <f>CLEAN(TRIM(Working_Sales[[#This Row],[Total Amount]]))</f>
        <v>1000</v>
      </c>
      <c r="AG988" s="2">
        <f>INT(Working_Sales[[#This Row],[Total_Amount_Whitespace_Removed]])</f>
        <v>1000</v>
      </c>
      <c r="AH98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1000</v>
      </c>
    </row>
    <row r="989" spans="1:34" x14ac:dyDescent="0.35">
      <c r="A989" t="s">
        <v>1975</v>
      </c>
      <c r="B989" s="6" t="str">
        <f>CLEAN(TRIM(Working_Sales[[#This Row],[Transaction ID]]))</f>
        <v>585</v>
      </c>
      <c r="C989" t="s">
        <v>2178</v>
      </c>
      <c r="D989" s="2" t="str">
        <f>CLEAN(TRIM(Working_Sales[[#This Row],[Date]]))</f>
        <v>May 01, 2023</v>
      </c>
      <c r="E989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989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98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45047</v>
      </c>
      <c r="H989" t="s">
        <v>1238</v>
      </c>
      <c r="I989" s="2" t="str">
        <f>CLEAN(TRIM(Working_Sales[[#This Row],[Customer ID]]))</f>
        <v>CUST402</v>
      </c>
      <c r="J98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CUST402</v>
      </c>
      <c r="K98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CUST402</v>
      </c>
      <c r="L989" t="s">
        <v>46</v>
      </c>
      <c r="M989" s="4" t="str">
        <f>CLEAN(TRIM(Working_Sales[[#This Row],[Gender]]))</f>
        <v>F</v>
      </c>
      <c r="N989" s="4" t="str" cm="1">
        <f t="array" ref="N989">_xlfn.SWITCH(
   Working_Sales[[#This Row],[Gender_Whitespace_Removed]],
   "m", "Male",
   "f", "Female",
   Working_Sales[[#This Row],[Gender_Whitespace_Removed]]
)</f>
        <v>Female</v>
      </c>
      <c r="O989" s="6" t="str">
        <f>PROPER(Working_Sales[[#This Row],[Gender_Abbreviation_Expanded]])</f>
        <v>Female</v>
      </c>
      <c r="P989">
        <v>24</v>
      </c>
      <c r="Q989" s="2" t="str">
        <f>CLEAN(TRIM(Working_Sales[[#This Row],[Age]]))</f>
        <v>24</v>
      </c>
      <c r="R989" s="6">
        <f>INT(SUBSTITUTE(Working_Sales[[#This Row],[Age_Whitespace_Removed]],".",","))</f>
        <v>24</v>
      </c>
      <c r="S989" t="s">
        <v>56</v>
      </c>
      <c r="T989" s="2" t="str">
        <f>CLEAN(TRIM(Working_Sales[[#This Row],[Product Category]]))</f>
        <v>Clothing</v>
      </c>
      <c r="U989" s="6" t="str">
        <f>PROPER(Working_Sales[[#This Row],[Product_Category_Whitespace_Removed]])</f>
        <v>Clothing</v>
      </c>
      <c r="V989" t="s">
        <v>22</v>
      </c>
      <c r="W989" s="2" t="str">
        <f>CLEAN(TRIM(Working_Sales[[#This Row],[Quantity]]))</f>
        <v>1</v>
      </c>
      <c r="X989" s="2">
        <f>INT(Working_Sales[[#This Row],[`]])</f>
        <v>1</v>
      </c>
      <c r="Y989" s="6">
        <f>IFERROR(
   Working_Sales[[#This Row],[Quantity_Converted_To_Integer]],
   Working_Sales[[#This Row],[Total_Amount_Whitespace_Removed]]/Working_Sales[[#This Row],[Price_Per_Unit_Decimal_Separator_Fixed]])</f>
        <v>1</v>
      </c>
      <c r="AA989" s="2" t="str">
        <f>CLEAN(TRIM(Working_Sales[[#This Row],[Price per Unit]]))</f>
        <v/>
      </c>
      <c r="AB989" s="2" t="e">
        <f>INT(
   SUBSTITUTE(Working_Sales[[#This Row],[Price_Per_Unit_Whitespace_Removed]],
   "$",
   ""
   )
)</f>
        <v>#VALUE!</v>
      </c>
      <c r="AC989" s="2" t="e">
        <f>INT(
   IFERROR(
      Working_Sales[[#This Row],[Price_Per_Unit_Dollar_Sign_Removed]],
      SUBSTITUTE(
         Working_Sales[[#This Row],[Price_Per_Unit_Whitespace_Removed]],
        ".",
         ","
      )
   )
)</f>
        <v>#VALUE!</v>
      </c>
      <c r="AD989" s="8">
        <f>IFERROR(
   Working_Sales[[#This Row],[Price_Per_Unit_Decimal_Separator_Fixed]],
   Working_Sales[[#This Row],[Total_Amount_Converted_To_Integer]]/Working_Sales[[#This Row],[Quantity_Converted_To_Integer]]
)</f>
        <v>25</v>
      </c>
      <c r="AE989" t="s">
        <v>30</v>
      </c>
      <c r="AF989" s="2" t="str">
        <f>CLEAN(TRIM(Working_Sales[[#This Row],[Total Amount]]))</f>
        <v>25</v>
      </c>
      <c r="AG989" s="2">
        <f>INT(Working_Sales[[#This Row],[Total_Amount_Whitespace_Removed]])</f>
        <v>25</v>
      </c>
      <c r="AH98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25</v>
      </c>
    </row>
    <row r="990" spans="1:34" x14ac:dyDescent="0.35">
      <c r="A990" t="s">
        <v>1976</v>
      </c>
      <c r="B990" s="6" t="str">
        <f>CLEAN(TRIM(Working_Sales[[#This Row],[Transaction ID]]))</f>
        <v>536</v>
      </c>
      <c r="C990" t="s">
        <v>2179</v>
      </c>
      <c r="D990" s="2" t="str">
        <f>CLEAN(TRIM(Working_Sales[[#This Row],[Date]]))</f>
        <v>March 05, 2023</v>
      </c>
      <c r="E990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990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99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44990</v>
      </c>
      <c r="H990" t="s">
        <v>3124</v>
      </c>
      <c r="I990" s="2" t="str">
        <f>CLEAN(TRIM(Working_Sales[[#This Row],[Customer ID]]))</f>
        <v>cust299</v>
      </c>
      <c r="J99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9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CUST299</v>
      </c>
      <c r="L990" t="s">
        <v>26</v>
      </c>
      <c r="M990" s="4" t="str">
        <f>CLEAN(TRIM(Working_Sales[[#This Row],[Gender]]))</f>
        <v>Female</v>
      </c>
      <c r="N990" s="4" t="str" cm="1">
        <f t="array" ref="N990">_xlfn.SWITCH(
   Working_Sales[[#This Row],[Gender_Whitespace_Removed]],
   "m", "Male",
   "f", "Female",
   Working_Sales[[#This Row],[Gender_Whitespace_Removed]]
)</f>
        <v>Female</v>
      </c>
      <c r="O990" s="6" t="str">
        <f>PROPER(Working_Sales[[#This Row],[Gender_Abbreviation_Expanded]])</f>
        <v>Female</v>
      </c>
      <c r="P990">
        <v>55</v>
      </c>
      <c r="Q990" s="2" t="str">
        <f>CLEAN(TRIM(Working_Sales[[#This Row],[Age]]))</f>
        <v>55</v>
      </c>
      <c r="R990" s="6">
        <f>INT(SUBSTITUTE(Working_Sales[[#This Row],[Age_Whitespace_Removed]],".",","))</f>
        <v>55</v>
      </c>
      <c r="S990" t="s">
        <v>36</v>
      </c>
      <c r="T990" s="2" t="str">
        <f>CLEAN(TRIM(Working_Sales[[#This Row],[Product Category]]))</f>
        <v>Beauty</v>
      </c>
      <c r="U990" s="6" t="str">
        <f>PROPER(Working_Sales[[#This Row],[Product_Category_Whitespace_Removed]])</f>
        <v>Beauty</v>
      </c>
      <c r="V990" t="s">
        <v>14</v>
      </c>
      <c r="W990" s="2" t="str">
        <f>CLEAN(TRIM(Working_Sales[[#This Row],[Quantity]]))</f>
        <v>4</v>
      </c>
      <c r="X990" s="2">
        <f>INT(Working_Sales[[#This Row],[`]])</f>
        <v>4</v>
      </c>
      <c r="Y990" s="6">
        <f>IFERROR(
   Working_Sales[[#This Row],[Quantity_Converted_To_Integer]],
   Working_Sales[[#This Row],[Total_Amount_Whitespace_Removed]]/Working_Sales[[#This Row],[Price_Per_Unit_Decimal_Separator_Fixed]])</f>
        <v>4</v>
      </c>
      <c r="Z990" t="s">
        <v>70</v>
      </c>
      <c r="AA990" s="2" t="str">
        <f>CLEAN(TRIM(Working_Sales[[#This Row],[Price per Unit]]))</f>
        <v>30</v>
      </c>
      <c r="AB990" s="2">
        <f>INT(
   SUBSTITUTE(Working_Sales[[#This Row],[Price_Per_Unit_Whitespace_Removed]],
   "$",
   ""
   )
)</f>
        <v>30</v>
      </c>
      <c r="AC990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990" s="8">
        <f>IFERROR(
   Working_Sales[[#This Row],[Price_Per_Unit_Decimal_Separator_Fixed]],
   Working_Sales[[#This Row],[Total_Amount_Converted_To_Integer]]/Working_Sales[[#This Row],[Quantity_Converted_To_Integer]]
)</f>
        <v>30</v>
      </c>
      <c r="AE990" t="s">
        <v>44</v>
      </c>
      <c r="AF990" s="2" t="str">
        <f>CLEAN(TRIM(Working_Sales[[#This Row],[Total Amount]]))</f>
        <v>120</v>
      </c>
      <c r="AG990" s="2">
        <f>INT(Working_Sales[[#This Row],[Total_Amount_Whitespace_Removed]])</f>
        <v>120</v>
      </c>
      <c r="AH99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120</v>
      </c>
    </row>
    <row r="991" spans="1:34" x14ac:dyDescent="0.35">
      <c r="A991" t="s">
        <v>1977</v>
      </c>
      <c r="B991" s="6" t="str">
        <f>CLEAN(TRIM(Working_Sales[[#This Row],[Transaction ID]]))</f>
        <v>399</v>
      </c>
      <c r="C991" t="s">
        <v>2180</v>
      </c>
      <c r="D991" s="2" t="str">
        <f>CLEAN(TRIM(Working_Sales[[#This Row],[Date]]))</f>
        <v>01-Mar-2023</v>
      </c>
      <c r="E99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44986</v>
      </c>
      <c r="F99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44986</v>
      </c>
      <c r="G99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44986</v>
      </c>
      <c r="H991" t="s">
        <v>902</v>
      </c>
      <c r="I991" s="2" t="str">
        <f>CLEAN(TRIM(Working_Sales[[#This Row],[Customer ID]]))</f>
        <v>CUST499</v>
      </c>
      <c r="J99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CUST499</v>
      </c>
      <c r="K99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CUST499</v>
      </c>
      <c r="L991" t="s">
        <v>26</v>
      </c>
      <c r="M991" s="4" t="str">
        <f>CLEAN(TRIM(Working_Sales[[#This Row],[Gender]]))</f>
        <v>Female</v>
      </c>
      <c r="N991" s="4" t="str" cm="1">
        <f t="array" ref="N991">_xlfn.SWITCH(
   Working_Sales[[#This Row],[Gender_Whitespace_Removed]],
   "m", "Male",
   "f", "Female",
   Working_Sales[[#This Row],[Gender_Whitespace_Removed]]
)</f>
        <v>Female</v>
      </c>
      <c r="O991" s="6" t="str">
        <f>PROPER(Working_Sales[[#This Row],[Gender_Abbreviation_Expanded]])</f>
        <v>Female</v>
      </c>
      <c r="P991">
        <v>64</v>
      </c>
      <c r="Q991" s="2" t="str">
        <f>CLEAN(TRIM(Working_Sales[[#This Row],[Age]]))</f>
        <v>64</v>
      </c>
      <c r="R991" s="6">
        <f>INT(SUBSTITUTE(Working_Sales[[#This Row],[Age_Whitespace_Removed]],".",","))</f>
        <v>64</v>
      </c>
      <c r="S991" t="s">
        <v>36</v>
      </c>
      <c r="T991" s="2" t="str">
        <f>CLEAN(TRIM(Working_Sales[[#This Row],[Product Category]]))</f>
        <v>Beauty</v>
      </c>
      <c r="U991" s="6" t="str">
        <f>PROPER(Working_Sales[[#This Row],[Product_Category_Whitespace_Removed]])</f>
        <v>Beauty</v>
      </c>
      <c r="V991" t="s">
        <v>37</v>
      </c>
      <c r="W991" s="2" t="str">
        <f>CLEAN(TRIM(Working_Sales[[#This Row],[Quantity]]))</f>
        <v>2</v>
      </c>
      <c r="X991" s="2">
        <f>INT(Working_Sales[[#This Row],[`]])</f>
        <v>2</v>
      </c>
      <c r="Y991" s="6">
        <f>IFERROR(
   Working_Sales[[#This Row],[Quantity_Converted_To_Integer]],
   Working_Sales[[#This Row],[Total_Amount_Whitespace_Removed]]/Working_Sales[[#This Row],[Price_Per_Unit_Decimal_Separator_Fixed]])</f>
        <v>2</v>
      </c>
      <c r="Z991" t="s">
        <v>70</v>
      </c>
      <c r="AA991" s="2" t="str">
        <f>CLEAN(TRIM(Working_Sales[[#This Row],[Price per Unit]]))</f>
        <v>30</v>
      </c>
      <c r="AB991" s="2">
        <f>INT(
   SUBSTITUTE(Working_Sales[[#This Row],[Price_Per_Unit_Whitespace_Removed]],
   "$",
   ""
   )
)</f>
        <v>30</v>
      </c>
      <c r="AC991" s="2">
        <f>INT(
   IFERROR(
      Working_Sales[[#This Row],[Price_Per_Unit_Dollar_Sign_Removed]],
      SUBSTITUTE(
         Working_Sales[[#This Row],[Price_Per_Unit_Whitespace_Removed]],
        ".",
         ","
      )
   )
)</f>
        <v>30</v>
      </c>
      <c r="AD991" s="8">
        <f>IFERROR(
   Working_Sales[[#This Row],[Price_Per_Unit_Decimal_Separator_Fixed]],
   Working_Sales[[#This Row],[Total_Amount_Converted_To_Integer]]/Working_Sales[[#This Row],[Quantity_Converted_To_Integer]]
)</f>
        <v>30</v>
      </c>
      <c r="AE991" t="s">
        <v>71</v>
      </c>
      <c r="AF991" s="2" t="str">
        <f>CLEAN(TRIM(Working_Sales[[#This Row],[Total Amount]]))</f>
        <v>60</v>
      </c>
      <c r="AG991" s="2">
        <f>INT(Working_Sales[[#This Row],[Total_Amount_Whitespace_Removed]])</f>
        <v>60</v>
      </c>
      <c r="AH99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60</v>
      </c>
    </row>
    <row r="992" spans="1:34" x14ac:dyDescent="0.35">
      <c r="A992" t="s">
        <v>1979</v>
      </c>
      <c r="B992" s="6" t="str">
        <f>CLEAN(TRIM(Working_Sales[[#This Row],[Transaction ID]]))</f>
        <v>186</v>
      </c>
      <c r="C992" t="s">
        <v>985</v>
      </c>
      <c r="D992" s="2" t="str">
        <f>CLEAN(TRIM(Working_Sales[[#This Row],[Date]]))</f>
        <v>2023-07-05</v>
      </c>
      <c r="E992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45112</v>
      </c>
      <c r="F992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45112</v>
      </c>
      <c r="G992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45112</v>
      </c>
      <c r="H992" t="s">
        <v>3125</v>
      </c>
      <c r="I992" s="2" t="str">
        <f>CLEAN(TRIM(Working_Sales[[#This Row],[Customer ID]]))</f>
        <v>cust435</v>
      </c>
      <c r="J992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92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CUST435</v>
      </c>
      <c r="L992" t="s">
        <v>34</v>
      </c>
      <c r="M992" s="4" t="str">
        <f>CLEAN(TRIM(Working_Sales[[#This Row],[Gender]]))</f>
        <v>Male</v>
      </c>
      <c r="N992" s="4" t="str" cm="1">
        <f t="array" ref="N992">_xlfn.SWITCH(
   Working_Sales[[#This Row],[Gender_Whitespace_Removed]],
   "m", "Male",
   "f", "Female",
   Working_Sales[[#This Row],[Gender_Whitespace_Removed]]
)</f>
        <v>Male</v>
      </c>
      <c r="O992" s="6" t="str">
        <f>PROPER(Working_Sales[[#This Row],[Gender_Abbreviation_Expanded]])</f>
        <v>Male</v>
      </c>
      <c r="P992">
        <v>20</v>
      </c>
      <c r="Q992" s="2" t="str">
        <f>CLEAN(TRIM(Working_Sales[[#This Row],[Age]]))</f>
        <v>20</v>
      </c>
      <c r="R992" s="6">
        <f>INT(SUBSTITUTE(Working_Sales[[#This Row],[Age_Whitespace_Removed]],".",","))</f>
        <v>20</v>
      </c>
      <c r="S992" t="s">
        <v>56</v>
      </c>
      <c r="T992" s="2" t="str">
        <f>CLEAN(TRIM(Working_Sales[[#This Row],[Product Category]]))</f>
        <v>Clothing</v>
      </c>
      <c r="U992" s="6" t="str">
        <f>PROPER(Working_Sales[[#This Row],[Product_Category_Whitespace_Removed]])</f>
        <v>Clothing</v>
      </c>
      <c r="V992" t="s">
        <v>14</v>
      </c>
      <c r="W992" s="2" t="str">
        <f>CLEAN(TRIM(Working_Sales[[#This Row],[Quantity]]))</f>
        <v>4</v>
      </c>
      <c r="X992" s="2">
        <f>INT(Working_Sales[[#This Row],[`]])</f>
        <v>4</v>
      </c>
      <c r="Y992" s="6">
        <f>IFERROR(
   Working_Sales[[#This Row],[Quantity_Converted_To_Integer]],
   Working_Sales[[#This Row],[Total_Amount_Whitespace_Removed]]/Working_Sales[[#This Row],[Price_Per_Unit_Decimal_Separator_Fixed]])</f>
        <v>4</v>
      </c>
      <c r="Z992" t="s">
        <v>15</v>
      </c>
      <c r="AA992" s="2" t="str">
        <f>CLEAN(TRIM(Working_Sales[[#This Row],[Price per Unit]]))</f>
        <v>50</v>
      </c>
      <c r="AB992" s="2">
        <f>INT(
   SUBSTITUTE(Working_Sales[[#This Row],[Price_Per_Unit_Whitespace_Removed]],
   "$",
   ""
   )
)</f>
        <v>50</v>
      </c>
      <c r="AC992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992" s="8">
        <f>IFERROR(
   Working_Sales[[#This Row],[Price_Per_Unit_Decimal_Separator_Fixed]],
   Working_Sales[[#This Row],[Total_Amount_Converted_To_Integer]]/Working_Sales[[#This Row],[Quantity_Converted_To_Integer]]
)</f>
        <v>50</v>
      </c>
      <c r="AE992" t="s">
        <v>16</v>
      </c>
      <c r="AF992" s="2" t="str">
        <f>CLEAN(TRIM(Working_Sales[[#This Row],[Total Amount]]))</f>
        <v>200</v>
      </c>
      <c r="AG992" s="2">
        <f>INT(Working_Sales[[#This Row],[Total_Amount_Whitespace_Removed]])</f>
        <v>200</v>
      </c>
      <c r="AH992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993" spans="1:34" x14ac:dyDescent="0.35">
      <c r="A993" t="s">
        <v>1981</v>
      </c>
      <c r="B993" s="6" t="str">
        <f>CLEAN(TRIM(Working_Sales[[#This Row],[Transaction ID]]))</f>
        <v>349</v>
      </c>
      <c r="C993" t="s">
        <v>2181</v>
      </c>
      <c r="D993" s="2" t="str">
        <f>CLEAN(TRIM(Working_Sales[[#This Row],[Date]]))</f>
        <v>26/10/2023</v>
      </c>
      <c r="E993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45225</v>
      </c>
      <c r="F993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45225</v>
      </c>
      <c r="G993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45225</v>
      </c>
      <c r="H993" t="s">
        <v>2342</v>
      </c>
      <c r="I993" s="2" t="str">
        <f>CLEAN(TRIM(Working_Sales[[#This Row],[Customer ID]]))</f>
        <v>CUST022</v>
      </c>
      <c r="J993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CUST022</v>
      </c>
      <c r="K993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CUST022</v>
      </c>
      <c r="L993" t="s">
        <v>26</v>
      </c>
      <c r="M993" s="4" t="str">
        <f>CLEAN(TRIM(Working_Sales[[#This Row],[Gender]]))</f>
        <v>Female</v>
      </c>
      <c r="N993" s="4" t="str" cm="1">
        <f t="array" ref="N993">_xlfn.SWITCH(
   Working_Sales[[#This Row],[Gender_Whitespace_Removed]],
   "m", "Male",
   "f", "Female",
   Working_Sales[[#This Row],[Gender_Whitespace_Removed]]
)</f>
        <v>Female</v>
      </c>
      <c r="O993" s="6" t="str">
        <f>PROPER(Working_Sales[[#This Row],[Gender_Abbreviation_Expanded]])</f>
        <v>Female</v>
      </c>
      <c r="P993">
        <v>57</v>
      </c>
      <c r="Q993" s="2" t="str">
        <f>CLEAN(TRIM(Working_Sales[[#This Row],[Age]]))</f>
        <v>57</v>
      </c>
      <c r="R993" s="6">
        <f>INT(SUBSTITUTE(Working_Sales[[#This Row],[Age_Whitespace_Removed]],".",","))</f>
        <v>57</v>
      </c>
      <c r="S993" t="s">
        <v>36</v>
      </c>
      <c r="T993" s="2" t="str">
        <f>CLEAN(TRIM(Working_Sales[[#This Row],[Product Category]]))</f>
        <v>Beauty</v>
      </c>
      <c r="U993" s="6" t="str">
        <f>PROPER(Working_Sales[[#This Row],[Product_Category_Whitespace_Removed]])</f>
        <v>Beauty</v>
      </c>
      <c r="V993" t="s">
        <v>22</v>
      </c>
      <c r="W993" s="2" t="str">
        <f>CLEAN(TRIM(Working_Sales[[#This Row],[Quantity]]))</f>
        <v>1</v>
      </c>
      <c r="X993" s="2">
        <f>INT(Working_Sales[[#This Row],[`]])</f>
        <v>1</v>
      </c>
      <c r="Y993" s="6">
        <f>IFERROR(
   Working_Sales[[#This Row],[Quantity_Converted_To_Integer]],
   Working_Sales[[#This Row],[Total_Amount_Whitespace_Removed]]/Working_Sales[[#This Row],[Price_Per_Unit_Decimal_Separator_Fixed]])</f>
        <v>1</v>
      </c>
      <c r="Z993" t="s">
        <v>15</v>
      </c>
      <c r="AA993" s="2" t="str">
        <f>CLEAN(TRIM(Working_Sales[[#This Row],[Price per Unit]]))</f>
        <v>50</v>
      </c>
      <c r="AB993" s="2">
        <f>INT(
   SUBSTITUTE(Working_Sales[[#This Row],[Price_Per_Unit_Whitespace_Removed]],
   "$",
   ""
   )
)</f>
        <v>50</v>
      </c>
      <c r="AC993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993" s="8">
        <f>IFERROR(
   Working_Sales[[#This Row],[Price_Per_Unit_Decimal_Separator_Fixed]],
   Working_Sales[[#This Row],[Total_Amount_Converted_To_Integer]]/Working_Sales[[#This Row],[Quantity_Converted_To_Integer]]
)</f>
        <v>50</v>
      </c>
      <c r="AE993" t="s">
        <v>15</v>
      </c>
      <c r="AF993" s="2" t="str">
        <f>CLEAN(TRIM(Working_Sales[[#This Row],[Total Amount]]))</f>
        <v>50</v>
      </c>
      <c r="AG993" s="2">
        <f>INT(Working_Sales[[#This Row],[Total_Amount_Whitespace_Removed]])</f>
        <v>50</v>
      </c>
      <c r="AH993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50</v>
      </c>
    </row>
    <row r="994" spans="1:34" x14ac:dyDescent="0.35">
      <c r="A994" t="s">
        <v>1984</v>
      </c>
      <c r="B994" s="6" t="str">
        <f>CLEAN(TRIM(Working_Sales[[#This Row],[Transaction ID]]))</f>
        <v>616</v>
      </c>
      <c r="C994" t="s">
        <v>1985</v>
      </c>
      <c r="D994" s="2" t="str">
        <f>CLEAN(TRIM(Working_Sales[[#This Row],[Date]]))</f>
        <v>23/09/2023</v>
      </c>
      <c r="E994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45192</v>
      </c>
      <c r="F994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45192</v>
      </c>
      <c r="G994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45192</v>
      </c>
      <c r="H994" t="s">
        <v>3126</v>
      </c>
      <c r="I994" s="2" t="str">
        <f>CLEAN(TRIM(Working_Sales[[#This Row],[Customer ID]]))</f>
        <v>cust491</v>
      </c>
      <c r="J994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94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CUST491</v>
      </c>
      <c r="L994" t="s">
        <v>11</v>
      </c>
      <c r="M994" s="4" t="str">
        <f>CLEAN(TRIM(Working_Sales[[#This Row],[Gender]]))</f>
        <v>MALE</v>
      </c>
      <c r="N994" s="4" t="str" cm="1">
        <f t="array" ref="N994">_xlfn.SWITCH(
   Working_Sales[[#This Row],[Gender_Whitespace_Removed]],
   "m", "Male",
   "f", "Female",
   Working_Sales[[#This Row],[Gender_Whitespace_Removed]]
)</f>
        <v>MALE</v>
      </c>
      <c r="O994" s="6" t="str">
        <f>PROPER(Working_Sales[[#This Row],[Gender_Abbreviation_Expanded]])</f>
        <v>Male</v>
      </c>
      <c r="P994">
        <v>41</v>
      </c>
      <c r="Q994" s="2" t="str">
        <f>CLEAN(TRIM(Working_Sales[[#This Row],[Age]]))</f>
        <v>41</v>
      </c>
      <c r="R994" s="6">
        <f>INT(SUBSTITUTE(Working_Sales[[#This Row],[Age_Whitespace_Removed]],".",","))</f>
        <v>41</v>
      </c>
      <c r="S994" t="s">
        <v>56</v>
      </c>
      <c r="T994" s="2" t="str">
        <f>CLEAN(TRIM(Working_Sales[[#This Row],[Product Category]]))</f>
        <v>Clothing</v>
      </c>
      <c r="U994" s="6" t="str">
        <f>PROPER(Working_Sales[[#This Row],[Product_Category_Whitespace_Removed]])</f>
        <v>Clothing</v>
      </c>
      <c r="V994" t="s">
        <v>37</v>
      </c>
      <c r="W994" s="2" t="str">
        <f>CLEAN(TRIM(Working_Sales[[#This Row],[Quantity]]))</f>
        <v>2</v>
      </c>
      <c r="X994" s="2">
        <f>INT(Working_Sales[[#This Row],[`]])</f>
        <v>2</v>
      </c>
      <c r="Y994" s="6">
        <f>IFERROR(
   Working_Sales[[#This Row],[Quantity_Converted_To_Integer]],
   Working_Sales[[#This Row],[Total_Amount_Whitespace_Removed]]/Working_Sales[[#This Row],[Price_Per_Unit_Decimal_Separator_Fixed]])</f>
        <v>2</v>
      </c>
      <c r="Z994" t="s">
        <v>153</v>
      </c>
      <c r="AA994" s="2" t="str">
        <f>CLEAN(TRIM(Working_Sales[[#This Row],[Price per Unit]]))</f>
        <v>50.00</v>
      </c>
      <c r="AB994" s="2" t="e">
        <f>INT(
   SUBSTITUTE(Working_Sales[[#This Row],[Price_Per_Unit_Whitespace_Removed]],
   "$",
   ""
   )
)</f>
        <v>#VALUE!</v>
      </c>
      <c r="AC994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994" s="8">
        <f>IFERROR(
   Working_Sales[[#This Row],[Price_Per_Unit_Decimal_Separator_Fixed]],
   Working_Sales[[#This Row],[Total_Amount_Converted_To_Integer]]/Working_Sales[[#This Row],[Quantity_Converted_To_Integer]]
)</f>
        <v>50</v>
      </c>
      <c r="AE994" t="s">
        <v>38</v>
      </c>
      <c r="AF994" s="2" t="str">
        <f>CLEAN(TRIM(Working_Sales[[#This Row],[Total Amount]]))</f>
        <v>100</v>
      </c>
      <c r="AG994" s="2">
        <f>INT(Working_Sales[[#This Row],[Total_Amount_Whitespace_Removed]])</f>
        <v>100</v>
      </c>
      <c r="AH994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  <row r="995" spans="1:34" x14ac:dyDescent="0.35">
      <c r="A995" t="s">
        <v>1986</v>
      </c>
      <c r="B995" s="6" t="str">
        <f>CLEAN(TRIM(Working_Sales[[#This Row],[Transaction ID]]))</f>
        <v>920</v>
      </c>
      <c r="C995" t="s">
        <v>875</v>
      </c>
      <c r="D995" s="2" t="str">
        <f>CLEAN(TRIM(Working_Sales[[#This Row],[Date]]))</f>
        <v>02/22/2023</v>
      </c>
      <c r="E995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995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44979</v>
      </c>
      <c r="G995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44979</v>
      </c>
      <c r="H995" t="s">
        <v>3127</v>
      </c>
      <c r="I995" s="2" t="str">
        <f>CLEAN(TRIM(Working_Sales[[#This Row],[Customer ID]]))</f>
        <v>CUST-366</v>
      </c>
      <c r="J995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95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CUST366</v>
      </c>
      <c r="L995" t="s">
        <v>26</v>
      </c>
      <c r="M995" s="4" t="str">
        <f>CLEAN(TRIM(Working_Sales[[#This Row],[Gender]]))</f>
        <v>Female</v>
      </c>
      <c r="N995" s="4" t="str" cm="1">
        <f t="array" ref="N995">_xlfn.SWITCH(
   Working_Sales[[#This Row],[Gender_Whitespace_Removed]],
   "m", "Male",
   "f", "Female",
   Working_Sales[[#This Row],[Gender_Whitespace_Removed]]
)</f>
        <v>Female</v>
      </c>
      <c r="O995" s="6" t="str">
        <f>PROPER(Working_Sales[[#This Row],[Gender_Abbreviation_Expanded]])</f>
        <v>Female</v>
      </c>
      <c r="P995">
        <v>28</v>
      </c>
      <c r="Q995" s="2" t="str">
        <f>CLEAN(TRIM(Working_Sales[[#This Row],[Age]]))</f>
        <v>28</v>
      </c>
      <c r="R995" s="6">
        <f>INT(SUBSTITUTE(Working_Sales[[#This Row],[Age_Whitespace_Removed]],".",","))</f>
        <v>28</v>
      </c>
      <c r="S995" t="s">
        <v>36</v>
      </c>
      <c r="T995" s="2" t="str">
        <f>CLEAN(TRIM(Working_Sales[[#This Row],[Product Category]]))</f>
        <v>Beauty</v>
      </c>
      <c r="U995" s="6" t="str">
        <f>PROPER(Working_Sales[[#This Row],[Product_Category_Whitespace_Removed]])</f>
        <v>Beauty</v>
      </c>
      <c r="V995" t="s">
        <v>29</v>
      </c>
      <c r="W995" s="2" t="str">
        <f>CLEAN(TRIM(Working_Sales[[#This Row],[Quantity]]))</f>
        <v>3</v>
      </c>
      <c r="X995" s="2">
        <f>INT(Working_Sales[[#This Row],[`]])</f>
        <v>3</v>
      </c>
      <c r="Y995" s="6">
        <f>IFERROR(
   Working_Sales[[#This Row],[Quantity_Converted_To_Integer]],
   Working_Sales[[#This Row],[Total_Amount_Whitespace_Removed]]/Working_Sales[[#This Row],[Price_Per_Unit_Decimal_Separator_Fixed]])</f>
        <v>3</v>
      </c>
      <c r="Z995" t="s">
        <v>371</v>
      </c>
      <c r="AA995" s="2" t="str">
        <f>CLEAN(TRIM(Working_Sales[[#This Row],[Price per Unit]]))</f>
        <v>25.00</v>
      </c>
      <c r="AB995" s="2" t="e">
        <f>INT(
   SUBSTITUTE(Working_Sales[[#This Row],[Price_Per_Unit_Whitespace_Removed]],
   "$",
   ""
   )
)</f>
        <v>#VALUE!</v>
      </c>
      <c r="AC995" s="2">
        <f>INT(
   IFERROR(
      Working_Sales[[#This Row],[Price_Per_Unit_Dollar_Sign_Removed]],
      SUBSTITUTE(
         Working_Sales[[#This Row],[Price_Per_Unit_Whitespace_Removed]],
        ".",
         ","
      )
   )
)</f>
        <v>25</v>
      </c>
      <c r="AD995" s="8">
        <f>IFERROR(
   Working_Sales[[#This Row],[Price_Per_Unit_Decimal_Separator_Fixed]],
   Working_Sales[[#This Row],[Total_Amount_Converted_To_Integer]]/Working_Sales[[#This Row],[Quantity_Converted_To_Integer]]
)</f>
        <v>25</v>
      </c>
      <c r="AE995" t="s">
        <v>31</v>
      </c>
      <c r="AF995" s="2" t="str">
        <f>CLEAN(TRIM(Working_Sales[[#This Row],[Total Amount]]))</f>
        <v>75</v>
      </c>
      <c r="AG995" s="2">
        <f>INT(Working_Sales[[#This Row],[Total_Amount_Whitespace_Removed]])</f>
        <v>75</v>
      </c>
      <c r="AH995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75</v>
      </c>
    </row>
    <row r="996" spans="1:34" x14ac:dyDescent="0.35">
      <c r="A996" t="s">
        <v>1987</v>
      </c>
      <c r="B996" s="6" t="str">
        <f>CLEAN(TRIM(Working_Sales[[#This Row],[Transaction ID]]))</f>
        <v>212</v>
      </c>
      <c r="C996" t="s">
        <v>2182</v>
      </c>
      <c r="D996" s="2" t="str">
        <f>CLEAN(TRIM(Working_Sales[[#This Row],[Date]]))</f>
        <v>June 09, 2023</v>
      </c>
      <c r="E996" s="3" t="str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INVALID</v>
      </c>
      <c r="F996" s="3" t="str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INVALID</v>
      </c>
      <c r="G996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45086</v>
      </c>
      <c r="H996" t="s">
        <v>2254</v>
      </c>
      <c r="I996" s="2" t="str">
        <f>CLEAN(TRIM(Working_Sales[[#This Row],[Customer ID]]))</f>
        <v>CUST091</v>
      </c>
      <c r="J996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CUST091</v>
      </c>
      <c r="K996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CUST091</v>
      </c>
      <c r="L996" t="s">
        <v>34</v>
      </c>
      <c r="M996" s="4" t="str">
        <f>CLEAN(TRIM(Working_Sales[[#This Row],[Gender]]))</f>
        <v>Male</v>
      </c>
      <c r="N996" s="4" t="str" cm="1">
        <f t="array" ref="N996">_xlfn.SWITCH(
   Working_Sales[[#This Row],[Gender_Whitespace_Removed]],
   "m", "Male",
   "f", "Female",
   Working_Sales[[#This Row],[Gender_Whitespace_Removed]]
)</f>
        <v>Male</v>
      </c>
      <c r="O996" s="6" t="str">
        <f>PROPER(Working_Sales[[#This Row],[Gender_Abbreviation_Expanded]])</f>
        <v>Male</v>
      </c>
      <c r="P996">
        <v>21</v>
      </c>
      <c r="Q996" s="2" t="str">
        <f>CLEAN(TRIM(Working_Sales[[#This Row],[Age]]))</f>
        <v>21</v>
      </c>
      <c r="R996" s="6">
        <f>INT(SUBSTITUTE(Working_Sales[[#This Row],[Age_Whitespace_Removed]],".",","))</f>
        <v>21</v>
      </c>
      <c r="S996" t="s">
        <v>89</v>
      </c>
      <c r="T996" s="2" t="str">
        <f>CLEAN(TRIM(Working_Sales[[#This Row],[Product Category]]))</f>
        <v>CLOTHING</v>
      </c>
      <c r="U996" s="6" t="str">
        <f>PROPER(Working_Sales[[#This Row],[Product_Category_Whitespace_Removed]])</f>
        <v>Clothing</v>
      </c>
      <c r="V996" t="s">
        <v>29</v>
      </c>
      <c r="W996" s="2" t="str">
        <f>CLEAN(TRIM(Working_Sales[[#This Row],[Quantity]]))</f>
        <v>3</v>
      </c>
      <c r="X996" s="2">
        <f>INT(Working_Sales[[#This Row],[`]])</f>
        <v>3</v>
      </c>
      <c r="Y996" s="6">
        <f>IFERROR(
   Working_Sales[[#This Row],[Quantity_Converted_To_Integer]],
   Working_Sales[[#This Row],[Total_Amount_Whitespace_Removed]]/Working_Sales[[#This Row],[Price_Per_Unit_Decimal_Separator_Fixed]])</f>
        <v>3</v>
      </c>
      <c r="Z996" t="s">
        <v>57</v>
      </c>
      <c r="AA996" s="2" t="str">
        <f>CLEAN(TRIM(Working_Sales[[#This Row],[Price per Unit]]))</f>
        <v>500</v>
      </c>
      <c r="AB996" s="2">
        <f>INT(
   SUBSTITUTE(Working_Sales[[#This Row],[Price_Per_Unit_Whitespace_Removed]],
   "$",
   ""
   )
)</f>
        <v>500</v>
      </c>
      <c r="AC996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996" s="8">
        <f>IFERROR(
   Working_Sales[[#This Row],[Price_Per_Unit_Decimal_Separator_Fixed]],
   Working_Sales[[#This Row],[Total_Amount_Converted_To_Integer]]/Working_Sales[[#This Row],[Quantity_Converted_To_Integer]]
)</f>
        <v>500</v>
      </c>
      <c r="AE996" t="s">
        <v>85</v>
      </c>
      <c r="AF996" s="2" t="str">
        <f>CLEAN(TRIM(Working_Sales[[#This Row],[Total Amount]]))</f>
        <v>1500</v>
      </c>
      <c r="AG996" s="2">
        <f>INT(Working_Sales[[#This Row],[Total_Amount_Whitespace_Removed]])</f>
        <v>1500</v>
      </c>
      <c r="AH996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997" spans="1:34" x14ac:dyDescent="0.35">
      <c r="A997" t="s">
        <v>1990</v>
      </c>
      <c r="B997" s="6" t="str">
        <f>CLEAN(TRIM(Working_Sales[[#This Row],[Transaction ID]]))</f>
        <v>580</v>
      </c>
      <c r="C997" t="s">
        <v>2082</v>
      </c>
      <c r="D997" s="2" t="str">
        <f>CLEAN(TRIM(Working_Sales[[#This Row],[Date]]))</f>
        <v>06-Dec-2023</v>
      </c>
      <c r="E997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45266</v>
      </c>
      <c r="F997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45266</v>
      </c>
      <c r="G997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45266</v>
      </c>
      <c r="H997" t="s">
        <v>3128</v>
      </c>
      <c r="I997" s="2" t="str">
        <f>CLEAN(TRIM(Working_Sales[[#This Row],[Customer ID]]))</f>
        <v>CUST125</v>
      </c>
      <c r="J997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CUST125</v>
      </c>
      <c r="K997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CUST125</v>
      </c>
      <c r="L997" t="s">
        <v>26</v>
      </c>
      <c r="M997" s="4" t="str">
        <f>CLEAN(TRIM(Working_Sales[[#This Row],[Gender]]))</f>
        <v>Female</v>
      </c>
      <c r="N997" s="4" t="str" cm="1">
        <f t="array" ref="N997">_xlfn.SWITCH(
   Working_Sales[[#This Row],[Gender_Whitespace_Removed]],
   "m", "Male",
   "f", "Female",
   Working_Sales[[#This Row],[Gender_Whitespace_Removed]]
)</f>
        <v>Female</v>
      </c>
      <c r="O997" s="6" t="str">
        <f>PROPER(Working_Sales[[#This Row],[Gender_Abbreviation_Expanded]])</f>
        <v>Female</v>
      </c>
      <c r="P997">
        <v>31</v>
      </c>
      <c r="Q997" s="2" t="str">
        <f>CLEAN(TRIM(Working_Sales[[#This Row],[Age]]))</f>
        <v>31</v>
      </c>
      <c r="R997" s="6">
        <f>INT(SUBSTITUTE(Working_Sales[[#This Row],[Age_Whitespace_Removed]],".",","))</f>
        <v>31</v>
      </c>
      <c r="S997" t="s">
        <v>89</v>
      </c>
      <c r="T997" s="2" t="str">
        <f>CLEAN(TRIM(Working_Sales[[#This Row],[Product Category]]))</f>
        <v>CLOTHING</v>
      </c>
      <c r="U997" s="6" t="str">
        <f>PROPER(Working_Sales[[#This Row],[Product_Category_Whitespace_Removed]])</f>
        <v>Clothing</v>
      </c>
      <c r="V997" t="s">
        <v>29</v>
      </c>
      <c r="W997" s="2" t="str">
        <f>CLEAN(TRIM(Working_Sales[[#This Row],[Quantity]]))</f>
        <v>3</v>
      </c>
      <c r="X997" s="2">
        <f>INT(Working_Sales[[#This Row],[`]])</f>
        <v>3</v>
      </c>
      <c r="Y997" s="6">
        <f>IFERROR(
   Working_Sales[[#This Row],[Quantity_Converted_To_Integer]],
   Working_Sales[[#This Row],[Total_Amount_Whitespace_Removed]]/Working_Sales[[#This Row],[Price_Per_Unit_Decimal_Separator_Fixed]])</f>
        <v>3</v>
      </c>
      <c r="Z997" t="s">
        <v>57</v>
      </c>
      <c r="AA997" s="2" t="str">
        <f>CLEAN(TRIM(Working_Sales[[#This Row],[Price per Unit]]))</f>
        <v>500</v>
      </c>
      <c r="AB997" s="2">
        <f>INT(
   SUBSTITUTE(Working_Sales[[#This Row],[Price_Per_Unit_Whitespace_Removed]],
   "$",
   ""
   )
)</f>
        <v>500</v>
      </c>
      <c r="AC997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997" s="8">
        <f>IFERROR(
   Working_Sales[[#This Row],[Price_Per_Unit_Decimal_Separator_Fixed]],
   Working_Sales[[#This Row],[Total_Amount_Converted_To_Integer]]/Working_Sales[[#This Row],[Quantity_Converted_To_Integer]]
)</f>
        <v>500</v>
      </c>
      <c r="AE997" t="s">
        <v>85</v>
      </c>
      <c r="AF997" s="2" t="str">
        <f>CLEAN(TRIM(Working_Sales[[#This Row],[Total Amount]]))</f>
        <v>1500</v>
      </c>
      <c r="AG997" s="2">
        <f>INT(Working_Sales[[#This Row],[Total_Amount_Whitespace_Removed]])</f>
        <v>1500</v>
      </c>
      <c r="AH997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1500</v>
      </c>
    </row>
    <row r="998" spans="1:34" x14ac:dyDescent="0.35">
      <c r="A998" t="s">
        <v>1991</v>
      </c>
      <c r="B998" s="6" t="str">
        <f>CLEAN(TRIM(Working_Sales[[#This Row],[Transaction ID]]))</f>
        <v>503</v>
      </c>
      <c r="C998" t="s">
        <v>967</v>
      </c>
      <c r="D998" s="2" t="str">
        <f>CLEAN(TRIM(Working_Sales[[#This Row],[Date]]))</f>
        <v>2023-10-25</v>
      </c>
      <c r="E998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45224</v>
      </c>
      <c r="F998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45224</v>
      </c>
      <c r="G998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45224</v>
      </c>
      <c r="H998" t="s">
        <v>3129</v>
      </c>
      <c r="I998" s="2" t="str">
        <f>CLEAN(TRIM(Working_Sales[[#This Row],[Customer ID]]))</f>
        <v>CUST432</v>
      </c>
      <c r="J998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CUST432</v>
      </c>
      <c r="K998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CUST432</v>
      </c>
      <c r="L998" t="s">
        <v>34</v>
      </c>
      <c r="M998" s="4" t="str">
        <f>CLEAN(TRIM(Working_Sales[[#This Row],[Gender]]))</f>
        <v>Male</v>
      </c>
      <c r="N998" s="4" t="str" cm="1">
        <f t="array" ref="N998">_xlfn.SWITCH(
   Working_Sales[[#This Row],[Gender_Whitespace_Removed]],
   "m", "Male",
   "f", "Female",
   Working_Sales[[#This Row],[Gender_Whitespace_Removed]]
)</f>
        <v>Male</v>
      </c>
      <c r="O998" s="6" t="str">
        <f>PROPER(Working_Sales[[#This Row],[Gender_Abbreviation_Expanded]])</f>
        <v>Male</v>
      </c>
      <c r="P998">
        <v>45</v>
      </c>
      <c r="Q998" s="2" t="str">
        <f>CLEAN(TRIM(Working_Sales[[#This Row],[Age]]))</f>
        <v>45</v>
      </c>
      <c r="R998" s="6">
        <f>INT(SUBSTITUTE(Working_Sales[[#This Row],[Age_Whitespace_Removed]],".",","))</f>
        <v>45</v>
      </c>
      <c r="S998" t="s">
        <v>36</v>
      </c>
      <c r="T998" s="2" t="str">
        <f>CLEAN(TRIM(Working_Sales[[#This Row],[Product Category]]))</f>
        <v>Beauty</v>
      </c>
      <c r="U998" s="6" t="str">
        <f>PROPER(Working_Sales[[#This Row],[Product_Category_Whitespace_Removed]])</f>
        <v>Beauty</v>
      </c>
      <c r="V998" t="s">
        <v>14</v>
      </c>
      <c r="W998" s="2" t="str">
        <f>CLEAN(TRIM(Working_Sales[[#This Row],[Quantity]]))</f>
        <v>4</v>
      </c>
      <c r="X998" s="2">
        <f>INT(Working_Sales[[#This Row],[`]])</f>
        <v>4</v>
      </c>
      <c r="Y998" s="6">
        <f>IFERROR(
   Working_Sales[[#This Row],[Quantity_Converted_To_Integer]],
   Working_Sales[[#This Row],[Total_Amount_Whitespace_Removed]]/Working_Sales[[#This Row],[Price_Per_Unit_Decimal_Separator_Fixed]])</f>
        <v>4</v>
      </c>
      <c r="Z998" t="s">
        <v>57</v>
      </c>
      <c r="AA998" s="2" t="str">
        <f>CLEAN(TRIM(Working_Sales[[#This Row],[Price per Unit]]))</f>
        <v>500</v>
      </c>
      <c r="AB998" s="2">
        <f>INT(
   SUBSTITUTE(Working_Sales[[#This Row],[Price_Per_Unit_Whitespace_Removed]],
   "$",
   ""
   )
)</f>
        <v>500</v>
      </c>
      <c r="AC998" s="2">
        <f>INT(
   IFERROR(
      Working_Sales[[#This Row],[Price_Per_Unit_Dollar_Sign_Removed]],
      SUBSTITUTE(
         Working_Sales[[#This Row],[Price_Per_Unit_Whitespace_Removed]],
        ".",
         ","
      )
   )
)</f>
        <v>500</v>
      </c>
      <c r="AD998" s="8">
        <f>IFERROR(
   Working_Sales[[#This Row],[Price_Per_Unit_Decimal_Separator_Fixed]],
   Working_Sales[[#This Row],[Total_Amount_Converted_To_Integer]]/Working_Sales[[#This Row],[Quantity_Converted_To_Integer]]
)</f>
        <v>500</v>
      </c>
      <c r="AE998" t="s">
        <v>232</v>
      </c>
      <c r="AF998" s="2" t="str">
        <f>CLEAN(TRIM(Working_Sales[[#This Row],[Total Amount]]))</f>
        <v>2000</v>
      </c>
      <c r="AG998" s="2">
        <f>INT(Working_Sales[[#This Row],[Total_Amount_Whitespace_Removed]])</f>
        <v>2000</v>
      </c>
      <c r="AH998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2000</v>
      </c>
    </row>
    <row r="999" spans="1:34" x14ac:dyDescent="0.35">
      <c r="A999" t="s">
        <v>1992</v>
      </c>
      <c r="B999" s="6" t="str">
        <f>CLEAN(TRIM(Working_Sales[[#This Row],[Transaction ID]]))</f>
        <v>538</v>
      </c>
      <c r="C999" t="s">
        <v>59</v>
      </c>
      <c r="D999" s="2" t="str">
        <f>CLEAN(TRIM(Working_Sales[[#This Row],[Date]]))</f>
        <v>17/09/2023</v>
      </c>
      <c r="E999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45186</v>
      </c>
      <c r="F999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45186</v>
      </c>
      <c r="G999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45186</v>
      </c>
      <c r="H999" t="s">
        <v>3130</v>
      </c>
      <c r="I999" s="2" t="str">
        <f>CLEAN(TRIM(Working_Sales[[#This Row],[Customer ID]]))</f>
        <v>cust500</v>
      </c>
      <c r="J999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INVALID</v>
      </c>
      <c r="K999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CUST500</v>
      </c>
      <c r="L999" t="s">
        <v>34</v>
      </c>
      <c r="M999" s="4" t="str">
        <f>CLEAN(TRIM(Working_Sales[[#This Row],[Gender]]))</f>
        <v>Male</v>
      </c>
      <c r="N999" s="4" t="str" cm="1">
        <f t="array" ref="N999">_xlfn.SWITCH(
   Working_Sales[[#This Row],[Gender_Whitespace_Removed]],
   "m", "Male",
   "f", "Female",
   Working_Sales[[#This Row],[Gender_Whitespace_Removed]]
)</f>
        <v>Male</v>
      </c>
      <c r="O999" s="6" t="str">
        <f>PROPER(Working_Sales[[#This Row],[Gender_Abbreviation_Expanded]])</f>
        <v>Male</v>
      </c>
      <c r="P999">
        <v>18</v>
      </c>
      <c r="Q999" s="2" t="str">
        <f>CLEAN(TRIM(Working_Sales[[#This Row],[Age]]))</f>
        <v>18</v>
      </c>
      <c r="R999" s="6">
        <f>INT(SUBSTITUTE(Working_Sales[[#This Row],[Age_Whitespace_Removed]],".",","))</f>
        <v>18</v>
      </c>
      <c r="S999" t="s">
        <v>400</v>
      </c>
      <c r="T999" s="2" t="str">
        <f>CLEAN(TRIM(Working_Sales[[#This Row],[Product Category]]))</f>
        <v>Clothing</v>
      </c>
      <c r="U999" s="6" t="str">
        <f>PROPER(Working_Sales[[#This Row],[Product_Category_Whitespace_Removed]])</f>
        <v>Clothing</v>
      </c>
      <c r="V999" t="s">
        <v>29</v>
      </c>
      <c r="W999" s="2" t="str">
        <f>CLEAN(TRIM(Working_Sales[[#This Row],[Quantity]]))</f>
        <v>3</v>
      </c>
      <c r="X999" s="2">
        <f>INT(Working_Sales[[#This Row],[`]])</f>
        <v>3</v>
      </c>
      <c r="Y999" s="6">
        <f>IFERROR(
   Working_Sales[[#This Row],[Quantity_Converted_To_Integer]],
   Working_Sales[[#This Row],[Total_Amount_Whitespace_Removed]]/Working_Sales[[#This Row],[Price_Per_Unit_Decimal_Separator_Fixed]])</f>
        <v>3</v>
      </c>
      <c r="AA999" s="2" t="str">
        <f>CLEAN(TRIM(Working_Sales[[#This Row],[Price per Unit]]))</f>
        <v/>
      </c>
      <c r="AB999" s="2" t="e">
        <f>INT(
   SUBSTITUTE(Working_Sales[[#This Row],[Price_Per_Unit_Whitespace_Removed]],
   "$",
   ""
   )
)</f>
        <v>#VALUE!</v>
      </c>
      <c r="AC999" s="2" t="e">
        <f>INT(
   IFERROR(
      Working_Sales[[#This Row],[Price_Per_Unit_Dollar_Sign_Removed]],
      SUBSTITUTE(
         Working_Sales[[#This Row],[Price_Per_Unit_Whitespace_Removed]],
        ".",
         ","
      )
   )
)</f>
        <v>#VALUE!</v>
      </c>
      <c r="AD999" s="8">
        <f>IFERROR(
   Working_Sales[[#This Row],[Price_Per_Unit_Decimal_Separator_Fixed]],
   Working_Sales[[#This Row],[Total_Amount_Converted_To_Integer]]/Working_Sales[[#This Row],[Quantity_Converted_To_Integer]]
)</f>
        <v>50</v>
      </c>
      <c r="AE999" t="s">
        <v>130</v>
      </c>
      <c r="AF999" s="2" t="str">
        <f>CLEAN(TRIM(Working_Sales[[#This Row],[Total Amount]]))</f>
        <v>150</v>
      </c>
      <c r="AG999" s="2">
        <f>INT(Working_Sales[[#This Row],[Total_Amount_Whitespace_Removed]])</f>
        <v>150</v>
      </c>
      <c r="AH999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150</v>
      </c>
    </row>
    <row r="1000" spans="1:34" x14ac:dyDescent="0.35">
      <c r="A1000" t="s">
        <v>1994</v>
      </c>
      <c r="B1000" s="6" t="str">
        <f>CLEAN(TRIM(Working_Sales[[#This Row],[Transaction ID]]))</f>
        <v>197</v>
      </c>
      <c r="C1000" t="s">
        <v>2012</v>
      </c>
      <c r="D1000" s="2" t="str">
        <f>CLEAN(TRIM(Working_Sales[[#This Row],[Date]]))</f>
        <v>06-Mar-2023</v>
      </c>
      <c r="E1000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44991</v>
      </c>
      <c r="F1000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44991</v>
      </c>
      <c r="G1000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44991</v>
      </c>
      <c r="H1000" t="s">
        <v>203</v>
      </c>
      <c r="I1000" s="2" t="str">
        <f>CLEAN(TRIM(Working_Sales[[#This Row],[Customer ID]]))</f>
        <v>CUST100</v>
      </c>
      <c r="J1000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CUST100</v>
      </c>
      <c r="K1000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CUST100</v>
      </c>
      <c r="L1000" t="s">
        <v>26</v>
      </c>
      <c r="M1000" s="4" t="str">
        <f>CLEAN(TRIM(Working_Sales[[#This Row],[Gender]]))</f>
        <v>Female</v>
      </c>
      <c r="N1000" s="4" t="str" cm="1">
        <f t="array" ref="N1000">_xlfn.SWITCH(
   Working_Sales[[#This Row],[Gender_Whitespace_Removed]],
   "m", "Male",
   "f", "Female",
   Working_Sales[[#This Row],[Gender_Whitespace_Removed]]
)</f>
        <v>Female</v>
      </c>
      <c r="O1000" s="6" t="str">
        <f>PROPER(Working_Sales[[#This Row],[Gender_Abbreviation_Expanded]])</f>
        <v>Female</v>
      </c>
      <c r="P1000">
        <v>42</v>
      </c>
      <c r="Q1000" s="2" t="str">
        <f>CLEAN(TRIM(Working_Sales[[#This Row],[Age]]))</f>
        <v>42</v>
      </c>
      <c r="R1000" s="6">
        <f>INT(SUBSTITUTE(Working_Sales[[#This Row],[Age_Whitespace_Removed]],".",","))</f>
        <v>42</v>
      </c>
      <c r="S1000" t="s">
        <v>56</v>
      </c>
      <c r="T1000" s="2" t="str">
        <f>CLEAN(TRIM(Working_Sales[[#This Row],[Product Category]]))</f>
        <v>Clothing</v>
      </c>
      <c r="U1000" s="6" t="str">
        <f>PROPER(Working_Sales[[#This Row],[Product_Category_Whitespace_Removed]])</f>
        <v>Clothing</v>
      </c>
      <c r="V1000" t="s">
        <v>14</v>
      </c>
      <c r="W1000" s="2" t="str">
        <f>CLEAN(TRIM(Working_Sales[[#This Row],[Quantity]]))</f>
        <v>4</v>
      </c>
      <c r="X1000" s="2">
        <f>INT(Working_Sales[[#This Row],[`]])</f>
        <v>4</v>
      </c>
      <c r="Y1000" s="6">
        <f>IFERROR(
   Working_Sales[[#This Row],[Quantity_Converted_To_Integer]],
   Working_Sales[[#This Row],[Total_Amount_Whitespace_Removed]]/Working_Sales[[#This Row],[Price_Per_Unit_Decimal_Separator_Fixed]])</f>
        <v>4</v>
      </c>
      <c r="Z1000" t="s">
        <v>15</v>
      </c>
      <c r="AA1000" s="2" t="str">
        <f>CLEAN(TRIM(Working_Sales[[#This Row],[Price per Unit]]))</f>
        <v>50</v>
      </c>
      <c r="AB1000" s="2">
        <f>INT(
   SUBSTITUTE(Working_Sales[[#This Row],[Price_Per_Unit_Whitespace_Removed]],
   "$",
   ""
   )
)</f>
        <v>50</v>
      </c>
      <c r="AC1000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1000" s="8">
        <f>IFERROR(
   Working_Sales[[#This Row],[Price_Per_Unit_Decimal_Separator_Fixed]],
   Working_Sales[[#This Row],[Total_Amount_Converted_To_Integer]]/Working_Sales[[#This Row],[Quantity_Converted_To_Integer]]
)</f>
        <v>50</v>
      </c>
      <c r="AF1000" s="2" t="str">
        <f>CLEAN(TRIM(Working_Sales[[#This Row],[Total Amount]]))</f>
        <v/>
      </c>
      <c r="AG1000" s="2" t="e">
        <f>INT(Working_Sales[[#This Row],[Total_Amount_Whitespace_Removed]])</f>
        <v>#VALUE!</v>
      </c>
      <c r="AH1000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200</v>
      </c>
    </row>
    <row r="1001" spans="1:34" x14ac:dyDescent="0.35">
      <c r="A1001" t="s">
        <v>1996</v>
      </c>
      <c r="B1001" s="6" t="str">
        <f>CLEAN(TRIM(Working_Sales[[#This Row],[Transaction ID]]))</f>
        <v>176</v>
      </c>
      <c r="C1001" t="s">
        <v>1997</v>
      </c>
      <c r="D1001" s="2" t="str">
        <f>CLEAN(TRIM(Working_Sales[[#This Row],[Date]]))</f>
        <v>2023-07-11</v>
      </c>
      <c r="E1001" s="3">
        <f>IF(
  ISNUMBER(--Working_Sales[[#This Row],[Date_Whitespace_Removed]]),
  DATE(
      YEAR(--Working_Sales[[#This Row],[Date_Whitespace_Removed]]),
      MONTH(--Working_Sales[[#This Row],[Date_Whitespace_Removed]]),
      DAY(--Working_Sales[[#This Row],[Date_Whitespace_Removed]])
  ),
  "INVALID"
)</f>
        <v>45118</v>
      </c>
      <c r="F1001" s="3">
        <f>IFERROR(
   IF(
      Working_Sales[[#This Row],[Date_Format_Check]]="INVALID",
         DATE(
            RIGHT(Working_Sales[[#This Row],[Date_Whitespace_Removed]],4),
            LEFT(Working_Sales[[#This Row],[Date_Whitespace_Removed]],2),
            MID(Working_Sales[[#This Row],[Date_Whitespace_Removed]],4,2)
         ),
         Working_Sales[[#This Row],[Date_Format_Check]]
      ),
   "INVALID"
)</f>
        <v>45118</v>
      </c>
      <c r="G1001" s="5">
        <f>IFERROR(
   IF(
      Working_Sales[[#This Row],[Date_Parse_as_MMDDYYYY]]="INVALID",
      DATE(
         RIGHT(Working_Sales[[#This Row],[Date_Whitespace_Removed]],4),
         MATCH(
            _xlfn.TEXTBEFORE(Working_Sales[[#This Row],[Date_Whitespace_Removed]], " ",1),
            {"January";"February";"March";"April";"May";"June";"July";"August";"September";"October";"November";"December"},
            0
         ),
         RIGHT(
            _xlfn.TEXTBEFORE(Working_Sales[[#This Row],[Date_Whitespace_Removed]], ",",1),
            2
         )
      ),
      Working_Sales[[#This Row],[Date_Parse_as_MMDDYYYY]]
   ),
   "INVALID"
)</f>
        <v>45118</v>
      </c>
      <c r="H1001" t="s">
        <v>3131</v>
      </c>
      <c r="I1001" s="2" t="str">
        <f>CLEAN(TRIM(Working_Sales[[#This Row],[Customer ID]]))</f>
        <v>CUST390</v>
      </c>
      <c r="J1001" s="2" t="str">
        <f>IF(
   AND(
      EXACT(LEFT(Working_Sales[[#This Row],[Customer ID]],4),"CUST"),
      ISNUMBER(--_xlfn.TEXTAFTER(Working_Sales[[#This Row],[Customer ID]],"CUST")),
      ISERROR(FIND("-",Working_Sales[[#This Row],[Customer ID]]))
   ),
   Working_Sales[[#This Row],[Customer_ID_Whitespace_Removed]],
   "INVALID"
)</f>
        <v>CUST390</v>
      </c>
      <c r="K1001" s="6" t="str">
        <f>IF(
   Working_Sales[[#This Row],[Customer_ID_Check_No_Dash_Format]]="INVALID",
   UPPER(
      SUBSTITUTE(Working_Sales[[#This Row],[Customer_ID_Whitespace_Removed]],"-","")
   ),
   Working_Sales[[#This Row],[Customer_ID_Whitespace_Removed]]
)</f>
        <v>CUST390</v>
      </c>
      <c r="L1001" t="s">
        <v>26</v>
      </c>
      <c r="M1001" s="4" t="str">
        <f>CLEAN(TRIM(Working_Sales[[#This Row],[Gender]]))</f>
        <v>Female</v>
      </c>
      <c r="N1001" s="4" t="str" cm="1">
        <f t="array" ref="N1001">_xlfn.SWITCH(
   Working_Sales[[#This Row],[Gender_Whitespace_Removed]],
   "m", "Male",
   "f", "Female",
   Working_Sales[[#This Row],[Gender_Whitespace_Removed]]
)</f>
        <v>Female</v>
      </c>
      <c r="O1001" s="6" t="str">
        <f>PROPER(Working_Sales[[#This Row],[Gender_Abbreviation_Expanded]])</f>
        <v>Female</v>
      </c>
      <c r="P1001">
        <v>43</v>
      </c>
      <c r="Q1001" s="2" t="str">
        <f>CLEAN(TRIM(Working_Sales[[#This Row],[Age]]))</f>
        <v>43</v>
      </c>
      <c r="R1001" s="6">
        <f>INT(SUBSTITUTE(Working_Sales[[#This Row],[Age_Whitespace_Removed]],".",","))</f>
        <v>43</v>
      </c>
      <c r="S1001" t="s">
        <v>36</v>
      </c>
      <c r="T1001" s="2" t="str">
        <f>CLEAN(TRIM(Working_Sales[[#This Row],[Product Category]]))</f>
        <v>Beauty</v>
      </c>
      <c r="U1001" s="6" t="str">
        <f>PROPER(Working_Sales[[#This Row],[Product_Category_Whitespace_Removed]])</f>
        <v>Beauty</v>
      </c>
      <c r="V1001" t="s">
        <v>37</v>
      </c>
      <c r="W1001" s="2" t="str">
        <f>CLEAN(TRIM(Working_Sales[[#This Row],[Quantity]]))</f>
        <v>2</v>
      </c>
      <c r="X1001" s="2">
        <f>INT(Working_Sales[[#This Row],[`]])</f>
        <v>2</v>
      </c>
      <c r="Y1001" s="6">
        <f>IFERROR(
   Working_Sales[[#This Row],[Quantity_Converted_To_Integer]],
   Working_Sales[[#This Row],[Total_Amount_Whitespace_Removed]]/Working_Sales[[#This Row],[Price_Per_Unit_Decimal_Separator_Fixed]])</f>
        <v>2</v>
      </c>
      <c r="Z1001" t="s">
        <v>15</v>
      </c>
      <c r="AA1001" s="2" t="str">
        <f>CLEAN(TRIM(Working_Sales[[#This Row],[Price per Unit]]))</f>
        <v>50</v>
      </c>
      <c r="AB1001" s="2">
        <f>INT(
   SUBSTITUTE(Working_Sales[[#This Row],[Price_Per_Unit_Whitespace_Removed]],
   "$",
   ""
   )
)</f>
        <v>50</v>
      </c>
      <c r="AC1001" s="2">
        <f>INT(
   IFERROR(
      Working_Sales[[#This Row],[Price_Per_Unit_Dollar_Sign_Removed]],
      SUBSTITUTE(
         Working_Sales[[#This Row],[Price_Per_Unit_Whitespace_Removed]],
        ".",
         ","
      )
   )
)</f>
        <v>50</v>
      </c>
      <c r="AD1001" s="8">
        <f>IFERROR(
   Working_Sales[[#This Row],[Price_Per_Unit_Decimal_Separator_Fixed]],
   Working_Sales[[#This Row],[Total_Amount_Converted_To_Integer]]/Working_Sales[[#This Row],[Quantity_Converted_To_Integer]]
)</f>
        <v>50</v>
      </c>
      <c r="AE1001" t="s">
        <v>38</v>
      </c>
      <c r="AF1001" s="2" t="str">
        <f>CLEAN(TRIM(Working_Sales[[#This Row],[Total Amount]]))</f>
        <v>100</v>
      </c>
      <c r="AG1001" s="2">
        <f>INT(Working_Sales[[#This Row],[Total_Amount_Whitespace_Removed]])</f>
        <v>100</v>
      </c>
      <c r="AH1001" s="9">
        <f>IFERROR(
   Working_Sales[[#This Row],[Total_Amount_Converted_To_Integer]],
   Working_Sales[[#This Row],[Quantity_Repopulate_Missing_Values_With_Calculation_FINAL]]*Working_Sales[[#This Row],[Price_Per_Unit_Repopulate_Missing_Values_With_Calculation_FINAL]]
)</f>
        <v>100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C9037-F179-495F-8F65-38A186F1F48B}">
  <sheetPr codeName="Sheet3"/>
  <dimension ref="A1:J1001"/>
  <sheetViews>
    <sheetView zoomScaleNormal="100" workbookViewId="0">
      <pane ySplit="1" topLeftCell="A2" activePane="bottomLeft" state="frozen"/>
      <selection pane="bottomLeft" activeCell="G5" sqref="G5"/>
    </sheetView>
  </sheetViews>
  <sheetFormatPr defaultRowHeight="14.5" x14ac:dyDescent="0.35"/>
  <cols>
    <col min="1" max="1" width="13" bestFit="1" customWidth="1"/>
    <col min="2" max="2" width="10.453125" style="1" bestFit="1" customWidth="1"/>
    <col min="3" max="3" width="11.26953125" bestFit="1" customWidth="1"/>
    <col min="4" max="4" width="7" bestFit="1" customWidth="1"/>
    <col min="5" max="5" width="3.90625" bestFit="1" customWidth="1"/>
    <col min="6" max="6" width="15.453125" bestFit="1" customWidth="1"/>
    <col min="7" max="7" width="8.1796875" bestFit="1" customWidth="1"/>
    <col min="8" max="8" width="13.36328125" style="7" bestFit="1" customWidth="1"/>
    <col min="9" max="9" width="13.54296875" style="7" bestFit="1" customWidth="1"/>
    <col min="10" max="10" width="16.90625" style="7" bestFit="1" customWidth="1"/>
  </cols>
  <sheetData>
    <row r="1" spans="1:10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7" t="s">
        <v>3156</v>
      </c>
      <c r="I1" s="7" t="s">
        <v>8</v>
      </c>
      <c r="J1"/>
    </row>
    <row r="2" spans="1:10" x14ac:dyDescent="0.35">
      <c r="A2" t="s">
        <v>9</v>
      </c>
      <c r="B2" s="1">
        <v>45153</v>
      </c>
      <c r="C2" t="s">
        <v>1233</v>
      </c>
      <c r="D2" t="s">
        <v>34</v>
      </c>
      <c r="E2">
        <v>52</v>
      </c>
      <c r="F2" t="s">
        <v>13</v>
      </c>
      <c r="G2">
        <v>4</v>
      </c>
      <c r="H2" s="7">
        <v>50</v>
      </c>
      <c r="I2" s="7">
        <v>200</v>
      </c>
      <c r="J2"/>
    </row>
    <row r="3" spans="1:10" x14ac:dyDescent="0.35">
      <c r="A3" t="s">
        <v>17</v>
      </c>
      <c r="B3" s="1">
        <v>45197</v>
      </c>
      <c r="C3" t="s">
        <v>1628</v>
      </c>
      <c r="D3" t="s">
        <v>34</v>
      </c>
      <c r="E3">
        <v>23</v>
      </c>
      <c r="F3" t="s">
        <v>13</v>
      </c>
      <c r="G3">
        <v>1</v>
      </c>
      <c r="H3" s="7">
        <v>300</v>
      </c>
      <c r="I3" s="7">
        <v>300</v>
      </c>
      <c r="J3"/>
    </row>
    <row r="4" spans="1:10" x14ac:dyDescent="0.35">
      <c r="A4" t="s">
        <v>24</v>
      </c>
      <c r="B4" s="1">
        <v>45074</v>
      </c>
      <c r="C4" t="s">
        <v>856</v>
      </c>
      <c r="D4" t="s">
        <v>26</v>
      </c>
      <c r="E4">
        <v>63</v>
      </c>
      <c r="F4" t="s">
        <v>56</v>
      </c>
      <c r="G4">
        <v>3</v>
      </c>
      <c r="H4" s="7">
        <v>25</v>
      </c>
      <c r="I4" s="7">
        <v>75</v>
      </c>
      <c r="J4"/>
    </row>
    <row r="5" spans="1:10" x14ac:dyDescent="0.35">
      <c r="A5" t="s">
        <v>32</v>
      </c>
      <c r="B5" s="1">
        <v>45029</v>
      </c>
      <c r="C5" t="s">
        <v>2238</v>
      </c>
      <c r="D5" t="s">
        <v>34</v>
      </c>
      <c r="E5">
        <v>54</v>
      </c>
      <c r="F5" t="s">
        <v>36</v>
      </c>
      <c r="G5">
        <v>2</v>
      </c>
      <c r="H5" s="7">
        <v>50</v>
      </c>
      <c r="I5" s="7">
        <v>100</v>
      </c>
      <c r="J5"/>
    </row>
    <row r="6" spans="1:10" x14ac:dyDescent="0.35">
      <c r="A6" t="s">
        <v>39</v>
      </c>
      <c r="B6" s="1">
        <v>45100</v>
      </c>
      <c r="C6" t="s">
        <v>1001</v>
      </c>
      <c r="D6" t="s">
        <v>26</v>
      </c>
      <c r="E6">
        <v>62</v>
      </c>
      <c r="F6" t="s">
        <v>36</v>
      </c>
      <c r="G6">
        <v>4</v>
      </c>
      <c r="H6" s="7">
        <v>30</v>
      </c>
      <c r="I6" s="7">
        <v>120</v>
      </c>
      <c r="J6"/>
    </row>
    <row r="7" spans="1:10" x14ac:dyDescent="0.35">
      <c r="A7" t="s">
        <v>45</v>
      </c>
      <c r="B7" s="1">
        <v>44956</v>
      </c>
      <c r="C7" t="s">
        <v>2238</v>
      </c>
      <c r="D7" t="s">
        <v>26</v>
      </c>
      <c r="E7">
        <v>46</v>
      </c>
      <c r="F7" t="s">
        <v>13</v>
      </c>
      <c r="G7">
        <v>4</v>
      </c>
      <c r="H7" s="7">
        <v>25</v>
      </c>
      <c r="I7" s="7">
        <v>100</v>
      </c>
      <c r="J7"/>
    </row>
    <row r="8" spans="1:10" x14ac:dyDescent="0.35">
      <c r="A8" t="s">
        <v>50</v>
      </c>
      <c r="B8" s="1">
        <v>45093</v>
      </c>
      <c r="C8" t="s">
        <v>1718</v>
      </c>
      <c r="D8" t="s">
        <v>34</v>
      </c>
      <c r="E8">
        <v>42</v>
      </c>
      <c r="F8" t="s">
        <v>36</v>
      </c>
      <c r="G8">
        <v>4</v>
      </c>
      <c r="H8" s="7">
        <v>50</v>
      </c>
      <c r="I8" s="7">
        <v>200</v>
      </c>
      <c r="J8"/>
    </row>
    <row r="9" spans="1:10" x14ac:dyDescent="0.35">
      <c r="A9" t="s">
        <v>53</v>
      </c>
      <c r="B9" s="1">
        <v>44941</v>
      </c>
      <c r="C9" t="s">
        <v>1950</v>
      </c>
      <c r="D9" t="s">
        <v>34</v>
      </c>
      <c r="E9">
        <v>53</v>
      </c>
      <c r="F9" t="s">
        <v>56</v>
      </c>
      <c r="G9">
        <v>1</v>
      </c>
      <c r="H9" s="7">
        <v>500</v>
      </c>
      <c r="I9" s="7">
        <v>500</v>
      </c>
      <c r="J9"/>
    </row>
    <row r="10" spans="1:10" x14ac:dyDescent="0.35">
      <c r="A10" t="s">
        <v>58</v>
      </c>
      <c r="B10" s="1">
        <v>45186</v>
      </c>
      <c r="C10" t="s">
        <v>1163</v>
      </c>
      <c r="D10" t="s">
        <v>34</v>
      </c>
      <c r="E10">
        <v>32</v>
      </c>
      <c r="F10" t="s">
        <v>36</v>
      </c>
      <c r="G10">
        <v>2</v>
      </c>
      <c r="H10" s="7">
        <v>25</v>
      </c>
      <c r="I10" s="7">
        <v>50</v>
      </c>
      <c r="J10"/>
    </row>
    <row r="11" spans="1:10" x14ac:dyDescent="0.35">
      <c r="A11" t="s">
        <v>63</v>
      </c>
      <c r="B11" s="1">
        <v>44984</v>
      </c>
      <c r="C11" t="s">
        <v>2290</v>
      </c>
      <c r="D11" t="s">
        <v>34</v>
      </c>
      <c r="E11">
        <v>29</v>
      </c>
      <c r="F11" t="s">
        <v>36</v>
      </c>
      <c r="G11">
        <v>4</v>
      </c>
      <c r="H11" s="7">
        <v>50</v>
      </c>
      <c r="I11" s="7">
        <v>200</v>
      </c>
      <c r="J11"/>
    </row>
    <row r="12" spans="1:10" x14ac:dyDescent="0.35">
      <c r="A12" t="s">
        <v>66</v>
      </c>
      <c r="B12" s="1">
        <v>45166</v>
      </c>
      <c r="C12" t="s">
        <v>137</v>
      </c>
      <c r="D12" t="s">
        <v>34</v>
      </c>
      <c r="E12">
        <v>23</v>
      </c>
      <c r="F12" t="s">
        <v>36</v>
      </c>
      <c r="G12">
        <v>2</v>
      </c>
      <c r="H12" s="7">
        <v>30</v>
      </c>
      <c r="I12" s="7">
        <v>60</v>
      </c>
      <c r="J12"/>
    </row>
    <row r="13" spans="1:10" x14ac:dyDescent="0.35">
      <c r="A13" t="s">
        <v>72</v>
      </c>
      <c r="B13" s="1">
        <v>45187</v>
      </c>
      <c r="C13" t="s">
        <v>1136</v>
      </c>
      <c r="D13" t="s">
        <v>26</v>
      </c>
      <c r="E13">
        <v>42</v>
      </c>
      <c r="F13" t="s">
        <v>36</v>
      </c>
      <c r="G13">
        <v>4</v>
      </c>
      <c r="H13" s="7">
        <v>50</v>
      </c>
      <c r="I13" s="7">
        <v>200</v>
      </c>
      <c r="J13"/>
    </row>
    <row r="14" spans="1:10" x14ac:dyDescent="0.35">
      <c r="A14" t="s">
        <v>76</v>
      </c>
      <c r="B14" s="1">
        <v>45077</v>
      </c>
      <c r="C14" t="s">
        <v>1559</v>
      </c>
      <c r="D14" t="s">
        <v>34</v>
      </c>
      <c r="E14">
        <v>28</v>
      </c>
      <c r="F14" t="s">
        <v>13</v>
      </c>
      <c r="G14">
        <v>4</v>
      </c>
      <c r="H14" s="7">
        <v>300</v>
      </c>
      <c r="I14" s="7">
        <v>1200</v>
      </c>
      <c r="J14"/>
    </row>
    <row r="15" spans="1:10" x14ac:dyDescent="0.35">
      <c r="A15" t="s">
        <v>80</v>
      </c>
      <c r="B15" s="1">
        <v>45087</v>
      </c>
      <c r="C15" t="s">
        <v>1738</v>
      </c>
      <c r="D15" t="s">
        <v>34</v>
      </c>
      <c r="E15">
        <v>50</v>
      </c>
      <c r="F15" t="s">
        <v>13</v>
      </c>
      <c r="G15">
        <v>3</v>
      </c>
      <c r="H15" s="7">
        <v>500</v>
      </c>
      <c r="I15" s="7">
        <v>1500</v>
      </c>
      <c r="J15"/>
    </row>
    <row r="16" spans="1:10" x14ac:dyDescent="0.35">
      <c r="A16" t="s">
        <v>86</v>
      </c>
      <c r="B16" s="1">
        <v>45094</v>
      </c>
      <c r="C16" t="s">
        <v>199</v>
      </c>
      <c r="D16" t="s">
        <v>34</v>
      </c>
      <c r="E16">
        <v>47</v>
      </c>
      <c r="F16" t="s">
        <v>56</v>
      </c>
      <c r="G16">
        <v>4</v>
      </c>
      <c r="H16" s="7">
        <v>300</v>
      </c>
      <c r="I16" s="7">
        <v>1200</v>
      </c>
      <c r="J16"/>
    </row>
    <row r="17" spans="1:10" x14ac:dyDescent="0.35">
      <c r="A17" t="s">
        <v>90</v>
      </c>
      <c r="B17" s="1">
        <v>45121</v>
      </c>
      <c r="C17" t="s">
        <v>2259</v>
      </c>
      <c r="D17" t="s">
        <v>34</v>
      </c>
      <c r="E17">
        <v>58</v>
      </c>
      <c r="F17" t="s">
        <v>56</v>
      </c>
      <c r="G17">
        <v>1</v>
      </c>
      <c r="H17" s="7">
        <v>25</v>
      </c>
      <c r="I17" s="7">
        <v>25</v>
      </c>
      <c r="J17"/>
    </row>
    <row r="18" spans="1:10" x14ac:dyDescent="0.35">
      <c r="A18" t="s">
        <v>93</v>
      </c>
      <c r="B18" s="1">
        <v>45195</v>
      </c>
      <c r="C18" t="s">
        <v>511</v>
      </c>
      <c r="D18" t="s">
        <v>26</v>
      </c>
      <c r="E18">
        <v>64</v>
      </c>
      <c r="F18" t="s">
        <v>13</v>
      </c>
      <c r="G18">
        <v>2</v>
      </c>
      <c r="H18" s="7">
        <v>50</v>
      </c>
      <c r="I18" s="7">
        <v>100</v>
      </c>
      <c r="J18"/>
    </row>
    <row r="19" spans="1:10" x14ac:dyDescent="0.35">
      <c r="A19" t="s">
        <v>97</v>
      </c>
      <c r="B19" s="1">
        <v>45247</v>
      </c>
      <c r="C19" t="s">
        <v>1444</v>
      </c>
      <c r="D19" t="s">
        <v>26</v>
      </c>
      <c r="E19">
        <v>35</v>
      </c>
      <c r="F19" t="s">
        <v>13</v>
      </c>
      <c r="G19">
        <v>4</v>
      </c>
      <c r="H19" s="7">
        <v>30</v>
      </c>
      <c r="I19" s="7">
        <v>120</v>
      </c>
      <c r="J19"/>
    </row>
    <row r="20" spans="1:10" x14ac:dyDescent="0.35">
      <c r="A20" t="s">
        <v>101</v>
      </c>
      <c r="B20" s="1">
        <v>44993</v>
      </c>
      <c r="C20" t="s">
        <v>1005</v>
      </c>
      <c r="D20" t="s">
        <v>26</v>
      </c>
      <c r="E20">
        <v>27</v>
      </c>
      <c r="F20" t="s">
        <v>56</v>
      </c>
      <c r="G20">
        <v>1</v>
      </c>
      <c r="H20" s="7">
        <v>25</v>
      </c>
      <c r="I20" s="7">
        <v>25</v>
      </c>
      <c r="J20"/>
    </row>
    <row r="21" spans="1:10" x14ac:dyDescent="0.35">
      <c r="A21" t="s">
        <v>105</v>
      </c>
      <c r="B21" s="1">
        <v>45263</v>
      </c>
      <c r="C21" t="s">
        <v>1467</v>
      </c>
      <c r="D21" t="s">
        <v>26</v>
      </c>
      <c r="E21">
        <v>35</v>
      </c>
      <c r="F21" t="s">
        <v>13</v>
      </c>
      <c r="G21">
        <v>2</v>
      </c>
      <c r="H21" s="7">
        <v>300</v>
      </c>
      <c r="I21" s="7">
        <v>600</v>
      </c>
      <c r="J21"/>
    </row>
    <row r="22" spans="1:10" x14ac:dyDescent="0.35">
      <c r="A22" t="s">
        <v>108</v>
      </c>
      <c r="B22" s="1">
        <v>45079</v>
      </c>
      <c r="C22" t="s">
        <v>2312</v>
      </c>
      <c r="D22" t="s">
        <v>34</v>
      </c>
      <c r="E22">
        <v>62</v>
      </c>
      <c r="F22" t="s">
        <v>13</v>
      </c>
      <c r="G22">
        <v>2</v>
      </c>
      <c r="H22" s="7">
        <v>25</v>
      </c>
      <c r="I22" s="7">
        <v>50</v>
      </c>
      <c r="J22"/>
    </row>
    <row r="23" spans="1:10" x14ac:dyDescent="0.35">
      <c r="A23" t="s">
        <v>110</v>
      </c>
      <c r="B23" s="1">
        <v>45265</v>
      </c>
      <c r="C23" t="s">
        <v>715</v>
      </c>
      <c r="D23" t="s">
        <v>26</v>
      </c>
      <c r="E23">
        <v>51</v>
      </c>
      <c r="F23" t="s">
        <v>36</v>
      </c>
      <c r="G23">
        <v>1</v>
      </c>
      <c r="H23" s="7">
        <v>25</v>
      </c>
      <c r="I23" s="7">
        <v>25</v>
      </c>
      <c r="J23"/>
    </row>
    <row r="24" spans="1:10" x14ac:dyDescent="0.35">
      <c r="A24" t="s">
        <v>114</v>
      </c>
      <c r="B24" s="1">
        <v>45135</v>
      </c>
      <c r="C24" t="s">
        <v>1833</v>
      </c>
      <c r="D24" t="s">
        <v>34</v>
      </c>
      <c r="E24">
        <v>41</v>
      </c>
      <c r="F24" t="s">
        <v>13</v>
      </c>
      <c r="G24">
        <v>1</v>
      </c>
      <c r="H24" s="7">
        <v>500</v>
      </c>
      <c r="I24" s="7">
        <v>500</v>
      </c>
      <c r="J24"/>
    </row>
    <row r="25" spans="1:10" x14ac:dyDescent="0.35">
      <c r="A25" t="s">
        <v>118</v>
      </c>
      <c r="B25" s="1">
        <v>44968</v>
      </c>
      <c r="C25" t="s">
        <v>2219</v>
      </c>
      <c r="D25" t="s">
        <v>34</v>
      </c>
      <c r="E25">
        <v>40</v>
      </c>
      <c r="F25" t="s">
        <v>56</v>
      </c>
      <c r="G25">
        <v>1</v>
      </c>
      <c r="H25" s="7">
        <v>25</v>
      </c>
      <c r="I25" s="7">
        <v>25</v>
      </c>
      <c r="J25"/>
    </row>
    <row r="26" spans="1:10" x14ac:dyDescent="0.35">
      <c r="A26" t="s">
        <v>121</v>
      </c>
      <c r="B26" s="1">
        <v>45252</v>
      </c>
      <c r="C26" t="s">
        <v>1102</v>
      </c>
      <c r="D26" t="s">
        <v>34</v>
      </c>
      <c r="E26">
        <v>39</v>
      </c>
      <c r="F26" t="s">
        <v>56</v>
      </c>
      <c r="G26">
        <v>4</v>
      </c>
      <c r="H26" s="7">
        <v>25</v>
      </c>
      <c r="I26" s="7">
        <v>100</v>
      </c>
      <c r="J26"/>
    </row>
    <row r="27" spans="1:10" x14ac:dyDescent="0.35">
      <c r="A27" t="s">
        <v>30</v>
      </c>
      <c r="B27" s="1">
        <v>45286</v>
      </c>
      <c r="C27" t="s">
        <v>126</v>
      </c>
      <c r="D27" t="s">
        <v>26</v>
      </c>
      <c r="E27">
        <v>64</v>
      </c>
      <c r="F27" t="s">
        <v>36</v>
      </c>
      <c r="G27">
        <v>1</v>
      </c>
      <c r="H27" s="7">
        <v>50</v>
      </c>
      <c r="I27" s="7">
        <v>50</v>
      </c>
      <c r="J27"/>
    </row>
    <row r="28" spans="1:10" x14ac:dyDescent="0.35">
      <c r="A28" t="s">
        <v>127</v>
      </c>
      <c r="B28" s="1">
        <v>45072</v>
      </c>
      <c r="C28" t="s">
        <v>2190</v>
      </c>
      <c r="D28" t="s">
        <v>34</v>
      </c>
      <c r="E28">
        <v>32</v>
      </c>
      <c r="F28" t="s">
        <v>36</v>
      </c>
      <c r="G28">
        <v>3</v>
      </c>
      <c r="H28" s="7">
        <v>300</v>
      </c>
      <c r="I28" s="7">
        <v>900</v>
      </c>
      <c r="J28"/>
    </row>
    <row r="29" spans="1:10" x14ac:dyDescent="0.35">
      <c r="A29" t="s">
        <v>129</v>
      </c>
      <c r="B29" s="1">
        <v>45242</v>
      </c>
      <c r="C29" t="s">
        <v>346</v>
      </c>
      <c r="D29" t="s">
        <v>26</v>
      </c>
      <c r="E29">
        <v>46</v>
      </c>
      <c r="F29" t="s">
        <v>36</v>
      </c>
      <c r="G29">
        <v>3</v>
      </c>
      <c r="H29" s="7">
        <v>50</v>
      </c>
      <c r="I29" s="7">
        <v>150</v>
      </c>
      <c r="J29"/>
    </row>
    <row r="30" spans="1:10" x14ac:dyDescent="0.35">
      <c r="A30" t="s">
        <v>131</v>
      </c>
      <c r="B30" s="1">
        <v>45283</v>
      </c>
      <c r="C30" t="s">
        <v>2244</v>
      </c>
      <c r="D30" t="s">
        <v>26</v>
      </c>
      <c r="E30">
        <v>26</v>
      </c>
      <c r="F30" t="s">
        <v>36</v>
      </c>
      <c r="G30">
        <v>1</v>
      </c>
      <c r="H30" s="7">
        <v>25</v>
      </c>
      <c r="I30" s="7">
        <v>25</v>
      </c>
      <c r="J30"/>
    </row>
    <row r="31" spans="1:10" x14ac:dyDescent="0.35">
      <c r="A31" t="s">
        <v>135</v>
      </c>
      <c r="B31" s="1">
        <v>45206</v>
      </c>
      <c r="C31" t="s">
        <v>1337</v>
      </c>
      <c r="D31" t="s">
        <v>26</v>
      </c>
      <c r="E31">
        <v>52</v>
      </c>
      <c r="F31" t="s">
        <v>56</v>
      </c>
      <c r="G31">
        <v>4</v>
      </c>
      <c r="H31" s="7">
        <v>50</v>
      </c>
      <c r="I31" s="7">
        <v>200</v>
      </c>
      <c r="J31"/>
    </row>
    <row r="32" spans="1:10" x14ac:dyDescent="0.35">
      <c r="A32" t="s">
        <v>138</v>
      </c>
      <c r="B32" s="1">
        <v>45062</v>
      </c>
      <c r="C32" t="s">
        <v>1747</v>
      </c>
      <c r="D32" t="s">
        <v>26</v>
      </c>
      <c r="E32">
        <v>38</v>
      </c>
      <c r="F32" t="s">
        <v>36</v>
      </c>
      <c r="G32">
        <v>3</v>
      </c>
      <c r="H32" s="7">
        <v>50</v>
      </c>
      <c r="I32" s="7">
        <v>150</v>
      </c>
      <c r="J32"/>
    </row>
    <row r="33" spans="1:10" x14ac:dyDescent="0.35">
      <c r="A33" t="s">
        <v>142</v>
      </c>
      <c r="B33" s="1">
        <v>45165</v>
      </c>
      <c r="C33" t="s">
        <v>1036</v>
      </c>
      <c r="D33" t="s">
        <v>26</v>
      </c>
      <c r="E33">
        <v>51</v>
      </c>
      <c r="F33" t="s">
        <v>13</v>
      </c>
      <c r="G33">
        <v>1</v>
      </c>
      <c r="H33" s="7">
        <v>300</v>
      </c>
      <c r="I33" s="7">
        <v>300</v>
      </c>
      <c r="J33"/>
    </row>
    <row r="34" spans="1:10" x14ac:dyDescent="0.35">
      <c r="A34" t="s">
        <v>144</v>
      </c>
      <c r="B34" s="1">
        <v>45237</v>
      </c>
      <c r="C34" t="s">
        <v>1173</v>
      </c>
      <c r="D34" t="s">
        <v>26</v>
      </c>
      <c r="E34">
        <v>45</v>
      </c>
      <c r="F34" t="s">
        <v>36</v>
      </c>
      <c r="G34">
        <v>2</v>
      </c>
      <c r="H34" s="7">
        <v>30</v>
      </c>
      <c r="I34" s="7">
        <v>60</v>
      </c>
      <c r="J34"/>
    </row>
    <row r="35" spans="1:10" x14ac:dyDescent="0.35">
      <c r="A35" t="s">
        <v>148</v>
      </c>
      <c r="B35" s="1">
        <v>45183</v>
      </c>
      <c r="C35" t="s">
        <v>1139</v>
      </c>
      <c r="D35" t="s">
        <v>26</v>
      </c>
      <c r="E35">
        <v>60</v>
      </c>
      <c r="F35" t="s">
        <v>56</v>
      </c>
      <c r="G35">
        <v>4</v>
      </c>
      <c r="H35" s="7">
        <v>300</v>
      </c>
      <c r="I35" s="7">
        <v>1200</v>
      </c>
      <c r="J35"/>
    </row>
    <row r="36" spans="1:10" x14ac:dyDescent="0.35">
      <c r="A36" t="s">
        <v>150</v>
      </c>
      <c r="B36" s="1">
        <v>45025</v>
      </c>
      <c r="C36" t="s">
        <v>1852</v>
      </c>
      <c r="D36" t="s">
        <v>34</v>
      </c>
      <c r="E36">
        <v>21</v>
      </c>
      <c r="F36" t="s">
        <v>36</v>
      </c>
      <c r="G36">
        <v>4</v>
      </c>
      <c r="H36" s="7">
        <v>50</v>
      </c>
      <c r="I36" s="7">
        <v>200</v>
      </c>
      <c r="J36"/>
    </row>
    <row r="37" spans="1:10" x14ac:dyDescent="0.35">
      <c r="A37" t="s">
        <v>154</v>
      </c>
      <c r="B37" s="1">
        <v>45247</v>
      </c>
      <c r="C37" t="s">
        <v>253</v>
      </c>
      <c r="D37" t="s">
        <v>34</v>
      </c>
      <c r="E37">
        <v>18</v>
      </c>
      <c r="F37" t="s">
        <v>36</v>
      </c>
      <c r="G37">
        <v>3</v>
      </c>
      <c r="H37" s="7">
        <v>500</v>
      </c>
      <c r="I37" s="7">
        <v>1500</v>
      </c>
      <c r="J37"/>
    </row>
    <row r="38" spans="1:10" x14ac:dyDescent="0.35">
      <c r="A38" t="s">
        <v>158</v>
      </c>
      <c r="B38" s="1">
        <v>45061</v>
      </c>
      <c r="C38" t="s">
        <v>2308</v>
      </c>
      <c r="D38" t="s">
        <v>26</v>
      </c>
      <c r="E38">
        <v>47</v>
      </c>
      <c r="F38" t="s">
        <v>36</v>
      </c>
      <c r="G38">
        <v>3</v>
      </c>
      <c r="H38" s="7">
        <v>500</v>
      </c>
      <c r="I38" s="7">
        <v>1500</v>
      </c>
      <c r="J38"/>
    </row>
    <row r="39" spans="1:10" x14ac:dyDescent="0.35">
      <c r="A39" t="s">
        <v>134</v>
      </c>
      <c r="B39" s="1">
        <v>45206</v>
      </c>
      <c r="C39" t="s">
        <v>1405</v>
      </c>
      <c r="D39" t="s">
        <v>26</v>
      </c>
      <c r="E39">
        <v>28</v>
      </c>
      <c r="F39" t="s">
        <v>13</v>
      </c>
      <c r="G39">
        <v>2</v>
      </c>
      <c r="H39" s="7">
        <v>500</v>
      </c>
      <c r="I39" s="7">
        <v>1000</v>
      </c>
      <c r="J39"/>
    </row>
    <row r="40" spans="1:10" x14ac:dyDescent="0.35">
      <c r="A40" t="s">
        <v>164</v>
      </c>
      <c r="B40" s="1">
        <v>45151</v>
      </c>
      <c r="C40" t="s">
        <v>899</v>
      </c>
      <c r="D40" t="s">
        <v>26</v>
      </c>
      <c r="E40">
        <v>35</v>
      </c>
      <c r="F40" t="s">
        <v>13</v>
      </c>
      <c r="G40">
        <v>4</v>
      </c>
      <c r="H40" s="7">
        <v>50</v>
      </c>
      <c r="I40" s="7">
        <v>200</v>
      </c>
      <c r="J40"/>
    </row>
    <row r="41" spans="1:10" x14ac:dyDescent="0.35">
      <c r="A41" t="s">
        <v>167</v>
      </c>
      <c r="B41" s="1">
        <v>45153</v>
      </c>
      <c r="C41" t="s">
        <v>385</v>
      </c>
      <c r="D41" t="s">
        <v>26</v>
      </c>
      <c r="E41">
        <v>31</v>
      </c>
      <c r="F41" t="s">
        <v>13</v>
      </c>
      <c r="G41">
        <v>1</v>
      </c>
      <c r="H41" s="7">
        <v>25</v>
      </c>
      <c r="I41" s="7">
        <v>25</v>
      </c>
      <c r="J41"/>
    </row>
    <row r="42" spans="1:10" x14ac:dyDescent="0.35">
      <c r="A42" t="s">
        <v>172</v>
      </c>
      <c r="B42" s="1">
        <v>44964</v>
      </c>
      <c r="C42" t="s">
        <v>1786</v>
      </c>
      <c r="D42" t="s">
        <v>26</v>
      </c>
      <c r="E42">
        <v>64</v>
      </c>
      <c r="F42" t="s">
        <v>13</v>
      </c>
      <c r="G42">
        <v>1</v>
      </c>
      <c r="H42" s="7">
        <v>300</v>
      </c>
      <c r="I42" s="7">
        <v>300</v>
      </c>
      <c r="J42"/>
    </row>
    <row r="43" spans="1:10" x14ac:dyDescent="0.35">
      <c r="A43" t="s">
        <v>174</v>
      </c>
      <c r="B43" s="1">
        <v>44943</v>
      </c>
      <c r="C43" t="s">
        <v>2231</v>
      </c>
      <c r="D43" t="s">
        <v>26</v>
      </c>
      <c r="E43">
        <v>59</v>
      </c>
      <c r="F43" t="s">
        <v>56</v>
      </c>
      <c r="G43">
        <v>1</v>
      </c>
      <c r="H43" s="7">
        <v>25</v>
      </c>
      <c r="I43" s="7">
        <v>25</v>
      </c>
      <c r="J43"/>
    </row>
    <row r="44" spans="1:10" x14ac:dyDescent="0.35">
      <c r="A44" t="s">
        <v>178</v>
      </c>
      <c r="B44" s="1">
        <v>44929</v>
      </c>
      <c r="C44" t="s">
        <v>1329</v>
      </c>
      <c r="D44" t="s">
        <v>26</v>
      </c>
      <c r="E44">
        <v>26</v>
      </c>
      <c r="F44" t="s">
        <v>36</v>
      </c>
      <c r="G44">
        <v>2</v>
      </c>
      <c r="H44" s="7">
        <v>300</v>
      </c>
      <c r="I44" s="7">
        <v>600</v>
      </c>
      <c r="J44"/>
    </row>
    <row r="45" spans="1:10" x14ac:dyDescent="0.35">
      <c r="A45" t="s">
        <v>181</v>
      </c>
      <c r="B45" s="1">
        <v>45180</v>
      </c>
      <c r="C45" t="s">
        <v>2296</v>
      </c>
      <c r="D45" t="s">
        <v>26</v>
      </c>
      <c r="E45">
        <v>29</v>
      </c>
      <c r="F45" t="s">
        <v>13</v>
      </c>
      <c r="G45">
        <v>4</v>
      </c>
      <c r="H45" s="7">
        <v>50</v>
      </c>
      <c r="I45" s="7">
        <v>200</v>
      </c>
      <c r="J45"/>
    </row>
    <row r="46" spans="1:10" x14ac:dyDescent="0.35">
      <c r="A46" t="s">
        <v>182</v>
      </c>
      <c r="B46" s="1">
        <v>45248</v>
      </c>
      <c r="C46" t="s">
        <v>374</v>
      </c>
      <c r="D46" t="s">
        <v>26</v>
      </c>
      <c r="E46">
        <v>47</v>
      </c>
      <c r="F46" t="s">
        <v>36</v>
      </c>
      <c r="G46">
        <v>4</v>
      </c>
      <c r="H46" s="7">
        <v>25</v>
      </c>
      <c r="I46" s="7">
        <v>100</v>
      </c>
      <c r="J46"/>
    </row>
    <row r="47" spans="1:10" x14ac:dyDescent="0.35">
      <c r="A47" t="s">
        <v>183</v>
      </c>
      <c r="B47" s="1">
        <v>45098</v>
      </c>
      <c r="C47" t="s">
        <v>2321</v>
      </c>
      <c r="D47" t="s">
        <v>26</v>
      </c>
      <c r="E47">
        <v>24</v>
      </c>
      <c r="F47" t="s">
        <v>13</v>
      </c>
      <c r="G47">
        <v>4</v>
      </c>
      <c r="H47" s="7">
        <v>25</v>
      </c>
      <c r="I47" s="7">
        <v>100</v>
      </c>
      <c r="J47"/>
    </row>
    <row r="48" spans="1:10" x14ac:dyDescent="0.35">
      <c r="A48" t="s">
        <v>185</v>
      </c>
      <c r="B48" s="1">
        <v>45283</v>
      </c>
      <c r="C48" t="s">
        <v>1644</v>
      </c>
      <c r="D48" t="s">
        <v>26</v>
      </c>
      <c r="E48">
        <v>60</v>
      </c>
      <c r="F48" t="s">
        <v>13</v>
      </c>
      <c r="G48">
        <v>3</v>
      </c>
      <c r="H48" s="7">
        <v>300</v>
      </c>
      <c r="I48" s="7">
        <v>900</v>
      </c>
      <c r="J48"/>
    </row>
    <row r="49" spans="1:10" x14ac:dyDescent="0.35">
      <c r="A49" t="s">
        <v>187</v>
      </c>
      <c r="B49" s="1">
        <v>45225</v>
      </c>
      <c r="C49" t="s">
        <v>350</v>
      </c>
      <c r="D49" t="s">
        <v>26</v>
      </c>
      <c r="E49">
        <v>28</v>
      </c>
      <c r="F49" t="s">
        <v>56</v>
      </c>
      <c r="G49">
        <v>3</v>
      </c>
      <c r="H49" s="7">
        <v>30</v>
      </c>
      <c r="I49" s="7">
        <v>90</v>
      </c>
      <c r="J49"/>
    </row>
    <row r="50" spans="1:10" x14ac:dyDescent="0.35">
      <c r="A50" t="s">
        <v>192</v>
      </c>
      <c r="B50" s="1">
        <v>45278</v>
      </c>
      <c r="C50" t="s">
        <v>1825</v>
      </c>
      <c r="D50" t="s">
        <v>26</v>
      </c>
      <c r="E50">
        <v>21</v>
      </c>
      <c r="F50" t="s">
        <v>13</v>
      </c>
      <c r="G50">
        <v>3</v>
      </c>
      <c r="H50" s="7">
        <v>300</v>
      </c>
      <c r="I50" s="7">
        <v>900</v>
      </c>
      <c r="J50"/>
    </row>
    <row r="51" spans="1:10" x14ac:dyDescent="0.35">
      <c r="A51" t="s">
        <v>196</v>
      </c>
      <c r="B51" s="1">
        <v>45273</v>
      </c>
      <c r="C51" t="s">
        <v>2206</v>
      </c>
      <c r="D51" t="s">
        <v>34</v>
      </c>
      <c r="E51">
        <v>24</v>
      </c>
      <c r="F51" t="s">
        <v>13</v>
      </c>
      <c r="G51">
        <v>2</v>
      </c>
      <c r="H51" s="7">
        <v>25</v>
      </c>
      <c r="I51" s="7">
        <v>50</v>
      </c>
      <c r="J51"/>
    </row>
    <row r="52" spans="1:10" x14ac:dyDescent="0.35">
      <c r="A52" t="s">
        <v>197</v>
      </c>
      <c r="B52" s="1">
        <v>44943</v>
      </c>
      <c r="C52" t="s">
        <v>1714</v>
      </c>
      <c r="D52" t="s">
        <v>34</v>
      </c>
      <c r="E52">
        <v>64</v>
      </c>
      <c r="F52" t="s">
        <v>56</v>
      </c>
      <c r="G52">
        <v>4</v>
      </c>
      <c r="H52" s="7">
        <v>30</v>
      </c>
      <c r="I52" s="7">
        <v>120</v>
      </c>
      <c r="J52"/>
    </row>
    <row r="53" spans="1:10" x14ac:dyDescent="0.35">
      <c r="A53" t="s">
        <v>200</v>
      </c>
      <c r="B53" s="1">
        <v>45174</v>
      </c>
      <c r="C53" t="s">
        <v>2220</v>
      </c>
      <c r="D53" t="s">
        <v>26</v>
      </c>
      <c r="E53">
        <v>59</v>
      </c>
      <c r="F53" t="s">
        <v>56</v>
      </c>
      <c r="G53">
        <v>1</v>
      </c>
      <c r="H53" s="7">
        <v>500</v>
      </c>
      <c r="I53" s="7">
        <v>500</v>
      </c>
      <c r="J53"/>
    </row>
    <row r="54" spans="1:10" x14ac:dyDescent="0.35">
      <c r="A54" t="s">
        <v>201</v>
      </c>
      <c r="B54" s="1">
        <v>45273</v>
      </c>
      <c r="C54" t="s">
        <v>2218</v>
      </c>
      <c r="D54" t="s">
        <v>26</v>
      </c>
      <c r="E54">
        <v>49</v>
      </c>
      <c r="F54" t="s">
        <v>13</v>
      </c>
      <c r="G54">
        <v>3</v>
      </c>
      <c r="H54" s="7">
        <v>25</v>
      </c>
      <c r="I54" s="7">
        <v>75</v>
      </c>
      <c r="J54"/>
    </row>
    <row r="55" spans="1:10" x14ac:dyDescent="0.35">
      <c r="A55" t="s">
        <v>38</v>
      </c>
      <c r="B55" s="1">
        <v>45093</v>
      </c>
      <c r="C55" t="s">
        <v>1003</v>
      </c>
      <c r="D55" t="s">
        <v>34</v>
      </c>
      <c r="E55">
        <v>41</v>
      </c>
      <c r="F55" t="s">
        <v>13</v>
      </c>
      <c r="G55">
        <v>1</v>
      </c>
      <c r="H55" s="7">
        <v>30</v>
      </c>
      <c r="I55" s="7">
        <v>30</v>
      </c>
      <c r="J55"/>
    </row>
    <row r="56" spans="1:10" x14ac:dyDescent="0.35">
      <c r="A56" t="s">
        <v>205</v>
      </c>
      <c r="B56" s="1">
        <v>45042</v>
      </c>
      <c r="C56" t="s">
        <v>255</v>
      </c>
      <c r="D56" t="s">
        <v>34</v>
      </c>
      <c r="E56">
        <v>38</v>
      </c>
      <c r="F56" t="s">
        <v>13</v>
      </c>
      <c r="G56">
        <v>2</v>
      </c>
      <c r="H56" s="7">
        <v>30</v>
      </c>
      <c r="I56" s="7">
        <v>60</v>
      </c>
      <c r="J56"/>
    </row>
    <row r="57" spans="1:10" x14ac:dyDescent="0.35">
      <c r="A57" t="s">
        <v>206</v>
      </c>
      <c r="B57" s="1">
        <v>45108</v>
      </c>
      <c r="C57" t="s">
        <v>1173</v>
      </c>
      <c r="D57" t="s">
        <v>34</v>
      </c>
      <c r="E57">
        <v>31</v>
      </c>
      <c r="F57" t="s">
        <v>13</v>
      </c>
      <c r="G57">
        <v>4</v>
      </c>
      <c r="H57" s="7">
        <v>25</v>
      </c>
      <c r="I57" s="7">
        <v>100</v>
      </c>
      <c r="J57"/>
    </row>
    <row r="58" spans="1:10" x14ac:dyDescent="0.35">
      <c r="A58" t="s">
        <v>209</v>
      </c>
      <c r="B58" s="1">
        <v>45062</v>
      </c>
      <c r="C58" t="s">
        <v>2209</v>
      </c>
      <c r="D58" t="s">
        <v>34</v>
      </c>
      <c r="E58">
        <v>62</v>
      </c>
      <c r="F58" t="s">
        <v>56</v>
      </c>
      <c r="G58">
        <v>1</v>
      </c>
      <c r="H58" s="7">
        <v>50</v>
      </c>
      <c r="I58" s="7">
        <v>50</v>
      </c>
      <c r="J58"/>
    </row>
    <row r="59" spans="1:10" x14ac:dyDescent="0.35">
      <c r="A59" t="s">
        <v>211</v>
      </c>
      <c r="B59" s="1">
        <v>45257</v>
      </c>
      <c r="C59" t="s">
        <v>954</v>
      </c>
      <c r="D59" t="s">
        <v>34</v>
      </c>
      <c r="E59">
        <v>50</v>
      </c>
      <c r="F59" t="s">
        <v>56</v>
      </c>
      <c r="G59">
        <v>1</v>
      </c>
      <c r="H59" s="7">
        <v>25</v>
      </c>
      <c r="I59" s="7">
        <v>25</v>
      </c>
      <c r="J59"/>
    </row>
    <row r="60" spans="1:10" x14ac:dyDescent="0.35">
      <c r="A60" t="s">
        <v>213</v>
      </c>
      <c r="B60" s="1">
        <v>45129</v>
      </c>
      <c r="C60" t="s">
        <v>1187</v>
      </c>
      <c r="D60" t="s">
        <v>26</v>
      </c>
      <c r="E60">
        <v>22</v>
      </c>
      <c r="F60" t="s">
        <v>36</v>
      </c>
      <c r="G60">
        <v>4</v>
      </c>
      <c r="H60" s="7">
        <v>25</v>
      </c>
      <c r="I60" s="7">
        <v>100</v>
      </c>
      <c r="J60"/>
    </row>
    <row r="61" spans="1:10" x14ac:dyDescent="0.35">
      <c r="A61" t="s">
        <v>217</v>
      </c>
      <c r="B61" s="1">
        <v>45281</v>
      </c>
      <c r="C61" t="s">
        <v>1718</v>
      </c>
      <c r="D61" t="s">
        <v>26</v>
      </c>
      <c r="E61">
        <v>42</v>
      </c>
      <c r="F61" t="s">
        <v>56</v>
      </c>
      <c r="G61">
        <v>1</v>
      </c>
      <c r="H61" s="7">
        <v>300</v>
      </c>
      <c r="I61" s="7">
        <v>300</v>
      </c>
      <c r="J61"/>
    </row>
    <row r="62" spans="1:10" x14ac:dyDescent="0.35">
      <c r="A62" t="s">
        <v>219</v>
      </c>
      <c r="B62" s="1">
        <v>45254</v>
      </c>
      <c r="C62" t="s">
        <v>348</v>
      </c>
      <c r="D62" t="s">
        <v>26</v>
      </c>
      <c r="E62">
        <v>32</v>
      </c>
      <c r="F62" t="s">
        <v>56</v>
      </c>
      <c r="G62">
        <v>2</v>
      </c>
      <c r="H62" s="7">
        <v>30</v>
      </c>
      <c r="I62" s="7">
        <v>60</v>
      </c>
      <c r="J62"/>
    </row>
    <row r="63" spans="1:10" x14ac:dyDescent="0.35">
      <c r="A63" t="s">
        <v>222</v>
      </c>
      <c r="B63" s="1">
        <v>44953</v>
      </c>
      <c r="C63" t="s">
        <v>986</v>
      </c>
      <c r="D63" t="s">
        <v>26</v>
      </c>
      <c r="E63">
        <v>23</v>
      </c>
      <c r="F63" t="s">
        <v>36</v>
      </c>
      <c r="G63">
        <v>3</v>
      </c>
      <c r="H63" s="7">
        <v>25</v>
      </c>
      <c r="I63" s="7">
        <v>75</v>
      </c>
      <c r="J63"/>
    </row>
    <row r="64" spans="1:10" x14ac:dyDescent="0.35">
      <c r="A64" t="s">
        <v>224</v>
      </c>
      <c r="B64" s="1">
        <v>45054</v>
      </c>
      <c r="C64" t="s">
        <v>1320</v>
      </c>
      <c r="D64" t="s">
        <v>26</v>
      </c>
      <c r="E64">
        <v>48</v>
      </c>
      <c r="F64" t="s">
        <v>56</v>
      </c>
      <c r="G64">
        <v>3</v>
      </c>
      <c r="H64" s="7">
        <v>500</v>
      </c>
      <c r="I64" s="7">
        <v>1500</v>
      </c>
      <c r="J64"/>
    </row>
    <row r="65" spans="1:10" x14ac:dyDescent="0.35">
      <c r="A65" t="s">
        <v>227</v>
      </c>
      <c r="B65" s="1">
        <v>45269</v>
      </c>
      <c r="C65" t="s">
        <v>2189</v>
      </c>
      <c r="D65" t="s">
        <v>34</v>
      </c>
      <c r="E65">
        <v>40</v>
      </c>
      <c r="F65" t="s">
        <v>13</v>
      </c>
      <c r="G65">
        <v>1</v>
      </c>
      <c r="H65" s="7">
        <v>25</v>
      </c>
      <c r="I65" s="7">
        <v>25</v>
      </c>
      <c r="J65"/>
    </row>
    <row r="66" spans="1:10" x14ac:dyDescent="0.35">
      <c r="A66" t="s">
        <v>229</v>
      </c>
      <c r="B66" s="1">
        <v>44949</v>
      </c>
      <c r="C66" t="s">
        <v>423</v>
      </c>
      <c r="D66" t="s">
        <v>26</v>
      </c>
      <c r="E66">
        <v>22</v>
      </c>
      <c r="F66" t="s">
        <v>56</v>
      </c>
      <c r="G66">
        <v>4</v>
      </c>
      <c r="H66" s="7">
        <v>500</v>
      </c>
      <c r="I66" s="7">
        <v>2000</v>
      </c>
      <c r="J66"/>
    </row>
    <row r="67" spans="1:10" x14ac:dyDescent="0.35">
      <c r="A67" t="s">
        <v>233</v>
      </c>
      <c r="B67" s="1">
        <v>45258</v>
      </c>
      <c r="C67" t="s">
        <v>975</v>
      </c>
      <c r="D67" t="s">
        <v>34</v>
      </c>
      <c r="E67">
        <v>57</v>
      </c>
      <c r="F67" t="s">
        <v>13</v>
      </c>
      <c r="G67">
        <v>1</v>
      </c>
      <c r="H67" s="7">
        <v>300</v>
      </c>
      <c r="I67" s="7">
        <v>300</v>
      </c>
      <c r="J67"/>
    </row>
    <row r="68" spans="1:10" x14ac:dyDescent="0.35">
      <c r="A68" t="s">
        <v>236</v>
      </c>
      <c r="B68" s="1">
        <v>44979</v>
      </c>
      <c r="C68" t="s">
        <v>379</v>
      </c>
      <c r="D68" t="s">
        <v>26</v>
      </c>
      <c r="E68">
        <v>46</v>
      </c>
      <c r="F68" t="s">
        <v>36</v>
      </c>
      <c r="G68">
        <v>1</v>
      </c>
      <c r="H68" s="7">
        <v>25</v>
      </c>
      <c r="I68" s="7">
        <v>25</v>
      </c>
      <c r="J68"/>
    </row>
    <row r="69" spans="1:10" x14ac:dyDescent="0.35">
      <c r="A69" t="s">
        <v>240</v>
      </c>
      <c r="B69" s="1">
        <v>45083</v>
      </c>
      <c r="C69" t="s">
        <v>703</v>
      </c>
      <c r="D69" t="s">
        <v>26</v>
      </c>
      <c r="E69">
        <v>64</v>
      </c>
      <c r="F69" t="s">
        <v>13</v>
      </c>
      <c r="G69">
        <v>2</v>
      </c>
      <c r="H69" s="7">
        <v>25</v>
      </c>
      <c r="I69" s="7">
        <v>50</v>
      </c>
      <c r="J69"/>
    </row>
    <row r="70" spans="1:10" x14ac:dyDescent="0.35">
      <c r="A70" t="s">
        <v>242</v>
      </c>
      <c r="B70" s="1">
        <v>44991</v>
      </c>
      <c r="C70" t="s">
        <v>2259</v>
      </c>
      <c r="D70" t="s">
        <v>26</v>
      </c>
      <c r="E70">
        <v>35</v>
      </c>
      <c r="F70" t="s">
        <v>56</v>
      </c>
      <c r="G70">
        <v>3</v>
      </c>
      <c r="H70" s="7">
        <v>25</v>
      </c>
      <c r="I70" s="7">
        <v>75</v>
      </c>
      <c r="J70"/>
    </row>
    <row r="71" spans="1:10" x14ac:dyDescent="0.35">
      <c r="A71" t="s">
        <v>244</v>
      </c>
      <c r="B71" s="1">
        <v>45283</v>
      </c>
      <c r="C71" t="s">
        <v>872</v>
      </c>
      <c r="D71" t="s">
        <v>26</v>
      </c>
      <c r="E71">
        <v>20</v>
      </c>
      <c r="F71" t="s">
        <v>13</v>
      </c>
      <c r="G71">
        <v>1</v>
      </c>
      <c r="H71" s="7">
        <v>300</v>
      </c>
      <c r="I71" s="7">
        <v>300</v>
      </c>
      <c r="J71"/>
    </row>
    <row r="72" spans="1:10" x14ac:dyDescent="0.35">
      <c r="A72" t="s">
        <v>247</v>
      </c>
      <c r="B72" s="1">
        <v>45171</v>
      </c>
      <c r="C72" t="s">
        <v>685</v>
      </c>
      <c r="D72" t="s">
        <v>34</v>
      </c>
      <c r="E72">
        <v>30</v>
      </c>
      <c r="F72" t="s">
        <v>36</v>
      </c>
      <c r="G72">
        <v>4</v>
      </c>
      <c r="H72" s="7">
        <v>30</v>
      </c>
      <c r="I72" s="7">
        <v>120</v>
      </c>
      <c r="J72"/>
    </row>
    <row r="73" spans="1:10" x14ac:dyDescent="0.35">
      <c r="A73" t="s">
        <v>249</v>
      </c>
      <c r="B73" s="1">
        <v>44958</v>
      </c>
      <c r="C73" t="s">
        <v>1524</v>
      </c>
      <c r="D73" t="s">
        <v>26</v>
      </c>
      <c r="E73">
        <v>43</v>
      </c>
      <c r="F73" t="s">
        <v>56</v>
      </c>
      <c r="G73">
        <v>3</v>
      </c>
      <c r="H73" s="7">
        <v>500</v>
      </c>
      <c r="I73" s="7">
        <v>1500</v>
      </c>
      <c r="J73"/>
    </row>
    <row r="74" spans="1:10" x14ac:dyDescent="0.35">
      <c r="A74" t="s">
        <v>98</v>
      </c>
      <c r="B74" s="1">
        <v>45143</v>
      </c>
      <c r="C74" t="s">
        <v>2190</v>
      </c>
      <c r="D74" t="s">
        <v>26</v>
      </c>
      <c r="E74">
        <v>58</v>
      </c>
      <c r="F74" t="s">
        <v>36</v>
      </c>
      <c r="G74">
        <v>3</v>
      </c>
      <c r="H74" s="7">
        <v>300</v>
      </c>
      <c r="I74" s="7">
        <v>900</v>
      </c>
      <c r="J74"/>
    </row>
    <row r="75" spans="1:10" x14ac:dyDescent="0.35">
      <c r="A75" t="s">
        <v>35</v>
      </c>
      <c r="B75" s="1">
        <v>44967</v>
      </c>
      <c r="C75" t="s">
        <v>1962</v>
      </c>
      <c r="D75" t="s">
        <v>26</v>
      </c>
      <c r="E75">
        <v>38</v>
      </c>
      <c r="F75" t="s">
        <v>13</v>
      </c>
      <c r="G75">
        <v>3</v>
      </c>
      <c r="H75" s="7">
        <v>500</v>
      </c>
      <c r="I75" s="7">
        <v>1500</v>
      </c>
      <c r="J75"/>
    </row>
    <row r="76" spans="1:10" x14ac:dyDescent="0.35">
      <c r="A76" t="s">
        <v>256</v>
      </c>
      <c r="B76" s="1">
        <v>45198</v>
      </c>
      <c r="C76" t="s">
        <v>975</v>
      </c>
      <c r="D76" t="s">
        <v>34</v>
      </c>
      <c r="E76">
        <v>57</v>
      </c>
      <c r="F76" t="s">
        <v>13</v>
      </c>
      <c r="G76">
        <v>3</v>
      </c>
      <c r="H76" s="7">
        <v>50</v>
      </c>
      <c r="I76" s="7">
        <v>150</v>
      </c>
      <c r="J76"/>
    </row>
    <row r="77" spans="1:10" x14ac:dyDescent="0.35">
      <c r="A77" t="s">
        <v>259</v>
      </c>
      <c r="B77" s="1">
        <v>45191</v>
      </c>
      <c r="C77" t="s">
        <v>2288</v>
      </c>
      <c r="D77" t="s">
        <v>34</v>
      </c>
      <c r="E77">
        <v>42</v>
      </c>
      <c r="F77" t="s">
        <v>36</v>
      </c>
      <c r="G77">
        <v>1</v>
      </c>
      <c r="H77" s="7">
        <v>50</v>
      </c>
      <c r="I77" s="7">
        <v>50</v>
      </c>
      <c r="J77"/>
    </row>
    <row r="78" spans="1:10" x14ac:dyDescent="0.35">
      <c r="A78" t="s">
        <v>260</v>
      </c>
      <c r="B78" s="1">
        <v>44927</v>
      </c>
      <c r="C78" t="s">
        <v>823</v>
      </c>
      <c r="D78" t="s">
        <v>26</v>
      </c>
      <c r="E78">
        <v>40</v>
      </c>
      <c r="F78" t="s">
        <v>56</v>
      </c>
      <c r="G78">
        <v>4</v>
      </c>
      <c r="H78" s="7">
        <v>300</v>
      </c>
      <c r="I78" s="7">
        <v>1200</v>
      </c>
      <c r="J78"/>
    </row>
    <row r="79" spans="1:10" x14ac:dyDescent="0.35">
      <c r="A79" t="s">
        <v>262</v>
      </c>
      <c r="B79" s="1">
        <v>45025</v>
      </c>
      <c r="C79" t="s">
        <v>750</v>
      </c>
      <c r="D79" t="s">
        <v>26</v>
      </c>
      <c r="E79">
        <v>51</v>
      </c>
      <c r="F79" t="s">
        <v>56</v>
      </c>
      <c r="G79">
        <v>2</v>
      </c>
      <c r="H79" s="7">
        <v>30</v>
      </c>
      <c r="I79" s="7">
        <v>60</v>
      </c>
      <c r="J79"/>
    </row>
    <row r="80" spans="1:10" x14ac:dyDescent="0.35">
      <c r="A80" t="s">
        <v>264</v>
      </c>
      <c r="B80" s="1">
        <v>45249</v>
      </c>
      <c r="C80" t="s">
        <v>1906</v>
      </c>
      <c r="D80" t="s">
        <v>26</v>
      </c>
      <c r="E80">
        <v>28</v>
      </c>
      <c r="F80" t="s">
        <v>36</v>
      </c>
      <c r="G80">
        <v>2</v>
      </c>
      <c r="H80" s="7">
        <v>50</v>
      </c>
      <c r="I80" s="7">
        <v>100</v>
      </c>
      <c r="J80"/>
    </row>
    <row r="81" spans="1:10" x14ac:dyDescent="0.35">
      <c r="A81" t="s">
        <v>266</v>
      </c>
      <c r="B81" s="1">
        <v>45133</v>
      </c>
      <c r="C81" t="s">
        <v>1435</v>
      </c>
      <c r="D81" t="s">
        <v>34</v>
      </c>
      <c r="E81">
        <v>49</v>
      </c>
      <c r="F81" t="s">
        <v>36</v>
      </c>
      <c r="G81">
        <v>2</v>
      </c>
      <c r="H81" s="7">
        <v>300</v>
      </c>
      <c r="I81" s="7">
        <v>600</v>
      </c>
      <c r="J81"/>
    </row>
    <row r="82" spans="1:10" x14ac:dyDescent="0.35">
      <c r="A82" t="s">
        <v>269</v>
      </c>
      <c r="B82" s="1">
        <v>44968</v>
      </c>
      <c r="C82" t="s">
        <v>2207</v>
      </c>
      <c r="D82" t="s">
        <v>34</v>
      </c>
      <c r="E82">
        <v>28</v>
      </c>
      <c r="F82" t="s">
        <v>13</v>
      </c>
      <c r="G82">
        <v>3</v>
      </c>
      <c r="H82" s="7">
        <v>30</v>
      </c>
      <c r="I82" s="7">
        <v>90</v>
      </c>
      <c r="J82"/>
    </row>
    <row r="83" spans="1:10" x14ac:dyDescent="0.35">
      <c r="A83" t="s">
        <v>271</v>
      </c>
      <c r="B83" s="1">
        <v>44931</v>
      </c>
      <c r="C83" t="s">
        <v>2322</v>
      </c>
      <c r="D83" t="s">
        <v>26</v>
      </c>
      <c r="E83">
        <v>60</v>
      </c>
      <c r="F83" t="s">
        <v>13</v>
      </c>
      <c r="G83">
        <v>2</v>
      </c>
      <c r="H83" s="7">
        <v>500</v>
      </c>
      <c r="I83" s="7">
        <v>1000</v>
      </c>
      <c r="J83"/>
    </row>
    <row r="84" spans="1:10" x14ac:dyDescent="0.35">
      <c r="A84" t="s">
        <v>273</v>
      </c>
      <c r="B84" s="1">
        <v>44991</v>
      </c>
      <c r="C84" t="s">
        <v>1671</v>
      </c>
      <c r="D84" t="s">
        <v>26</v>
      </c>
      <c r="E84">
        <v>20</v>
      </c>
      <c r="F84" t="s">
        <v>36</v>
      </c>
      <c r="G84">
        <v>3</v>
      </c>
      <c r="H84" s="7">
        <v>50</v>
      </c>
      <c r="I84" s="7">
        <v>150</v>
      </c>
      <c r="J84"/>
    </row>
    <row r="85" spans="1:10" x14ac:dyDescent="0.35">
      <c r="A85" t="s">
        <v>274</v>
      </c>
      <c r="B85" s="1">
        <v>45171</v>
      </c>
      <c r="C85" t="s">
        <v>2285</v>
      </c>
      <c r="D85" t="s">
        <v>26</v>
      </c>
      <c r="E85">
        <v>52</v>
      </c>
      <c r="F85" t="s">
        <v>13</v>
      </c>
      <c r="G85">
        <v>2</v>
      </c>
      <c r="H85" s="7">
        <v>25</v>
      </c>
      <c r="I85" s="7">
        <v>50</v>
      </c>
      <c r="J85"/>
    </row>
    <row r="86" spans="1:10" x14ac:dyDescent="0.35">
      <c r="A86" t="s">
        <v>275</v>
      </c>
      <c r="B86" s="1">
        <v>44997</v>
      </c>
      <c r="C86" t="s">
        <v>2284</v>
      </c>
      <c r="D86" t="s">
        <v>34</v>
      </c>
      <c r="E86">
        <v>59</v>
      </c>
      <c r="F86" t="s">
        <v>56</v>
      </c>
      <c r="G86">
        <v>1</v>
      </c>
      <c r="H86" s="7">
        <v>25</v>
      </c>
      <c r="I86" s="7">
        <v>25</v>
      </c>
      <c r="J86"/>
    </row>
    <row r="87" spans="1:10" x14ac:dyDescent="0.35">
      <c r="A87" t="s">
        <v>277</v>
      </c>
      <c r="B87" s="1">
        <v>45025</v>
      </c>
      <c r="C87" t="s">
        <v>1336</v>
      </c>
      <c r="D87" t="s">
        <v>26</v>
      </c>
      <c r="E87">
        <v>35</v>
      </c>
      <c r="F87" t="s">
        <v>13</v>
      </c>
      <c r="G87">
        <v>1</v>
      </c>
      <c r="H87" s="7">
        <v>25</v>
      </c>
      <c r="I87" s="7">
        <v>25</v>
      </c>
      <c r="J87"/>
    </row>
    <row r="88" spans="1:10" x14ac:dyDescent="0.35">
      <c r="A88" t="s">
        <v>279</v>
      </c>
      <c r="B88" s="1">
        <v>44928</v>
      </c>
      <c r="C88" t="s">
        <v>575</v>
      </c>
      <c r="D88" t="s">
        <v>26</v>
      </c>
      <c r="E88">
        <v>37</v>
      </c>
      <c r="F88" t="s">
        <v>56</v>
      </c>
      <c r="G88">
        <v>3</v>
      </c>
      <c r="H88" s="7">
        <v>500</v>
      </c>
      <c r="I88" s="7">
        <v>1500</v>
      </c>
      <c r="J88"/>
    </row>
    <row r="89" spans="1:10" x14ac:dyDescent="0.35">
      <c r="A89" t="s">
        <v>283</v>
      </c>
      <c r="B89" s="1">
        <v>45047</v>
      </c>
      <c r="C89" t="s">
        <v>679</v>
      </c>
      <c r="D89" t="s">
        <v>26</v>
      </c>
      <c r="E89">
        <v>34</v>
      </c>
      <c r="F89" t="s">
        <v>36</v>
      </c>
      <c r="G89">
        <v>2</v>
      </c>
      <c r="H89" s="7">
        <v>50</v>
      </c>
      <c r="I89" s="7">
        <v>100</v>
      </c>
      <c r="J89"/>
    </row>
    <row r="90" spans="1:10" x14ac:dyDescent="0.35">
      <c r="A90" t="s">
        <v>286</v>
      </c>
      <c r="B90" s="1">
        <v>45214</v>
      </c>
      <c r="C90" t="s">
        <v>1786</v>
      </c>
      <c r="D90" t="s">
        <v>34</v>
      </c>
      <c r="E90">
        <v>63</v>
      </c>
      <c r="F90" t="s">
        <v>13</v>
      </c>
      <c r="G90">
        <v>4</v>
      </c>
      <c r="H90" s="7">
        <v>300</v>
      </c>
      <c r="I90" s="7">
        <v>1200</v>
      </c>
      <c r="J90"/>
    </row>
    <row r="91" spans="1:10" x14ac:dyDescent="0.35">
      <c r="A91" t="s">
        <v>289</v>
      </c>
      <c r="B91" s="1">
        <v>44998</v>
      </c>
      <c r="C91" t="s">
        <v>1124</v>
      </c>
      <c r="D91" t="s">
        <v>26</v>
      </c>
      <c r="E91">
        <v>37</v>
      </c>
      <c r="F91" t="s">
        <v>56</v>
      </c>
      <c r="G91">
        <v>4</v>
      </c>
      <c r="H91" s="7">
        <v>25</v>
      </c>
      <c r="I91" s="7">
        <v>100</v>
      </c>
      <c r="J91"/>
    </row>
    <row r="92" spans="1:10" x14ac:dyDescent="0.35">
      <c r="A92" t="s">
        <v>292</v>
      </c>
      <c r="B92" s="1">
        <v>45106</v>
      </c>
      <c r="C92" t="s">
        <v>1839</v>
      </c>
      <c r="D92" t="s">
        <v>26</v>
      </c>
      <c r="E92">
        <v>33</v>
      </c>
      <c r="F92" t="s">
        <v>56</v>
      </c>
      <c r="G92">
        <v>1</v>
      </c>
      <c r="H92" s="7">
        <v>50</v>
      </c>
      <c r="I92" s="7">
        <v>50</v>
      </c>
      <c r="J92"/>
    </row>
    <row r="93" spans="1:10" x14ac:dyDescent="0.35">
      <c r="A93" t="s">
        <v>295</v>
      </c>
      <c r="B93" s="1">
        <v>44965</v>
      </c>
      <c r="C93" t="s">
        <v>1349</v>
      </c>
      <c r="D93" t="s">
        <v>26</v>
      </c>
      <c r="E93">
        <v>35</v>
      </c>
      <c r="F93" t="s">
        <v>13</v>
      </c>
      <c r="G93">
        <v>3</v>
      </c>
      <c r="H93" s="7">
        <v>25</v>
      </c>
      <c r="I93" s="7">
        <v>75</v>
      </c>
      <c r="J93"/>
    </row>
    <row r="94" spans="1:10" x14ac:dyDescent="0.35">
      <c r="A94" t="s">
        <v>297</v>
      </c>
      <c r="B94" s="1">
        <v>45203</v>
      </c>
      <c r="C94" t="s">
        <v>1684</v>
      </c>
      <c r="D94" t="s">
        <v>26</v>
      </c>
      <c r="E94">
        <v>64</v>
      </c>
      <c r="F94" t="s">
        <v>56</v>
      </c>
      <c r="G94">
        <v>4</v>
      </c>
      <c r="H94" s="7">
        <v>500</v>
      </c>
      <c r="I94" s="7">
        <v>2000</v>
      </c>
      <c r="J94"/>
    </row>
    <row r="95" spans="1:10" x14ac:dyDescent="0.35">
      <c r="A95" t="s">
        <v>298</v>
      </c>
      <c r="B95" s="1">
        <v>45142</v>
      </c>
      <c r="C95" t="s">
        <v>1309</v>
      </c>
      <c r="D95" t="s">
        <v>26</v>
      </c>
      <c r="E95">
        <v>36</v>
      </c>
      <c r="F95" t="s">
        <v>56</v>
      </c>
      <c r="G95">
        <v>2</v>
      </c>
      <c r="H95" s="7">
        <v>25</v>
      </c>
      <c r="I95" s="7">
        <v>50</v>
      </c>
      <c r="J95"/>
    </row>
    <row r="96" spans="1:10" x14ac:dyDescent="0.35">
      <c r="A96" t="s">
        <v>301</v>
      </c>
      <c r="B96" s="1">
        <v>45153</v>
      </c>
      <c r="C96" t="s">
        <v>1214</v>
      </c>
      <c r="D96" t="s">
        <v>34</v>
      </c>
      <c r="E96">
        <v>49</v>
      </c>
      <c r="F96" t="s">
        <v>56</v>
      </c>
      <c r="G96">
        <v>1</v>
      </c>
      <c r="H96" s="7">
        <v>500</v>
      </c>
      <c r="I96" s="7">
        <v>500</v>
      </c>
      <c r="J96"/>
    </row>
    <row r="97" spans="1:10" x14ac:dyDescent="0.35">
      <c r="A97" t="s">
        <v>302</v>
      </c>
      <c r="B97" s="1">
        <v>45251</v>
      </c>
      <c r="C97" t="s">
        <v>1449</v>
      </c>
      <c r="D97" t="s">
        <v>26</v>
      </c>
      <c r="E97">
        <v>29</v>
      </c>
      <c r="F97" t="s">
        <v>56</v>
      </c>
      <c r="G97">
        <v>2</v>
      </c>
      <c r="H97" s="7">
        <v>50</v>
      </c>
      <c r="I97" s="7">
        <v>100</v>
      </c>
      <c r="J97"/>
    </row>
    <row r="98" spans="1:10" x14ac:dyDescent="0.35">
      <c r="A98" t="s">
        <v>305</v>
      </c>
      <c r="B98" s="1">
        <v>45160</v>
      </c>
      <c r="C98" t="s">
        <v>1154</v>
      </c>
      <c r="D98" t="s">
        <v>26</v>
      </c>
      <c r="E98">
        <v>49</v>
      </c>
      <c r="F98" t="s">
        <v>36</v>
      </c>
      <c r="G98">
        <v>3</v>
      </c>
      <c r="H98" s="7">
        <v>25</v>
      </c>
      <c r="I98" s="7">
        <v>75</v>
      </c>
      <c r="J98"/>
    </row>
    <row r="99" spans="1:10" x14ac:dyDescent="0.35">
      <c r="A99" t="s">
        <v>307</v>
      </c>
      <c r="B99" s="1">
        <v>45094</v>
      </c>
      <c r="C99" t="s">
        <v>2254</v>
      </c>
      <c r="D99" t="s">
        <v>26</v>
      </c>
      <c r="E99">
        <v>54</v>
      </c>
      <c r="F99" t="s">
        <v>36</v>
      </c>
      <c r="G99">
        <v>4</v>
      </c>
      <c r="H99" s="7">
        <v>50</v>
      </c>
      <c r="I99" s="7">
        <v>200</v>
      </c>
      <c r="J99"/>
    </row>
    <row r="100" spans="1:10" x14ac:dyDescent="0.35">
      <c r="A100" t="s">
        <v>309</v>
      </c>
      <c r="B100" s="1">
        <v>45217</v>
      </c>
      <c r="C100" t="s">
        <v>1447</v>
      </c>
      <c r="D100" t="s">
        <v>26</v>
      </c>
      <c r="E100">
        <v>34</v>
      </c>
      <c r="F100" t="s">
        <v>13</v>
      </c>
      <c r="G100">
        <v>4</v>
      </c>
      <c r="H100" s="7">
        <v>500</v>
      </c>
      <c r="I100" s="7">
        <v>2000</v>
      </c>
      <c r="J100"/>
    </row>
    <row r="101" spans="1:10" x14ac:dyDescent="0.35">
      <c r="A101" t="s">
        <v>312</v>
      </c>
      <c r="B101" s="1">
        <v>44996</v>
      </c>
      <c r="C101" t="s">
        <v>2314</v>
      </c>
      <c r="D101" t="s">
        <v>34</v>
      </c>
      <c r="E101">
        <v>57</v>
      </c>
      <c r="F101" t="s">
        <v>56</v>
      </c>
      <c r="G101">
        <v>1</v>
      </c>
      <c r="H101" s="7">
        <v>500</v>
      </c>
      <c r="I101" s="7">
        <v>500</v>
      </c>
      <c r="J101"/>
    </row>
    <row r="102" spans="1:10" x14ac:dyDescent="0.35">
      <c r="A102" t="s">
        <v>314</v>
      </c>
      <c r="B102" s="1">
        <v>45067</v>
      </c>
      <c r="C102" t="s">
        <v>1201</v>
      </c>
      <c r="D102" t="s">
        <v>34</v>
      </c>
      <c r="E102">
        <v>42</v>
      </c>
      <c r="F102" t="s">
        <v>13</v>
      </c>
      <c r="G102">
        <v>3</v>
      </c>
      <c r="H102" s="7">
        <v>300</v>
      </c>
      <c r="I102" s="7">
        <v>900</v>
      </c>
      <c r="J102"/>
    </row>
    <row r="103" spans="1:10" x14ac:dyDescent="0.35">
      <c r="A103" t="s">
        <v>317</v>
      </c>
      <c r="B103" s="1">
        <v>45081</v>
      </c>
      <c r="C103" t="s">
        <v>221</v>
      </c>
      <c r="D103" t="s">
        <v>26</v>
      </c>
      <c r="E103">
        <v>20</v>
      </c>
      <c r="F103" t="s">
        <v>56</v>
      </c>
      <c r="G103">
        <v>1</v>
      </c>
      <c r="H103" s="7">
        <v>50</v>
      </c>
      <c r="I103" s="7">
        <v>50</v>
      </c>
      <c r="J103"/>
    </row>
    <row r="104" spans="1:10" x14ac:dyDescent="0.35">
      <c r="A104" t="s">
        <v>318</v>
      </c>
      <c r="B104" s="1">
        <v>45015</v>
      </c>
      <c r="C104" t="s">
        <v>1644</v>
      </c>
      <c r="D104" t="s">
        <v>26</v>
      </c>
      <c r="E104">
        <v>56</v>
      </c>
      <c r="F104" t="s">
        <v>56</v>
      </c>
      <c r="G104">
        <v>4</v>
      </c>
      <c r="H104" s="7">
        <v>50</v>
      </c>
      <c r="I104" s="7">
        <v>200</v>
      </c>
      <c r="J104"/>
    </row>
    <row r="105" spans="1:10" x14ac:dyDescent="0.35">
      <c r="A105" t="s">
        <v>321</v>
      </c>
      <c r="B105" s="1">
        <v>45230</v>
      </c>
      <c r="C105" t="s">
        <v>2295</v>
      </c>
      <c r="D105" t="s">
        <v>26</v>
      </c>
      <c r="E105">
        <v>26</v>
      </c>
      <c r="F105" t="s">
        <v>13</v>
      </c>
      <c r="G105">
        <v>3</v>
      </c>
      <c r="H105" s="7">
        <v>500</v>
      </c>
      <c r="I105" s="7">
        <v>1500</v>
      </c>
      <c r="J105"/>
    </row>
    <row r="106" spans="1:10" x14ac:dyDescent="0.35">
      <c r="A106" t="s">
        <v>323</v>
      </c>
      <c r="B106" s="1">
        <v>45289</v>
      </c>
      <c r="C106" t="s">
        <v>2238</v>
      </c>
      <c r="D106" t="s">
        <v>26</v>
      </c>
      <c r="E106">
        <v>51</v>
      </c>
      <c r="F106" t="s">
        <v>36</v>
      </c>
      <c r="G106">
        <v>2</v>
      </c>
      <c r="H106" s="7">
        <v>300</v>
      </c>
      <c r="I106" s="7">
        <v>600</v>
      </c>
      <c r="J106"/>
    </row>
    <row r="107" spans="1:10" x14ac:dyDescent="0.35">
      <c r="A107" t="s">
        <v>326</v>
      </c>
      <c r="B107" s="1">
        <v>44981</v>
      </c>
      <c r="C107" t="s">
        <v>2236</v>
      </c>
      <c r="D107" t="s">
        <v>34</v>
      </c>
      <c r="E107">
        <v>51</v>
      </c>
      <c r="F107" t="s">
        <v>36</v>
      </c>
      <c r="G107">
        <v>3</v>
      </c>
      <c r="H107" s="7">
        <v>500</v>
      </c>
      <c r="I107" s="7">
        <v>1500</v>
      </c>
      <c r="J107"/>
    </row>
    <row r="108" spans="1:10" x14ac:dyDescent="0.35">
      <c r="A108" t="s">
        <v>328</v>
      </c>
      <c r="B108" s="1">
        <v>45201</v>
      </c>
      <c r="C108" t="s">
        <v>548</v>
      </c>
      <c r="D108" t="s">
        <v>34</v>
      </c>
      <c r="E108">
        <v>51</v>
      </c>
      <c r="F108" t="s">
        <v>13</v>
      </c>
      <c r="G108">
        <v>3</v>
      </c>
      <c r="H108" s="7">
        <v>300</v>
      </c>
      <c r="I108" s="7">
        <v>900</v>
      </c>
      <c r="J108"/>
    </row>
    <row r="109" spans="1:10" x14ac:dyDescent="0.35">
      <c r="A109" t="s">
        <v>330</v>
      </c>
      <c r="B109" s="1">
        <v>45232</v>
      </c>
      <c r="C109" t="s">
        <v>359</v>
      </c>
      <c r="D109" t="s">
        <v>26</v>
      </c>
      <c r="E109">
        <v>22</v>
      </c>
      <c r="F109" t="s">
        <v>13</v>
      </c>
      <c r="G109">
        <v>1</v>
      </c>
      <c r="H109" s="7">
        <v>50</v>
      </c>
      <c r="I109" s="7">
        <v>50</v>
      </c>
      <c r="J109"/>
    </row>
    <row r="110" spans="1:10" x14ac:dyDescent="0.35">
      <c r="A110" t="s">
        <v>332</v>
      </c>
      <c r="B110" s="1">
        <v>44943</v>
      </c>
      <c r="C110" t="s">
        <v>1154</v>
      </c>
      <c r="D110" t="s">
        <v>26</v>
      </c>
      <c r="E110">
        <v>39</v>
      </c>
      <c r="F110" t="s">
        <v>36</v>
      </c>
      <c r="G110">
        <v>1</v>
      </c>
      <c r="H110" s="7">
        <v>500</v>
      </c>
      <c r="I110" s="7">
        <v>500</v>
      </c>
      <c r="J110"/>
    </row>
    <row r="111" spans="1:10" x14ac:dyDescent="0.35">
      <c r="A111" t="s">
        <v>335</v>
      </c>
      <c r="B111" s="1">
        <v>45139</v>
      </c>
      <c r="C111" t="s">
        <v>1747</v>
      </c>
      <c r="D111" t="s">
        <v>34</v>
      </c>
      <c r="E111">
        <v>37</v>
      </c>
      <c r="F111" t="s">
        <v>36</v>
      </c>
      <c r="G111">
        <v>4</v>
      </c>
      <c r="H111" s="7">
        <v>30</v>
      </c>
      <c r="I111" s="7">
        <v>120</v>
      </c>
      <c r="J111"/>
    </row>
    <row r="112" spans="1:10" x14ac:dyDescent="0.35">
      <c r="A112" t="s">
        <v>337</v>
      </c>
      <c r="B112" s="1">
        <v>45178</v>
      </c>
      <c r="C112" t="s">
        <v>253</v>
      </c>
      <c r="D112" t="s">
        <v>26</v>
      </c>
      <c r="E112">
        <v>34</v>
      </c>
      <c r="F112" t="s">
        <v>36</v>
      </c>
      <c r="G112">
        <v>1</v>
      </c>
      <c r="H112" s="7">
        <v>50</v>
      </c>
      <c r="I112" s="7">
        <v>50</v>
      </c>
      <c r="J112"/>
    </row>
    <row r="113" spans="1:10" x14ac:dyDescent="0.35">
      <c r="A113" t="s">
        <v>338</v>
      </c>
      <c r="B113" s="1">
        <v>45159</v>
      </c>
      <c r="C113" t="s">
        <v>203</v>
      </c>
      <c r="D113" t="s">
        <v>34</v>
      </c>
      <c r="E113">
        <v>54</v>
      </c>
      <c r="F113" t="s">
        <v>13</v>
      </c>
      <c r="G113">
        <v>1</v>
      </c>
      <c r="H113" s="7">
        <v>50</v>
      </c>
      <c r="I113" s="7">
        <v>50</v>
      </c>
      <c r="J113"/>
    </row>
    <row r="114" spans="1:10" x14ac:dyDescent="0.35">
      <c r="A114" t="s">
        <v>341</v>
      </c>
      <c r="B114" s="1">
        <v>44934</v>
      </c>
      <c r="C114" t="s">
        <v>1754</v>
      </c>
      <c r="D114" t="s">
        <v>26</v>
      </c>
      <c r="E114">
        <v>45</v>
      </c>
      <c r="F114" t="s">
        <v>13</v>
      </c>
      <c r="G114">
        <v>1</v>
      </c>
      <c r="H114" s="7">
        <v>25</v>
      </c>
      <c r="I114" s="7">
        <v>25</v>
      </c>
      <c r="J114"/>
    </row>
    <row r="115" spans="1:10" x14ac:dyDescent="0.35">
      <c r="A115" t="s">
        <v>343</v>
      </c>
      <c r="B115" s="1">
        <v>45035</v>
      </c>
      <c r="C115" t="s">
        <v>1124</v>
      </c>
      <c r="D115" t="s">
        <v>26</v>
      </c>
      <c r="E115">
        <v>34</v>
      </c>
      <c r="F115" t="s">
        <v>13</v>
      </c>
      <c r="G115">
        <v>3</v>
      </c>
      <c r="H115" s="7">
        <v>500</v>
      </c>
      <c r="I115" s="7">
        <v>1500</v>
      </c>
      <c r="J115"/>
    </row>
    <row r="116" spans="1:10" x14ac:dyDescent="0.35">
      <c r="A116" t="s">
        <v>104</v>
      </c>
      <c r="B116" s="1">
        <v>45141</v>
      </c>
      <c r="C116" t="s">
        <v>993</v>
      </c>
      <c r="D116" t="s">
        <v>26</v>
      </c>
      <c r="E116">
        <v>38</v>
      </c>
      <c r="F116" t="s">
        <v>36</v>
      </c>
      <c r="G116">
        <v>2</v>
      </c>
      <c r="H116" s="7">
        <v>25</v>
      </c>
      <c r="I116" s="7">
        <v>50</v>
      </c>
      <c r="J116"/>
    </row>
    <row r="117" spans="1:10" x14ac:dyDescent="0.35">
      <c r="A117" t="s">
        <v>92</v>
      </c>
      <c r="B117" s="1">
        <v>45243</v>
      </c>
      <c r="C117" t="s">
        <v>176</v>
      </c>
      <c r="D117" t="s">
        <v>34</v>
      </c>
      <c r="E117">
        <v>18</v>
      </c>
      <c r="F117" t="s">
        <v>56</v>
      </c>
      <c r="G117">
        <v>4</v>
      </c>
      <c r="H117" s="7">
        <v>300</v>
      </c>
      <c r="I117" s="7">
        <v>1200</v>
      </c>
      <c r="J117"/>
    </row>
    <row r="118" spans="1:10" x14ac:dyDescent="0.35">
      <c r="A118" t="s">
        <v>160</v>
      </c>
      <c r="B118" s="1">
        <v>45236</v>
      </c>
      <c r="C118" t="s">
        <v>1382</v>
      </c>
      <c r="D118" t="s">
        <v>26</v>
      </c>
      <c r="E118">
        <v>40</v>
      </c>
      <c r="F118" t="s">
        <v>36</v>
      </c>
      <c r="G118">
        <v>3</v>
      </c>
      <c r="H118" s="7">
        <v>500</v>
      </c>
      <c r="I118" s="7">
        <v>1500</v>
      </c>
      <c r="J118"/>
    </row>
    <row r="119" spans="1:10" x14ac:dyDescent="0.35">
      <c r="A119" t="s">
        <v>351</v>
      </c>
      <c r="B119" s="1">
        <v>45108</v>
      </c>
      <c r="C119" t="s">
        <v>856</v>
      </c>
      <c r="D119" t="s">
        <v>34</v>
      </c>
      <c r="E119">
        <v>28</v>
      </c>
      <c r="F119" t="s">
        <v>36</v>
      </c>
      <c r="G119">
        <v>2</v>
      </c>
      <c r="H119" s="7">
        <v>30</v>
      </c>
      <c r="I119" s="7">
        <v>60</v>
      </c>
      <c r="J119"/>
    </row>
    <row r="120" spans="1:10" x14ac:dyDescent="0.35">
      <c r="A120" t="s">
        <v>354</v>
      </c>
      <c r="B120" s="1">
        <v>44963</v>
      </c>
      <c r="C120" t="s">
        <v>2276</v>
      </c>
      <c r="D120" t="s">
        <v>26</v>
      </c>
      <c r="E120">
        <v>48</v>
      </c>
      <c r="F120" t="s">
        <v>13</v>
      </c>
      <c r="G120">
        <v>3</v>
      </c>
      <c r="H120" s="7">
        <v>50</v>
      </c>
      <c r="I120" s="7">
        <v>150</v>
      </c>
      <c r="J120"/>
    </row>
    <row r="121" spans="1:10" x14ac:dyDescent="0.35">
      <c r="A121" t="s">
        <v>355</v>
      </c>
      <c r="B121" s="1">
        <v>45169</v>
      </c>
      <c r="C121" t="s">
        <v>2286</v>
      </c>
      <c r="D121" t="s">
        <v>26</v>
      </c>
      <c r="E121">
        <v>42</v>
      </c>
      <c r="F121" t="s">
        <v>56</v>
      </c>
      <c r="G121">
        <v>2</v>
      </c>
      <c r="H121" s="7">
        <v>25</v>
      </c>
      <c r="I121" s="7">
        <v>50</v>
      </c>
      <c r="J121"/>
    </row>
    <row r="122" spans="1:10" x14ac:dyDescent="0.35">
      <c r="A122" t="s">
        <v>357</v>
      </c>
      <c r="B122" s="1">
        <v>45277</v>
      </c>
      <c r="C122" t="s">
        <v>2301</v>
      </c>
      <c r="D122" t="s">
        <v>26</v>
      </c>
      <c r="E122">
        <v>50</v>
      </c>
      <c r="F122" t="s">
        <v>13</v>
      </c>
      <c r="G122">
        <v>4</v>
      </c>
      <c r="H122" s="7">
        <v>300</v>
      </c>
      <c r="I122" s="7">
        <v>1200</v>
      </c>
      <c r="J122"/>
    </row>
    <row r="123" spans="1:10" x14ac:dyDescent="0.35">
      <c r="A123" t="s">
        <v>360</v>
      </c>
      <c r="B123" s="1">
        <v>45049</v>
      </c>
      <c r="C123" t="s">
        <v>2309</v>
      </c>
      <c r="D123" t="s">
        <v>34</v>
      </c>
      <c r="E123">
        <v>47</v>
      </c>
      <c r="F123" t="s">
        <v>36</v>
      </c>
      <c r="G123">
        <v>1</v>
      </c>
      <c r="H123" s="7">
        <v>30</v>
      </c>
      <c r="I123" s="7">
        <v>30</v>
      </c>
      <c r="J123"/>
    </row>
    <row r="124" spans="1:10" x14ac:dyDescent="0.35">
      <c r="A124" t="s">
        <v>362</v>
      </c>
      <c r="B124" s="1">
        <v>45275</v>
      </c>
      <c r="C124" t="s">
        <v>311</v>
      </c>
      <c r="D124" t="s">
        <v>34</v>
      </c>
      <c r="E124">
        <v>36</v>
      </c>
      <c r="F124" t="s">
        <v>36</v>
      </c>
      <c r="G124">
        <v>4</v>
      </c>
      <c r="H124" s="7">
        <v>500</v>
      </c>
      <c r="I124" s="7">
        <v>2000</v>
      </c>
      <c r="J124"/>
    </row>
    <row r="125" spans="1:10" x14ac:dyDescent="0.35">
      <c r="A125" t="s">
        <v>364</v>
      </c>
      <c r="B125" s="1">
        <v>45185</v>
      </c>
      <c r="C125" t="s">
        <v>450</v>
      </c>
      <c r="D125" t="s">
        <v>26</v>
      </c>
      <c r="E125">
        <v>19</v>
      </c>
      <c r="F125" t="s">
        <v>13</v>
      </c>
      <c r="G125">
        <v>4</v>
      </c>
      <c r="H125" s="7">
        <v>500</v>
      </c>
      <c r="I125" s="7">
        <v>2000</v>
      </c>
      <c r="J125"/>
    </row>
    <row r="126" spans="1:10" x14ac:dyDescent="0.35">
      <c r="A126" t="s">
        <v>367</v>
      </c>
      <c r="B126" s="1">
        <v>44969</v>
      </c>
      <c r="C126" t="s">
        <v>344</v>
      </c>
      <c r="D126" t="s">
        <v>26</v>
      </c>
      <c r="E126">
        <v>18</v>
      </c>
      <c r="F126" t="s">
        <v>56</v>
      </c>
      <c r="G126">
        <v>1</v>
      </c>
      <c r="H126" s="7">
        <v>500</v>
      </c>
      <c r="I126" s="7">
        <v>500</v>
      </c>
      <c r="J126"/>
    </row>
    <row r="127" spans="1:10" x14ac:dyDescent="0.35">
      <c r="A127" t="s">
        <v>368</v>
      </c>
      <c r="B127" s="1">
        <v>45164</v>
      </c>
      <c r="C127" t="s">
        <v>1356</v>
      </c>
      <c r="D127" t="s">
        <v>34</v>
      </c>
      <c r="E127">
        <v>34</v>
      </c>
      <c r="F127" t="s">
        <v>13</v>
      </c>
      <c r="G127">
        <v>1</v>
      </c>
      <c r="H127" s="7">
        <v>30</v>
      </c>
      <c r="I127" s="7">
        <v>30</v>
      </c>
      <c r="J127"/>
    </row>
    <row r="128" spans="1:10" x14ac:dyDescent="0.35">
      <c r="A128" t="s">
        <v>370</v>
      </c>
      <c r="B128" s="1">
        <v>44933</v>
      </c>
      <c r="C128" t="s">
        <v>1932</v>
      </c>
      <c r="D128" t="s">
        <v>34</v>
      </c>
      <c r="E128">
        <v>40</v>
      </c>
      <c r="F128" t="s">
        <v>56</v>
      </c>
      <c r="G128">
        <v>3</v>
      </c>
      <c r="H128" s="7">
        <v>25</v>
      </c>
      <c r="I128" s="7">
        <v>75</v>
      </c>
      <c r="J128"/>
    </row>
    <row r="129" spans="1:10" x14ac:dyDescent="0.35">
      <c r="A129" t="s">
        <v>372</v>
      </c>
      <c r="B129" s="1">
        <v>44976</v>
      </c>
      <c r="C129" t="s">
        <v>215</v>
      </c>
      <c r="D129" t="s">
        <v>26</v>
      </c>
      <c r="E129">
        <v>22</v>
      </c>
      <c r="F129" t="s">
        <v>56</v>
      </c>
      <c r="G129">
        <v>1</v>
      </c>
      <c r="H129" s="7">
        <v>25</v>
      </c>
      <c r="I129" s="7">
        <v>25</v>
      </c>
      <c r="J129"/>
    </row>
    <row r="130" spans="1:10" x14ac:dyDescent="0.35">
      <c r="A130" t="s">
        <v>375</v>
      </c>
      <c r="B130" s="1">
        <v>45096</v>
      </c>
      <c r="C130" t="s">
        <v>1249</v>
      </c>
      <c r="D130" t="s">
        <v>26</v>
      </c>
      <c r="E130">
        <v>64</v>
      </c>
      <c r="F130" t="s">
        <v>56</v>
      </c>
      <c r="G130">
        <v>4</v>
      </c>
      <c r="H130" s="7">
        <v>30</v>
      </c>
      <c r="I130" s="7">
        <v>120</v>
      </c>
      <c r="J130"/>
    </row>
    <row r="131" spans="1:10" x14ac:dyDescent="0.35">
      <c r="A131" t="s">
        <v>95</v>
      </c>
      <c r="B131" s="1">
        <v>44950</v>
      </c>
      <c r="C131" t="s">
        <v>2228</v>
      </c>
      <c r="D131" t="s">
        <v>34</v>
      </c>
      <c r="E131">
        <v>49</v>
      </c>
      <c r="F131" t="s">
        <v>56</v>
      </c>
      <c r="G131">
        <v>4</v>
      </c>
      <c r="H131" s="7">
        <v>25</v>
      </c>
      <c r="I131" s="7">
        <v>100</v>
      </c>
      <c r="J131"/>
    </row>
    <row r="132" spans="1:10" x14ac:dyDescent="0.35">
      <c r="A132" t="s">
        <v>380</v>
      </c>
      <c r="B132" s="1">
        <v>45260</v>
      </c>
      <c r="C132" t="s">
        <v>1050</v>
      </c>
      <c r="D132" t="s">
        <v>34</v>
      </c>
      <c r="E132">
        <v>48</v>
      </c>
      <c r="F132" t="s">
        <v>56</v>
      </c>
      <c r="G132">
        <v>1</v>
      </c>
      <c r="H132" s="7">
        <v>300</v>
      </c>
      <c r="I132" s="7">
        <v>300</v>
      </c>
      <c r="J132"/>
    </row>
    <row r="133" spans="1:10" x14ac:dyDescent="0.35">
      <c r="A133" t="s">
        <v>383</v>
      </c>
      <c r="B133" s="1">
        <v>44942</v>
      </c>
      <c r="C133" t="s">
        <v>2321</v>
      </c>
      <c r="D133" t="s">
        <v>26</v>
      </c>
      <c r="E133">
        <v>34</v>
      </c>
      <c r="F133" t="s">
        <v>36</v>
      </c>
      <c r="G133">
        <v>4</v>
      </c>
      <c r="H133" s="7">
        <v>500</v>
      </c>
      <c r="I133" s="7">
        <v>2000</v>
      </c>
      <c r="J133"/>
    </row>
    <row r="134" spans="1:10" x14ac:dyDescent="0.35">
      <c r="A134" t="s">
        <v>123</v>
      </c>
      <c r="B134" s="1">
        <v>45037</v>
      </c>
      <c r="C134" t="s">
        <v>2243</v>
      </c>
      <c r="D134" t="s">
        <v>34</v>
      </c>
      <c r="E134">
        <v>23</v>
      </c>
      <c r="F134" t="s">
        <v>56</v>
      </c>
      <c r="G134">
        <v>4</v>
      </c>
      <c r="H134" s="7">
        <v>30</v>
      </c>
      <c r="I134" s="7">
        <v>120</v>
      </c>
      <c r="J134"/>
    </row>
    <row r="135" spans="1:10" x14ac:dyDescent="0.35">
      <c r="A135" t="s">
        <v>386</v>
      </c>
      <c r="B135" s="1">
        <v>45234</v>
      </c>
      <c r="C135" t="s">
        <v>1229</v>
      </c>
      <c r="D135" t="s">
        <v>26</v>
      </c>
      <c r="E135">
        <v>34</v>
      </c>
      <c r="F135" t="s">
        <v>13</v>
      </c>
      <c r="G135">
        <v>1</v>
      </c>
      <c r="H135" s="7">
        <v>500</v>
      </c>
      <c r="I135" s="7">
        <v>500</v>
      </c>
      <c r="J135"/>
    </row>
    <row r="136" spans="1:10" x14ac:dyDescent="0.35">
      <c r="A136" t="s">
        <v>387</v>
      </c>
      <c r="B136" s="1">
        <v>45204</v>
      </c>
      <c r="C136" t="s">
        <v>1906</v>
      </c>
      <c r="D136" t="s">
        <v>34</v>
      </c>
      <c r="E136">
        <v>31</v>
      </c>
      <c r="F136" t="s">
        <v>56</v>
      </c>
      <c r="G136">
        <v>1</v>
      </c>
      <c r="H136" s="7">
        <v>500</v>
      </c>
      <c r="I136" s="7">
        <v>500</v>
      </c>
      <c r="J136"/>
    </row>
    <row r="137" spans="1:10" x14ac:dyDescent="0.35">
      <c r="A137" t="s">
        <v>390</v>
      </c>
      <c r="B137" s="1">
        <v>45228</v>
      </c>
      <c r="C137" t="s">
        <v>2256</v>
      </c>
      <c r="D137" t="s">
        <v>34</v>
      </c>
      <c r="E137">
        <v>58</v>
      </c>
      <c r="F137" t="s">
        <v>36</v>
      </c>
      <c r="G137">
        <v>3</v>
      </c>
      <c r="H137" s="7">
        <v>30</v>
      </c>
      <c r="I137" s="7">
        <v>90</v>
      </c>
      <c r="J137"/>
    </row>
    <row r="138" spans="1:10" x14ac:dyDescent="0.35">
      <c r="A138" t="s">
        <v>393</v>
      </c>
      <c r="B138" s="1">
        <v>44964</v>
      </c>
      <c r="C138" t="s">
        <v>2237</v>
      </c>
      <c r="D138" t="s">
        <v>34</v>
      </c>
      <c r="E138">
        <v>57</v>
      </c>
      <c r="F138" t="s">
        <v>36</v>
      </c>
      <c r="G138">
        <v>4</v>
      </c>
      <c r="H138" s="7">
        <v>50</v>
      </c>
      <c r="I138" s="7">
        <v>200</v>
      </c>
      <c r="J138"/>
    </row>
    <row r="139" spans="1:10" x14ac:dyDescent="0.35">
      <c r="A139" t="s">
        <v>395</v>
      </c>
      <c r="B139" s="1">
        <v>45017</v>
      </c>
      <c r="C139" t="s">
        <v>2279</v>
      </c>
      <c r="D139" t="s">
        <v>26</v>
      </c>
      <c r="E139">
        <v>39</v>
      </c>
      <c r="F139" t="s">
        <v>36</v>
      </c>
      <c r="G139">
        <v>4</v>
      </c>
      <c r="H139" s="7">
        <v>300</v>
      </c>
      <c r="I139" s="7">
        <v>1200</v>
      </c>
      <c r="J139"/>
    </row>
    <row r="140" spans="1:10" x14ac:dyDescent="0.35">
      <c r="A140" t="s">
        <v>396</v>
      </c>
      <c r="B140" s="1">
        <v>45069</v>
      </c>
      <c r="C140" t="s">
        <v>2215</v>
      </c>
      <c r="D140" t="s">
        <v>26</v>
      </c>
      <c r="E140">
        <v>47</v>
      </c>
      <c r="F140" t="s">
        <v>13</v>
      </c>
      <c r="G140">
        <v>3</v>
      </c>
      <c r="H140" s="7">
        <v>300</v>
      </c>
      <c r="I140" s="7">
        <v>900</v>
      </c>
      <c r="J140"/>
    </row>
    <row r="141" spans="1:10" x14ac:dyDescent="0.35">
      <c r="A141" t="s">
        <v>399</v>
      </c>
      <c r="B141" s="1">
        <v>45176</v>
      </c>
      <c r="C141" t="s">
        <v>1850</v>
      </c>
      <c r="D141" t="s">
        <v>34</v>
      </c>
      <c r="E141">
        <v>37</v>
      </c>
      <c r="F141" t="s">
        <v>56</v>
      </c>
      <c r="G141">
        <v>4</v>
      </c>
      <c r="H141" s="7">
        <v>50</v>
      </c>
      <c r="I141" s="7">
        <v>200</v>
      </c>
      <c r="J141"/>
    </row>
    <row r="142" spans="1:10" x14ac:dyDescent="0.35">
      <c r="A142" t="s">
        <v>401</v>
      </c>
      <c r="B142" s="1">
        <v>44980</v>
      </c>
      <c r="C142" t="s">
        <v>1373</v>
      </c>
      <c r="D142" t="s">
        <v>26</v>
      </c>
      <c r="E142">
        <v>55</v>
      </c>
      <c r="F142" t="s">
        <v>36</v>
      </c>
      <c r="G142">
        <v>1</v>
      </c>
      <c r="H142" s="7">
        <v>30</v>
      </c>
      <c r="I142" s="7">
        <v>30</v>
      </c>
      <c r="J142"/>
    </row>
    <row r="143" spans="1:10" x14ac:dyDescent="0.35">
      <c r="A143" t="s">
        <v>405</v>
      </c>
      <c r="B143" s="1">
        <v>45143</v>
      </c>
      <c r="C143" t="s">
        <v>189</v>
      </c>
      <c r="D143" t="s">
        <v>34</v>
      </c>
      <c r="E143">
        <v>61</v>
      </c>
      <c r="F143" t="s">
        <v>56</v>
      </c>
      <c r="G143">
        <v>1</v>
      </c>
      <c r="H143" s="7">
        <v>25</v>
      </c>
      <c r="I143" s="7">
        <v>25</v>
      </c>
      <c r="J143"/>
    </row>
    <row r="144" spans="1:10" x14ac:dyDescent="0.35">
      <c r="A144" t="s">
        <v>408</v>
      </c>
      <c r="B144" s="1">
        <v>44968</v>
      </c>
      <c r="C144" t="s">
        <v>2269</v>
      </c>
      <c r="D144" t="s">
        <v>34</v>
      </c>
      <c r="E144">
        <v>49</v>
      </c>
      <c r="F144" t="s">
        <v>36</v>
      </c>
      <c r="G144">
        <v>4</v>
      </c>
      <c r="H144" s="7">
        <v>25</v>
      </c>
      <c r="I144" s="7">
        <v>100</v>
      </c>
      <c r="J144"/>
    </row>
    <row r="145" spans="1:10" x14ac:dyDescent="0.35">
      <c r="A145" t="s">
        <v>409</v>
      </c>
      <c r="B145" s="1">
        <v>45041</v>
      </c>
      <c r="C145" t="s">
        <v>2211</v>
      </c>
      <c r="D145" t="s">
        <v>34</v>
      </c>
      <c r="E145">
        <v>41</v>
      </c>
      <c r="F145" t="s">
        <v>56</v>
      </c>
      <c r="G145">
        <v>2</v>
      </c>
      <c r="H145" s="7">
        <v>50</v>
      </c>
      <c r="I145" s="7">
        <v>100</v>
      </c>
      <c r="J145"/>
    </row>
    <row r="146" spans="1:10" x14ac:dyDescent="0.35">
      <c r="A146" t="s">
        <v>411</v>
      </c>
      <c r="B146" s="1">
        <v>44956</v>
      </c>
      <c r="C146" t="s">
        <v>480</v>
      </c>
      <c r="D146" t="s">
        <v>34</v>
      </c>
      <c r="E146">
        <v>22</v>
      </c>
      <c r="F146" t="s">
        <v>13</v>
      </c>
      <c r="G146">
        <v>3</v>
      </c>
      <c r="H146" s="7">
        <v>30</v>
      </c>
      <c r="I146" s="7">
        <v>90</v>
      </c>
      <c r="J146"/>
    </row>
    <row r="147" spans="1:10" x14ac:dyDescent="0.35">
      <c r="A147" t="s">
        <v>414</v>
      </c>
      <c r="B147" s="1">
        <v>45084</v>
      </c>
      <c r="C147" t="s">
        <v>2244</v>
      </c>
      <c r="D147" t="s">
        <v>26</v>
      </c>
      <c r="E147">
        <v>64</v>
      </c>
      <c r="F147" t="s">
        <v>56</v>
      </c>
      <c r="G147">
        <v>2</v>
      </c>
      <c r="H147" s="7">
        <v>50</v>
      </c>
      <c r="I147" s="7">
        <v>100</v>
      </c>
      <c r="J147"/>
    </row>
    <row r="148" spans="1:10" x14ac:dyDescent="0.35">
      <c r="A148" t="s">
        <v>416</v>
      </c>
      <c r="B148" s="1">
        <v>45207</v>
      </c>
      <c r="C148" t="s">
        <v>1367</v>
      </c>
      <c r="D148" t="s">
        <v>26</v>
      </c>
      <c r="E148">
        <v>41</v>
      </c>
      <c r="F148" t="s">
        <v>56</v>
      </c>
      <c r="G148">
        <v>1</v>
      </c>
      <c r="H148" s="7">
        <v>25</v>
      </c>
      <c r="I148" s="7">
        <v>25</v>
      </c>
      <c r="J148"/>
    </row>
    <row r="149" spans="1:10" x14ac:dyDescent="0.35">
      <c r="A149" t="s">
        <v>418</v>
      </c>
      <c r="B149" s="1">
        <v>45073</v>
      </c>
      <c r="C149" t="s">
        <v>2220</v>
      </c>
      <c r="D149" t="s">
        <v>34</v>
      </c>
      <c r="E149">
        <v>51</v>
      </c>
      <c r="F149" t="s">
        <v>56</v>
      </c>
      <c r="G149">
        <v>3</v>
      </c>
      <c r="H149" s="7">
        <v>50</v>
      </c>
      <c r="I149" s="7">
        <v>150</v>
      </c>
      <c r="J149"/>
    </row>
    <row r="150" spans="1:10" x14ac:dyDescent="0.35">
      <c r="A150" t="s">
        <v>420</v>
      </c>
      <c r="B150" s="1">
        <v>45150</v>
      </c>
      <c r="C150" t="s">
        <v>2310</v>
      </c>
      <c r="D150" t="s">
        <v>34</v>
      </c>
      <c r="E150">
        <v>47</v>
      </c>
      <c r="F150" t="s">
        <v>36</v>
      </c>
      <c r="G150">
        <v>2</v>
      </c>
      <c r="H150" s="7">
        <v>500</v>
      </c>
      <c r="I150" s="7">
        <v>1000</v>
      </c>
      <c r="J150"/>
    </row>
    <row r="151" spans="1:10" x14ac:dyDescent="0.35">
      <c r="A151" t="s">
        <v>422</v>
      </c>
      <c r="B151" s="1">
        <v>44958</v>
      </c>
      <c r="C151" t="s">
        <v>1785</v>
      </c>
      <c r="D151" t="s">
        <v>26</v>
      </c>
      <c r="E151">
        <v>28</v>
      </c>
      <c r="F151" t="s">
        <v>13</v>
      </c>
      <c r="G151">
        <v>4</v>
      </c>
      <c r="H151" s="7">
        <v>300</v>
      </c>
      <c r="I151" s="7">
        <v>1200</v>
      </c>
      <c r="J151"/>
    </row>
    <row r="152" spans="1:10" x14ac:dyDescent="0.35">
      <c r="A152" t="s">
        <v>41</v>
      </c>
      <c r="B152" s="1">
        <v>45287</v>
      </c>
      <c r="C152" t="s">
        <v>812</v>
      </c>
      <c r="D152" t="s">
        <v>34</v>
      </c>
      <c r="E152">
        <v>18</v>
      </c>
      <c r="F152" t="s">
        <v>36</v>
      </c>
      <c r="G152">
        <v>2</v>
      </c>
      <c r="H152" s="7">
        <v>50</v>
      </c>
      <c r="I152" s="7">
        <v>100</v>
      </c>
      <c r="J152"/>
    </row>
    <row r="153" spans="1:10" x14ac:dyDescent="0.35">
      <c r="A153" t="s">
        <v>424</v>
      </c>
      <c r="B153" s="1">
        <v>44950</v>
      </c>
      <c r="C153" t="s">
        <v>1718</v>
      </c>
      <c r="D153" t="s">
        <v>34</v>
      </c>
      <c r="E153">
        <v>51</v>
      </c>
      <c r="F153" t="s">
        <v>36</v>
      </c>
      <c r="G153">
        <v>3</v>
      </c>
      <c r="H153" s="7">
        <v>50</v>
      </c>
      <c r="I153" s="7">
        <v>150</v>
      </c>
      <c r="J153"/>
    </row>
    <row r="154" spans="1:10" x14ac:dyDescent="0.35">
      <c r="A154" t="s">
        <v>425</v>
      </c>
      <c r="B154" s="1">
        <v>44946</v>
      </c>
      <c r="C154" t="s">
        <v>1950</v>
      </c>
      <c r="D154" t="s">
        <v>34</v>
      </c>
      <c r="E154">
        <v>24</v>
      </c>
      <c r="F154" t="s">
        <v>36</v>
      </c>
      <c r="G154">
        <v>1</v>
      </c>
      <c r="H154" s="7">
        <v>50</v>
      </c>
      <c r="I154" s="7">
        <v>50</v>
      </c>
      <c r="J154"/>
    </row>
    <row r="155" spans="1:10" x14ac:dyDescent="0.35">
      <c r="A155" t="s">
        <v>427</v>
      </c>
      <c r="B155" s="1">
        <v>45026</v>
      </c>
      <c r="C155" t="s">
        <v>1050</v>
      </c>
      <c r="D155" t="s">
        <v>34</v>
      </c>
      <c r="E155">
        <v>19</v>
      </c>
      <c r="F155" t="s">
        <v>56</v>
      </c>
      <c r="G155">
        <v>1</v>
      </c>
      <c r="H155" s="7">
        <v>30</v>
      </c>
      <c r="I155" s="7">
        <v>30</v>
      </c>
      <c r="J155"/>
    </row>
    <row r="156" spans="1:10" x14ac:dyDescent="0.35">
      <c r="A156" t="s">
        <v>429</v>
      </c>
      <c r="B156" s="1">
        <v>45222</v>
      </c>
      <c r="C156" t="s">
        <v>1159</v>
      </c>
      <c r="D156" t="s">
        <v>34</v>
      </c>
      <c r="E156">
        <v>30</v>
      </c>
      <c r="F156" t="s">
        <v>36</v>
      </c>
      <c r="G156">
        <v>4</v>
      </c>
      <c r="H156" s="7">
        <v>25</v>
      </c>
      <c r="I156" s="7">
        <v>100</v>
      </c>
      <c r="J156"/>
    </row>
    <row r="157" spans="1:10" x14ac:dyDescent="0.35">
      <c r="A157" t="s">
        <v>430</v>
      </c>
      <c r="B157" s="1">
        <v>45223</v>
      </c>
      <c r="C157" t="s">
        <v>2205</v>
      </c>
      <c r="D157" t="s">
        <v>34</v>
      </c>
      <c r="E157">
        <v>50</v>
      </c>
      <c r="F157" t="s">
        <v>13</v>
      </c>
      <c r="G157">
        <v>2</v>
      </c>
      <c r="H157" s="7">
        <v>50</v>
      </c>
      <c r="I157" s="7">
        <v>100</v>
      </c>
      <c r="J157"/>
    </row>
    <row r="158" spans="1:10" x14ac:dyDescent="0.35">
      <c r="A158" t="s">
        <v>432</v>
      </c>
      <c r="B158" s="1">
        <v>44995</v>
      </c>
      <c r="C158" t="s">
        <v>1277</v>
      </c>
      <c r="D158" t="s">
        <v>26</v>
      </c>
      <c r="E158">
        <v>30</v>
      </c>
      <c r="F158" t="s">
        <v>36</v>
      </c>
      <c r="G158">
        <v>1</v>
      </c>
      <c r="H158" s="7">
        <v>25</v>
      </c>
      <c r="I158" s="7">
        <v>25</v>
      </c>
      <c r="J158"/>
    </row>
    <row r="159" spans="1:10" x14ac:dyDescent="0.35">
      <c r="A159" t="s">
        <v>435</v>
      </c>
      <c r="B159" s="1">
        <v>44977</v>
      </c>
      <c r="C159" t="s">
        <v>1353</v>
      </c>
      <c r="D159" t="s">
        <v>34</v>
      </c>
      <c r="E159">
        <v>60</v>
      </c>
      <c r="F159" t="s">
        <v>13</v>
      </c>
      <c r="G159">
        <v>2</v>
      </c>
      <c r="H159" s="7">
        <v>500</v>
      </c>
      <c r="I159" s="7">
        <v>1000</v>
      </c>
      <c r="J159"/>
    </row>
    <row r="160" spans="1:10" x14ac:dyDescent="0.35">
      <c r="A160" t="s">
        <v>437</v>
      </c>
      <c r="B160" s="1">
        <v>45122</v>
      </c>
      <c r="C160" t="s">
        <v>1913</v>
      </c>
      <c r="D160" t="s">
        <v>26</v>
      </c>
      <c r="E160">
        <v>26</v>
      </c>
      <c r="F160" t="s">
        <v>56</v>
      </c>
      <c r="G160">
        <v>3</v>
      </c>
      <c r="H160" s="7">
        <v>500</v>
      </c>
      <c r="I160" s="7">
        <v>1500</v>
      </c>
      <c r="J160"/>
    </row>
    <row r="161" spans="1:10" x14ac:dyDescent="0.35">
      <c r="A161" t="s">
        <v>439</v>
      </c>
      <c r="B161" s="1">
        <v>45254</v>
      </c>
      <c r="C161" t="s">
        <v>363</v>
      </c>
      <c r="D161" t="s">
        <v>26</v>
      </c>
      <c r="E161">
        <v>52</v>
      </c>
      <c r="F161" t="s">
        <v>56</v>
      </c>
      <c r="G161">
        <v>3</v>
      </c>
      <c r="H161" s="7">
        <v>300</v>
      </c>
      <c r="I161" s="7">
        <v>900</v>
      </c>
      <c r="J161"/>
    </row>
    <row r="162" spans="1:10" x14ac:dyDescent="0.35">
      <c r="A162" t="s">
        <v>441</v>
      </c>
      <c r="B162" s="1">
        <v>44959</v>
      </c>
      <c r="C162" t="s">
        <v>1407</v>
      </c>
      <c r="D162" t="s">
        <v>26</v>
      </c>
      <c r="E162">
        <v>64</v>
      </c>
      <c r="F162" t="s">
        <v>56</v>
      </c>
      <c r="G162">
        <v>1</v>
      </c>
      <c r="H162" s="7">
        <v>25</v>
      </c>
      <c r="I162" s="7">
        <v>25</v>
      </c>
      <c r="J162"/>
    </row>
    <row r="163" spans="1:10" x14ac:dyDescent="0.35">
      <c r="A163" t="s">
        <v>443</v>
      </c>
      <c r="B163" s="1">
        <v>45047</v>
      </c>
      <c r="C163" t="s">
        <v>2199</v>
      </c>
      <c r="D163" t="s">
        <v>34</v>
      </c>
      <c r="E163">
        <v>38</v>
      </c>
      <c r="F163" t="s">
        <v>56</v>
      </c>
      <c r="G163">
        <v>1</v>
      </c>
      <c r="H163" s="7">
        <v>500</v>
      </c>
      <c r="I163" s="7">
        <v>500</v>
      </c>
      <c r="J163"/>
    </row>
    <row r="164" spans="1:10" x14ac:dyDescent="0.35">
      <c r="A164" t="s">
        <v>445</v>
      </c>
      <c r="B164" s="1">
        <v>45277</v>
      </c>
      <c r="C164" t="s">
        <v>2286</v>
      </c>
      <c r="D164" t="s">
        <v>26</v>
      </c>
      <c r="E164">
        <v>56</v>
      </c>
      <c r="F164" t="s">
        <v>56</v>
      </c>
      <c r="G164">
        <v>1</v>
      </c>
      <c r="H164" s="7">
        <v>300</v>
      </c>
      <c r="I164" s="7">
        <v>300</v>
      </c>
      <c r="J164"/>
    </row>
    <row r="165" spans="1:10" x14ac:dyDescent="0.35">
      <c r="A165" t="s">
        <v>448</v>
      </c>
      <c r="B165" s="1">
        <v>45088</v>
      </c>
      <c r="C165" t="s">
        <v>961</v>
      </c>
      <c r="D165" t="s">
        <v>34</v>
      </c>
      <c r="E165">
        <v>27</v>
      </c>
      <c r="F165" t="s">
        <v>56</v>
      </c>
      <c r="G165">
        <v>3</v>
      </c>
      <c r="H165" s="7">
        <v>300</v>
      </c>
      <c r="I165" s="7">
        <v>900</v>
      </c>
      <c r="J165"/>
    </row>
    <row r="166" spans="1:10" x14ac:dyDescent="0.35">
      <c r="A166" t="s">
        <v>451</v>
      </c>
      <c r="B166" s="1">
        <v>45053</v>
      </c>
      <c r="C166" t="s">
        <v>669</v>
      </c>
      <c r="D166" t="s">
        <v>34</v>
      </c>
      <c r="E166">
        <v>39</v>
      </c>
      <c r="F166" t="s">
        <v>36</v>
      </c>
      <c r="G166">
        <v>2</v>
      </c>
      <c r="H166" s="7">
        <v>300</v>
      </c>
      <c r="I166" s="7">
        <v>600</v>
      </c>
      <c r="J166"/>
    </row>
    <row r="167" spans="1:10" x14ac:dyDescent="0.35">
      <c r="A167" t="s">
        <v>454</v>
      </c>
      <c r="B167" s="1">
        <v>45088</v>
      </c>
      <c r="C167" t="s">
        <v>379</v>
      </c>
      <c r="D167" t="s">
        <v>34</v>
      </c>
      <c r="E167">
        <v>57</v>
      </c>
      <c r="F167" t="s">
        <v>13</v>
      </c>
      <c r="G167">
        <v>2</v>
      </c>
      <c r="H167" s="7">
        <v>500</v>
      </c>
      <c r="I167" s="7">
        <v>1000</v>
      </c>
      <c r="J167"/>
    </row>
    <row r="168" spans="1:10" x14ac:dyDescent="0.35">
      <c r="A168" t="s">
        <v>456</v>
      </c>
      <c r="B168" s="1">
        <v>45190</v>
      </c>
      <c r="C168" t="s">
        <v>1124</v>
      </c>
      <c r="D168" t="s">
        <v>26</v>
      </c>
      <c r="E168">
        <v>38</v>
      </c>
      <c r="F168" t="s">
        <v>13</v>
      </c>
      <c r="G168">
        <v>1</v>
      </c>
      <c r="H168" s="7">
        <v>30</v>
      </c>
      <c r="I168" s="7">
        <v>30</v>
      </c>
      <c r="J168"/>
    </row>
    <row r="169" spans="1:10" x14ac:dyDescent="0.35">
      <c r="A169" t="s">
        <v>458</v>
      </c>
      <c r="B169" s="1">
        <v>44956</v>
      </c>
      <c r="C169" t="s">
        <v>1584</v>
      </c>
      <c r="D169" t="s">
        <v>34</v>
      </c>
      <c r="E169">
        <v>51</v>
      </c>
      <c r="F169" t="s">
        <v>13</v>
      </c>
      <c r="G169">
        <v>1</v>
      </c>
      <c r="H169" s="7">
        <v>500</v>
      </c>
      <c r="I169" s="7">
        <v>500</v>
      </c>
      <c r="J169"/>
    </row>
    <row r="170" spans="1:10" x14ac:dyDescent="0.35">
      <c r="A170" t="s">
        <v>460</v>
      </c>
      <c r="B170" s="1">
        <v>45237</v>
      </c>
      <c r="C170" t="s">
        <v>1561</v>
      </c>
      <c r="D170" t="s">
        <v>26</v>
      </c>
      <c r="E170">
        <v>43</v>
      </c>
      <c r="F170" t="s">
        <v>56</v>
      </c>
      <c r="G170">
        <v>1</v>
      </c>
      <c r="H170" s="7">
        <v>25</v>
      </c>
      <c r="I170" s="7">
        <v>25</v>
      </c>
      <c r="J170"/>
    </row>
    <row r="171" spans="1:10" x14ac:dyDescent="0.35">
      <c r="A171" t="s">
        <v>463</v>
      </c>
      <c r="B171" s="1">
        <v>45210</v>
      </c>
      <c r="C171" t="s">
        <v>2296</v>
      </c>
      <c r="D171" t="s">
        <v>34</v>
      </c>
      <c r="E171">
        <v>22</v>
      </c>
      <c r="F171" t="s">
        <v>56</v>
      </c>
      <c r="G171">
        <v>3</v>
      </c>
      <c r="H171" s="7">
        <v>25</v>
      </c>
      <c r="I171" s="7">
        <v>75</v>
      </c>
      <c r="J171"/>
    </row>
    <row r="172" spans="1:10" x14ac:dyDescent="0.35">
      <c r="A172" t="s">
        <v>466</v>
      </c>
      <c r="B172" s="1">
        <v>45051</v>
      </c>
      <c r="C172" t="s">
        <v>2253</v>
      </c>
      <c r="D172" t="s">
        <v>34</v>
      </c>
      <c r="E172">
        <v>24</v>
      </c>
      <c r="F172" t="s">
        <v>13</v>
      </c>
      <c r="G172">
        <v>1</v>
      </c>
      <c r="H172" s="7">
        <v>50</v>
      </c>
      <c r="I172" s="7">
        <v>50</v>
      </c>
      <c r="J172"/>
    </row>
    <row r="173" spans="1:10" x14ac:dyDescent="0.35">
      <c r="A173" t="s">
        <v>468</v>
      </c>
      <c r="B173" s="1">
        <v>44989</v>
      </c>
      <c r="C173" t="s">
        <v>2228</v>
      </c>
      <c r="D173" t="s">
        <v>26</v>
      </c>
      <c r="E173">
        <v>40</v>
      </c>
      <c r="F173" t="s">
        <v>36</v>
      </c>
      <c r="G173">
        <v>2</v>
      </c>
      <c r="H173" s="7">
        <v>500</v>
      </c>
      <c r="I173" s="7">
        <v>1000</v>
      </c>
      <c r="J173"/>
    </row>
    <row r="174" spans="1:10" x14ac:dyDescent="0.35">
      <c r="A174" t="s">
        <v>470</v>
      </c>
      <c r="B174" s="1">
        <v>44977</v>
      </c>
      <c r="C174" t="s">
        <v>2183</v>
      </c>
      <c r="D174" t="s">
        <v>26</v>
      </c>
      <c r="E174">
        <v>28</v>
      </c>
      <c r="F174" t="s">
        <v>13</v>
      </c>
      <c r="G174">
        <v>1</v>
      </c>
      <c r="H174" s="7">
        <v>30</v>
      </c>
      <c r="I174" s="7">
        <v>30</v>
      </c>
      <c r="J174"/>
    </row>
    <row r="175" spans="1:10" x14ac:dyDescent="0.35">
      <c r="A175" t="s">
        <v>473</v>
      </c>
      <c r="B175" s="1">
        <v>45211</v>
      </c>
      <c r="C175" t="s">
        <v>1320</v>
      </c>
      <c r="D175" t="s">
        <v>34</v>
      </c>
      <c r="E175">
        <v>35</v>
      </c>
      <c r="F175" t="s">
        <v>56</v>
      </c>
      <c r="G175">
        <v>3</v>
      </c>
      <c r="H175" s="7">
        <v>50</v>
      </c>
      <c r="I175" s="7">
        <v>150</v>
      </c>
      <c r="J175"/>
    </row>
    <row r="176" spans="1:10" x14ac:dyDescent="0.35">
      <c r="A176" t="s">
        <v>474</v>
      </c>
      <c r="B176" s="1">
        <v>45084</v>
      </c>
      <c r="C176" t="s">
        <v>640</v>
      </c>
      <c r="D176" t="s">
        <v>34</v>
      </c>
      <c r="E176">
        <v>21</v>
      </c>
      <c r="F176" t="s">
        <v>13</v>
      </c>
      <c r="G176">
        <v>1</v>
      </c>
      <c r="H176" s="7">
        <v>50</v>
      </c>
      <c r="I176" s="7">
        <v>50</v>
      </c>
      <c r="J176"/>
    </row>
    <row r="177" spans="1:10" x14ac:dyDescent="0.35">
      <c r="A177" t="s">
        <v>476</v>
      </c>
      <c r="B177" s="1">
        <v>44982</v>
      </c>
      <c r="C177" t="s">
        <v>575</v>
      </c>
      <c r="D177" t="s">
        <v>34</v>
      </c>
      <c r="E177">
        <v>34</v>
      </c>
      <c r="F177" t="s">
        <v>36</v>
      </c>
      <c r="G177">
        <v>3</v>
      </c>
      <c r="H177" s="7">
        <v>500</v>
      </c>
      <c r="I177" s="7">
        <v>1500</v>
      </c>
      <c r="J177"/>
    </row>
    <row r="178" spans="1:10" x14ac:dyDescent="0.35">
      <c r="A178" t="s">
        <v>477</v>
      </c>
      <c r="B178" s="1">
        <v>45167</v>
      </c>
      <c r="C178" t="s">
        <v>465</v>
      </c>
      <c r="D178" t="s">
        <v>34</v>
      </c>
      <c r="E178">
        <v>56</v>
      </c>
      <c r="F178" t="s">
        <v>56</v>
      </c>
      <c r="G178">
        <v>1</v>
      </c>
      <c r="H178" s="7">
        <v>500</v>
      </c>
      <c r="I178" s="7">
        <v>500</v>
      </c>
      <c r="J178"/>
    </row>
    <row r="179" spans="1:10" x14ac:dyDescent="0.35">
      <c r="A179" t="s">
        <v>479</v>
      </c>
      <c r="B179" s="1">
        <v>45039</v>
      </c>
      <c r="C179" t="s">
        <v>909</v>
      </c>
      <c r="D179" t="s">
        <v>26</v>
      </c>
      <c r="E179">
        <v>21</v>
      </c>
      <c r="F179" t="s">
        <v>36</v>
      </c>
      <c r="G179">
        <v>2</v>
      </c>
      <c r="H179" s="7">
        <v>300</v>
      </c>
      <c r="I179" s="7">
        <v>600</v>
      </c>
      <c r="J179"/>
    </row>
    <row r="180" spans="1:10" x14ac:dyDescent="0.35">
      <c r="A180" t="s">
        <v>481</v>
      </c>
      <c r="B180" s="1">
        <v>45245</v>
      </c>
      <c r="C180" t="s">
        <v>1252</v>
      </c>
      <c r="D180" t="s">
        <v>34</v>
      </c>
      <c r="E180">
        <v>23</v>
      </c>
      <c r="F180" t="s">
        <v>36</v>
      </c>
      <c r="G180">
        <v>1</v>
      </c>
      <c r="H180" s="7">
        <v>30</v>
      </c>
      <c r="I180" s="7">
        <v>30</v>
      </c>
      <c r="J180"/>
    </row>
    <row r="181" spans="1:10" x14ac:dyDescent="0.35">
      <c r="A181" t="s">
        <v>483</v>
      </c>
      <c r="B181" s="1">
        <v>45108</v>
      </c>
      <c r="C181" t="s">
        <v>1874</v>
      </c>
      <c r="D181" t="s">
        <v>34</v>
      </c>
      <c r="E181">
        <v>18</v>
      </c>
      <c r="F181" t="s">
        <v>36</v>
      </c>
      <c r="G181">
        <v>3</v>
      </c>
      <c r="H181" s="7">
        <v>30</v>
      </c>
      <c r="I181" s="7">
        <v>90</v>
      </c>
      <c r="J181"/>
    </row>
    <row r="182" spans="1:10" x14ac:dyDescent="0.35">
      <c r="A182" t="s">
        <v>484</v>
      </c>
      <c r="B182" s="1">
        <v>44939</v>
      </c>
      <c r="C182" t="s">
        <v>2296</v>
      </c>
      <c r="D182" t="s">
        <v>34</v>
      </c>
      <c r="E182">
        <v>53</v>
      </c>
      <c r="F182" t="s">
        <v>13</v>
      </c>
      <c r="G182">
        <v>4</v>
      </c>
      <c r="H182" s="7">
        <v>25</v>
      </c>
      <c r="I182" s="7">
        <v>100</v>
      </c>
      <c r="J182"/>
    </row>
    <row r="183" spans="1:10" x14ac:dyDescent="0.35">
      <c r="A183" t="s">
        <v>485</v>
      </c>
      <c r="B183" s="1">
        <v>45262</v>
      </c>
      <c r="C183" t="s">
        <v>1937</v>
      </c>
      <c r="D183" t="s">
        <v>26</v>
      </c>
      <c r="E183">
        <v>64</v>
      </c>
      <c r="F183" t="s">
        <v>56</v>
      </c>
      <c r="G183">
        <v>1</v>
      </c>
      <c r="H183" s="7">
        <v>30</v>
      </c>
      <c r="I183" s="7">
        <v>30</v>
      </c>
      <c r="J183"/>
    </row>
    <row r="184" spans="1:10" x14ac:dyDescent="0.35">
      <c r="A184" t="s">
        <v>486</v>
      </c>
      <c r="B184" s="1">
        <v>45144</v>
      </c>
      <c r="C184" t="s">
        <v>329</v>
      </c>
      <c r="D184" t="s">
        <v>26</v>
      </c>
      <c r="E184">
        <v>51</v>
      </c>
      <c r="F184" t="s">
        <v>13</v>
      </c>
      <c r="G184">
        <v>4</v>
      </c>
      <c r="H184" s="7">
        <v>500</v>
      </c>
      <c r="I184" s="7">
        <v>2000</v>
      </c>
      <c r="J184"/>
    </row>
    <row r="185" spans="1:10" x14ac:dyDescent="0.35">
      <c r="A185" t="s">
        <v>487</v>
      </c>
      <c r="B185" s="1">
        <v>45136</v>
      </c>
      <c r="C185" t="s">
        <v>1112</v>
      </c>
      <c r="D185" t="s">
        <v>34</v>
      </c>
      <c r="E185">
        <v>56</v>
      </c>
      <c r="F185" t="s">
        <v>36</v>
      </c>
      <c r="G185">
        <v>1</v>
      </c>
      <c r="H185" s="7">
        <v>500</v>
      </c>
      <c r="I185" s="7">
        <v>500</v>
      </c>
      <c r="J185"/>
    </row>
    <row r="186" spans="1:10" x14ac:dyDescent="0.35">
      <c r="A186" t="s">
        <v>488</v>
      </c>
      <c r="B186" s="1">
        <v>45031</v>
      </c>
      <c r="C186" t="s">
        <v>1015</v>
      </c>
      <c r="D186" t="s">
        <v>26</v>
      </c>
      <c r="E186">
        <v>64</v>
      </c>
      <c r="F186" t="s">
        <v>36</v>
      </c>
      <c r="G186">
        <v>1</v>
      </c>
      <c r="H186" s="7">
        <v>500</v>
      </c>
      <c r="I186" s="7">
        <v>500</v>
      </c>
      <c r="J186"/>
    </row>
    <row r="187" spans="1:10" x14ac:dyDescent="0.35">
      <c r="A187" t="s">
        <v>491</v>
      </c>
      <c r="B187" s="1">
        <v>45064</v>
      </c>
      <c r="C187" t="s">
        <v>1603</v>
      </c>
      <c r="D187" t="s">
        <v>34</v>
      </c>
      <c r="E187">
        <v>30</v>
      </c>
      <c r="F187" t="s">
        <v>13</v>
      </c>
      <c r="G187">
        <v>1</v>
      </c>
      <c r="H187" s="7">
        <v>500</v>
      </c>
      <c r="I187" s="7">
        <v>500</v>
      </c>
      <c r="J187"/>
    </row>
    <row r="188" spans="1:10" x14ac:dyDescent="0.35">
      <c r="A188" t="s">
        <v>493</v>
      </c>
      <c r="B188" s="1">
        <v>45106</v>
      </c>
      <c r="C188" t="s">
        <v>1187</v>
      </c>
      <c r="D188" t="s">
        <v>34</v>
      </c>
      <c r="E188">
        <v>61</v>
      </c>
      <c r="F188" t="s">
        <v>36</v>
      </c>
      <c r="G188">
        <v>4</v>
      </c>
      <c r="H188" s="7">
        <v>25</v>
      </c>
      <c r="I188" s="7">
        <v>100</v>
      </c>
      <c r="J188"/>
    </row>
    <row r="189" spans="1:10" x14ac:dyDescent="0.35">
      <c r="A189" t="s">
        <v>496</v>
      </c>
      <c r="B189" s="1">
        <v>44962</v>
      </c>
      <c r="C189" t="s">
        <v>1461</v>
      </c>
      <c r="D189" t="s">
        <v>34</v>
      </c>
      <c r="E189">
        <v>54</v>
      </c>
      <c r="F189" t="s">
        <v>36</v>
      </c>
      <c r="G189">
        <v>1</v>
      </c>
      <c r="H189" s="7">
        <v>30</v>
      </c>
      <c r="I189" s="7">
        <v>30</v>
      </c>
      <c r="J189"/>
    </row>
    <row r="190" spans="1:10" x14ac:dyDescent="0.35">
      <c r="A190" t="s">
        <v>498</v>
      </c>
      <c r="B190" s="1">
        <v>45016</v>
      </c>
      <c r="C190" t="s">
        <v>2214</v>
      </c>
      <c r="D190" t="s">
        <v>34</v>
      </c>
      <c r="E190">
        <v>24</v>
      </c>
      <c r="F190" t="s">
        <v>56</v>
      </c>
      <c r="G190">
        <v>4</v>
      </c>
      <c r="H190" s="7">
        <v>300</v>
      </c>
      <c r="I190" s="7">
        <v>1200</v>
      </c>
      <c r="J190"/>
    </row>
    <row r="191" spans="1:10" x14ac:dyDescent="0.35">
      <c r="A191" t="s">
        <v>500</v>
      </c>
      <c r="B191" s="1">
        <v>44964</v>
      </c>
      <c r="C191" t="s">
        <v>516</v>
      </c>
      <c r="D191" t="s">
        <v>34</v>
      </c>
      <c r="E191">
        <v>57</v>
      </c>
      <c r="F191" t="s">
        <v>56</v>
      </c>
      <c r="G191">
        <v>2</v>
      </c>
      <c r="H191" s="7">
        <v>50</v>
      </c>
      <c r="I191" s="7">
        <v>100</v>
      </c>
      <c r="J191"/>
    </row>
    <row r="192" spans="1:10" x14ac:dyDescent="0.35">
      <c r="A192" t="s">
        <v>502</v>
      </c>
      <c r="B192" s="1">
        <v>45085</v>
      </c>
      <c r="C192" t="s">
        <v>1556</v>
      </c>
      <c r="D192" t="s">
        <v>26</v>
      </c>
      <c r="E192">
        <v>40</v>
      </c>
      <c r="F192" t="s">
        <v>36</v>
      </c>
      <c r="G192">
        <v>4</v>
      </c>
      <c r="H192" s="7">
        <v>300</v>
      </c>
      <c r="I192" s="7">
        <v>1200</v>
      </c>
      <c r="J192"/>
    </row>
    <row r="193" spans="1:10" x14ac:dyDescent="0.35">
      <c r="A193" t="s">
        <v>503</v>
      </c>
      <c r="B193" s="1">
        <v>45265</v>
      </c>
      <c r="C193" t="s">
        <v>1647</v>
      </c>
      <c r="D193" t="s">
        <v>26</v>
      </c>
      <c r="E193">
        <v>27</v>
      </c>
      <c r="F193" t="s">
        <v>13</v>
      </c>
      <c r="G193">
        <v>4</v>
      </c>
      <c r="H193" s="7">
        <v>50</v>
      </c>
      <c r="I193" s="7">
        <v>200</v>
      </c>
      <c r="J193"/>
    </row>
    <row r="194" spans="1:10" x14ac:dyDescent="0.35">
      <c r="A194" t="s">
        <v>505</v>
      </c>
      <c r="B194" s="1">
        <v>44983</v>
      </c>
      <c r="C194" t="s">
        <v>1247</v>
      </c>
      <c r="D194" t="s">
        <v>34</v>
      </c>
      <c r="E194">
        <v>20</v>
      </c>
      <c r="F194" t="s">
        <v>56</v>
      </c>
      <c r="G194">
        <v>2</v>
      </c>
      <c r="H194" s="7">
        <v>25</v>
      </c>
      <c r="I194" s="7">
        <v>50</v>
      </c>
      <c r="J194"/>
    </row>
    <row r="195" spans="1:10" x14ac:dyDescent="0.35">
      <c r="A195" t="s">
        <v>508</v>
      </c>
      <c r="B195" s="1">
        <v>45139</v>
      </c>
      <c r="C195" t="s">
        <v>2207</v>
      </c>
      <c r="D195" t="s">
        <v>26</v>
      </c>
      <c r="E195">
        <v>29</v>
      </c>
      <c r="F195" t="s">
        <v>13</v>
      </c>
      <c r="G195">
        <v>1</v>
      </c>
      <c r="H195" s="7">
        <v>500</v>
      </c>
      <c r="I195" s="7">
        <v>500</v>
      </c>
      <c r="J195"/>
    </row>
    <row r="196" spans="1:10" x14ac:dyDescent="0.35">
      <c r="A196" t="s">
        <v>509</v>
      </c>
      <c r="B196" s="1">
        <v>44974</v>
      </c>
      <c r="C196" t="s">
        <v>159</v>
      </c>
      <c r="D196" t="s">
        <v>34</v>
      </c>
      <c r="E196">
        <v>19</v>
      </c>
      <c r="F196" t="s">
        <v>56</v>
      </c>
      <c r="G196">
        <v>3</v>
      </c>
      <c r="H196" s="7">
        <v>500</v>
      </c>
      <c r="I196" s="7">
        <v>1500</v>
      </c>
      <c r="J196"/>
    </row>
    <row r="197" spans="1:10" x14ac:dyDescent="0.35">
      <c r="A197" t="s">
        <v>512</v>
      </c>
      <c r="B197" s="1">
        <v>45175</v>
      </c>
      <c r="C197" t="s">
        <v>149</v>
      </c>
      <c r="D197" t="s">
        <v>34</v>
      </c>
      <c r="E197">
        <v>23</v>
      </c>
      <c r="F197" t="s">
        <v>36</v>
      </c>
      <c r="G197">
        <v>3</v>
      </c>
      <c r="H197" s="7">
        <v>25</v>
      </c>
      <c r="I197" s="7">
        <v>75</v>
      </c>
      <c r="J197"/>
    </row>
    <row r="198" spans="1:10" x14ac:dyDescent="0.35">
      <c r="A198" t="s">
        <v>514</v>
      </c>
      <c r="B198" s="1">
        <v>45149</v>
      </c>
      <c r="C198" t="s">
        <v>1353</v>
      </c>
      <c r="D198" t="s">
        <v>26</v>
      </c>
      <c r="E198">
        <v>43</v>
      </c>
      <c r="F198" t="s">
        <v>56</v>
      </c>
      <c r="G198">
        <v>2</v>
      </c>
      <c r="H198" s="7">
        <v>50</v>
      </c>
      <c r="I198" s="7">
        <v>100</v>
      </c>
      <c r="J198"/>
    </row>
    <row r="199" spans="1:10" x14ac:dyDescent="0.35">
      <c r="A199" t="s">
        <v>517</v>
      </c>
      <c r="B199" s="1">
        <v>45092</v>
      </c>
      <c r="C199" t="s">
        <v>1314</v>
      </c>
      <c r="D199" t="s">
        <v>26</v>
      </c>
      <c r="E199">
        <v>35</v>
      </c>
      <c r="F199" t="s">
        <v>36</v>
      </c>
      <c r="G199">
        <v>2</v>
      </c>
      <c r="H199" s="7">
        <v>50</v>
      </c>
      <c r="I199" s="7">
        <v>100</v>
      </c>
      <c r="J199"/>
    </row>
    <row r="200" spans="1:10" x14ac:dyDescent="0.35">
      <c r="A200" t="s">
        <v>520</v>
      </c>
      <c r="B200" s="1">
        <v>45157</v>
      </c>
      <c r="C200" t="s">
        <v>673</v>
      </c>
      <c r="D200" t="s">
        <v>34</v>
      </c>
      <c r="E200">
        <v>30</v>
      </c>
      <c r="F200" t="s">
        <v>56</v>
      </c>
      <c r="G200">
        <v>3</v>
      </c>
      <c r="H200" s="7">
        <v>500</v>
      </c>
      <c r="I200" s="7">
        <v>1500</v>
      </c>
      <c r="J200"/>
    </row>
    <row r="201" spans="1:10" x14ac:dyDescent="0.35">
      <c r="A201" t="s">
        <v>521</v>
      </c>
      <c r="B201" s="1">
        <v>45172</v>
      </c>
      <c r="C201" t="s">
        <v>1937</v>
      </c>
      <c r="D201" t="s">
        <v>34</v>
      </c>
      <c r="E201">
        <v>25</v>
      </c>
      <c r="F201" t="s">
        <v>13</v>
      </c>
      <c r="G201">
        <v>1</v>
      </c>
      <c r="H201" s="7">
        <v>300</v>
      </c>
      <c r="I201" s="7">
        <v>300</v>
      </c>
      <c r="J201"/>
    </row>
    <row r="202" spans="1:10" x14ac:dyDescent="0.35">
      <c r="A202" t="s">
        <v>202</v>
      </c>
      <c r="B202" s="1">
        <v>44949</v>
      </c>
      <c r="C202" t="s">
        <v>1965</v>
      </c>
      <c r="D202" t="s">
        <v>26</v>
      </c>
      <c r="E202">
        <v>54</v>
      </c>
      <c r="F202" t="s">
        <v>13</v>
      </c>
      <c r="G202">
        <v>2</v>
      </c>
      <c r="H202" s="7">
        <v>500</v>
      </c>
      <c r="I202" s="7">
        <v>1000</v>
      </c>
      <c r="J202"/>
    </row>
    <row r="203" spans="1:10" x14ac:dyDescent="0.35">
      <c r="A203" t="s">
        <v>522</v>
      </c>
      <c r="B203" s="1">
        <v>45062</v>
      </c>
      <c r="C203" t="s">
        <v>156</v>
      </c>
      <c r="D203" t="s">
        <v>26</v>
      </c>
      <c r="E203">
        <v>48</v>
      </c>
      <c r="F203" t="s">
        <v>56</v>
      </c>
      <c r="G203">
        <v>2</v>
      </c>
      <c r="H203" s="7">
        <v>300</v>
      </c>
      <c r="I203" s="7">
        <v>600</v>
      </c>
      <c r="J203"/>
    </row>
    <row r="204" spans="1:10" x14ac:dyDescent="0.35">
      <c r="A204" t="s">
        <v>31</v>
      </c>
      <c r="B204" s="1">
        <v>45113</v>
      </c>
      <c r="C204" t="s">
        <v>1749</v>
      </c>
      <c r="D204" t="s">
        <v>34</v>
      </c>
      <c r="E204">
        <v>61</v>
      </c>
      <c r="F204" t="s">
        <v>36</v>
      </c>
      <c r="G204">
        <v>4</v>
      </c>
      <c r="H204" s="7">
        <v>50</v>
      </c>
      <c r="I204" s="7">
        <v>200</v>
      </c>
      <c r="J204"/>
    </row>
    <row r="205" spans="1:10" x14ac:dyDescent="0.35">
      <c r="A205" t="s">
        <v>525</v>
      </c>
      <c r="B205" s="1">
        <v>45238</v>
      </c>
      <c r="C205" t="s">
        <v>1373</v>
      </c>
      <c r="D205" t="s">
        <v>34</v>
      </c>
      <c r="E205">
        <v>64</v>
      </c>
      <c r="F205" t="s">
        <v>13</v>
      </c>
      <c r="G205">
        <v>4</v>
      </c>
      <c r="H205" s="7">
        <v>30</v>
      </c>
      <c r="I205" s="7">
        <v>120</v>
      </c>
      <c r="J205"/>
    </row>
    <row r="206" spans="1:10" x14ac:dyDescent="0.35">
      <c r="A206" t="s">
        <v>527</v>
      </c>
      <c r="B206" s="1">
        <v>45175</v>
      </c>
      <c r="C206" t="s">
        <v>440</v>
      </c>
      <c r="D206" t="s">
        <v>34</v>
      </c>
      <c r="E206">
        <v>47</v>
      </c>
      <c r="F206" t="s">
        <v>56</v>
      </c>
      <c r="G206">
        <v>3</v>
      </c>
      <c r="H206" s="7">
        <v>30</v>
      </c>
      <c r="I206" s="7">
        <v>90</v>
      </c>
      <c r="J206"/>
    </row>
    <row r="207" spans="1:10" x14ac:dyDescent="0.35">
      <c r="A207" t="s">
        <v>529</v>
      </c>
      <c r="B207" s="1">
        <v>45062</v>
      </c>
      <c r="C207" t="s">
        <v>60</v>
      </c>
      <c r="D207" t="s">
        <v>26</v>
      </c>
      <c r="E207">
        <v>32</v>
      </c>
      <c r="F207" t="s">
        <v>36</v>
      </c>
      <c r="G207">
        <v>1</v>
      </c>
      <c r="H207" s="7">
        <v>300</v>
      </c>
      <c r="I207" s="7">
        <v>300</v>
      </c>
      <c r="J207"/>
    </row>
    <row r="208" spans="1:10" x14ac:dyDescent="0.35">
      <c r="A208" t="s">
        <v>531</v>
      </c>
      <c r="B208" s="1">
        <v>45115</v>
      </c>
      <c r="C208" t="s">
        <v>715</v>
      </c>
      <c r="D208" t="s">
        <v>34</v>
      </c>
      <c r="E208">
        <v>49</v>
      </c>
      <c r="F208" t="s">
        <v>13</v>
      </c>
      <c r="G208">
        <v>2</v>
      </c>
      <c r="H208" s="7">
        <v>50</v>
      </c>
      <c r="I208" s="7">
        <v>100</v>
      </c>
      <c r="J208"/>
    </row>
    <row r="209" spans="1:10" x14ac:dyDescent="0.35">
      <c r="A209" t="s">
        <v>533</v>
      </c>
      <c r="B209" s="1">
        <v>45177</v>
      </c>
      <c r="C209" t="s">
        <v>526</v>
      </c>
      <c r="D209" t="s">
        <v>34</v>
      </c>
      <c r="E209">
        <v>56</v>
      </c>
      <c r="F209" t="s">
        <v>13</v>
      </c>
      <c r="G209">
        <v>2</v>
      </c>
      <c r="H209" s="7">
        <v>50</v>
      </c>
      <c r="I209" s="7">
        <v>100</v>
      </c>
      <c r="J209"/>
    </row>
    <row r="210" spans="1:10" x14ac:dyDescent="0.35">
      <c r="A210" t="s">
        <v>534</v>
      </c>
      <c r="B210" s="1">
        <v>45208</v>
      </c>
      <c r="C210" t="s">
        <v>1222</v>
      </c>
      <c r="D210" t="s">
        <v>34</v>
      </c>
      <c r="E210">
        <v>55</v>
      </c>
      <c r="F210" t="s">
        <v>13</v>
      </c>
      <c r="G210">
        <v>2</v>
      </c>
      <c r="H210" s="7">
        <v>25</v>
      </c>
      <c r="I210" s="7">
        <v>50</v>
      </c>
      <c r="J210"/>
    </row>
    <row r="211" spans="1:10" x14ac:dyDescent="0.35">
      <c r="A211" t="s">
        <v>537</v>
      </c>
      <c r="B211" s="1">
        <v>45270</v>
      </c>
      <c r="C211" t="s">
        <v>363</v>
      </c>
      <c r="D211" t="s">
        <v>26</v>
      </c>
      <c r="E211">
        <v>34</v>
      </c>
      <c r="F211" t="s">
        <v>13</v>
      </c>
      <c r="G211">
        <v>4</v>
      </c>
      <c r="H211" s="7">
        <v>300</v>
      </c>
      <c r="I211" s="7">
        <v>1200</v>
      </c>
      <c r="J211"/>
    </row>
    <row r="212" spans="1:10" x14ac:dyDescent="0.35">
      <c r="A212" t="s">
        <v>539</v>
      </c>
      <c r="B212" s="1">
        <v>45198</v>
      </c>
      <c r="C212" t="s">
        <v>1182</v>
      </c>
      <c r="D212" t="s">
        <v>26</v>
      </c>
      <c r="E212">
        <v>26</v>
      </c>
      <c r="F212" t="s">
        <v>56</v>
      </c>
      <c r="G212">
        <v>4</v>
      </c>
      <c r="H212" s="7">
        <v>500</v>
      </c>
      <c r="I212" s="7">
        <v>2000</v>
      </c>
      <c r="J212"/>
    </row>
    <row r="213" spans="1:10" x14ac:dyDescent="0.35">
      <c r="A213" t="s">
        <v>540</v>
      </c>
      <c r="B213" s="1">
        <v>45087</v>
      </c>
      <c r="C213" t="s">
        <v>2324</v>
      </c>
      <c r="D213" t="s">
        <v>26</v>
      </c>
      <c r="E213">
        <v>39</v>
      </c>
      <c r="F213" t="s">
        <v>36</v>
      </c>
      <c r="G213">
        <v>4</v>
      </c>
      <c r="H213" s="7">
        <v>50</v>
      </c>
      <c r="I213" s="7">
        <v>200</v>
      </c>
      <c r="J213"/>
    </row>
    <row r="214" spans="1:10" x14ac:dyDescent="0.35">
      <c r="A214" t="s">
        <v>542</v>
      </c>
      <c r="B214" s="1">
        <v>44976</v>
      </c>
      <c r="C214" t="s">
        <v>1568</v>
      </c>
      <c r="D214" t="s">
        <v>34</v>
      </c>
      <c r="E214">
        <v>19</v>
      </c>
      <c r="F214" t="s">
        <v>36</v>
      </c>
      <c r="G214">
        <v>4</v>
      </c>
      <c r="H214" s="7">
        <v>500</v>
      </c>
      <c r="I214" s="7">
        <v>2000</v>
      </c>
      <c r="J214"/>
    </row>
    <row r="215" spans="1:10" x14ac:dyDescent="0.35">
      <c r="A215" t="s">
        <v>404</v>
      </c>
      <c r="B215" s="1">
        <v>45209</v>
      </c>
      <c r="C215" t="s">
        <v>673</v>
      </c>
      <c r="D215" t="s">
        <v>34</v>
      </c>
      <c r="E215">
        <v>31</v>
      </c>
      <c r="F215" t="s">
        <v>36</v>
      </c>
      <c r="G215">
        <v>4</v>
      </c>
      <c r="H215" s="7">
        <v>30</v>
      </c>
      <c r="I215" s="7">
        <v>120</v>
      </c>
      <c r="J215"/>
    </row>
    <row r="216" spans="1:10" x14ac:dyDescent="0.35">
      <c r="A216" t="s">
        <v>544</v>
      </c>
      <c r="B216" s="1">
        <v>45240</v>
      </c>
      <c r="C216" t="s">
        <v>896</v>
      </c>
      <c r="D216" t="s">
        <v>34</v>
      </c>
      <c r="E216">
        <v>56</v>
      </c>
      <c r="F216" t="s">
        <v>13</v>
      </c>
      <c r="G216">
        <v>3</v>
      </c>
      <c r="H216" s="7">
        <v>30</v>
      </c>
      <c r="I216" s="7">
        <v>90</v>
      </c>
      <c r="J216"/>
    </row>
    <row r="217" spans="1:10" x14ac:dyDescent="0.35">
      <c r="A217" t="s">
        <v>546</v>
      </c>
      <c r="B217" s="1">
        <v>45039</v>
      </c>
      <c r="C217" t="s">
        <v>2266</v>
      </c>
      <c r="D217" t="s">
        <v>26</v>
      </c>
      <c r="E217">
        <v>55</v>
      </c>
      <c r="F217" t="s">
        <v>36</v>
      </c>
      <c r="G217">
        <v>2</v>
      </c>
      <c r="H217" s="7">
        <v>50</v>
      </c>
      <c r="I217" s="7">
        <v>100</v>
      </c>
      <c r="J217"/>
    </row>
    <row r="218" spans="1:10" x14ac:dyDescent="0.35">
      <c r="A218" t="s">
        <v>549</v>
      </c>
      <c r="B218" s="1">
        <v>45036</v>
      </c>
      <c r="C218" t="s">
        <v>1001</v>
      </c>
      <c r="D218" t="s">
        <v>34</v>
      </c>
      <c r="E218">
        <v>27</v>
      </c>
      <c r="F218" t="s">
        <v>36</v>
      </c>
      <c r="G218">
        <v>4</v>
      </c>
      <c r="H218" s="7">
        <v>300</v>
      </c>
      <c r="I218" s="7">
        <v>1200</v>
      </c>
      <c r="J218"/>
    </row>
    <row r="219" spans="1:10" x14ac:dyDescent="0.35">
      <c r="A219" t="s">
        <v>552</v>
      </c>
      <c r="B219" s="1">
        <v>44939</v>
      </c>
      <c r="C219" t="s">
        <v>608</v>
      </c>
      <c r="D219" t="s">
        <v>34</v>
      </c>
      <c r="E219">
        <v>38</v>
      </c>
      <c r="F219" t="s">
        <v>13</v>
      </c>
      <c r="G219">
        <v>2</v>
      </c>
      <c r="H219" s="7">
        <v>300</v>
      </c>
      <c r="I219" s="7">
        <v>600</v>
      </c>
      <c r="J219"/>
    </row>
    <row r="220" spans="1:10" x14ac:dyDescent="0.35">
      <c r="A220" t="s">
        <v>555</v>
      </c>
      <c r="B220" s="1">
        <v>45147</v>
      </c>
      <c r="C220" t="s">
        <v>2303</v>
      </c>
      <c r="D220" t="s">
        <v>34</v>
      </c>
      <c r="E220">
        <v>29</v>
      </c>
      <c r="F220" t="s">
        <v>56</v>
      </c>
      <c r="G220">
        <v>2</v>
      </c>
      <c r="H220" s="7">
        <v>300</v>
      </c>
      <c r="I220" s="7">
        <v>600</v>
      </c>
      <c r="J220"/>
    </row>
    <row r="221" spans="1:10" x14ac:dyDescent="0.35">
      <c r="A221" t="s">
        <v>23</v>
      </c>
      <c r="B221" s="1">
        <v>44957</v>
      </c>
      <c r="C221" t="s">
        <v>2280</v>
      </c>
      <c r="D221" t="s">
        <v>26</v>
      </c>
      <c r="E221">
        <v>19</v>
      </c>
      <c r="F221" t="s">
        <v>13</v>
      </c>
      <c r="G221">
        <v>4</v>
      </c>
      <c r="H221" s="7">
        <v>50</v>
      </c>
      <c r="I221" s="7">
        <v>200</v>
      </c>
      <c r="J221"/>
    </row>
    <row r="222" spans="1:10" x14ac:dyDescent="0.35">
      <c r="A222" t="s">
        <v>559</v>
      </c>
      <c r="B222" s="1">
        <v>45112</v>
      </c>
      <c r="C222" t="s">
        <v>1707</v>
      </c>
      <c r="D222" t="s">
        <v>34</v>
      </c>
      <c r="E222">
        <v>25</v>
      </c>
      <c r="F222" t="s">
        <v>36</v>
      </c>
      <c r="G222">
        <v>1</v>
      </c>
      <c r="H222" s="7">
        <v>500</v>
      </c>
      <c r="I222" s="7">
        <v>500</v>
      </c>
      <c r="J222"/>
    </row>
    <row r="223" spans="1:10" x14ac:dyDescent="0.35">
      <c r="A223" t="s">
        <v>561</v>
      </c>
      <c r="B223" s="1">
        <v>45197</v>
      </c>
      <c r="C223" t="s">
        <v>2320</v>
      </c>
      <c r="D223" t="s">
        <v>34</v>
      </c>
      <c r="E223">
        <v>39</v>
      </c>
      <c r="F223" t="s">
        <v>13</v>
      </c>
      <c r="G223">
        <v>2</v>
      </c>
      <c r="H223" s="7">
        <v>50</v>
      </c>
      <c r="I223" s="7">
        <v>100</v>
      </c>
      <c r="J223"/>
    </row>
    <row r="224" spans="1:10" x14ac:dyDescent="0.35">
      <c r="A224" t="s">
        <v>563</v>
      </c>
      <c r="B224" s="1">
        <v>45137</v>
      </c>
      <c r="C224" t="s">
        <v>1488</v>
      </c>
      <c r="D224" t="s">
        <v>26</v>
      </c>
      <c r="E224">
        <v>53</v>
      </c>
      <c r="F224" t="s">
        <v>13</v>
      </c>
      <c r="G224">
        <v>3</v>
      </c>
      <c r="H224" s="7">
        <v>50</v>
      </c>
      <c r="I224" s="7">
        <v>150</v>
      </c>
      <c r="J224"/>
    </row>
    <row r="225" spans="1:10" x14ac:dyDescent="0.35">
      <c r="A225" t="s">
        <v>566</v>
      </c>
      <c r="B225" s="1">
        <v>45218</v>
      </c>
      <c r="C225" t="s">
        <v>1980</v>
      </c>
      <c r="D225" t="s">
        <v>26</v>
      </c>
      <c r="E225">
        <v>36</v>
      </c>
      <c r="F225" t="s">
        <v>56</v>
      </c>
      <c r="G225">
        <v>4</v>
      </c>
      <c r="H225" s="7">
        <v>300</v>
      </c>
      <c r="I225" s="7">
        <v>1200</v>
      </c>
      <c r="J225"/>
    </row>
    <row r="226" spans="1:10" x14ac:dyDescent="0.35">
      <c r="A226" t="s">
        <v>569</v>
      </c>
      <c r="B226" s="1">
        <v>45231</v>
      </c>
      <c r="C226" t="s">
        <v>745</v>
      </c>
      <c r="D226" t="s">
        <v>26</v>
      </c>
      <c r="E226">
        <v>19</v>
      </c>
      <c r="F226" t="s">
        <v>36</v>
      </c>
      <c r="G226">
        <v>4</v>
      </c>
      <c r="H226" s="7">
        <v>50</v>
      </c>
      <c r="I226" s="7">
        <v>200</v>
      </c>
      <c r="J226"/>
    </row>
    <row r="227" spans="1:10" x14ac:dyDescent="0.35">
      <c r="A227" t="s">
        <v>571</v>
      </c>
      <c r="B227" s="1">
        <v>45143</v>
      </c>
      <c r="C227" t="s">
        <v>1928</v>
      </c>
      <c r="D227" t="s">
        <v>26</v>
      </c>
      <c r="E227">
        <v>60</v>
      </c>
      <c r="F227" t="s">
        <v>13</v>
      </c>
      <c r="G227">
        <v>2</v>
      </c>
      <c r="H227" s="7">
        <v>500</v>
      </c>
      <c r="I227" s="7">
        <v>1000</v>
      </c>
      <c r="J227"/>
    </row>
    <row r="228" spans="1:10" x14ac:dyDescent="0.35">
      <c r="A228" t="s">
        <v>573</v>
      </c>
      <c r="B228" s="1">
        <v>45063</v>
      </c>
      <c r="C228" t="s">
        <v>2302</v>
      </c>
      <c r="D228" t="s">
        <v>34</v>
      </c>
      <c r="E228">
        <v>40</v>
      </c>
      <c r="F228" t="s">
        <v>13</v>
      </c>
      <c r="G228">
        <v>1</v>
      </c>
      <c r="H228" s="7">
        <v>50</v>
      </c>
      <c r="I228" s="7">
        <v>50</v>
      </c>
      <c r="J228"/>
    </row>
    <row r="229" spans="1:10" x14ac:dyDescent="0.35">
      <c r="A229" t="s">
        <v>576</v>
      </c>
      <c r="B229" s="1">
        <v>45077</v>
      </c>
      <c r="C229" t="s">
        <v>806</v>
      </c>
      <c r="D229" t="s">
        <v>34</v>
      </c>
      <c r="E229">
        <v>26</v>
      </c>
      <c r="F229" t="s">
        <v>56</v>
      </c>
      <c r="G229">
        <v>4</v>
      </c>
      <c r="H229" s="7">
        <v>50</v>
      </c>
      <c r="I229" s="7">
        <v>200</v>
      </c>
      <c r="J229"/>
    </row>
    <row r="230" spans="1:10" x14ac:dyDescent="0.35">
      <c r="A230" t="s">
        <v>578</v>
      </c>
      <c r="B230" s="1">
        <v>45288</v>
      </c>
      <c r="C230" t="s">
        <v>802</v>
      </c>
      <c r="D230" t="s">
        <v>26</v>
      </c>
      <c r="E230">
        <v>44</v>
      </c>
      <c r="F230" t="s">
        <v>13</v>
      </c>
      <c r="G230">
        <v>1</v>
      </c>
      <c r="H230" s="7">
        <v>25</v>
      </c>
      <c r="I230" s="7">
        <v>25</v>
      </c>
      <c r="J230"/>
    </row>
    <row r="231" spans="1:10" x14ac:dyDescent="0.35">
      <c r="A231" t="s">
        <v>580</v>
      </c>
      <c r="B231" s="1">
        <v>45038</v>
      </c>
      <c r="C231" t="s">
        <v>2238</v>
      </c>
      <c r="D231" t="s">
        <v>26</v>
      </c>
      <c r="E231">
        <v>58</v>
      </c>
      <c r="F231" t="s">
        <v>56</v>
      </c>
      <c r="G231">
        <v>3</v>
      </c>
      <c r="H231" s="7">
        <v>25</v>
      </c>
      <c r="I231" s="7">
        <v>75</v>
      </c>
      <c r="J231"/>
    </row>
    <row r="232" spans="1:10" x14ac:dyDescent="0.35">
      <c r="A232" t="s">
        <v>582</v>
      </c>
      <c r="B232" s="1">
        <v>45098</v>
      </c>
      <c r="C232" t="s">
        <v>2276</v>
      </c>
      <c r="D232" t="s">
        <v>34</v>
      </c>
      <c r="E232">
        <v>42</v>
      </c>
      <c r="F232" t="s">
        <v>56</v>
      </c>
      <c r="G232">
        <v>3</v>
      </c>
      <c r="H232" s="7">
        <v>25</v>
      </c>
      <c r="I232" s="7">
        <v>75</v>
      </c>
      <c r="J232"/>
    </row>
    <row r="233" spans="1:10" x14ac:dyDescent="0.35">
      <c r="A233" t="s">
        <v>584</v>
      </c>
      <c r="B233" s="1">
        <v>45235</v>
      </c>
      <c r="C233" t="s">
        <v>640</v>
      </c>
      <c r="D233" t="s">
        <v>26</v>
      </c>
      <c r="E233">
        <v>52</v>
      </c>
      <c r="F233" t="s">
        <v>56</v>
      </c>
      <c r="G233">
        <v>3</v>
      </c>
      <c r="H233" s="7">
        <v>300</v>
      </c>
      <c r="I233" s="7">
        <v>900</v>
      </c>
      <c r="J233"/>
    </row>
    <row r="234" spans="1:10" x14ac:dyDescent="0.35">
      <c r="A234" t="s">
        <v>585</v>
      </c>
      <c r="B234" s="1">
        <v>45037</v>
      </c>
      <c r="C234" t="s">
        <v>947</v>
      </c>
      <c r="D234" t="s">
        <v>34</v>
      </c>
      <c r="E234">
        <v>49</v>
      </c>
      <c r="F234" t="s">
        <v>13</v>
      </c>
      <c r="G234">
        <v>1</v>
      </c>
      <c r="H234" s="7">
        <v>50</v>
      </c>
      <c r="I234" s="7">
        <v>50</v>
      </c>
      <c r="J234"/>
    </row>
    <row r="235" spans="1:10" x14ac:dyDescent="0.35">
      <c r="A235" t="s">
        <v>587</v>
      </c>
      <c r="B235" s="1">
        <v>45226</v>
      </c>
      <c r="C235" t="s">
        <v>1358</v>
      </c>
      <c r="D235" t="s">
        <v>26</v>
      </c>
      <c r="E235">
        <v>19</v>
      </c>
      <c r="F235" t="s">
        <v>36</v>
      </c>
      <c r="G235">
        <v>3</v>
      </c>
      <c r="H235" s="7">
        <v>500</v>
      </c>
      <c r="I235" s="7">
        <v>1500</v>
      </c>
      <c r="J235"/>
    </row>
    <row r="236" spans="1:10" x14ac:dyDescent="0.35">
      <c r="A236" t="s">
        <v>589</v>
      </c>
      <c r="B236" s="1">
        <v>45202</v>
      </c>
      <c r="C236" t="s">
        <v>2316</v>
      </c>
      <c r="D236" t="s">
        <v>34</v>
      </c>
      <c r="E236">
        <v>46</v>
      </c>
      <c r="F236" t="s">
        <v>36</v>
      </c>
      <c r="G236">
        <v>4</v>
      </c>
      <c r="H236" s="7">
        <v>300</v>
      </c>
      <c r="I236" s="7">
        <v>1200</v>
      </c>
      <c r="J236"/>
    </row>
    <row r="237" spans="1:10" x14ac:dyDescent="0.35">
      <c r="A237" t="s">
        <v>591</v>
      </c>
      <c r="B237" s="1">
        <v>44986</v>
      </c>
      <c r="C237" t="s">
        <v>1995</v>
      </c>
      <c r="D237" t="s">
        <v>26</v>
      </c>
      <c r="E237">
        <v>18</v>
      </c>
      <c r="F237" t="s">
        <v>13</v>
      </c>
      <c r="G237">
        <v>1</v>
      </c>
      <c r="H237" s="7">
        <v>300</v>
      </c>
      <c r="I237" s="7">
        <v>300</v>
      </c>
      <c r="J237"/>
    </row>
    <row r="238" spans="1:10" x14ac:dyDescent="0.35">
      <c r="A238" t="s">
        <v>593</v>
      </c>
      <c r="B238" s="1">
        <v>44982</v>
      </c>
      <c r="C238" t="s">
        <v>2304</v>
      </c>
      <c r="D238" t="s">
        <v>26</v>
      </c>
      <c r="E238">
        <v>61</v>
      </c>
      <c r="F238" t="s">
        <v>13</v>
      </c>
      <c r="G238">
        <v>2</v>
      </c>
      <c r="H238" s="7">
        <v>50</v>
      </c>
      <c r="I238" s="7">
        <v>100</v>
      </c>
      <c r="J238"/>
    </row>
    <row r="239" spans="1:10" x14ac:dyDescent="0.35">
      <c r="A239" t="s">
        <v>597</v>
      </c>
      <c r="B239" s="1">
        <v>45159</v>
      </c>
      <c r="C239" t="s">
        <v>2273</v>
      </c>
      <c r="D239" t="s">
        <v>34</v>
      </c>
      <c r="E239">
        <v>61</v>
      </c>
      <c r="F239" t="s">
        <v>13</v>
      </c>
      <c r="G239">
        <v>1</v>
      </c>
      <c r="H239" s="7">
        <v>300</v>
      </c>
      <c r="I239" s="7">
        <v>300</v>
      </c>
      <c r="J239"/>
    </row>
    <row r="240" spans="1:10" x14ac:dyDescent="0.35">
      <c r="A240" t="s">
        <v>599</v>
      </c>
      <c r="B240" s="1">
        <v>45134</v>
      </c>
      <c r="C240" t="s">
        <v>1005</v>
      </c>
      <c r="D240" t="s">
        <v>26</v>
      </c>
      <c r="E240">
        <v>60</v>
      </c>
      <c r="F240" t="s">
        <v>56</v>
      </c>
      <c r="G240">
        <v>2</v>
      </c>
      <c r="H240" s="7">
        <v>300</v>
      </c>
      <c r="I240" s="7">
        <v>600</v>
      </c>
      <c r="J240"/>
    </row>
    <row r="241" spans="1:10" x14ac:dyDescent="0.35">
      <c r="A241" t="s">
        <v>601</v>
      </c>
      <c r="B241" s="1">
        <v>44957</v>
      </c>
      <c r="C241" t="s">
        <v>865</v>
      </c>
      <c r="D241" t="s">
        <v>34</v>
      </c>
      <c r="E241">
        <v>24</v>
      </c>
      <c r="F241" t="s">
        <v>56</v>
      </c>
      <c r="G241">
        <v>3</v>
      </c>
      <c r="H241" s="7">
        <v>300</v>
      </c>
      <c r="I241" s="7">
        <v>900</v>
      </c>
      <c r="J241"/>
    </row>
    <row r="242" spans="1:10" x14ac:dyDescent="0.35">
      <c r="A242" t="s">
        <v>602</v>
      </c>
      <c r="B242" s="1">
        <v>45124</v>
      </c>
      <c r="C242" t="s">
        <v>2246</v>
      </c>
      <c r="D242" t="s">
        <v>26</v>
      </c>
      <c r="E242">
        <v>49</v>
      </c>
      <c r="F242" t="s">
        <v>56</v>
      </c>
      <c r="G242">
        <v>3</v>
      </c>
      <c r="H242" s="7">
        <v>300</v>
      </c>
      <c r="I242" s="7">
        <v>900</v>
      </c>
      <c r="J242"/>
    </row>
    <row r="243" spans="1:10" x14ac:dyDescent="0.35">
      <c r="A243" t="s">
        <v>603</v>
      </c>
      <c r="B243" s="1">
        <v>45128</v>
      </c>
      <c r="C243" t="s">
        <v>1921</v>
      </c>
      <c r="D243" t="s">
        <v>26</v>
      </c>
      <c r="E243">
        <v>19</v>
      </c>
      <c r="F243" t="s">
        <v>13</v>
      </c>
      <c r="G243">
        <v>2</v>
      </c>
      <c r="H243" s="7">
        <v>500</v>
      </c>
      <c r="I243" s="7">
        <v>1000</v>
      </c>
      <c r="J243"/>
    </row>
    <row r="244" spans="1:10" x14ac:dyDescent="0.35">
      <c r="A244" t="s">
        <v>605</v>
      </c>
      <c r="B244" s="1">
        <v>45096</v>
      </c>
      <c r="C244" t="s">
        <v>374</v>
      </c>
      <c r="D244" t="s">
        <v>34</v>
      </c>
      <c r="E244">
        <v>24</v>
      </c>
      <c r="F244" t="s">
        <v>36</v>
      </c>
      <c r="G244">
        <v>4</v>
      </c>
      <c r="H244" s="7">
        <v>300</v>
      </c>
      <c r="I244" s="7">
        <v>1200</v>
      </c>
      <c r="J244"/>
    </row>
    <row r="245" spans="1:10" x14ac:dyDescent="0.35">
      <c r="A245" t="s">
        <v>607</v>
      </c>
      <c r="B245" s="1">
        <v>44927</v>
      </c>
      <c r="C245" t="s">
        <v>905</v>
      </c>
      <c r="D245" t="s">
        <v>34</v>
      </c>
      <c r="E245">
        <v>41</v>
      </c>
      <c r="F245" t="s">
        <v>56</v>
      </c>
      <c r="G245">
        <v>3</v>
      </c>
      <c r="H245" s="7">
        <v>300</v>
      </c>
      <c r="I245" s="7">
        <v>900</v>
      </c>
      <c r="J245"/>
    </row>
    <row r="246" spans="1:10" x14ac:dyDescent="0.35">
      <c r="A246" t="s">
        <v>609</v>
      </c>
      <c r="B246" s="1">
        <v>45083</v>
      </c>
      <c r="C246" t="s">
        <v>1828</v>
      </c>
      <c r="D246" t="s">
        <v>26</v>
      </c>
      <c r="E246">
        <v>43</v>
      </c>
      <c r="F246" t="s">
        <v>13</v>
      </c>
      <c r="G246">
        <v>4</v>
      </c>
      <c r="H246" s="7">
        <v>300</v>
      </c>
      <c r="I246" s="7">
        <v>1200</v>
      </c>
      <c r="J246"/>
    </row>
    <row r="247" spans="1:10" x14ac:dyDescent="0.35">
      <c r="A247" t="s">
        <v>611</v>
      </c>
      <c r="B247" s="1">
        <v>45202</v>
      </c>
      <c r="C247" t="s">
        <v>1353</v>
      </c>
      <c r="D247" t="s">
        <v>26</v>
      </c>
      <c r="E247">
        <v>25</v>
      </c>
      <c r="F247" t="s">
        <v>36</v>
      </c>
      <c r="G247">
        <v>2</v>
      </c>
      <c r="H247" s="7">
        <v>300</v>
      </c>
      <c r="I247" s="7">
        <v>600</v>
      </c>
      <c r="J247"/>
    </row>
    <row r="248" spans="1:10" x14ac:dyDescent="0.35">
      <c r="A248" t="s">
        <v>613</v>
      </c>
      <c r="B248" s="1">
        <v>45113</v>
      </c>
      <c r="C248" t="s">
        <v>2273</v>
      </c>
      <c r="D248" t="s">
        <v>34</v>
      </c>
      <c r="E248">
        <v>22</v>
      </c>
      <c r="F248" t="s">
        <v>36</v>
      </c>
      <c r="G248">
        <v>4</v>
      </c>
      <c r="H248" s="7">
        <v>500</v>
      </c>
      <c r="I248" s="7">
        <v>2000</v>
      </c>
      <c r="J248"/>
    </row>
    <row r="249" spans="1:10" x14ac:dyDescent="0.35">
      <c r="A249" t="s">
        <v>616</v>
      </c>
      <c r="B249" s="1">
        <v>45061</v>
      </c>
      <c r="C249" t="s">
        <v>461</v>
      </c>
      <c r="D249" t="s">
        <v>26</v>
      </c>
      <c r="E249">
        <v>40</v>
      </c>
      <c r="F249" t="s">
        <v>13</v>
      </c>
      <c r="G249">
        <v>2</v>
      </c>
      <c r="H249" s="7">
        <v>30</v>
      </c>
      <c r="I249" s="7">
        <v>60</v>
      </c>
      <c r="J249"/>
    </row>
    <row r="250" spans="1:10" x14ac:dyDescent="0.35">
      <c r="A250" t="s">
        <v>618</v>
      </c>
      <c r="B250" s="1">
        <v>45147</v>
      </c>
      <c r="C250" t="s">
        <v>1277</v>
      </c>
      <c r="D250" t="s">
        <v>26</v>
      </c>
      <c r="E250">
        <v>35</v>
      </c>
      <c r="F250" t="s">
        <v>56</v>
      </c>
      <c r="G250">
        <v>3</v>
      </c>
      <c r="H250" s="7">
        <v>50</v>
      </c>
      <c r="I250" s="7">
        <v>150</v>
      </c>
      <c r="J250"/>
    </row>
    <row r="251" spans="1:10" x14ac:dyDescent="0.35">
      <c r="A251" t="s">
        <v>620</v>
      </c>
      <c r="B251" s="1">
        <v>45162</v>
      </c>
      <c r="C251" t="s">
        <v>1447</v>
      </c>
      <c r="D251" t="s">
        <v>34</v>
      </c>
      <c r="E251">
        <v>52</v>
      </c>
      <c r="F251" t="s">
        <v>13</v>
      </c>
      <c r="G251">
        <v>4</v>
      </c>
      <c r="H251" s="7">
        <v>300</v>
      </c>
      <c r="I251" s="7">
        <v>1200</v>
      </c>
      <c r="J251"/>
    </row>
    <row r="252" spans="1:10" x14ac:dyDescent="0.35">
      <c r="A252" t="s">
        <v>622</v>
      </c>
      <c r="B252" s="1">
        <v>45237</v>
      </c>
      <c r="C252" t="s">
        <v>2183</v>
      </c>
      <c r="D252" t="s">
        <v>26</v>
      </c>
      <c r="E252">
        <v>24</v>
      </c>
      <c r="F252" t="s">
        <v>13</v>
      </c>
      <c r="G252">
        <v>2</v>
      </c>
      <c r="H252" s="7">
        <v>25</v>
      </c>
      <c r="I252" s="7">
        <v>50</v>
      </c>
      <c r="J252"/>
    </row>
    <row r="253" spans="1:10" x14ac:dyDescent="0.35">
      <c r="A253" t="s">
        <v>623</v>
      </c>
      <c r="B253" s="1">
        <v>45021</v>
      </c>
      <c r="C253" t="s">
        <v>406</v>
      </c>
      <c r="D253" t="s">
        <v>34</v>
      </c>
      <c r="E253">
        <v>41</v>
      </c>
      <c r="F253" t="s">
        <v>13</v>
      </c>
      <c r="G253">
        <v>3</v>
      </c>
      <c r="H253" s="7">
        <v>300</v>
      </c>
      <c r="I253" s="7">
        <v>900</v>
      </c>
      <c r="J253"/>
    </row>
    <row r="254" spans="1:10" x14ac:dyDescent="0.35">
      <c r="A254" t="s">
        <v>625</v>
      </c>
      <c r="B254" s="1">
        <v>45205</v>
      </c>
      <c r="C254" t="s">
        <v>1428</v>
      </c>
      <c r="D254" t="s">
        <v>34</v>
      </c>
      <c r="E254">
        <v>50</v>
      </c>
      <c r="F254" t="s">
        <v>13</v>
      </c>
      <c r="G254">
        <v>3</v>
      </c>
      <c r="H254" s="7">
        <v>500</v>
      </c>
      <c r="I254" s="7">
        <v>1500</v>
      </c>
      <c r="J254"/>
    </row>
    <row r="255" spans="1:10" x14ac:dyDescent="0.35">
      <c r="A255" t="s">
        <v>627</v>
      </c>
      <c r="B255" s="1">
        <v>44988</v>
      </c>
      <c r="C255" t="s">
        <v>1093</v>
      </c>
      <c r="D255" t="s">
        <v>26</v>
      </c>
      <c r="E255">
        <v>52</v>
      </c>
      <c r="F255" t="s">
        <v>13</v>
      </c>
      <c r="G255">
        <v>4</v>
      </c>
      <c r="H255" s="7">
        <v>25</v>
      </c>
      <c r="I255" s="7">
        <v>100</v>
      </c>
      <c r="J255"/>
    </row>
    <row r="256" spans="1:10" x14ac:dyDescent="0.35">
      <c r="A256" t="s">
        <v>628</v>
      </c>
      <c r="B256" s="1">
        <v>45141</v>
      </c>
      <c r="C256" t="s">
        <v>1626</v>
      </c>
      <c r="D256" t="s">
        <v>26</v>
      </c>
      <c r="E256">
        <v>53</v>
      </c>
      <c r="F256" t="s">
        <v>13</v>
      </c>
      <c r="G256">
        <v>1</v>
      </c>
      <c r="H256" s="7">
        <v>300</v>
      </c>
      <c r="I256" s="7">
        <v>300</v>
      </c>
      <c r="J256"/>
    </row>
    <row r="257" spans="1:10" x14ac:dyDescent="0.35">
      <c r="A257" t="s">
        <v>629</v>
      </c>
      <c r="B257" s="1">
        <v>45071</v>
      </c>
      <c r="C257" t="s">
        <v>745</v>
      </c>
      <c r="D257" t="s">
        <v>34</v>
      </c>
      <c r="E257">
        <v>46</v>
      </c>
      <c r="F257" t="s">
        <v>13</v>
      </c>
      <c r="G257">
        <v>2</v>
      </c>
      <c r="H257" s="7">
        <v>500</v>
      </c>
      <c r="I257" s="7">
        <v>1000</v>
      </c>
      <c r="J257"/>
    </row>
    <row r="258" spans="1:10" x14ac:dyDescent="0.35">
      <c r="A258" t="s">
        <v>630</v>
      </c>
      <c r="B258" s="1">
        <v>45278</v>
      </c>
      <c r="C258" t="s">
        <v>1749</v>
      </c>
      <c r="D258" t="s">
        <v>26</v>
      </c>
      <c r="E258">
        <v>51</v>
      </c>
      <c r="F258" t="s">
        <v>36</v>
      </c>
      <c r="G258">
        <v>2</v>
      </c>
      <c r="H258" s="7">
        <v>500</v>
      </c>
      <c r="I258" s="7">
        <v>1000</v>
      </c>
      <c r="J258"/>
    </row>
    <row r="259" spans="1:10" x14ac:dyDescent="0.35">
      <c r="A259" t="s">
        <v>632</v>
      </c>
      <c r="B259" s="1">
        <v>45176</v>
      </c>
      <c r="C259" t="s">
        <v>663</v>
      </c>
      <c r="D259" t="s">
        <v>26</v>
      </c>
      <c r="E259">
        <v>64</v>
      </c>
      <c r="F259" t="s">
        <v>56</v>
      </c>
      <c r="G259">
        <v>2</v>
      </c>
      <c r="H259" s="7">
        <v>50</v>
      </c>
      <c r="I259" s="7">
        <v>100</v>
      </c>
      <c r="J259"/>
    </row>
    <row r="260" spans="1:10" x14ac:dyDescent="0.35">
      <c r="A260" t="s">
        <v>633</v>
      </c>
      <c r="B260" s="1">
        <v>45005</v>
      </c>
      <c r="C260" t="s">
        <v>2302</v>
      </c>
      <c r="D260" t="s">
        <v>26</v>
      </c>
      <c r="E260">
        <v>35</v>
      </c>
      <c r="F260" t="s">
        <v>36</v>
      </c>
      <c r="G260">
        <v>3</v>
      </c>
      <c r="H260" s="7">
        <v>300</v>
      </c>
      <c r="I260" s="7">
        <v>900</v>
      </c>
      <c r="J260"/>
    </row>
    <row r="261" spans="1:10" x14ac:dyDescent="0.35">
      <c r="A261" t="s">
        <v>635</v>
      </c>
      <c r="B261" s="1">
        <v>45134</v>
      </c>
      <c r="C261" t="s">
        <v>1580</v>
      </c>
      <c r="D261" t="s">
        <v>26</v>
      </c>
      <c r="E261">
        <v>51</v>
      </c>
      <c r="F261" t="s">
        <v>13</v>
      </c>
      <c r="G261">
        <v>1</v>
      </c>
      <c r="H261" s="7">
        <v>500</v>
      </c>
      <c r="I261" s="7">
        <v>500</v>
      </c>
      <c r="J261"/>
    </row>
    <row r="262" spans="1:10" x14ac:dyDescent="0.35">
      <c r="A262" t="s">
        <v>636</v>
      </c>
      <c r="B262" s="1">
        <v>45105</v>
      </c>
      <c r="C262" t="s">
        <v>1989</v>
      </c>
      <c r="D262" t="s">
        <v>34</v>
      </c>
      <c r="E262">
        <v>50</v>
      </c>
      <c r="F262" t="s">
        <v>36</v>
      </c>
      <c r="G262">
        <v>1</v>
      </c>
      <c r="H262" s="7">
        <v>300</v>
      </c>
      <c r="I262" s="7">
        <v>300</v>
      </c>
      <c r="J262"/>
    </row>
    <row r="263" spans="1:10" x14ac:dyDescent="0.35">
      <c r="A263" t="s">
        <v>638</v>
      </c>
      <c r="B263" s="1">
        <v>45149</v>
      </c>
      <c r="C263" t="s">
        <v>2271</v>
      </c>
      <c r="D263" t="s">
        <v>26</v>
      </c>
      <c r="E263">
        <v>50</v>
      </c>
      <c r="F263" t="s">
        <v>13</v>
      </c>
      <c r="G263">
        <v>4</v>
      </c>
      <c r="H263" s="7">
        <v>50</v>
      </c>
      <c r="I263" s="7">
        <v>200</v>
      </c>
      <c r="J263"/>
    </row>
    <row r="264" spans="1:10" x14ac:dyDescent="0.35">
      <c r="A264" t="s">
        <v>639</v>
      </c>
      <c r="B264" s="1">
        <v>45055</v>
      </c>
      <c r="C264" t="s">
        <v>1156</v>
      </c>
      <c r="D264" t="s">
        <v>34</v>
      </c>
      <c r="E264">
        <v>18</v>
      </c>
      <c r="F264" t="s">
        <v>56</v>
      </c>
      <c r="G264">
        <v>2</v>
      </c>
      <c r="H264" s="7">
        <v>30</v>
      </c>
      <c r="I264" s="7">
        <v>60</v>
      </c>
      <c r="J264"/>
    </row>
    <row r="265" spans="1:10" x14ac:dyDescent="0.35">
      <c r="A265" t="s">
        <v>641</v>
      </c>
      <c r="B265" s="1">
        <v>45256</v>
      </c>
      <c r="C265" t="s">
        <v>2255</v>
      </c>
      <c r="D265" t="s">
        <v>26</v>
      </c>
      <c r="E265">
        <v>42</v>
      </c>
      <c r="F265" t="s">
        <v>36</v>
      </c>
      <c r="G265">
        <v>4</v>
      </c>
      <c r="H265" s="7">
        <v>25</v>
      </c>
      <c r="I265" s="7">
        <v>100</v>
      </c>
      <c r="J265"/>
    </row>
    <row r="266" spans="1:10" x14ac:dyDescent="0.35">
      <c r="A266" t="s">
        <v>643</v>
      </c>
      <c r="B266" s="1">
        <v>45253</v>
      </c>
      <c r="C266" t="s">
        <v>548</v>
      </c>
      <c r="D266" t="s">
        <v>34</v>
      </c>
      <c r="E266">
        <v>57</v>
      </c>
      <c r="F266" t="s">
        <v>36</v>
      </c>
      <c r="G266">
        <v>4</v>
      </c>
      <c r="H266" s="7">
        <v>300</v>
      </c>
      <c r="I266" s="7">
        <v>1200</v>
      </c>
      <c r="J266"/>
    </row>
    <row r="267" spans="1:10" x14ac:dyDescent="0.35">
      <c r="A267" t="s">
        <v>646</v>
      </c>
      <c r="B267" s="1">
        <v>44981</v>
      </c>
      <c r="C267" t="s">
        <v>1785</v>
      </c>
      <c r="D267" t="s">
        <v>34</v>
      </c>
      <c r="E267">
        <v>53</v>
      </c>
      <c r="F267" t="s">
        <v>56</v>
      </c>
      <c r="G267">
        <v>4</v>
      </c>
      <c r="H267" s="7">
        <v>50</v>
      </c>
      <c r="I267" s="7">
        <v>200</v>
      </c>
      <c r="J267"/>
    </row>
    <row r="268" spans="1:10" x14ac:dyDescent="0.35">
      <c r="A268" t="s">
        <v>12</v>
      </c>
      <c r="B268" s="1">
        <v>44990</v>
      </c>
      <c r="C268" t="s">
        <v>2307</v>
      </c>
      <c r="D268" t="s">
        <v>26</v>
      </c>
      <c r="E268">
        <v>36</v>
      </c>
      <c r="F268" t="s">
        <v>36</v>
      </c>
      <c r="G268">
        <v>1</v>
      </c>
      <c r="H268" s="7">
        <v>300</v>
      </c>
      <c r="I268" s="7">
        <v>300</v>
      </c>
      <c r="J268"/>
    </row>
    <row r="269" spans="1:10" x14ac:dyDescent="0.35">
      <c r="A269" t="s">
        <v>652</v>
      </c>
      <c r="B269" s="1">
        <v>45200</v>
      </c>
      <c r="C269" t="s">
        <v>2191</v>
      </c>
      <c r="D269" t="s">
        <v>34</v>
      </c>
      <c r="E269">
        <v>26</v>
      </c>
      <c r="F269" t="s">
        <v>13</v>
      </c>
      <c r="G269">
        <v>1</v>
      </c>
      <c r="H269" s="7">
        <v>300</v>
      </c>
      <c r="I269" s="7">
        <v>300</v>
      </c>
      <c r="J269"/>
    </row>
    <row r="270" spans="1:10" x14ac:dyDescent="0.35">
      <c r="A270" t="s">
        <v>654</v>
      </c>
      <c r="B270" s="1">
        <v>44961</v>
      </c>
      <c r="C270" t="s">
        <v>311</v>
      </c>
      <c r="D270" t="s">
        <v>26</v>
      </c>
      <c r="E270">
        <v>47</v>
      </c>
      <c r="F270" t="s">
        <v>36</v>
      </c>
      <c r="G270">
        <v>4</v>
      </c>
      <c r="H270" s="7">
        <v>30</v>
      </c>
      <c r="I270" s="7">
        <v>120</v>
      </c>
      <c r="J270"/>
    </row>
    <row r="271" spans="1:10" x14ac:dyDescent="0.35">
      <c r="A271" t="s">
        <v>21</v>
      </c>
      <c r="B271" s="1">
        <v>45028</v>
      </c>
      <c r="C271" t="s">
        <v>912</v>
      </c>
      <c r="D271" t="s">
        <v>26</v>
      </c>
      <c r="E271">
        <v>35</v>
      </c>
      <c r="F271" t="s">
        <v>56</v>
      </c>
      <c r="G271">
        <v>4</v>
      </c>
      <c r="H271" s="7">
        <v>30</v>
      </c>
      <c r="I271" s="7">
        <v>120</v>
      </c>
      <c r="J271"/>
    </row>
    <row r="272" spans="1:10" x14ac:dyDescent="0.35">
      <c r="A272" t="s">
        <v>657</v>
      </c>
      <c r="B272" s="1">
        <v>45149</v>
      </c>
      <c r="C272" t="s">
        <v>794</v>
      </c>
      <c r="D272" t="s">
        <v>34</v>
      </c>
      <c r="E272">
        <v>58</v>
      </c>
      <c r="F272" t="s">
        <v>36</v>
      </c>
      <c r="G272">
        <v>2</v>
      </c>
      <c r="H272" s="7">
        <v>300</v>
      </c>
      <c r="I272" s="7">
        <v>600</v>
      </c>
      <c r="J272"/>
    </row>
    <row r="273" spans="1:10" x14ac:dyDescent="0.35">
      <c r="A273" t="s">
        <v>658</v>
      </c>
      <c r="B273" s="1">
        <v>45221</v>
      </c>
      <c r="C273" t="s">
        <v>1859</v>
      </c>
      <c r="D273" t="s">
        <v>34</v>
      </c>
      <c r="E273">
        <v>32</v>
      </c>
      <c r="F273" t="s">
        <v>56</v>
      </c>
      <c r="G273">
        <v>1</v>
      </c>
      <c r="H273" s="7">
        <v>50</v>
      </c>
      <c r="I273" s="7">
        <v>50</v>
      </c>
      <c r="J273"/>
    </row>
    <row r="274" spans="1:10" x14ac:dyDescent="0.35">
      <c r="A274" t="s">
        <v>660</v>
      </c>
      <c r="B274" s="1">
        <v>45111</v>
      </c>
      <c r="C274" t="s">
        <v>453</v>
      </c>
      <c r="D274" t="s">
        <v>34</v>
      </c>
      <c r="E274">
        <v>28</v>
      </c>
      <c r="F274" t="s">
        <v>56</v>
      </c>
      <c r="G274">
        <v>1</v>
      </c>
      <c r="H274" s="7">
        <v>500</v>
      </c>
      <c r="I274" s="7">
        <v>500</v>
      </c>
      <c r="J274"/>
    </row>
    <row r="275" spans="1:10" x14ac:dyDescent="0.35">
      <c r="A275" t="s">
        <v>661</v>
      </c>
      <c r="B275" s="1">
        <v>45029</v>
      </c>
      <c r="C275" t="s">
        <v>2239</v>
      </c>
      <c r="D275" t="s">
        <v>34</v>
      </c>
      <c r="E275">
        <v>37</v>
      </c>
      <c r="F275" t="s">
        <v>13</v>
      </c>
      <c r="G275">
        <v>4</v>
      </c>
      <c r="H275" s="7">
        <v>50</v>
      </c>
      <c r="I275" s="7">
        <v>200</v>
      </c>
      <c r="J275"/>
    </row>
    <row r="276" spans="1:10" x14ac:dyDescent="0.35">
      <c r="A276" t="s">
        <v>664</v>
      </c>
      <c r="B276" s="1">
        <v>45135</v>
      </c>
      <c r="C276" t="s">
        <v>442</v>
      </c>
      <c r="D276" t="s">
        <v>26</v>
      </c>
      <c r="E276">
        <v>27</v>
      </c>
      <c r="F276" t="s">
        <v>36</v>
      </c>
      <c r="G276">
        <v>3</v>
      </c>
      <c r="H276" s="7">
        <v>300</v>
      </c>
      <c r="I276" s="7">
        <v>900</v>
      </c>
      <c r="J276"/>
    </row>
    <row r="277" spans="1:10" x14ac:dyDescent="0.35">
      <c r="A277" t="s">
        <v>667</v>
      </c>
      <c r="B277" s="1">
        <v>45124</v>
      </c>
      <c r="C277" t="s">
        <v>989</v>
      </c>
      <c r="D277" t="s">
        <v>26</v>
      </c>
      <c r="E277">
        <v>45</v>
      </c>
      <c r="F277" t="s">
        <v>56</v>
      </c>
      <c r="G277">
        <v>1</v>
      </c>
      <c r="H277" s="7">
        <v>50</v>
      </c>
      <c r="I277" s="7">
        <v>50</v>
      </c>
      <c r="J277"/>
    </row>
    <row r="278" spans="1:10" x14ac:dyDescent="0.35">
      <c r="A278" t="s">
        <v>113</v>
      </c>
      <c r="B278" s="1">
        <v>45201</v>
      </c>
      <c r="C278" t="s">
        <v>2313</v>
      </c>
      <c r="D278" t="s">
        <v>34</v>
      </c>
      <c r="E278">
        <v>27</v>
      </c>
      <c r="F278" t="s">
        <v>36</v>
      </c>
      <c r="G278">
        <v>3</v>
      </c>
      <c r="H278" s="7">
        <v>25</v>
      </c>
      <c r="I278" s="7">
        <v>75</v>
      </c>
      <c r="J278"/>
    </row>
    <row r="279" spans="1:10" x14ac:dyDescent="0.35">
      <c r="A279" t="s">
        <v>671</v>
      </c>
      <c r="B279" s="1">
        <v>45186</v>
      </c>
      <c r="C279" t="s">
        <v>812</v>
      </c>
      <c r="D279" t="s">
        <v>26</v>
      </c>
      <c r="E279">
        <v>43</v>
      </c>
      <c r="F279" t="s">
        <v>56</v>
      </c>
      <c r="G279">
        <v>3</v>
      </c>
      <c r="H279" s="7">
        <v>50</v>
      </c>
      <c r="I279" s="7">
        <v>150</v>
      </c>
      <c r="J279"/>
    </row>
    <row r="280" spans="1:10" x14ac:dyDescent="0.35">
      <c r="A280" t="s">
        <v>675</v>
      </c>
      <c r="B280" s="1">
        <v>45145</v>
      </c>
      <c r="C280" t="s">
        <v>1689</v>
      </c>
      <c r="D280" t="s">
        <v>34</v>
      </c>
      <c r="E280">
        <v>39</v>
      </c>
      <c r="F280" t="s">
        <v>36</v>
      </c>
      <c r="G280">
        <v>4</v>
      </c>
      <c r="H280" s="7">
        <v>30</v>
      </c>
      <c r="I280" s="7">
        <v>120</v>
      </c>
      <c r="J280"/>
    </row>
    <row r="281" spans="1:10" x14ac:dyDescent="0.35">
      <c r="A281" t="s">
        <v>677</v>
      </c>
      <c r="B281" s="1">
        <v>45286</v>
      </c>
      <c r="C281" t="s">
        <v>2285</v>
      </c>
      <c r="D281" t="s">
        <v>26</v>
      </c>
      <c r="E281">
        <v>32</v>
      </c>
      <c r="F281" t="s">
        <v>36</v>
      </c>
      <c r="G281">
        <v>4</v>
      </c>
      <c r="H281" s="7">
        <v>50</v>
      </c>
      <c r="I281" s="7">
        <v>200</v>
      </c>
      <c r="J281"/>
    </row>
    <row r="282" spans="1:10" x14ac:dyDescent="0.35">
      <c r="A282" t="s">
        <v>680</v>
      </c>
      <c r="B282" s="1">
        <v>45004</v>
      </c>
      <c r="C282" t="s">
        <v>2267</v>
      </c>
      <c r="D282" t="s">
        <v>26</v>
      </c>
      <c r="E282">
        <v>57</v>
      </c>
      <c r="F282" t="s">
        <v>56</v>
      </c>
      <c r="G282">
        <v>2</v>
      </c>
      <c r="H282" s="7">
        <v>25</v>
      </c>
      <c r="I282" s="7">
        <v>50</v>
      </c>
      <c r="J282"/>
    </row>
    <row r="283" spans="1:10" x14ac:dyDescent="0.35">
      <c r="A283" t="s">
        <v>681</v>
      </c>
      <c r="B283" s="1">
        <v>45269</v>
      </c>
      <c r="C283" t="s">
        <v>1561</v>
      </c>
      <c r="D283" t="s">
        <v>34</v>
      </c>
      <c r="E283">
        <v>36</v>
      </c>
      <c r="F283" t="s">
        <v>13</v>
      </c>
      <c r="G283">
        <v>4</v>
      </c>
      <c r="H283" s="7">
        <v>500</v>
      </c>
      <c r="I283" s="7">
        <v>2000</v>
      </c>
      <c r="J283"/>
    </row>
    <row r="284" spans="1:10" x14ac:dyDescent="0.35">
      <c r="A284" t="s">
        <v>682</v>
      </c>
      <c r="B284" s="1">
        <v>45253</v>
      </c>
      <c r="C284" t="s">
        <v>2268</v>
      </c>
      <c r="D284" t="s">
        <v>26</v>
      </c>
      <c r="E284">
        <v>42</v>
      </c>
      <c r="F284" t="s">
        <v>13</v>
      </c>
      <c r="G284">
        <v>3</v>
      </c>
      <c r="H284" s="7">
        <v>30</v>
      </c>
      <c r="I284" s="7">
        <v>90</v>
      </c>
      <c r="J284"/>
    </row>
    <row r="285" spans="1:10" x14ac:dyDescent="0.35">
      <c r="A285" t="s">
        <v>683</v>
      </c>
      <c r="B285" s="1">
        <v>45075</v>
      </c>
      <c r="C285" t="s">
        <v>392</v>
      </c>
      <c r="D285" t="s">
        <v>26</v>
      </c>
      <c r="E285">
        <v>48</v>
      </c>
      <c r="F285" t="s">
        <v>36</v>
      </c>
      <c r="G285">
        <v>4</v>
      </c>
      <c r="H285" s="7">
        <v>300</v>
      </c>
      <c r="I285" s="7">
        <v>1200</v>
      </c>
      <c r="J285"/>
    </row>
    <row r="286" spans="1:10" x14ac:dyDescent="0.35">
      <c r="A286" t="s">
        <v>686</v>
      </c>
      <c r="B286" s="1">
        <v>45199</v>
      </c>
      <c r="C286" t="s">
        <v>2230</v>
      </c>
      <c r="D286" t="s">
        <v>26</v>
      </c>
      <c r="E286">
        <v>61</v>
      </c>
      <c r="F286" t="s">
        <v>56</v>
      </c>
      <c r="G286">
        <v>4</v>
      </c>
      <c r="H286" s="7">
        <v>500</v>
      </c>
      <c r="I286" s="7">
        <v>2000</v>
      </c>
      <c r="J286"/>
    </row>
    <row r="287" spans="1:10" x14ac:dyDescent="0.35">
      <c r="A287" t="s">
        <v>688</v>
      </c>
      <c r="B287" s="1">
        <v>45135</v>
      </c>
      <c r="C287" t="s">
        <v>2243</v>
      </c>
      <c r="D287" t="s">
        <v>26</v>
      </c>
      <c r="E287">
        <v>62</v>
      </c>
      <c r="F287" t="s">
        <v>13</v>
      </c>
      <c r="G287">
        <v>3</v>
      </c>
      <c r="H287" s="7">
        <v>50</v>
      </c>
      <c r="I287" s="7">
        <v>150</v>
      </c>
      <c r="J287"/>
    </row>
    <row r="288" spans="1:10" x14ac:dyDescent="0.35">
      <c r="A288" t="s">
        <v>690</v>
      </c>
      <c r="B288" s="1">
        <v>45203</v>
      </c>
      <c r="C288" t="s">
        <v>1320</v>
      </c>
      <c r="D288" t="s">
        <v>26</v>
      </c>
      <c r="E288">
        <v>30</v>
      </c>
      <c r="F288" t="s">
        <v>36</v>
      </c>
      <c r="G288">
        <v>2</v>
      </c>
      <c r="H288" s="7">
        <v>300</v>
      </c>
      <c r="I288" s="7">
        <v>600</v>
      </c>
      <c r="J288"/>
    </row>
    <row r="289" spans="1:10" x14ac:dyDescent="0.35">
      <c r="A289" t="s">
        <v>693</v>
      </c>
      <c r="B289" s="1">
        <v>45255</v>
      </c>
      <c r="C289" t="s">
        <v>1663</v>
      </c>
      <c r="D289" t="s">
        <v>34</v>
      </c>
      <c r="E289">
        <v>41</v>
      </c>
      <c r="F289" t="s">
        <v>36</v>
      </c>
      <c r="G289">
        <v>2</v>
      </c>
      <c r="H289" s="7">
        <v>25</v>
      </c>
      <c r="I289" s="7">
        <v>50</v>
      </c>
      <c r="J289"/>
    </row>
    <row r="290" spans="1:10" x14ac:dyDescent="0.35">
      <c r="A290" t="s">
        <v>695</v>
      </c>
      <c r="B290" s="1">
        <v>45078</v>
      </c>
      <c r="C290" t="s">
        <v>1577</v>
      </c>
      <c r="D290" t="s">
        <v>34</v>
      </c>
      <c r="E290">
        <v>27</v>
      </c>
      <c r="F290" t="s">
        <v>56</v>
      </c>
      <c r="G290">
        <v>2</v>
      </c>
      <c r="H290" s="7">
        <v>25</v>
      </c>
      <c r="I290" s="7">
        <v>50</v>
      </c>
      <c r="J290"/>
    </row>
    <row r="291" spans="1:10" x14ac:dyDescent="0.35">
      <c r="A291" t="s">
        <v>697</v>
      </c>
      <c r="B291" s="1">
        <v>44965</v>
      </c>
      <c r="C291" t="s">
        <v>856</v>
      </c>
      <c r="D291" t="s">
        <v>34</v>
      </c>
      <c r="E291">
        <v>43</v>
      </c>
      <c r="F291" t="s">
        <v>56</v>
      </c>
      <c r="G291">
        <v>4</v>
      </c>
      <c r="H291" s="7">
        <v>50</v>
      </c>
      <c r="I291" s="7">
        <v>200</v>
      </c>
      <c r="J291"/>
    </row>
    <row r="292" spans="1:10" x14ac:dyDescent="0.35">
      <c r="A292" t="s">
        <v>699</v>
      </c>
      <c r="B292" s="1">
        <v>45005</v>
      </c>
      <c r="C292" t="s">
        <v>325</v>
      </c>
      <c r="D292" t="s">
        <v>34</v>
      </c>
      <c r="E292">
        <v>25</v>
      </c>
      <c r="F292" t="s">
        <v>56</v>
      </c>
      <c r="G292">
        <v>3</v>
      </c>
      <c r="H292" s="7">
        <v>50</v>
      </c>
      <c r="I292" s="7">
        <v>150</v>
      </c>
      <c r="J292"/>
    </row>
    <row r="293" spans="1:10" x14ac:dyDescent="0.35">
      <c r="A293" t="s">
        <v>701</v>
      </c>
      <c r="B293" s="1">
        <v>45194</v>
      </c>
      <c r="C293" t="s">
        <v>374</v>
      </c>
      <c r="D293" t="s">
        <v>26</v>
      </c>
      <c r="E293">
        <v>50</v>
      </c>
      <c r="F293" t="s">
        <v>13</v>
      </c>
      <c r="G293">
        <v>3</v>
      </c>
      <c r="H293" s="7">
        <v>300</v>
      </c>
      <c r="I293" s="7">
        <v>900</v>
      </c>
      <c r="J293"/>
    </row>
    <row r="294" spans="1:10" x14ac:dyDescent="0.35">
      <c r="A294" t="s">
        <v>702</v>
      </c>
      <c r="B294" s="1">
        <v>45265</v>
      </c>
      <c r="C294" t="s">
        <v>442</v>
      </c>
      <c r="D294" t="s">
        <v>34</v>
      </c>
      <c r="E294">
        <v>51</v>
      </c>
      <c r="F294" t="s">
        <v>13</v>
      </c>
      <c r="G294">
        <v>4</v>
      </c>
      <c r="H294" s="7">
        <v>500</v>
      </c>
      <c r="I294" s="7">
        <v>2000</v>
      </c>
      <c r="J294"/>
    </row>
    <row r="295" spans="1:10" x14ac:dyDescent="0.35">
      <c r="A295" t="s">
        <v>704</v>
      </c>
      <c r="B295" s="1">
        <v>45004</v>
      </c>
      <c r="C295" t="s">
        <v>526</v>
      </c>
      <c r="D295" t="s">
        <v>26</v>
      </c>
      <c r="E295">
        <v>39</v>
      </c>
      <c r="F295" t="s">
        <v>13</v>
      </c>
      <c r="G295">
        <v>1</v>
      </c>
      <c r="H295" s="7">
        <v>30</v>
      </c>
      <c r="I295" s="7">
        <v>30</v>
      </c>
      <c r="J295"/>
    </row>
    <row r="296" spans="1:10" x14ac:dyDescent="0.35">
      <c r="A296" t="s">
        <v>706</v>
      </c>
      <c r="B296" s="1">
        <v>45271</v>
      </c>
      <c r="C296" t="s">
        <v>2299</v>
      </c>
      <c r="D296" t="s">
        <v>34</v>
      </c>
      <c r="E296">
        <v>55</v>
      </c>
      <c r="F296" t="s">
        <v>56</v>
      </c>
      <c r="G296">
        <v>3</v>
      </c>
      <c r="H296" s="7">
        <v>300</v>
      </c>
      <c r="I296" s="7">
        <v>900</v>
      </c>
      <c r="J296"/>
    </row>
    <row r="297" spans="1:10" x14ac:dyDescent="0.35">
      <c r="A297" t="s">
        <v>709</v>
      </c>
      <c r="B297" s="1">
        <v>45140</v>
      </c>
      <c r="C297" t="s">
        <v>1722</v>
      </c>
      <c r="D297" t="s">
        <v>26</v>
      </c>
      <c r="E297">
        <v>41</v>
      </c>
      <c r="F297" t="s">
        <v>13</v>
      </c>
      <c r="G297">
        <v>2</v>
      </c>
      <c r="H297" s="7">
        <v>25</v>
      </c>
      <c r="I297" s="7">
        <v>50</v>
      </c>
      <c r="J297"/>
    </row>
    <row r="298" spans="1:10" x14ac:dyDescent="0.35">
      <c r="A298" t="s">
        <v>711</v>
      </c>
      <c r="B298" s="1">
        <v>45062</v>
      </c>
      <c r="C298" t="s">
        <v>950</v>
      </c>
      <c r="D298" t="s">
        <v>34</v>
      </c>
      <c r="E298">
        <v>59</v>
      </c>
      <c r="F298" t="s">
        <v>13</v>
      </c>
      <c r="G298">
        <v>4</v>
      </c>
      <c r="H298" s="7">
        <v>500</v>
      </c>
      <c r="I298" s="7">
        <v>2000</v>
      </c>
      <c r="J298"/>
    </row>
    <row r="299" spans="1:10" x14ac:dyDescent="0.35">
      <c r="A299" t="s">
        <v>712</v>
      </c>
      <c r="B299" s="1">
        <v>45165</v>
      </c>
      <c r="C299" t="s">
        <v>1187</v>
      </c>
      <c r="D299" t="s">
        <v>26</v>
      </c>
      <c r="E299">
        <v>51</v>
      </c>
      <c r="F299" t="s">
        <v>56</v>
      </c>
      <c r="G299">
        <v>3</v>
      </c>
      <c r="H299" s="7">
        <v>25</v>
      </c>
      <c r="I299" s="7">
        <v>75</v>
      </c>
      <c r="J299"/>
    </row>
    <row r="300" spans="1:10" x14ac:dyDescent="0.35">
      <c r="A300" t="s">
        <v>152</v>
      </c>
      <c r="B300" s="1">
        <v>44940</v>
      </c>
      <c r="C300" t="s">
        <v>1247</v>
      </c>
      <c r="D300" t="s">
        <v>26</v>
      </c>
      <c r="E300">
        <v>50</v>
      </c>
      <c r="F300" t="s">
        <v>36</v>
      </c>
      <c r="G300">
        <v>1</v>
      </c>
      <c r="H300" s="7">
        <v>500</v>
      </c>
      <c r="I300" s="7">
        <v>500</v>
      </c>
      <c r="J300"/>
    </row>
    <row r="301" spans="1:10" x14ac:dyDescent="0.35">
      <c r="A301" t="s">
        <v>717</v>
      </c>
      <c r="B301" s="1">
        <v>45095</v>
      </c>
      <c r="C301" t="s">
        <v>907</v>
      </c>
      <c r="D301" t="s">
        <v>26</v>
      </c>
      <c r="E301">
        <v>51</v>
      </c>
      <c r="F301" t="s">
        <v>13</v>
      </c>
      <c r="G301">
        <v>3</v>
      </c>
      <c r="H301" s="7">
        <v>300</v>
      </c>
      <c r="I301" s="7">
        <v>900</v>
      </c>
      <c r="J301"/>
    </row>
    <row r="302" spans="1:10" x14ac:dyDescent="0.35">
      <c r="A302" t="s">
        <v>720</v>
      </c>
      <c r="B302" s="1">
        <v>45283</v>
      </c>
      <c r="C302" t="s">
        <v>909</v>
      </c>
      <c r="D302" t="s">
        <v>34</v>
      </c>
      <c r="E302">
        <v>35</v>
      </c>
      <c r="F302" t="s">
        <v>36</v>
      </c>
      <c r="G302">
        <v>1</v>
      </c>
      <c r="H302" s="7">
        <v>500</v>
      </c>
      <c r="I302" s="7">
        <v>500</v>
      </c>
      <c r="J302"/>
    </row>
    <row r="303" spans="1:10" x14ac:dyDescent="0.35">
      <c r="A303" t="s">
        <v>721</v>
      </c>
      <c r="B303" s="1">
        <v>44940</v>
      </c>
      <c r="C303" t="s">
        <v>575</v>
      </c>
      <c r="D303" t="s">
        <v>26</v>
      </c>
      <c r="E303">
        <v>43</v>
      </c>
      <c r="F303" t="s">
        <v>36</v>
      </c>
      <c r="G303">
        <v>3</v>
      </c>
      <c r="H303" s="7">
        <v>300</v>
      </c>
      <c r="I303" s="7">
        <v>900</v>
      </c>
      <c r="J303"/>
    </row>
    <row r="304" spans="1:10" x14ac:dyDescent="0.35">
      <c r="A304" t="s">
        <v>723</v>
      </c>
      <c r="B304" s="1">
        <v>45173</v>
      </c>
      <c r="C304" t="s">
        <v>2314</v>
      </c>
      <c r="D304" t="s">
        <v>26</v>
      </c>
      <c r="E304">
        <v>40</v>
      </c>
      <c r="F304" t="s">
        <v>13</v>
      </c>
      <c r="G304">
        <v>2</v>
      </c>
      <c r="H304" s="7">
        <v>500</v>
      </c>
      <c r="I304" s="7">
        <v>1000</v>
      </c>
      <c r="J304"/>
    </row>
    <row r="305" spans="1:10" x14ac:dyDescent="0.35">
      <c r="A305" t="s">
        <v>724</v>
      </c>
      <c r="B305" s="1">
        <v>45003</v>
      </c>
      <c r="C305" t="s">
        <v>333</v>
      </c>
      <c r="D305" t="s">
        <v>26</v>
      </c>
      <c r="E305">
        <v>57</v>
      </c>
      <c r="F305" t="s">
        <v>56</v>
      </c>
      <c r="G305">
        <v>4</v>
      </c>
      <c r="H305" s="7">
        <v>30</v>
      </c>
      <c r="I305" s="7">
        <v>120</v>
      </c>
      <c r="J305"/>
    </row>
    <row r="306" spans="1:10" x14ac:dyDescent="0.35">
      <c r="A306" t="s">
        <v>727</v>
      </c>
      <c r="B306" s="1">
        <v>45094</v>
      </c>
      <c r="C306" t="s">
        <v>215</v>
      </c>
      <c r="D306" t="s">
        <v>26</v>
      </c>
      <c r="E306">
        <v>20</v>
      </c>
      <c r="F306" t="s">
        <v>36</v>
      </c>
      <c r="G306">
        <v>1</v>
      </c>
      <c r="H306" s="7">
        <v>50</v>
      </c>
      <c r="I306" s="7">
        <v>50</v>
      </c>
      <c r="J306"/>
    </row>
    <row r="307" spans="1:10" x14ac:dyDescent="0.35">
      <c r="A307" t="s">
        <v>728</v>
      </c>
      <c r="B307" s="1">
        <v>45137</v>
      </c>
      <c r="C307" t="s">
        <v>1722</v>
      </c>
      <c r="D307" t="s">
        <v>26</v>
      </c>
      <c r="E307">
        <v>32</v>
      </c>
      <c r="F307" t="s">
        <v>36</v>
      </c>
      <c r="G307">
        <v>4</v>
      </c>
      <c r="H307" s="7">
        <v>30</v>
      </c>
      <c r="I307" s="7">
        <v>120</v>
      </c>
      <c r="J307"/>
    </row>
    <row r="308" spans="1:10" x14ac:dyDescent="0.35">
      <c r="A308" t="s">
        <v>730</v>
      </c>
      <c r="B308" s="1">
        <v>45244</v>
      </c>
      <c r="C308" t="s">
        <v>1453</v>
      </c>
      <c r="D308" t="s">
        <v>26</v>
      </c>
      <c r="E308">
        <v>39</v>
      </c>
      <c r="F308" t="s">
        <v>13</v>
      </c>
      <c r="G308">
        <v>4</v>
      </c>
      <c r="H308" s="7">
        <v>25</v>
      </c>
      <c r="I308" s="7">
        <v>100</v>
      </c>
      <c r="J308"/>
    </row>
    <row r="309" spans="1:10" x14ac:dyDescent="0.35">
      <c r="A309" t="s">
        <v>733</v>
      </c>
      <c r="B309" s="1">
        <v>45288</v>
      </c>
      <c r="C309" t="s">
        <v>796</v>
      </c>
      <c r="D309" t="s">
        <v>26</v>
      </c>
      <c r="E309">
        <v>44</v>
      </c>
      <c r="F309" t="s">
        <v>56</v>
      </c>
      <c r="G309">
        <v>4</v>
      </c>
      <c r="H309" s="7">
        <v>500</v>
      </c>
      <c r="I309" s="7">
        <v>2000</v>
      </c>
      <c r="J309"/>
    </row>
    <row r="310" spans="1:10" x14ac:dyDescent="0.35">
      <c r="A310" t="s">
        <v>735</v>
      </c>
      <c r="B310" s="1">
        <v>45150</v>
      </c>
      <c r="C310" t="s">
        <v>1178</v>
      </c>
      <c r="D310" t="s">
        <v>34</v>
      </c>
      <c r="E310">
        <v>45</v>
      </c>
      <c r="F310" t="s">
        <v>36</v>
      </c>
      <c r="G310">
        <v>2</v>
      </c>
      <c r="H310" s="7">
        <v>50</v>
      </c>
      <c r="I310" s="7">
        <v>100</v>
      </c>
      <c r="J310"/>
    </row>
    <row r="311" spans="1:10" x14ac:dyDescent="0.35">
      <c r="A311" t="s">
        <v>736</v>
      </c>
      <c r="B311" s="1">
        <v>44945</v>
      </c>
      <c r="C311" t="s">
        <v>1421</v>
      </c>
      <c r="D311" t="s">
        <v>26</v>
      </c>
      <c r="E311">
        <v>42</v>
      </c>
      <c r="F311" t="s">
        <v>56</v>
      </c>
      <c r="G311">
        <v>1</v>
      </c>
      <c r="H311" s="7">
        <v>30</v>
      </c>
      <c r="I311" s="7">
        <v>30</v>
      </c>
      <c r="J311"/>
    </row>
    <row r="312" spans="1:10" x14ac:dyDescent="0.35">
      <c r="A312" t="s">
        <v>738</v>
      </c>
      <c r="B312" s="1">
        <v>45178</v>
      </c>
      <c r="C312" t="s">
        <v>398</v>
      </c>
      <c r="D312" t="s">
        <v>26</v>
      </c>
      <c r="E312">
        <v>22</v>
      </c>
      <c r="F312" t="s">
        <v>36</v>
      </c>
      <c r="G312">
        <v>2</v>
      </c>
      <c r="H312" s="7">
        <v>25</v>
      </c>
      <c r="I312" s="7">
        <v>50</v>
      </c>
      <c r="J312"/>
    </row>
    <row r="313" spans="1:10" x14ac:dyDescent="0.35">
      <c r="A313" t="s">
        <v>739</v>
      </c>
      <c r="B313" s="1">
        <v>45066</v>
      </c>
      <c r="C313" t="s">
        <v>1210</v>
      </c>
      <c r="D313" t="s">
        <v>26</v>
      </c>
      <c r="E313">
        <v>39</v>
      </c>
      <c r="F313" t="s">
        <v>13</v>
      </c>
      <c r="G313">
        <v>2</v>
      </c>
      <c r="H313" s="7">
        <v>25</v>
      </c>
      <c r="I313" s="7">
        <v>50</v>
      </c>
      <c r="J313"/>
    </row>
    <row r="314" spans="1:10" x14ac:dyDescent="0.35">
      <c r="A314" t="s">
        <v>740</v>
      </c>
      <c r="B314" s="1">
        <v>45101</v>
      </c>
      <c r="C314" t="s">
        <v>528</v>
      </c>
      <c r="D314" t="s">
        <v>26</v>
      </c>
      <c r="E314">
        <v>20</v>
      </c>
      <c r="F314" t="s">
        <v>13</v>
      </c>
      <c r="G314">
        <v>4</v>
      </c>
      <c r="H314" s="7">
        <v>300</v>
      </c>
      <c r="I314" s="7">
        <v>1200</v>
      </c>
      <c r="J314"/>
    </row>
    <row r="315" spans="1:10" x14ac:dyDescent="0.35">
      <c r="A315" t="s">
        <v>743</v>
      </c>
      <c r="B315" s="1">
        <v>44956</v>
      </c>
      <c r="C315" t="s">
        <v>2252</v>
      </c>
      <c r="D315" t="s">
        <v>34</v>
      </c>
      <c r="E315">
        <v>63</v>
      </c>
      <c r="F315" t="s">
        <v>36</v>
      </c>
      <c r="G315">
        <v>1</v>
      </c>
      <c r="H315" s="7">
        <v>50</v>
      </c>
      <c r="I315" s="7">
        <v>50</v>
      </c>
      <c r="J315"/>
    </row>
    <row r="316" spans="1:10" x14ac:dyDescent="0.35">
      <c r="A316" t="s">
        <v>746</v>
      </c>
      <c r="B316" s="1">
        <v>45051</v>
      </c>
      <c r="C316" t="s">
        <v>1456</v>
      </c>
      <c r="D316" t="s">
        <v>34</v>
      </c>
      <c r="E316">
        <v>54</v>
      </c>
      <c r="F316" t="s">
        <v>13</v>
      </c>
      <c r="G316">
        <v>1</v>
      </c>
      <c r="H316" s="7">
        <v>300</v>
      </c>
      <c r="I316" s="7">
        <v>300</v>
      </c>
      <c r="J316"/>
    </row>
    <row r="317" spans="1:10" x14ac:dyDescent="0.35">
      <c r="A317" t="s">
        <v>749</v>
      </c>
      <c r="B317" s="1">
        <v>45069</v>
      </c>
      <c r="C317" t="s">
        <v>2297</v>
      </c>
      <c r="D317" t="s">
        <v>26</v>
      </c>
      <c r="E317">
        <v>20</v>
      </c>
      <c r="F317" t="s">
        <v>13</v>
      </c>
      <c r="G317">
        <v>4</v>
      </c>
      <c r="H317" s="7">
        <v>500</v>
      </c>
      <c r="I317" s="7">
        <v>2000</v>
      </c>
      <c r="J317"/>
    </row>
    <row r="318" spans="1:10" x14ac:dyDescent="0.35">
      <c r="A318" t="s">
        <v>751</v>
      </c>
      <c r="B318" s="1">
        <v>44947</v>
      </c>
      <c r="C318" t="s">
        <v>2240</v>
      </c>
      <c r="D318" t="s">
        <v>26</v>
      </c>
      <c r="E318">
        <v>54</v>
      </c>
      <c r="F318" t="s">
        <v>36</v>
      </c>
      <c r="G318">
        <v>2</v>
      </c>
      <c r="H318" s="7">
        <v>30</v>
      </c>
      <c r="I318" s="7">
        <v>60</v>
      </c>
      <c r="J318"/>
    </row>
    <row r="319" spans="1:10" x14ac:dyDescent="0.35">
      <c r="A319" t="s">
        <v>753</v>
      </c>
      <c r="B319" s="1">
        <v>45051</v>
      </c>
      <c r="C319" t="s">
        <v>2310</v>
      </c>
      <c r="D319" t="s">
        <v>26</v>
      </c>
      <c r="E319">
        <v>56</v>
      </c>
      <c r="F319" t="s">
        <v>13</v>
      </c>
      <c r="G319">
        <v>2</v>
      </c>
      <c r="H319" s="7">
        <v>500</v>
      </c>
      <c r="I319" s="7">
        <v>1000</v>
      </c>
      <c r="J319"/>
    </row>
    <row r="320" spans="1:10" x14ac:dyDescent="0.35">
      <c r="A320" t="s">
        <v>755</v>
      </c>
      <c r="B320" s="1">
        <v>45194</v>
      </c>
      <c r="C320" t="s">
        <v>1026</v>
      </c>
      <c r="D320" t="s">
        <v>26</v>
      </c>
      <c r="E320">
        <v>56</v>
      </c>
      <c r="F320" t="s">
        <v>56</v>
      </c>
      <c r="G320">
        <v>3</v>
      </c>
      <c r="H320" s="7">
        <v>30</v>
      </c>
      <c r="I320" s="7">
        <v>90</v>
      </c>
      <c r="J320"/>
    </row>
    <row r="321" spans="1:10" x14ac:dyDescent="0.35">
      <c r="A321" t="s">
        <v>758</v>
      </c>
      <c r="B321" s="1">
        <v>45244</v>
      </c>
      <c r="C321" t="s">
        <v>1952</v>
      </c>
      <c r="D321" t="s">
        <v>34</v>
      </c>
      <c r="E321">
        <v>62</v>
      </c>
      <c r="F321" t="s">
        <v>13</v>
      </c>
      <c r="G321">
        <v>1</v>
      </c>
      <c r="H321" s="7">
        <v>30</v>
      </c>
      <c r="I321" s="7">
        <v>30</v>
      </c>
      <c r="J321"/>
    </row>
    <row r="322" spans="1:10" x14ac:dyDescent="0.35">
      <c r="A322" t="s">
        <v>761</v>
      </c>
      <c r="B322" s="1">
        <v>45161</v>
      </c>
      <c r="C322" t="s">
        <v>747</v>
      </c>
      <c r="D322" t="s">
        <v>26</v>
      </c>
      <c r="E322">
        <v>56</v>
      </c>
      <c r="F322" t="s">
        <v>56</v>
      </c>
      <c r="G322">
        <v>4</v>
      </c>
      <c r="H322" s="7">
        <v>300</v>
      </c>
      <c r="I322" s="7">
        <v>1200</v>
      </c>
      <c r="J322"/>
    </row>
    <row r="323" spans="1:10" x14ac:dyDescent="0.35">
      <c r="A323" t="s">
        <v>764</v>
      </c>
      <c r="B323" s="1">
        <v>45239</v>
      </c>
      <c r="C323" t="s">
        <v>816</v>
      </c>
      <c r="D323" t="s">
        <v>34</v>
      </c>
      <c r="E323">
        <v>61</v>
      </c>
      <c r="F323" t="s">
        <v>36</v>
      </c>
      <c r="G323">
        <v>3</v>
      </c>
      <c r="H323" s="7">
        <v>300</v>
      </c>
      <c r="I323" s="7">
        <v>900</v>
      </c>
      <c r="J323"/>
    </row>
    <row r="324" spans="1:10" x14ac:dyDescent="0.35">
      <c r="A324" t="s">
        <v>766</v>
      </c>
      <c r="B324" s="1">
        <v>45212</v>
      </c>
      <c r="C324" t="s">
        <v>2188</v>
      </c>
      <c r="D324" t="s">
        <v>26</v>
      </c>
      <c r="E324">
        <v>23</v>
      </c>
      <c r="F324" t="s">
        <v>13</v>
      </c>
      <c r="G324">
        <v>3</v>
      </c>
      <c r="H324" s="7">
        <v>25</v>
      </c>
      <c r="I324" s="7">
        <v>75</v>
      </c>
      <c r="J324"/>
    </row>
    <row r="325" spans="1:10" x14ac:dyDescent="0.35">
      <c r="A325" t="s">
        <v>768</v>
      </c>
      <c r="B325" s="1">
        <v>45080</v>
      </c>
      <c r="C325" t="s">
        <v>2263</v>
      </c>
      <c r="D325" t="s">
        <v>34</v>
      </c>
      <c r="E325">
        <v>64</v>
      </c>
      <c r="F325" t="s">
        <v>36</v>
      </c>
      <c r="G325">
        <v>1</v>
      </c>
      <c r="H325" s="7">
        <v>25</v>
      </c>
      <c r="I325" s="7">
        <v>25</v>
      </c>
      <c r="J325"/>
    </row>
    <row r="326" spans="1:10" x14ac:dyDescent="0.35">
      <c r="A326" t="s">
        <v>769</v>
      </c>
      <c r="B326" s="1">
        <v>45035</v>
      </c>
      <c r="C326" t="s">
        <v>1618</v>
      </c>
      <c r="D326" t="s">
        <v>34</v>
      </c>
      <c r="E326">
        <v>61</v>
      </c>
      <c r="F326" t="s">
        <v>56</v>
      </c>
      <c r="G326">
        <v>3</v>
      </c>
      <c r="H326" s="7">
        <v>50</v>
      </c>
      <c r="I326" s="7">
        <v>150</v>
      </c>
      <c r="J326"/>
    </row>
    <row r="327" spans="1:10" x14ac:dyDescent="0.35">
      <c r="A327" t="s">
        <v>771</v>
      </c>
      <c r="B327" s="1">
        <v>45045</v>
      </c>
      <c r="C327" t="s">
        <v>812</v>
      </c>
      <c r="D327" t="s">
        <v>26</v>
      </c>
      <c r="E327">
        <v>26</v>
      </c>
      <c r="F327" t="s">
        <v>56</v>
      </c>
      <c r="G327">
        <v>2</v>
      </c>
      <c r="H327" s="7">
        <v>30</v>
      </c>
      <c r="I327" s="7">
        <v>60</v>
      </c>
      <c r="J327"/>
    </row>
    <row r="328" spans="1:10" x14ac:dyDescent="0.35">
      <c r="A328" t="s">
        <v>773</v>
      </c>
      <c r="B328" s="1">
        <v>45175</v>
      </c>
      <c r="C328" t="s">
        <v>872</v>
      </c>
      <c r="D328" t="s">
        <v>26</v>
      </c>
      <c r="E328">
        <v>50</v>
      </c>
      <c r="F328" t="s">
        <v>56</v>
      </c>
      <c r="G328">
        <v>4</v>
      </c>
      <c r="H328" s="7">
        <v>50</v>
      </c>
      <c r="I328" s="7">
        <v>200</v>
      </c>
      <c r="J328"/>
    </row>
    <row r="329" spans="1:10" x14ac:dyDescent="0.35">
      <c r="A329" t="s">
        <v>774</v>
      </c>
      <c r="B329" s="1">
        <v>45286</v>
      </c>
      <c r="C329" t="s">
        <v>2324</v>
      </c>
      <c r="D329" t="s">
        <v>26</v>
      </c>
      <c r="E329">
        <v>38</v>
      </c>
      <c r="F329" t="s">
        <v>36</v>
      </c>
      <c r="G329">
        <v>3</v>
      </c>
      <c r="H329" s="7">
        <v>300</v>
      </c>
      <c r="I329" s="7">
        <v>900</v>
      </c>
      <c r="J329"/>
    </row>
    <row r="330" spans="1:10" x14ac:dyDescent="0.35">
      <c r="A330" t="s">
        <v>778</v>
      </c>
      <c r="B330" s="1">
        <v>45046</v>
      </c>
      <c r="C330" t="s">
        <v>2208</v>
      </c>
      <c r="D330" t="s">
        <v>26</v>
      </c>
      <c r="E330">
        <v>41</v>
      </c>
      <c r="F330" t="s">
        <v>56</v>
      </c>
      <c r="G330">
        <v>1</v>
      </c>
      <c r="H330" s="7">
        <v>30</v>
      </c>
      <c r="I330" s="7">
        <v>30</v>
      </c>
      <c r="J330"/>
    </row>
    <row r="331" spans="1:10" x14ac:dyDescent="0.35">
      <c r="A331" t="s">
        <v>780</v>
      </c>
      <c r="B331" s="1">
        <v>45213</v>
      </c>
      <c r="C331" t="s">
        <v>2308</v>
      </c>
      <c r="D331" t="s">
        <v>34</v>
      </c>
      <c r="E331">
        <v>57</v>
      </c>
      <c r="F331" t="s">
        <v>56</v>
      </c>
      <c r="G331">
        <v>1</v>
      </c>
      <c r="H331" s="7">
        <v>50</v>
      </c>
      <c r="I331" s="7">
        <v>50</v>
      </c>
      <c r="J331"/>
    </row>
    <row r="332" spans="1:10" x14ac:dyDescent="0.35">
      <c r="A332" t="s">
        <v>782</v>
      </c>
      <c r="B332" s="1">
        <v>45136</v>
      </c>
      <c r="C332" t="s">
        <v>1900</v>
      </c>
      <c r="D332" t="s">
        <v>26</v>
      </c>
      <c r="E332">
        <v>31</v>
      </c>
      <c r="F332" t="s">
        <v>13</v>
      </c>
      <c r="G332">
        <v>3</v>
      </c>
      <c r="H332" s="7">
        <v>25</v>
      </c>
      <c r="I332" s="7">
        <v>75</v>
      </c>
      <c r="J332"/>
    </row>
    <row r="333" spans="1:10" x14ac:dyDescent="0.35">
      <c r="A333" t="s">
        <v>785</v>
      </c>
      <c r="B333" s="1">
        <v>45203</v>
      </c>
      <c r="C333" t="s">
        <v>747</v>
      </c>
      <c r="D333" t="s">
        <v>34</v>
      </c>
      <c r="E333">
        <v>29</v>
      </c>
      <c r="F333" t="s">
        <v>36</v>
      </c>
      <c r="G333">
        <v>3</v>
      </c>
      <c r="H333" s="7">
        <v>30</v>
      </c>
      <c r="I333" s="7">
        <v>90</v>
      </c>
      <c r="J333"/>
    </row>
    <row r="334" spans="1:10" x14ac:dyDescent="0.35">
      <c r="A334" t="s">
        <v>786</v>
      </c>
      <c r="B334" s="1">
        <v>45291</v>
      </c>
      <c r="C334" t="s">
        <v>1273</v>
      </c>
      <c r="D334" t="s">
        <v>34</v>
      </c>
      <c r="E334">
        <v>60</v>
      </c>
      <c r="F334" t="s">
        <v>13</v>
      </c>
      <c r="G334">
        <v>2</v>
      </c>
      <c r="H334" s="7">
        <v>25</v>
      </c>
      <c r="I334" s="7">
        <v>50</v>
      </c>
      <c r="J334"/>
    </row>
    <row r="335" spans="1:10" x14ac:dyDescent="0.35">
      <c r="A335" t="s">
        <v>788</v>
      </c>
      <c r="B335" s="1">
        <v>45060</v>
      </c>
      <c r="C335" t="s">
        <v>353</v>
      </c>
      <c r="D335" t="s">
        <v>34</v>
      </c>
      <c r="E335">
        <v>39</v>
      </c>
      <c r="F335" t="s">
        <v>13</v>
      </c>
      <c r="G335">
        <v>2</v>
      </c>
      <c r="H335" s="7">
        <v>30</v>
      </c>
      <c r="I335" s="7">
        <v>60</v>
      </c>
      <c r="J335"/>
    </row>
    <row r="336" spans="1:10" x14ac:dyDescent="0.35">
      <c r="A336" t="s">
        <v>789</v>
      </c>
      <c r="B336" s="1">
        <v>45034</v>
      </c>
      <c r="C336" t="s">
        <v>1803</v>
      </c>
      <c r="D336" t="s">
        <v>26</v>
      </c>
      <c r="E336">
        <v>59</v>
      </c>
      <c r="F336" t="s">
        <v>36</v>
      </c>
      <c r="G336">
        <v>2</v>
      </c>
      <c r="H336" s="7">
        <v>25</v>
      </c>
      <c r="I336" s="7">
        <v>50</v>
      </c>
      <c r="J336"/>
    </row>
    <row r="337" spans="1:10" x14ac:dyDescent="0.35">
      <c r="A337" t="s">
        <v>792</v>
      </c>
      <c r="B337" s="1">
        <v>45158</v>
      </c>
      <c r="C337" t="s">
        <v>729</v>
      </c>
      <c r="D337" t="s">
        <v>26</v>
      </c>
      <c r="E337">
        <v>53</v>
      </c>
      <c r="F337" t="s">
        <v>13</v>
      </c>
      <c r="G337">
        <v>3</v>
      </c>
      <c r="H337" s="7">
        <v>30</v>
      </c>
      <c r="I337" s="7">
        <v>90</v>
      </c>
      <c r="J337"/>
    </row>
    <row r="338" spans="1:10" x14ac:dyDescent="0.35">
      <c r="A338" t="s">
        <v>795</v>
      </c>
      <c r="B338" s="1">
        <v>44963</v>
      </c>
      <c r="C338" t="s">
        <v>68</v>
      </c>
      <c r="D338" t="s">
        <v>26</v>
      </c>
      <c r="E338">
        <v>23</v>
      </c>
      <c r="F338" t="s">
        <v>36</v>
      </c>
      <c r="G338">
        <v>1</v>
      </c>
      <c r="H338" s="7">
        <v>300</v>
      </c>
      <c r="I338" s="7">
        <v>300</v>
      </c>
      <c r="J338"/>
    </row>
    <row r="339" spans="1:10" x14ac:dyDescent="0.35">
      <c r="A339" t="s">
        <v>797</v>
      </c>
      <c r="B339" s="1">
        <v>45267</v>
      </c>
      <c r="C339" t="s">
        <v>2227</v>
      </c>
      <c r="D339" t="s">
        <v>34</v>
      </c>
      <c r="E339">
        <v>31</v>
      </c>
      <c r="F339" t="s">
        <v>13</v>
      </c>
      <c r="G339">
        <v>1</v>
      </c>
      <c r="H339" s="7">
        <v>500</v>
      </c>
      <c r="I339" s="7">
        <v>500</v>
      </c>
      <c r="J339"/>
    </row>
    <row r="340" spans="1:10" x14ac:dyDescent="0.35">
      <c r="A340" t="s">
        <v>799</v>
      </c>
      <c r="B340" s="1">
        <v>45266</v>
      </c>
      <c r="C340" t="s">
        <v>2316</v>
      </c>
      <c r="D340" t="s">
        <v>34</v>
      </c>
      <c r="E340">
        <v>47</v>
      </c>
      <c r="F340" t="s">
        <v>36</v>
      </c>
      <c r="G340">
        <v>3</v>
      </c>
      <c r="H340" s="7">
        <v>30</v>
      </c>
      <c r="I340" s="7">
        <v>90</v>
      </c>
      <c r="J340"/>
    </row>
    <row r="341" spans="1:10" x14ac:dyDescent="0.35">
      <c r="A341" t="s">
        <v>800</v>
      </c>
      <c r="B341" s="1">
        <v>44970</v>
      </c>
      <c r="C341" t="s">
        <v>707</v>
      </c>
      <c r="D341" t="s">
        <v>34</v>
      </c>
      <c r="E341">
        <v>35</v>
      </c>
      <c r="F341" t="s">
        <v>36</v>
      </c>
      <c r="G341">
        <v>3</v>
      </c>
      <c r="H341" s="7">
        <v>500</v>
      </c>
      <c r="I341" s="7">
        <v>1500</v>
      </c>
      <c r="J341"/>
    </row>
    <row r="342" spans="1:10" x14ac:dyDescent="0.35">
      <c r="A342" t="s">
        <v>803</v>
      </c>
      <c r="B342" s="1">
        <v>45053</v>
      </c>
      <c r="C342" t="s">
        <v>2294</v>
      </c>
      <c r="D342" t="s">
        <v>34</v>
      </c>
      <c r="E342">
        <v>40</v>
      </c>
      <c r="F342" t="s">
        <v>13</v>
      </c>
      <c r="G342">
        <v>1</v>
      </c>
      <c r="H342" s="7">
        <v>25</v>
      </c>
      <c r="I342" s="7">
        <v>25</v>
      </c>
      <c r="J342"/>
    </row>
    <row r="343" spans="1:10" x14ac:dyDescent="0.35">
      <c r="A343" t="s">
        <v>804</v>
      </c>
      <c r="B343" s="1">
        <v>44967</v>
      </c>
      <c r="C343" t="s">
        <v>1611</v>
      </c>
      <c r="D343" t="s">
        <v>34</v>
      </c>
      <c r="E343">
        <v>62</v>
      </c>
      <c r="F343" t="s">
        <v>36</v>
      </c>
      <c r="G343">
        <v>2</v>
      </c>
      <c r="H343" s="7">
        <v>50</v>
      </c>
      <c r="I343" s="7">
        <v>100</v>
      </c>
      <c r="J343"/>
    </row>
    <row r="344" spans="1:10" x14ac:dyDescent="0.35">
      <c r="A344" t="s">
        <v>807</v>
      </c>
      <c r="B344" s="1">
        <v>45213</v>
      </c>
      <c r="C344" t="s">
        <v>472</v>
      </c>
      <c r="D344" t="s">
        <v>34</v>
      </c>
      <c r="E344">
        <v>57</v>
      </c>
      <c r="F344" t="s">
        <v>13</v>
      </c>
      <c r="G344">
        <v>2</v>
      </c>
      <c r="H344" s="7">
        <v>30</v>
      </c>
      <c r="I344" s="7">
        <v>60</v>
      </c>
      <c r="J344"/>
    </row>
    <row r="345" spans="1:10" x14ac:dyDescent="0.35">
      <c r="A345" t="s">
        <v>808</v>
      </c>
      <c r="B345" s="1">
        <v>45280</v>
      </c>
      <c r="C345" t="s">
        <v>1444</v>
      </c>
      <c r="D345" t="s">
        <v>34</v>
      </c>
      <c r="E345">
        <v>29</v>
      </c>
      <c r="F345" t="s">
        <v>56</v>
      </c>
      <c r="G345">
        <v>1</v>
      </c>
      <c r="H345" s="7">
        <v>50</v>
      </c>
      <c r="I345" s="7">
        <v>50</v>
      </c>
      <c r="J345"/>
    </row>
    <row r="346" spans="1:10" x14ac:dyDescent="0.35">
      <c r="A346" t="s">
        <v>809</v>
      </c>
      <c r="B346" s="1">
        <v>45121</v>
      </c>
      <c r="C346" t="s">
        <v>215</v>
      </c>
      <c r="D346" t="s">
        <v>26</v>
      </c>
      <c r="E346">
        <v>43</v>
      </c>
      <c r="F346" t="s">
        <v>13</v>
      </c>
      <c r="G346">
        <v>2</v>
      </c>
      <c r="H346" s="7">
        <v>30</v>
      </c>
      <c r="I346" s="7">
        <v>60</v>
      </c>
      <c r="J346"/>
    </row>
    <row r="347" spans="1:10" x14ac:dyDescent="0.35">
      <c r="A347" t="s">
        <v>811</v>
      </c>
      <c r="B347" s="1">
        <v>44973</v>
      </c>
      <c r="C347" t="s">
        <v>1377</v>
      </c>
      <c r="D347" t="s">
        <v>34</v>
      </c>
      <c r="E347">
        <v>20</v>
      </c>
      <c r="F347" t="s">
        <v>13</v>
      </c>
      <c r="G347">
        <v>3</v>
      </c>
      <c r="H347" s="7">
        <v>300</v>
      </c>
      <c r="I347" s="7">
        <v>900</v>
      </c>
      <c r="J347"/>
    </row>
    <row r="348" spans="1:10" x14ac:dyDescent="0.35">
      <c r="A348" t="s">
        <v>813</v>
      </c>
      <c r="B348" s="1">
        <v>45062</v>
      </c>
      <c r="C348" t="s">
        <v>1632</v>
      </c>
      <c r="D348" t="s">
        <v>26</v>
      </c>
      <c r="E348">
        <v>64</v>
      </c>
      <c r="F348" t="s">
        <v>36</v>
      </c>
      <c r="G348">
        <v>1</v>
      </c>
      <c r="H348" s="7">
        <v>30</v>
      </c>
      <c r="I348" s="7">
        <v>30</v>
      </c>
      <c r="J348"/>
    </row>
    <row r="349" spans="1:10" x14ac:dyDescent="0.35">
      <c r="A349" t="s">
        <v>815</v>
      </c>
      <c r="B349" s="1">
        <v>45169</v>
      </c>
      <c r="C349" t="s">
        <v>2309</v>
      </c>
      <c r="D349" t="s">
        <v>26</v>
      </c>
      <c r="E349">
        <v>53</v>
      </c>
      <c r="F349" t="s">
        <v>56</v>
      </c>
      <c r="G349">
        <v>4</v>
      </c>
      <c r="H349" s="7">
        <v>500</v>
      </c>
      <c r="I349" s="7">
        <v>2000</v>
      </c>
      <c r="J349"/>
    </row>
    <row r="350" spans="1:10" x14ac:dyDescent="0.35">
      <c r="A350" t="s">
        <v>817</v>
      </c>
      <c r="B350" s="1">
        <v>44930</v>
      </c>
      <c r="C350" t="s">
        <v>2320</v>
      </c>
      <c r="D350" t="s">
        <v>34</v>
      </c>
      <c r="E350">
        <v>38</v>
      </c>
      <c r="F350" t="s">
        <v>36</v>
      </c>
      <c r="G350">
        <v>2</v>
      </c>
      <c r="H350" s="7">
        <v>500</v>
      </c>
      <c r="I350" s="7">
        <v>1000</v>
      </c>
      <c r="J350"/>
    </row>
    <row r="351" spans="1:10" x14ac:dyDescent="0.35">
      <c r="A351" t="s">
        <v>819</v>
      </c>
      <c r="B351" s="1">
        <v>45279</v>
      </c>
      <c r="C351" t="s">
        <v>2236</v>
      </c>
      <c r="D351" t="s">
        <v>26</v>
      </c>
      <c r="E351">
        <v>46</v>
      </c>
      <c r="F351" t="s">
        <v>36</v>
      </c>
      <c r="G351">
        <v>3</v>
      </c>
      <c r="H351" s="7">
        <v>30</v>
      </c>
      <c r="I351" s="7">
        <v>90</v>
      </c>
      <c r="J351"/>
    </row>
    <row r="352" spans="1:10" x14ac:dyDescent="0.35">
      <c r="A352" t="s">
        <v>820</v>
      </c>
      <c r="B352" s="1">
        <v>44954</v>
      </c>
      <c r="C352" t="s">
        <v>2191</v>
      </c>
      <c r="D352" t="s">
        <v>34</v>
      </c>
      <c r="E352">
        <v>47</v>
      </c>
      <c r="F352" t="s">
        <v>56</v>
      </c>
      <c r="G352">
        <v>3</v>
      </c>
      <c r="H352" s="7">
        <v>300</v>
      </c>
      <c r="I352" s="7">
        <v>900</v>
      </c>
      <c r="J352"/>
    </row>
    <row r="353" spans="1:10" x14ac:dyDescent="0.35">
      <c r="A353" t="s">
        <v>822</v>
      </c>
      <c r="B353" s="1">
        <v>45121</v>
      </c>
      <c r="C353" t="s">
        <v>40</v>
      </c>
      <c r="D353" t="s">
        <v>26</v>
      </c>
      <c r="E353">
        <v>51</v>
      </c>
      <c r="F353" t="s">
        <v>36</v>
      </c>
      <c r="G353">
        <v>4</v>
      </c>
      <c r="H353" s="7">
        <v>25</v>
      </c>
      <c r="I353" s="7">
        <v>100</v>
      </c>
      <c r="J353"/>
    </row>
    <row r="354" spans="1:10" x14ac:dyDescent="0.35">
      <c r="A354" t="s">
        <v>824</v>
      </c>
      <c r="B354" s="1">
        <v>45054</v>
      </c>
      <c r="C354" t="s">
        <v>595</v>
      </c>
      <c r="D354" t="s">
        <v>26</v>
      </c>
      <c r="E354">
        <v>22</v>
      </c>
      <c r="F354" t="s">
        <v>36</v>
      </c>
      <c r="G354">
        <v>1</v>
      </c>
      <c r="H354" s="7">
        <v>50</v>
      </c>
      <c r="I354" s="7">
        <v>50</v>
      </c>
      <c r="J354"/>
    </row>
    <row r="355" spans="1:10" x14ac:dyDescent="0.35">
      <c r="A355" t="s">
        <v>826</v>
      </c>
      <c r="B355" s="1">
        <v>45231</v>
      </c>
      <c r="C355" t="s">
        <v>825</v>
      </c>
      <c r="D355" t="s">
        <v>26</v>
      </c>
      <c r="E355">
        <v>29</v>
      </c>
      <c r="F355" t="s">
        <v>56</v>
      </c>
      <c r="G355">
        <v>1</v>
      </c>
      <c r="H355" s="7">
        <v>300</v>
      </c>
      <c r="I355" s="7">
        <v>300</v>
      </c>
      <c r="J355"/>
    </row>
    <row r="356" spans="1:10" x14ac:dyDescent="0.35">
      <c r="A356" t="s">
        <v>827</v>
      </c>
      <c r="B356" s="1">
        <v>45007</v>
      </c>
      <c r="C356" t="s">
        <v>888</v>
      </c>
      <c r="D356" t="s">
        <v>34</v>
      </c>
      <c r="E356">
        <v>39</v>
      </c>
      <c r="F356" t="s">
        <v>36</v>
      </c>
      <c r="G356">
        <v>2</v>
      </c>
      <c r="H356" s="7">
        <v>50</v>
      </c>
      <c r="I356" s="7">
        <v>100</v>
      </c>
      <c r="J356"/>
    </row>
    <row r="357" spans="1:10" x14ac:dyDescent="0.35">
      <c r="A357" t="s">
        <v>829</v>
      </c>
      <c r="B357" s="1">
        <v>45161</v>
      </c>
      <c r="C357" t="s">
        <v>1475</v>
      </c>
      <c r="D357" t="s">
        <v>26</v>
      </c>
      <c r="E357">
        <v>23</v>
      </c>
      <c r="F357" t="s">
        <v>56</v>
      </c>
      <c r="G357">
        <v>1</v>
      </c>
      <c r="H357" s="7">
        <v>30</v>
      </c>
      <c r="I357" s="7">
        <v>30</v>
      </c>
      <c r="J357"/>
    </row>
    <row r="358" spans="1:10" x14ac:dyDescent="0.35">
      <c r="A358" t="s">
        <v>830</v>
      </c>
      <c r="B358" s="1">
        <v>45226</v>
      </c>
      <c r="C358" t="s">
        <v>1394</v>
      </c>
      <c r="D358" t="s">
        <v>26</v>
      </c>
      <c r="E358">
        <v>52</v>
      </c>
      <c r="F358" t="s">
        <v>13</v>
      </c>
      <c r="G358">
        <v>3</v>
      </c>
      <c r="H358" s="7">
        <v>50</v>
      </c>
      <c r="I358" s="7">
        <v>150</v>
      </c>
      <c r="J358"/>
    </row>
    <row r="359" spans="1:10" x14ac:dyDescent="0.35">
      <c r="A359" t="s">
        <v>832</v>
      </c>
      <c r="B359" s="1">
        <v>45007</v>
      </c>
      <c r="C359" t="s">
        <v>1809</v>
      </c>
      <c r="D359" t="s">
        <v>26</v>
      </c>
      <c r="E359">
        <v>53</v>
      </c>
      <c r="F359" t="s">
        <v>56</v>
      </c>
      <c r="G359">
        <v>3</v>
      </c>
      <c r="H359" s="7">
        <v>50</v>
      </c>
      <c r="I359" s="7">
        <v>150</v>
      </c>
      <c r="J359"/>
    </row>
    <row r="360" spans="1:10" x14ac:dyDescent="0.35">
      <c r="A360" t="s">
        <v>833</v>
      </c>
      <c r="B360" s="1">
        <v>45142</v>
      </c>
      <c r="C360" t="s">
        <v>291</v>
      </c>
      <c r="D360" t="s">
        <v>26</v>
      </c>
      <c r="E360">
        <v>45</v>
      </c>
      <c r="F360" t="s">
        <v>56</v>
      </c>
      <c r="G360">
        <v>2</v>
      </c>
      <c r="H360" s="7">
        <v>30</v>
      </c>
      <c r="I360" s="7">
        <v>60</v>
      </c>
      <c r="J360"/>
    </row>
    <row r="361" spans="1:10" x14ac:dyDescent="0.35">
      <c r="A361" t="s">
        <v>834</v>
      </c>
      <c r="B361" s="1">
        <v>45020</v>
      </c>
      <c r="C361" t="s">
        <v>2229</v>
      </c>
      <c r="D361" t="s">
        <v>26</v>
      </c>
      <c r="E361">
        <v>42</v>
      </c>
      <c r="F361" t="s">
        <v>56</v>
      </c>
      <c r="G361">
        <v>2</v>
      </c>
      <c r="H361" s="7">
        <v>30</v>
      </c>
      <c r="I361" s="7">
        <v>60</v>
      </c>
      <c r="J361"/>
    </row>
    <row r="362" spans="1:10" x14ac:dyDescent="0.35">
      <c r="A362" t="s">
        <v>836</v>
      </c>
      <c r="B362" s="1">
        <v>45153</v>
      </c>
      <c r="C362" t="s">
        <v>1883</v>
      </c>
      <c r="D362" t="s">
        <v>34</v>
      </c>
      <c r="E362">
        <v>25</v>
      </c>
      <c r="F362" t="s">
        <v>13</v>
      </c>
      <c r="G362">
        <v>1</v>
      </c>
      <c r="H362" s="7">
        <v>25</v>
      </c>
      <c r="I362" s="7">
        <v>25</v>
      </c>
      <c r="J362"/>
    </row>
    <row r="363" spans="1:10" x14ac:dyDescent="0.35">
      <c r="A363" t="s">
        <v>838</v>
      </c>
      <c r="B363" s="1">
        <v>44949</v>
      </c>
      <c r="C363" t="s">
        <v>1906</v>
      </c>
      <c r="D363" t="s">
        <v>26</v>
      </c>
      <c r="E363">
        <v>36</v>
      </c>
      <c r="F363" t="s">
        <v>13</v>
      </c>
      <c r="G363">
        <v>4</v>
      </c>
      <c r="H363" s="7">
        <v>30</v>
      </c>
      <c r="I363" s="7">
        <v>120</v>
      </c>
      <c r="J363"/>
    </row>
    <row r="364" spans="1:10" x14ac:dyDescent="0.35">
      <c r="A364" t="s">
        <v>839</v>
      </c>
      <c r="B364" s="1">
        <v>45216</v>
      </c>
      <c r="C364" t="s">
        <v>1085</v>
      </c>
      <c r="D364" t="s">
        <v>34</v>
      </c>
      <c r="E364">
        <v>48</v>
      </c>
      <c r="F364" t="s">
        <v>56</v>
      </c>
      <c r="G364">
        <v>4</v>
      </c>
      <c r="H364" s="7">
        <v>25</v>
      </c>
      <c r="I364" s="7">
        <v>100</v>
      </c>
      <c r="J364"/>
    </row>
    <row r="365" spans="1:10" x14ac:dyDescent="0.35">
      <c r="A365" t="s">
        <v>840</v>
      </c>
      <c r="B365" s="1">
        <v>45268</v>
      </c>
      <c r="C365" t="s">
        <v>1039</v>
      </c>
      <c r="D365" t="s">
        <v>26</v>
      </c>
      <c r="E365">
        <v>26</v>
      </c>
      <c r="F365" t="s">
        <v>56</v>
      </c>
      <c r="G365">
        <v>2</v>
      </c>
      <c r="H365" s="7">
        <v>500</v>
      </c>
      <c r="I365" s="7">
        <v>1000</v>
      </c>
      <c r="J365"/>
    </row>
    <row r="366" spans="1:10" x14ac:dyDescent="0.35">
      <c r="A366" t="s">
        <v>842</v>
      </c>
      <c r="B366" s="1">
        <v>45097</v>
      </c>
      <c r="C366" t="s">
        <v>1746</v>
      </c>
      <c r="D366" t="s">
        <v>34</v>
      </c>
      <c r="E366">
        <v>63</v>
      </c>
      <c r="F366" t="s">
        <v>13</v>
      </c>
      <c r="G366">
        <v>4</v>
      </c>
      <c r="H366" s="7">
        <v>25</v>
      </c>
      <c r="I366" s="7">
        <v>100</v>
      </c>
      <c r="J366"/>
    </row>
    <row r="367" spans="1:10" x14ac:dyDescent="0.35">
      <c r="A367" t="s">
        <v>846</v>
      </c>
      <c r="B367" s="1">
        <v>45272</v>
      </c>
      <c r="C367" t="s">
        <v>698</v>
      </c>
      <c r="D367" t="s">
        <v>26</v>
      </c>
      <c r="E367">
        <v>41</v>
      </c>
      <c r="F367" t="s">
        <v>13</v>
      </c>
      <c r="G367">
        <v>1</v>
      </c>
      <c r="H367" s="7">
        <v>50</v>
      </c>
      <c r="I367" s="7">
        <v>50</v>
      </c>
      <c r="J367"/>
    </row>
    <row r="368" spans="1:10" x14ac:dyDescent="0.35">
      <c r="A368" t="s">
        <v>847</v>
      </c>
      <c r="B368" s="1">
        <v>45048</v>
      </c>
      <c r="C368" t="s">
        <v>2192</v>
      </c>
      <c r="D368" t="s">
        <v>34</v>
      </c>
      <c r="E368">
        <v>40</v>
      </c>
      <c r="F368" t="s">
        <v>36</v>
      </c>
      <c r="G368">
        <v>1</v>
      </c>
      <c r="H368" s="7">
        <v>50</v>
      </c>
      <c r="I368" s="7">
        <v>50</v>
      </c>
      <c r="J368"/>
    </row>
    <row r="369" spans="1:10" x14ac:dyDescent="0.35">
      <c r="A369" t="s">
        <v>850</v>
      </c>
      <c r="B369" s="1">
        <v>45054</v>
      </c>
      <c r="C369" t="s">
        <v>536</v>
      </c>
      <c r="D369" t="s">
        <v>34</v>
      </c>
      <c r="E369">
        <v>63</v>
      </c>
      <c r="F369" t="s">
        <v>13</v>
      </c>
      <c r="G369">
        <v>3</v>
      </c>
      <c r="H369" s="7">
        <v>25</v>
      </c>
      <c r="I369" s="7">
        <v>75</v>
      </c>
      <c r="J369"/>
    </row>
    <row r="370" spans="1:10" x14ac:dyDescent="0.35">
      <c r="A370" t="s">
        <v>852</v>
      </c>
      <c r="B370" s="1">
        <v>45143</v>
      </c>
      <c r="C370" t="s">
        <v>344</v>
      </c>
      <c r="D370" t="s">
        <v>34</v>
      </c>
      <c r="E370">
        <v>50</v>
      </c>
      <c r="F370" t="s">
        <v>56</v>
      </c>
      <c r="G370">
        <v>1</v>
      </c>
      <c r="H370" s="7">
        <v>500</v>
      </c>
      <c r="I370" s="7">
        <v>500</v>
      </c>
      <c r="J370"/>
    </row>
    <row r="371" spans="1:10" x14ac:dyDescent="0.35">
      <c r="A371" t="s">
        <v>853</v>
      </c>
      <c r="B371" s="1">
        <v>45025</v>
      </c>
      <c r="C371" t="s">
        <v>1329</v>
      </c>
      <c r="D371" t="s">
        <v>34</v>
      </c>
      <c r="E371">
        <v>37</v>
      </c>
      <c r="F371" t="s">
        <v>13</v>
      </c>
      <c r="G371">
        <v>3</v>
      </c>
      <c r="H371" s="7">
        <v>300</v>
      </c>
      <c r="I371" s="7">
        <v>900</v>
      </c>
      <c r="J371"/>
    </row>
    <row r="372" spans="1:10" x14ac:dyDescent="0.35">
      <c r="A372" t="s">
        <v>854</v>
      </c>
      <c r="B372" s="1">
        <v>45045</v>
      </c>
      <c r="C372" t="s">
        <v>1214</v>
      </c>
      <c r="D372" t="s">
        <v>26</v>
      </c>
      <c r="E372">
        <v>38</v>
      </c>
      <c r="F372" t="s">
        <v>36</v>
      </c>
      <c r="G372">
        <v>2</v>
      </c>
      <c r="H372" s="7">
        <v>500</v>
      </c>
      <c r="I372" s="7">
        <v>1000</v>
      </c>
      <c r="J372"/>
    </row>
    <row r="373" spans="1:10" x14ac:dyDescent="0.35">
      <c r="A373" t="s">
        <v>29</v>
      </c>
      <c r="B373" s="1">
        <v>44939</v>
      </c>
      <c r="C373" t="s">
        <v>2311</v>
      </c>
      <c r="D373" t="s">
        <v>34</v>
      </c>
      <c r="E373">
        <v>50</v>
      </c>
      <c r="F373" t="s">
        <v>13</v>
      </c>
      <c r="G373">
        <v>1</v>
      </c>
      <c r="H373" s="7">
        <v>30</v>
      </c>
      <c r="I373" s="7">
        <v>30</v>
      </c>
      <c r="J373"/>
    </row>
    <row r="374" spans="1:10" x14ac:dyDescent="0.35">
      <c r="A374" t="s">
        <v>857</v>
      </c>
      <c r="B374" s="1">
        <v>45039</v>
      </c>
      <c r="C374" t="s">
        <v>2293</v>
      </c>
      <c r="D374" t="s">
        <v>34</v>
      </c>
      <c r="E374">
        <v>54</v>
      </c>
      <c r="F374" t="s">
        <v>36</v>
      </c>
      <c r="G374">
        <v>1</v>
      </c>
      <c r="H374" s="7">
        <v>25</v>
      </c>
      <c r="I374" s="7">
        <v>25</v>
      </c>
      <c r="J374"/>
    </row>
    <row r="375" spans="1:10" x14ac:dyDescent="0.35">
      <c r="A375" t="s">
        <v>859</v>
      </c>
      <c r="B375" s="1">
        <v>45135</v>
      </c>
      <c r="C375" t="s">
        <v>2312</v>
      </c>
      <c r="D375" t="s">
        <v>26</v>
      </c>
      <c r="E375">
        <v>26</v>
      </c>
      <c r="F375" t="s">
        <v>36</v>
      </c>
      <c r="G375">
        <v>2</v>
      </c>
      <c r="H375" s="7">
        <v>500</v>
      </c>
      <c r="I375" s="7">
        <v>1000</v>
      </c>
      <c r="J375"/>
    </row>
    <row r="376" spans="1:10" x14ac:dyDescent="0.35">
      <c r="A376" t="s">
        <v>860</v>
      </c>
      <c r="B376" s="1">
        <v>45215</v>
      </c>
      <c r="C376" t="s">
        <v>1102</v>
      </c>
      <c r="D376" t="s">
        <v>26</v>
      </c>
      <c r="E376">
        <v>57</v>
      </c>
      <c r="F376" t="s">
        <v>56</v>
      </c>
      <c r="G376">
        <v>4</v>
      </c>
      <c r="H376" s="7">
        <v>300</v>
      </c>
      <c r="I376" s="7">
        <v>1200</v>
      </c>
      <c r="J376"/>
    </row>
    <row r="377" spans="1:10" x14ac:dyDescent="0.35">
      <c r="A377" t="s">
        <v>862</v>
      </c>
      <c r="B377" s="1">
        <v>45036</v>
      </c>
      <c r="C377" t="s">
        <v>1652</v>
      </c>
      <c r="D377" t="s">
        <v>34</v>
      </c>
      <c r="E377">
        <v>57</v>
      </c>
      <c r="F377" t="s">
        <v>56</v>
      </c>
      <c r="G377">
        <v>1</v>
      </c>
      <c r="H377" s="7">
        <v>50</v>
      </c>
      <c r="I377" s="7">
        <v>50</v>
      </c>
      <c r="J377"/>
    </row>
    <row r="378" spans="1:10" x14ac:dyDescent="0.35">
      <c r="A378" t="s">
        <v>863</v>
      </c>
      <c r="B378" s="1">
        <v>45169</v>
      </c>
      <c r="C378" t="s">
        <v>692</v>
      </c>
      <c r="D378" t="s">
        <v>34</v>
      </c>
      <c r="E378">
        <v>62</v>
      </c>
      <c r="F378" t="s">
        <v>36</v>
      </c>
      <c r="G378">
        <v>2</v>
      </c>
      <c r="H378" s="7">
        <v>30</v>
      </c>
      <c r="I378" s="7">
        <v>60</v>
      </c>
      <c r="J378"/>
    </row>
    <row r="379" spans="1:10" x14ac:dyDescent="0.35">
      <c r="A379" t="s">
        <v>16</v>
      </c>
      <c r="B379" s="1">
        <v>45170</v>
      </c>
      <c r="C379" t="s">
        <v>1925</v>
      </c>
      <c r="D379" t="s">
        <v>34</v>
      </c>
      <c r="E379">
        <v>27</v>
      </c>
      <c r="F379" t="s">
        <v>36</v>
      </c>
      <c r="G379">
        <v>3</v>
      </c>
      <c r="H379" s="7">
        <v>50</v>
      </c>
      <c r="I379" s="7">
        <v>150</v>
      </c>
      <c r="J379"/>
    </row>
    <row r="380" spans="1:10" x14ac:dyDescent="0.35">
      <c r="A380" t="s">
        <v>866</v>
      </c>
      <c r="B380" s="1">
        <v>44964</v>
      </c>
      <c r="C380" t="s">
        <v>1057</v>
      </c>
      <c r="D380" t="s">
        <v>26</v>
      </c>
      <c r="E380">
        <v>24</v>
      </c>
      <c r="F380" t="s">
        <v>36</v>
      </c>
      <c r="G380">
        <v>3</v>
      </c>
      <c r="H380" s="7">
        <v>500</v>
      </c>
      <c r="I380" s="7">
        <v>1500</v>
      </c>
      <c r="J380"/>
    </row>
    <row r="381" spans="1:10" x14ac:dyDescent="0.35">
      <c r="A381" t="s">
        <v>868</v>
      </c>
      <c r="B381" s="1">
        <v>45198</v>
      </c>
      <c r="C381" t="s">
        <v>2261</v>
      </c>
      <c r="D381" t="s">
        <v>26</v>
      </c>
      <c r="E381">
        <v>27</v>
      </c>
      <c r="F381" t="s">
        <v>13</v>
      </c>
      <c r="G381">
        <v>4</v>
      </c>
      <c r="H381" s="7">
        <v>25</v>
      </c>
      <c r="I381" s="7">
        <v>100</v>
      </c>
      <c r="J381"/>
    </row>
    <row r="382" spans="1:10" x14ac:dyDescent="0.35">
      <c r="A382" t="s">
        <v>869</v>
      </c>
      <c r="B382" s="1">
        <v>45076</v>
      </c>
      <c r="C382" t="s">
        <v>1300</v>
      </c>
      <c r="D382" t="s">
        <v>26</v>
      </c>
      <c r="E382">
        <v>26</v>
      </c>
      <c r="F382" t="s">
        <v>36</v>
      </c>
      <c r="G382">
        <v>3</v>
      </c>
      <c r="H382" s="7">
        <v>30</v>
      </c>
      <c r="I382" s="7">
        <v>90</v>
      </c>
      <c r="J382"/>
    </row>
    <row r="383" spans="1:10" x14ac:dyDescent="0.35">
      <c r="A383" t="s">
        <v>871</v>
      </c>
      <c r="B383" s="1">
        <v>45043</v>
      </c>
      <c r="C383" t="s">
        <v>2269</v>
      </c>
      <c r="D383" t="s">
        <v>26</v>
      </c>
      <c r="E383">
        <v>45</v>
      </c>
      <c r="F383" t="s">
        <v>13</v>
      </c>
      <c r="G383">
        <v>1</v>
      </c>
      <c r="H383" s="7">
        <v>30</v>
      </c>
      <c r="I383" s="7">
        <v>30</v>
      </c>
      <c r="J383"/>
    </row>
    <row r="384" spans="1:10" x14ac:dyDescent="0.35">
      <c r="A384" t="s">
        <v>873</v>
      </c>
      <c r="B384" s="1">
        <v>45041</v>
      </c>
      <c r="C384" t="s">
        <v>575</v>
      </c>
      <c r="D384" t="s">
        <v>34</v>
      </c>
      <c r="E384">
        <v>55</v>
      </c>
      <c r="F384" t="s">
        <v>56</v>
      </c>
      <c r="G384">
        <v>1</v>
      </c>
      <c r="H384" s="7">
        <v>30</v>
      </c>
      <c r="I384" s="7">
        <v>30</v>
      </c>
      <c r="J384"/>
    </row>
    <row r="385" spans="1:10" x14ac:dyDescent="0.35">
      <c r="A385" t="s">
        <v>204</v>
      </c>
      <c r="B385" s="1">
        <v>44979</v>
      </c>
      <c r="C385" t="s">
        <v>812</v>
      </c>
      <c r="D385" t="s">
        <v>34</v>
      </c>
      <c r="E385">
        <v>34</v>
      </c>
      <c r="F385" t="s">
        <v>56</v>
      </c>
      <c r="G385">
        <v>2</v>
      </c>
      <c r="H385" s="7">
        <v>25</v>
      </c>
      <c r="I385" s="7">
        <v>50</v>
      </c>
      <c r="J385"/>
    </row>
    <row r="386" spans="1:10" x14ac:dyDescent="0.35">
      <c r="A386" t="s">
        <v>878</v>
      </c>
      <c r="B386" s="1">
        <v>45119</v>
      </c>
      <c r="C386" t="s">
        <v>666</v>
      </c>
      <c r="D386" t="s">
        <v>34</v>
      </c>
      <c r="E386">
        <v>26</v>
      </c>
      <c r="F386" t="s">
        <v>13</v>
      </c>
      <c r="G386">
        <v>1</v>
      </c>
      <c r="H386" s="7">
        <v>30</v>
      </c>
      <c r="I386" s="7">
        <v>30</v>
      </c>
      <c r="J386"/>
    </row>
    <row r="387" spans="1:10" x14ac:dyDescent="0.35">
      <c r="A387" t="s">
        <v>880</v>
      </c>
      <c r="B387" s="1">
        <v>44968</v>
      </c>
      <c r="C387" t="s">
        <v>1430</v>
      </c>
      <c r="D387" t="s">
        <v>34</v>
      </c>
      <c r="E387">
        <v>61</v>
      </c>
      <c r="F387" t="s">
        <v>13</v>
      </c>
      <c r="G387">
        <v>2</v>
      </c>
      <c r="H387" s="7">
        <v>500</v>
      </c>
      <c r="I387" s="7">
        <v>1000</v>
      </c>
      <c r="J387"/>
    </row>
    <row r="388" spans="1:10" x14ac:dyDescent="0.35">
      <c r="A388" t="s">
        <v>881</v>
      </c>
      <c r="B388" s="1">
        <v>44982</v>
      </c>
      <c r="C388" t="s">
        <v>1684</v>
      </c>
      <c r="D388" t="s">
        <v>34</v>
      </c>
      <c r="E388">
        <v>64</v>
      </c>
      <c r="F388" t="s">
        <v>36</v>
      </c>
      <c r="G388">
        <v>1</v>
      </c>
      <c r="H388" s="7">
        <v>50</v>
      </c>
      <c r="I388" s="7">
        <v>50</v>
      </c>
      <c r="J388"/>
    </row>
    <row r="389" spans="1:10" x14ac:dyDescent="0.35">
      <c r="A389" t="s">
        <v>883</v>
      </c>
      <c r="B389" s="1">
        <v>45218</v>
      </c>
      <c r="C389" t="s">
        <v>551</v>
      </c>
      <c r="D389" t="s">
        <v>34</v>
      </c>
      <c r="E389">
        <v>44</v>
      </c>
      <c r="F389" t="s">
        <v>56</v>
      </c>
      <c r="G389">
        <v>2</v>
      </c>
      <c r="H389" s="7">
        <v>30</v>
      </c>
      <c r="I389" s="7">
        <v>60</v>
      </c>
      <c r="J389"/>
    </row>
    <row r="390" spans="1:10" x14ac:dyDescent="0.35">
      <c r="A390" t="s">
        <v>885</v>
      </c>
      <c r="B390" s="1">
        <v>45036</v>
      </c>
      <c r="C390" t="s">
        <v>1590</v>
      </c>
      <c r="D390" t="s">
        <v>34</v>
      </c>
      <c r="E390">
        <v>31</v>
      </c>
      <c r="F390" t="s">
        <v>56</v>
      </c>
      <c r="G390">
        <v>4</v>
      </c>
      <c r="H390" s="7">
        <v>500</v>
      </c>
      <c r="I390" s="7">
        <v>2000</v>
      </c>
      <c r="J390"/>
    </row>
    <row r="391" spans="1:10" x14ac:dyDescent="0.35">
      <c r="A391" t="s">
        <v>887</v>
      </c>
      <c r="B391" s="1">
        <v>45025</v>
      </c>
      <c r="C391" t="s">
        <v>2210</v>
      </c>
      <c r="D391" t="s">
        <v>26</v>
      </c>
      <c r="E391">
        <v>23</v>
      </c>
      <c r="F391" t="s">
        <v>56</v>
      </c>
      <c r="G391">
        <v>2</v>
      </c>
      <c r="H391" s="7">
        <v>500</v>
      </c>
      <c r="I391" s="7">
        <v>1000</v>
      </c>
      <c r="J391"/>
    </row>
    <row r="392" spans="1:10" x14ac:dyDescent="0.35">
      <c r="A392" t="s">
        <v>889</v>
      </c>
      <c r="B392" s="1">
        <v>45245</v>
      </c>
      <c r="C392" t="s">
        <v>2233</v>
      </c>
      <c r="D392" t="s">
        <v>34</v>
      </c>
      <c r="E392">
        <v>51</v>
      </c>
      <c r="F392" t="s">
        <v>13</v>
      </c>
      <c r="G392">
        <v>4</v>
      </c>
      <c r="H392" s="7">
        <v>25</v>
      </c>
      <c r="I392" s="7">
        <v>100</v>
      </c>
      <c r="J392"/>
    </row>
    <row r="393" spans="1:10" x14ac:dyDescent="0.35">
      <c r="A393" t="s">
        <v>891</v>
      </c>
      <c r="B393" s="1">
        <v>44962</v>
      </c>
      <c r="C393" t="s">
        <v>291</v>
      </c>
      <c r="D393" t="s">
        <v>26</v>
      </c>
      <c r="E393">
        <v>25</v>
      </c>
      <c r="F393" t="s">
        <v>36</v>
      </c>
      <c r="G393">
        <v>4</v>
      </c>
      <c r="H393" s="7">
        <v>50</v>
      </c>
      <c r="I393" s="7">
        <v>200</v>
      </c>
      <c r="J393"/>
    </row>
    <row r="394" spans="1:10" x14ac:dyDescent="0.35">
      <c r="A394" t="s">
        <v>57</v>
      </c>
      <c r="B394" s="1">
        <v>44986</v>
      </c>
      <c r="C394" t="s">
        <v>1392</v>
      </c>
      <c r="D394" t="s">
        <v>26</v>
      </c>
      <c r="E394">
        <v>60</v>
      </c>
      <c r="F394" t="s">
        <v>36</v>
      </c>
      <c r="G394">
        <v>4</v>
      </c>
      <c r="H394" s="7">
        <v>25</v>
      </c>
      <c r="I394" s="7">
        <v>100</v>
      </c>
      <c r="J394"/>
    </row>
    <row r="395" spans="1:10" x14ac:dyDescent="0.35">
      <c r="A395" t="s">
        <v>893</v>
      </c>
      <c r="B395" s="1">
        <v>45086</v>
      </c>
      <c r="C395" t="s">
        <v>2234</v>
      </c>
      <c r="D395" t="s">
        <v>26</v>
      </c>
      <c r="E395">
        <v>31</v>
      </c>
      <c r="F395" t="s">
        <v>13</v>
      </c>
      <c r="G395">
        <v>4</v>
      </c>
      <c r="H395" s="7">
        <v>30</v>
      </c>
      <c r="I395" s="7">
        <v>120</v>
      </c>
      <c r="J395"/>
    </row>
    <row r="396" spans="1:10" x14ac:dyDescent="0.35">
      <c r="A396" t="s">
        <v>895</v>
      </c>
      <c r="B396" s="1">
        <v>45203</v>
      </c>
      <c r="C396" t="s">
        <v>2270</v>
      </c>
      <c r="D396" t="s">
        <v>34</v>
      </c>
      <c r="E396">
        <v>40</v>
      </c>
      <c r="F396" t="s">
        <v>56</v>
      </c>
      <c r="G396">
        <v>2</v>
      </c>
      <c r="H396" s="7">
        <v>30</v>
      </c>
      <c r="I396" s="7">
        <v>60</v>
      </c>
      <c r="J396"/>
    </row>
    <row r="397" spans="1:10" x14ac:dyDescent="0.35">
      <c r="A397" t="s">
        <v>897</v>
      </c>
      <c r="B397" s="1">
        <v>45011</v>
      </c>
      <c r="C397" t="s">
        <v>203</v>
      </c>
      <c r="D397" t="s">
        <v>34</v>
      </c>
      <c r="E397">
        <v>30</v>
      </c>
      <c r="F397" t="s">
        <v>56</v>
      </c>
      <c r="G397">
        <v>4</v>
      </c>
      <c r="H397" s="7">
        <v>30</v>
      </c>
      <c r="I397" s="7">
        <v>120</v>
      </c>
      <c r="J397"/>
    </row>
    <row r="398" spans="1:10" x14ac:dyDescent="0.35">
      <c r="A398" t="s">
        <v>141</v>
      </c>
      <c r="B398" s="1">
        <v>45006</v>
      </c>
      <c r="C398" t="s">
        <v>2227</v>
      </c>
      <c r="D398" t="s">
        <v>34</v>
      </c>
      <c r="E398">
        <v>38</v>
      </c>
      <c r="F398" t="s">
        <v>36</v>
      </c>
      <c r="G398">
        <v>4</v>
      </c>
      <c r="H398" s="7">
        <v>50</v>
      </c>
      <c r="I398" s="7">
        <v>200</v>
      </c>
      <c r="J398"/>
    </row>
    <row r="399" spans="1:10" x14ac:dyDescent="0.35">
      <c r="A399" t="s">
        <v>900</v>
      </c>
      <c r="B399" s="1">
        <v>44941</v>
      </c>
      <c r="C399" t="s">
        <v>1828</v>
      </c>
      <c r="D399" t="s">
        <v>34</v>
      </c>
      <c r="E399">
        <v>46</v>
      </c>
      <c r="F399" t="s">
        <v>36</v>
      </c>
      <c r="G399">
        <v>2</v>
      </c>
      <c r="H399" s="7">
        <v>30</v>
      </c>
      <c r="I399" s="7">
        <v>60</v>
      </c>
      <c r="J399"/>
    </row>
    <row r="400" spans="1:10" x14ac:dyDescent="0.35">
      <c r="A400" t="s">
        <v>903</v>
      </c>
      <c r="B400" s="1">
        <v>45062</v>
      </c>
      <c r="C400" t="s">
        <v>888</v>
      </c>
      <c r="D400" t="s">
        <v>34</v>
      </c>
      <c r="E400">
        <v>56</v>
      </c>
      <c r="F400" t="s">
        <v>56</v>
      </c>
      <c r="G400">
        <v>2</v>
      </c>
      <c r="H400" s="7">
        <v>500</v>
      </c>
      <c r="I400" s="7">
        <v>1000</v>
      </c>
      <c r="J400"/>
    </row>
    <row r="401" spans="1:10" x14ac:dyDescent="0.35">
      <c r="A401" t="s">
        <v>906</v>
      </c>
      <c r="B401" s="1">
        <v>44961</v>
      </c>
      <c r="C401" t="s">
        <v>1172</v>
      </c>
      <c r="D401" t="s">
        <v>26</v>
      </c>
      <c r="E401">
        <v>50</v>
      </c>
      <c r="F401" t="s">
        <v>36</v>
      </c>
      <c r="G401">
        <v>2</v>
      </c>
      <c r="H401" s="7">
        <v>500</v>
      </c>
      <c r="I401" s="7">
        <v>1000</v>
      </c>
      <c r="J401"/>
    </row>
    <row r="402" spans="1:10" x14ac:dyDescent="0.35">
      <c r="A402" t="s">
        <v>130</v>
      </c>
      <c r="B402" s="1">
        <v>44932</v>
      </c>
      <c r="C402" t="s">
        <v>340</v>
      </c>
      <c r="D402" t="s">
        <v>26</v>
      </c>
      <c r="E402">
        <v>58</v>
      </c>
      <c r="F402" t="s">
        <v>13</v>
      </c>
      <c r="G402">
        <v>4</v>
      </c>
      <c r="H402" s="7">
        <v>30</v>
      </c>
      <c r="I402" s="7">
        <v>120</v>
      </c>
      <c r="J402"/>
    </row>
    <row r="403" spans="1:10" x14ac:dyDescent="0.35">
      <c r="A403" t="s">
        <v>910</v>
      </c>
      <c r="B403" s="1">
        <v>45191</v>
      </c>
      <c r="C403" t="s">
        <v>1172</v>
      </c>
      <c r="D403" t="s">
        <v>34</v>
      </c>
      <c r="E403">
        <v>64</v>
      </c>
      <c r="F403" t="s">
        <v>36</v>
      </c>
      <c r="G403">
        <v>3</v>
      </c>
      <c r="H403" s="7">
        <v>30</v>
      </c>
      <c r="I403" s="7">
        <v>90</v>
      </c>
      <c r="J403"/>
    </row>
    <row r="404" spans="1:10" x14ac:dyDescent="0.35">
      <c r="A404" t="s">
        <v>913</v>
      </c>
      <c r="B404" s="1">
        <v>45079</v>
      </c>
      <c r="C404" t="s">
        <v>1011</v>
      </c>
      <c r="D404" t="s">
        <v>34</v>
      </c>
      <c r="E404">
        <v>57</v>
      </c>
      <c r="F404" t="s">
        <v>13</v>
      </c>
      <c r="G404">
        <v>2</v>
      </c>
      <c r="H404" s="7">
        <v>25</v>
      </c>
      <c r="I404" s="7">
        <v>50</v>
      </c>
      <c r="J404"/>
    </row>
    <row r="405" spans="1:10" x14ac:dyDescent="0.35">
      <c r="A405" t="s">
        <v>915</v>
      </c>
      <c r="B405" s="1">
        <v>45027</v>
      </c>
      <c r="C405" t="s">
        <v>2293</v>
      </c>
      <c r="D405" t="s">
        <v>34</v>
      </c>
      <c r="E405">
        <v>57</v>
      </c>
      <c r="F405" t="s">
        <v>56</v>
      </c>
      <c r="G405">
        <v>2</v>
      </c>
      <c r="H405" s="7">
        <v>25</v>
      </c>
      <c r="I405" s="7">
        <v>50</v>
      </c>
      <c r="J405"/>
    </row>
    <row r="406" spans="1:10" x14ac:dyDescent="0.35">
      <c r="A406" t="s">
        <v>917</v>
      </c>
      <c r="B406" s="1">
        <v>45008</v>
      </c>
      <c r="C406" t="s">
        <v>1063</v>
      </c>
      <c r="D406" t="s">
        <v>26</v>
      </c>
      <c r="E406">
        <v>21</v>
      </c>
      <c r="F406" t="s">
        <v>36</v>
      </c>
      <c r="G406">
        <v>3</v>
      </c>
      <c r="H406" s="7">
        <v>500</v>
      </c>
      <c r="I406" s="7">
        <v>1500</v>
      </c>
      <c r="J406"/>
    </row>
    <row r="407" spans="1:10" x14ac:dyDescent="0.35">
      <c r="A407" t="s">
        <v>919</v>
      </c>
      <c r="B407" s="1">
        <v>45212</v>
      </c>
      <c r="C407" t="s">
        <v>715</v>
      </c>
      <c r="D407" t="s">
        <v>34</v>
      </c>
      <c r="E407">
        <v>47</v>
      </c>
      <c r="F407" t="s">
        <v>13</v>
      </c>
      <c r="G407">
        <v>4</v>
      </c>
      <c r="H407" s="7">
        <v>25</v>
      </c>
      <c r="I407" s="7">
        <v>100</v>
      </c>
      <c r="J407"/>
    </row>
    <row r="408" spans="1:10" x14ac:dyDescent="0.35">
      <c r="A408" t="s">
        <v>922</v>
      </c>
      <c r="B408" s="1">
        <v>45068</v>
      </c>
      <c r="C408" t="s">
        <v>1382</v>
      </c>
      <c r="D408" t="s">
        <v>26</v>
      </c>
      <c r="E408">
        <v>44</v>
      </c>
      <c r="F408" t="s">
        <v>56</v>
      </c>
      <c r="G408">
        <v>3</v>
      </c>
      <c r="H408" s="7">
        <v>30</v>
      </c>
      <c r="I408" s="7">
        <v>90</v>
      </c>
      <c r="J408"/>
    </row>
    <row r="409" spans="1:10" x14ac:dyDescent="0.35">
      <c r="A409" t="s">
        <v>923</v>
      </c>
      <c r="B409" s="1">
        <v>44928</v>
      </c>
      <c r="C409" t="s">
        <v>1093</v>
      </c>
      <c r="D409" t="s">
        <v>34</v>
      </c>
      <c r="E409">
        <v>19</v>
      </c>
      <c r="F409" t="s">
        <v>13</v>
      </c>
      <c r="G409">
        <v>3</v>
      </c>
      <c r="H409" s="7">
        <v>30</v>
      </c>
      <c r="I409" s="7">
        <v>90</v>
      </c>
      <c r="J409"/>
    </row>
    <row r="410" spans="1:10" x14ac:dyDescent="0.35">
      <c r="A410" t="s">
        <v>925</v>
      </c>
      <c r="B410" s="1">
        <v>45115</v>
      </c>
      <c r="C410" t="s">
        <v>133</v>
      </c>
      <c r="D410" t="s">
        <v>26</v>
      </c>
      <c r="E410">
        <v>46</v>
      </c>
      <c r="F410" t="s">
        <v>13</v>
      </c>
      <c r="G410">
        <v>4</v>
      </c>
      <c r="H410" s="7">
        <v>30</v>
      </c>
      <c r="I410" s="7">
        <v>120</v>
      </c>
      <c r="J410"/>
    </row>
    <row r="411" spans="1:10" x14ac:dyDescent="0.35">
      <c r="A411" t="s">
        <v>926</v>
      </c>
      <c r="B411" s="1">
        <v>45056</v>
      </c>
      <c r="C411" t="s">
        <v>528</v>
      </c>
      <c r="D411" t="s">
        <v>34</v>
      </c>
      <c r="E411">
        <v>54</v>
      </c>
      <c r="F411" t="s">
        <v>56</v>
      </c>
      <c r="G411">
        <v>4</v>
      </c>
      <c r="H411" s="7">
        <v>50</v>
      </c>
      <c r="I411" s="7">
        <v>200</v>
      </c>
      <c r="J411"/>
    </row>
    <row r="412" spans="1:10" x14ac:dyDescent="0.35">
      <c r="A412" t="s">
        <v>928</v>
      </c>
      <c r="B412" s="1">
        <v>45055</v>
      </c>
      <c r="C412" t="s">
        <v>1807</v>
      </c>
      <c r="D412" t="s">
        <v>34</v>
      </c>
      <c r="E412">
        <v>40</v>
      </c>
      <c r="F412" t="s">
        <v>13</v>
      </c>
      <c r="G412">
        <v>1</v>
      </c>
      <c r="H412" s="7">
        <v>500</v>
      </c>
      <c r="I412" s="7">
        <v>500</v>
      </c>
      <c r="J412"/>
    </row>
    <row r="413" spans="1:10" x14ac:dyDescent="0.35">
      <c r="A413" t="s">
        <v>930</v>
      </c>
      <c r="B413" s="1">
        <v>45249</v>
      </c>
      <c r="C413" t="s">
        <v>472</v>
      </c>
      <c r="D413" t="s">
        <v>34</v>
      </c>
      <c r="E413">
        <v>49</v>
      </c>
      <c r="F413" t="s">
        <v>56</v>
      </c>
      <c r="G413">
        <v>4</v>
      </c>
      <c r="H413" s="7">
        <v>50</v>
      </c>
      <c r="I413" s="7">
        <v>200</v>
      </c>
      <c r="J413"/>
    </row>
    <row r="414" spans="1:10" x14ac:dyDescent="0.35">
      <c r="A414" t="s">
        <v>931</v>
      </c>
      <c r="B414" s="1">
        <v>45261</v>
      </c>
      <c r="C414" t="s">
        <v>353</v>
      </c>
      <c r="D414" t="s">
        <v>34</v>
      </c>
      <c r="E414">
        <v>21</v>
      </c>
      <c r="F414" t="s">
        <v>56</v>
      </c>
      <c r="G414">
        <v>2</v>
      </c>
      <c r="H414" s="7">
        <v>25</v>
      </c>
      <c r="I414" s="7">
        <v>50</v>
      </c>
      <c r="J414"/>
    </row>
    <row r="415" spans="1:10" x14ac:dyDescent="0.35">
      <c r="A415" t="s">
        <v>934</v>
      </c>
      <c r="B415" s="1">
        <v>45126</v>
      </c>
      <c r="C415" t="s">
        <v>2324</v>
      </c>
      <c r="D415" t="s">
        <v>34</v>
      </c>
      <c r="E415">
        <v>63</v>
      </c>
      <c r="F415" t="s">
        <v>13</v>
      </c>
      <c r="G415">
        <v>3</v>
      </c>
      <c r="H415" s="7">
        <v>500</v>
      </c>
      <c r="I415" s="7">
        <v>1500</v>
      </c>
      <c r="J415"/>
    </row>
    <row r="416" spans="1:10" x14ac:dyDescent="0.35">
      <c r="A416" t="s">
        <v>935</v>
      </c>
      <c r="B416" s="1">
        <v>45240</v>
      </c>
      <c r="C416" t="s">
        <v>203</v>
      </c>
      <c r="D416" t="s">
        <v>34</v>
      </c>
      <c r="E416">
        <v>50</v>
      </c>
      <c r="F416" t="s">
        <v>13</v>
      </c>
      <c r="G416">
        <v>1</v>
      </c>
      <c r="H416" s="7">
        <v>25</v>
      </c>
      <c r="I416" s="7">
        <v>25</v>
      </c>
      <c r="J416"/>
    </row>
    <row r="417" spans="1:10" x14ac:dyDescent="0.35">
      <c r="A417" t="s">
        <v>937</v>
      </c>
      <c r="B417" s="1">
        <v>45271</v>
      </c>
      <c r="C417" t="s">
        <v>1196</v>
      </c>
      <c r="D417" t="s">
        <v>34</v>
      </c>
      <c r="E417">
        <v>50</v>
      </c>
      <c r="F417" t="s">
        <v>13</v>
      </c>
      <c r="G417">
        <v>1</v>
      </c>
      <c r="H417" s="7">
        <v>50</v>
      </c>
      <c r="I417" s="7">
        <v>50</v>
      </c>
      <c r="J417"/>
    </row>
    <row r="418" spans="1:10" x14ac:dyDescent="0.35">
      <c r="A418" t="s">
        <v>939</v>
      </c>
      <c r="B418" s="1">
        <v>44931</v>
      </c>
      <c r="C418" t="s">
        <v>1481</v>
      </c>
      <c r="D418" t="s">
        <v>34</v>
      </c>
      <c r="E418">
        <v>19</v>
      </c>
      <c r="F418" t="s">
        <v>36</v>
      </c>
      <c r="G418">
        <v>2</v>
      </c>
      <c r="H418" s="7">
        <v>25</v>
      </c>
      <c r="I418" s="7">
        <v>50</v>
      </c>
      <c r="J418"/>
    </row>
    <row r="419" spans="1:10" x14ac:dyDescent="0.35">
      <c r="A419" t="s">
        <v>942</v>
      </c>
      <c r="B419" s="1">
        <v>45152</v>
      </c>
      <c r="C419" t="s">
        <v>2319</v>
      </c>
      <c r="D419" t="s">
        <v>34</v>
      </c>
      <c r="E419">
        <v>22</v>
      </c>
      <c r="F419" t="s">
        <v>13</v>
      </c>
      <c r="G419">
        <v>1</v>
      </c>
      <c r="H419" s="7">
        <v>30</v>
      </c>
      <c r="I419" s="7">
        <v>30</v>
      </c>
      <c r="J419"/>
    </row>
    <row r="420" spans="1:10" x14ac:dyDescent="0.35">
      <c r="A420" t="s">
        <v>944</v>
      </c>
      <c r="B420" s="1">
        <v>45060</v>
      </c>
      <c r="C420" t="s">
        <v>595</v>
      </c>
      <c r="D420" t="s">
        <v>34</v>
      </c>
      <c r="E420">
        <v>31</v>
      </c>
      <c r="F420" t="s">
        <v>13</v>
      </c>
      <c r="G420">
        <v>1</v>
      </c>
      <c r="H420" s="7">
        <v>500</v>
      </c>
      <c r="I420" s="7">
        <v>500</v>
      </c>
      <c r="J420"/>
    </row>
    <row r="421" spans="1:10" x14ac:dyDescent="0.35">
      <c r="A421" t="s">
        <v>945</v>
      </c>
      <c r="B421" s="1">
        <v>45175</v>
      </c>
      <c r="C421" t="s">
        <v>750</v>
      </c>
      <c r="D421" t="s">
        <v>34</v>
      </c>
      <c r="E421">
        <v>55</v>
      </c>
      <c r="F421" t="s">
        <v>56</v>
      </c>
      <c r="G421">
        <v>4</v>
      </c>
      <c r="H421" s="7">
        <v>50</v>
      </c>
      <c r="I421" s="7">
        <v>200</v>
      </c>
      <c r="J421"/>
    </row>
    <row r="422" spans="1:10" x14ac:dyDescent="0.35">
      <c r="A422" t="s">
        <v>948</v>
      </c>
      <c r="B422" s="1">
        <v>45044</v>
      </c>
      <c r="C422" t="s">
        <v>1346</v>
      </c>
      <c r="D422" t="s">
        <v>26</v>
      </c>
      <c r="E422">
        <v>54</v>
      </c>
      <c r="F422" t="s">
        <v>56</v>
      </c>
      <c r="G422">
        <v>1</v>
      </c>
      <c r="H422" s="7">
        <v>25</v>
      </c>
      <c r="I422" s="7">
        <v>25</v>
      </c>
      <c r="J422"/>
    </row>
    <row r="423" spans="1:10" x14ac:dyDescent="0.35">
      <c r="A423" t="s">
        <v>951</v>
      </c>
      <c r="B423" s="1">
        <v>45116</v>
      </c>
      <c r="C423" t="s">
        <v>1456</v>
      </c>
      <c r="D423" t="s">
        <v>26</v>
      </c>
      <c r="E423">
        <v>20</v>
      </c>
      <c r="F423" t="s">
        <v>36</v>
      </c>
      <c r="G423">
        <v>1</v>
      </c>
      <c r="H423" s="7">
        <v>50</v>
      </c>
      <c r="I423" s="7">
        <v>50</v>
      </c>
      <c r="J423"/>
    </row>
    <row r="424" spans="1:10" x14ac:dyDescent="0.35">
      <c r="A424" t="s">
        <v>952</v>
      </c>
      <c r="B424" s="1">
        <v>45024</v>
      </c>
      <c r="C424" t="s">
        <v>1632</v>
      </c>
      <c r="D424" t="s">
        <v>26</v>
      </c>
      <c r="E424">
        <v>18</v>
      </c>
      <c r="F424" t="s">
        <v>13</v>
      </c>
      <c r="G424">
        <v>4</v>
      </c>
      <c r="H424" s="7">
        <v>300</v>
      </c>
      <c r="I424" s="7">
        <v>1200</v>
      </c>
      <c r="J424"/>
    </row>
    <row r="425" spans="1:10" x14ac:dyDescent="0.35">
      <c r="A425" t="s">
        <v>447</v>
      </c>
      <c r="B425" s="1">
        <v>45077</v>
      </c>
      <c r="C425" t="s">
        <v>1081</v>
      </c>
      <c r="D425" t="s">
        <v>26</v>
      </c>
      <c r="E425">
        <v>26</v>
      </c>
      <c r="F425" t="s">
        <v>56</v>
      </c>
      <c r="G425">
        <v>3</v>
      </c>
      <c r="H425" s="7">
        <v>300</v>
      </c>
      <c r="I425" s="7">
        <v>900</v>
      </c>
      <c r="J425"/>
    </row>
    <row r="426" spans="1:10" x14ac:dyDescent="0.35">
      <c r="A426" t="s">
        <v>955</v>
      </c>
      <c r="B426" s="1">
        <v>45237</v>
      </c>
      <c r="C426" t="s">
        <v>1659</v>
      </c>
      <c r="D426" t="s">
        <v>26</v>
      </c>
      <c r="E426">
        <v>57</v>
      </c>
      <c r="F426" t="s">
        <v>36</v>
      </c>
      <c r="G426">
        <v>1</v>
      </c>
      <c r="H426" s="7">
        <v>25</v>
      </c>
      <c r="I426" s="7">
        <v>25</v>
      </c>
      <c r="J426"/>
    </row>
    <row r="427" spans="1:10" x14ac:dyDescent="0.35">
      <c r="A427" t="s">
        <v>957</v>
      </c>
      <c r="B427" s="1">
        <v>45212</v>
      </c>
      <c r="C427" t="s">
        <v>2240</v>
      </c>
      <c r="D427" t="s">
        <v>26</v>
      </c>
      <c r="E427">
        <v>51</v>
      </c>
      <c r="F427" t="s">
        <v>36</v>
      </c>
      <c r="G427">
        <v>2</v>
      </c>
      <c r="H427" s="7">
        <v>500</v>
      </c>
      <c r="I427" s="7">
        <v>1000</v>
      </c>
      <c r="J427"/>
    </row>
    <row r="428" spans="1:10" x14ac:dyDescent="0.35">
      <c r="A428" t="s">
        <v>960</v>
      </c>
      <c r="B428" s="1">
        <v>44959</v>
      </c>
      <c r="C428" t="s">
        <v>1349</v>
      </c>
      <c r="D428" t="s">
        <v>34</v>
      </c>
      <c r="E428">
        <v>35</v>
      </c>
      <c r="F428" t="s">
        <v>13</v>
      </c>
      <c r="G428">
        <v>4</v>
      </c>
      <c r="H428" s="7">
        <v>300</v>
      </c>
      <c r="I428" s="7">
        <v>1200</v>
      </c>
      <c r="J428"/>
    </row>
    <row r="429" spans="1:10" x14ac:dyDescent="0.35">
      <c r="A429" t="s">
        <v>962</v>
      </c>
      <c r="B429" s="1">
        <v>45200</v>
      </c>
      <c r="C429" t="s">
        <v>413</v>
      </c>
      <c r="D429" t="s">
        <v>26</v>
      </c>
      <c r="E429">
        <v>26</v>
      </c>
      <c r="F429" t="s">
        <v>56</v>
      </c>
      <c r="G429">
        <v>1</v>
      </c>
      <c r="H429" s="7">
        <v>500</v>
      </c>
      <c r="I429" s="7">
        <v>500</v>
      </c>
      <c r="J429"/>
    </row>
    <row r="430" spans="1:10" x14ac:dyDescent="0.35">
      <c r="A430" t="s">
        <v>964</v>
      </c>
      <c r="B430" s="1">
        <v>45103</v>
      </c>
      <c r="C430" t="s">
        <v>1136</v>
      </c>
      <c r="D430" t="s">
        <v>34</v>
      </c>
      <c r="E430">
        <v>60</v>
      </c>
      <c r="F430" t="s">
        <v>36</v>
      </c>
      <c r="G430">
        <v>1</v>
      </c>
      <c r="H430" s="7">
        <v>30</v>
      </c>
      <c r="I430" s="7">
        <v>30</v>
      </c>
      <c r="J430"/>
    </row>
    <row r="431" spans="1:10" x14ac:dyDescent="0.35">
      <c r="A431" t="s">
        <v>966</v>
      </c>
      <c r="B431" s="1">
        <v>45224</v>
      </c>
      <c r="C431" t="s">
        <v>2269</v>
      </c>
      <c r="D431" t="s">
        <v>34</v>
      </c>
      <c r="E431">
        <v>37</v>
      </c>
      <c r="F431" t="s">
        <v>36</v>
      </c>
      <c r="G431">
        <v>3</v>
      </c>
      <c r="H431" s="7">
        <v>500</v>
      </c>
      <c r="I431" s="7">
        <v>1500</v>
      </c>
      <c r="J431"/>
    </row>
    <row r="432" spans="1:10" x14ac:dyDescent="0.35">
      <c r="A432" t="s">
        <v>968</v>
      </c>
      <c r="B432" s="1">
        <v>44960</v>
      </c>
      <c r="C432" t="s">
        <v>2320</v>
      </c>
      <c r="D432" t="s">
        <v>34</v>
      </c>
      <c r="E432">
        <v>22</v>
      </c>
      <c r="F432" t="s">
        <v>36</v>
      </c>
      <c r="G432">
        <v>1</v>
      </c>
      <c r="H432" s="7">
        <v>30</v>
      </c>
      <c r="I432" s="7">
        <v>30</v>
      </c>
      <c r="J432"/>
    </row>
    <row r="433" spans="1:10" x14ac:dyDescent="0.35">
      <c r="A433" t="s">
        <v>970</v>
      </c>
      <c r="B433" s="1">
        <v>45214</v>
      </c>
      <c r="C433" t="s">
        <v>2315</v>
      </c>
      <c r="D433" t="s">
        <v>26</v>
      </c>
      <c r="E433">
        <v>28</v>
      </c>
      <c r="F433" t="s">
        <v>13</v>
      </c>
      <c r="G433">
        <v>4</v>
      </c>
      <c r="H433" s="7">
        <v>50</v>
      </c>
      <c r="I433" s="7">
        <v>200</v>
      </c>
      <c r="J433"/>
    </row>
    <row r="434" spans="1:10" x14ac:dyDescent="0.35">
      <c r="A434" t="s">
        <v>972</v>
      </c>
      <c r="B434" s="1">
        <v>44940</v>
      </c>
      <c r="C434" t="s">
        <v>389</v>
      </c>
      <c r="D434" t="s">
        <v>34</v>
      </c>
      <c r="E434">
        <v>34</v>
      </c>
      <c r="F434" t="s">
        <v>36</v>
      </c>
      <c r="G434">
        <v>3</v>
      </c>
      <c r="H434" s="7">
        <v>25</v>
      </c>
      <c r="I434" s="7">
        <v>75</v>
      </c>
      <c r="J434"/>
    </row>
    <row r="435" spans="1:10" x14ac:dyDescent="0.35">
      <c r="A435" t="s">
        <v>973</v>
      </c>
      <c r="B435" s="1">
        <v>45188</v>
      </c>
      <c r="C435" t="s">
        <v>2200</v>
      </c>
      <c r="D435" t="s">
        <v>34</v>
      </c>
      <c r="E435">
        <v>49</v>
      </c>
      <c r="F435" t="s">
        <v>36</v>
      </c>
      <c r="G435">
        <v>2</v>
      </c>
      <c r="H435" s="7">
        <v>30</v>
      </c>
      <c r="I435" s="7">
        <v>60</v>
      </c>
      <c r="J435"/>
    </row>
    <row r="436" spans="1:10" x14ac:dyDescent="0.35">
      <c r="A436" t="s">
        <v>27</v>
      </c>
      <c r="B436" s="1">
        <v>44962</v>
      </c>
      <c r="C436" t="s">
        <v>2250</v>
      </c>
      <c r="D436" t="s">
        <v>34</v>
      </c>
      <c r="E436">
        <v>57</v>
      </c>
      <c r="F436" t="s">
        <v>13</v>
      </c>
      <c r="G436">
        <v>2</v>
      </c>
      <c r="H436" s="7">
        <v>25</v>
      </c>
      <c r="I436" s="7">
        <v>50</v>
      </c>
      <c r="J436"/>
    </row>
    <row r="437" spans="1:10" x14ac:dyDescent="0.35">
      <c r="A437" t="s">
        <v>976</v>
      </c>
      <c r="B437" s="1">
        <v>44940</v>
      </c>
      <c r="C437" t="s">
        <v>865</v>
      </c>
      <c r="D437" t="s">
        <v>26</v>
      </c>
      <c r="E437">
        <v>24</v>
      </c>
      <c r="F437" t="s">
        <v>36</v>
      </c>
      <c r="G437">
        <v>3</v>
      </c>
      <c r="H437" s="7">
        <v>25</v>
      </c>
      <c r="I437" s="7">
        <v>75</v>
      </c>
      <c r="J437"/>
    </row>
    <row r="438" spans="1:10" x14ac:dyDescent="0.35">
      <c r="A438" t="s">
        <v>979</v>
      </c>
      <c r="B438" s="1">
        <v>45209</v>
      </c>
      <c r="C438" t="s">
        <v>1467</v>
      </c>
      <c r="D438" t="s">
        <v>26</v>
      </c>
      <c r="E438">
        <v>48</v>
      </c>
      <c r="F438" t="s">
        <v>36</v>
      </c>
      <c r="G438">
        <v>2</v>
      </c>
      <c r="H438" s="7">
        <v>300</v>
      </c>
      <c r="I438" s="7">
        <v>600</v>
      </c>
      <c r="J438"/>
    </row>
    <row r="439" spans="1:10" x14ac:dyDescent="0.35">
      <c r="A439" t="s">
        <v>980</v>
      </c>
      <c r="B439" s="1">
        <v>44953</v>
      </c>
      <c r="C439" t="s">
        <v>715</v>
      </c>
      <c r="D439" t="s">
        <v>34</v>
      </c>
      <c r="E439">
        <v>53</v>
      </c>
      <c r="F439" t="s">
        <v>56</v>
      </c>
      <c r="G439">
        <v>2</v>
      </c>
      <c r="H439" s="7">
        <v>30</v>
      </c>
      <c r="I439" s="7">
        <v>60</v>
      </c>
      <c r="J439"/>
    </row>
    <row r="440" spans="1:10" x14ac:dyDescent="0.35">
      <c r="A440" t="s">
        <v>14</v>
      </c>
      <c r="B440" s="1">
        <v>45067</v>
      </c>
      <c r="C440" t="s">
        <v>2203</v>
      </c>
      <c r="D440" t="s">
        <v>34</v>
      </c>
      <c r="E440">
        <v>37</v>
      </c>
      <c r="F440" t="s">
        <v>56</v>
      </c>
      <c r="G440">
        <v>1</v>
      </c>
      <c r="H440" s="7">
        <v>500</v>
      </c>
      <c r="I440" s="7">
        <v>500</v>
      </c>
      <c r="J440"/>
    </row>
    <row r="441" spans="1:10" x14ac:dyDescent="0.35">
      <c r="A441" t="s">
        <v>177</v>
      </c>
      <c r="B441" s="1">
        <v>45112</v>
      </c>
      <c r="C441" t="s">
        <v>1118</v>
      </c>
      <c r="D441" t="s">
        <v>34</v>
      </c>
      <c r="E441">
        <v>62</v>
      </c>
      <c r="F441" t="s">
        <v>56</v>
      </c>
      <c r="G441">
        <v>1</v>
      </c>
      <c r="H441" s="7">
        <v>50</v>
      </c>
      <c r="I441" s="7">
        <v>50</v>
      </c>
      <c r="J441"/>
    </row>
    <row r="442" spans="1:10" x14ac:dyDescent="0.35">
      <c r="A442" t="s">
        <v>987</v>
      </c>
      <c r="B442" s="1">
        <v>45100</v>
      </c>
      <c r="C442" t="s">
        <v>1746</v>
      </c>
      <c r="D442" t="s">
        <v>26</v>
      </c>
      <c r="E442">
        <v>25</v>
      </c>
      <c r="F442" t="s">
        <v>56</v>
      </c>
      <c r="G442">
        <v>1</v>
      </c>
      <c r="H442" s="7">
        <v>50</v>
      </c>
      <c r="I442" s="7">
        <v>50</v>
      </c>
      <c r="J442"/>
    </row>
    <row r="443" spans="1:10" x14ac:dyDescent="0.35">
      <c r="A443" t="s">
        <v>990</v>
      </c>
      <c r="B443" s="1">
        <v>45268</v>
      </c>
      <c r="C443" t="s">
        <v>2309</v>
      </c>
      <c r="D443" t="s">
        <v>34</v>
      </c>
      <c r="E443">
        <v>31</v>
      </c>
      <c r="F443" t="s">
        <v>56</v>
      </c>
      <c r="G443">
        <v>1</v>
      </c>
      <c r="H443" s="7">
        <v>300</v>
      </c>
      <c r="I443" s="7">
        <v>300</v>
      </c>
      <c r="J443"/>
    </row>
    <row r="444" spans="1:10" x14ac:dyDescent="0.35">
      <c r="A444" t="s">
        <v>991</v>
      </c>
      <c r="B444" s="1">
        <v>45044</v>
      </c>
      <c r="C444" t="s">
        <v>831</v>
      </c>
      <c r="D444" t="s">
        <v>26</v>
      </c>
      <c r="E444">
        <v>47</v>
      </c>
      <c r="F444" t="s">
        <v>36</v>
      </c>
      <c r="G444">
        <v>2</v>
      </c>
      <c r="H444" s="7">
        <v>25</v>
      </c>
      <c r="I444" s="7">
        <v>50</v>
      </c>
      <c r="J444"/>
    </row>
    <row r="445" spans="1:10" x14ac:dyDescent="0.35">
      <c r="A445" t="s">
        <v>994</v>
      </c>
      <c r="B445" s="1">
        <v>45069</v>
      </c>
      <c r="C445" t="s">
        <v>2197</v>
      </c>
      <c r="D445" t="s">
        <v>34</v>
      </c>
      <c r="E445">
        <v>29</v>
      </c>
      <c r="F445" t="s">
        <v>56</v>
      </c>
      <c r="G445">
        <v>4</v>
      </c>
      <c r="H445" s="7">
        <v>300</v>
      </c>
      <c r="I445" s="7">
        <v>1200</v>
      </c>
      <c r="J445"/>
    </row>
    <row r="446" spans="1:10" x14ac:dyDescent="0.35">
      <c r="A446" t="s">
        <v>996</v>
      </c>
      <c r="B446" s="1">
        <v>45042</v>
      </c>
      <c r="C446" t="s">
        <v>1063</v>
      </c>
      <c r="D446" t="s">
        <v>34</v>
      </c>
      <c r="E446">
        <v>51</v>
      </c>
      <c r="F446" t="s">
        <v>56</v>
      </c>
      <c r="G446">
        <v>4</v>
      </c>
      <c r="H446" s="7">
        <v>30</v>
      </c>
      <c r="I446" s="7">
        <v>120</v>
      </c>
      <c r="J446"/>
    </row>
    <row r="447" spans="1:10" x14ac:dyDescent="0.35">
      <c r="A447" t="s">
        <v>998</v>
      </c>
      <c r="B447" s="1">
        <v>45017</v>
      </c>
      <c r="C447" t="s">
        <v>1942</v>
      </c>
      <c r="D447" t="s">
        <v>34</v>
      </c>
      <c r="E447">
        <v>33</v>
      </c>
      <c r="F447" t="s">
        <v>36</v>
      </c>
      <c r="G447">
        <v>4</v>
      </c>
      <c r="H447" s="7">
        <v>500</v>
      </c>
      <c r="I447" s="7">
        <v>2000</v>
      </c>
      <c r="J447"/>
    </row>
    <row r="448" spans="1:10" x14ac:dyDescent="0.35">
      <c r="A448" t="s">
        <v>1000</v>
      </c>
      <c r="B448" s="1">
        <v>45052</v>
      </c>
      <c r="C448" t="s">
        <v>258</v>
      </c>
      <c r="D448" t="s">
        <v>34</v>
      </c>
      <c r="E448">
        <v>30</v>
      </c>
      <c r="F448" t="s">
        <v>36</v>
      </c>
      <c r="G448">
        <v>2</v>
      </c>
      <c r="H448" s="7">
        <v>50</v>
      </c>
      <c r="I448" s="7">
        <v>100</v>
      </c>
      <c r="J448"/>
    </row>
    <row r="449" spans="1:10" x14ac:dyDescent="0.35">
      <c r="A449" t="s">
        <v>55</v>
      </c>
      <c r="B449" s="1">
        <v>45120</v>
      </c>
      <c r="C449" t="s">
        <v>828</v>
      </c>
      <c r="D449" t="s">
        <v>34</v>
      </c>
      <c r="E449">
        <v>34</v>
      </c>
      <c r="F449" t="s">
        <v>13</v>
      </c>
      <c r="G449">
        <v>2</v>
      </c>
      <c r="H449" s="7">
        <v>50</v>
      </c>
      <c r="I449" s="7">
        <v>100</v>
      </c>
      <c r="J449"/>
    </row>
    <row r="450" spans="1:10" x14ac:dyDescent="0.35">
      <c r="A450" t="s">
        <v>157</v>
      </c>
      <c r="B450" s="1">
        <v>45046</v>
      </c>
      <c r="C450" t="s">
        <v>2184</v>
      </c>
      <c r="D450" t="s">
        <v>26</v>
      </c>
      <c r="E450">
        <v>47</v>
      </c>
      <c r="F450" t="s">
        <v>13</v>
      </c>
      <c r="G450">
        <v>2</v>
      </c>
      <c r="H450" s="7">
        <v>25</v>
      </c>
      <c r="I450" s="7">
        <v>50</v>
      </c>
      <c r="J450"/>
    </row>
    <row r="451" spans="1:10" x14ac:dyDescent="0.35">
      <c r="A451" t="s">
        <v>1006</v>
      </c>
      <c r="B451" s="1">
        <v>44985</v>
      </c>
      <c r="C451" t="s">
        <v>2262</v>
      </c>
      <c r="D451" t="s">
        <v>26</v>
      </c>
      <c r="E451">
        <v>32</v>
      </c>
      <c r="F451" t="s">
        <v>56</v>
      </c>
      <c r="G451">
        <v>1</v>
      </c>
      <c r="H451" s="7">
        <v>30</v>
      </c>
      <c r="I451" s="7">
        <v>30</v>
      </c>
      <c r="J451"/>
    </row>
    <row r="452" spans="1:10" x14ac:dyDescent="0.35">
      <c r="A452" t="s">
        <v>1009</v>
      </c>
      <c r="B452" s="1">
        <v>45220</v>
      </c>
      <c r="C452" t="s">
        <v>2196</v>
      </c>
      <c r="D452" t="s">
        <v>34</v>
      </c>
      <c r="E452">
        <v>41</v>
      </c>
      <c r="F452" t="s">
        <v>13</v>
      </c>
      <c r="G452">
        <v>1</v>
      </c>
      <c r="H452" s="7">
        <v>50</v>
      </c>
      <c r="I452" s="7">
        <v>50</v>
      </c>
      <c r="J452"/>
    </row>
    <row r="453" spans="1:10" x14ac:dyDescent="0.35">
      <c r="A453" t="s">
        <v>1010</v>
      </c>
      <c r="B453" s="1">
        <v>45073</v>
      </c>
      <c r="C453" t="s">
        <v>2233</v>
      </c>
      <c r="D453" t="s">
        <v>26</v>
      </c>
      <c r="E453">
        <v>26</v>
      </c>
      <c r="F453" t="s">
        <v>13</v>
      </c>
      <c r="G453">
        <v>2</v>
      </c>
      <c r="H453" s="7">
        <v>25</v>
      </c>
      <c r="I453" s="7">
        <v>50</v>
      </c>
      <c r="J453"/>
    </row>
    <row r="454" spans="1:10" x14ac:dyDescent="0.35">
      <c r="A454" t="s">
        <v>1012</v>
      </c>
      <c r="B454" s="1">
        <v>45139</v>
      </c>
      <c r="C454" t="s">
        <v>2246</v>
      </c>
      <c r="D454" t="s">
        <v>26</v>
      </c>
      <c r="E454">
        <v>34</v>
      </c>
      <c r="F454" t="s">
        <v>36</v>
      </c>
      <c r="G454">
        <v>2</v>
      </c>
      <c r="H454" s="7">
        <v>50</v>
      </c>
      <c r="I454" s="7">
        <v>100</v>
      </c>
      <c r="J454"/>
    </row>
    <row r="455" spans="1:10" x14ac:dyDescent="0.35">
      <c r="A455" t="s">
        <v>1013</v>
      </c>
      <c r="B455" s="1">
        <v>45255</v>
      </c>
      <c r="C455" t="s">
        <v>1693</v>
      </c>
      <c r="D455" t="s">
        <v>26</v>
      </c>
      <c r="E455">
        <v>43</v>
      </c>
      <c r="F455" t="s">
        <v>56</v>
      </c>
      <c r="G455">
        <v>4</v>
      </c>
      <c r="H455" s="7">
        <v>25</v>
      </c>
      <c r="I455" s="7">
        <v>100</v>
      </c>
      <c r="J455"/>
    </row>
    <row r="456" spans="1:10" x14ac:dyDescent="0.35">
      <c r="A456" t="s">
        <v>1016</v>
      </c>
      <c r="B456" s="1">
        <v>44962</v>
      </c>
      <c r="C456" t="s">
        <v>551</v>
      </c>
      <c r="D456" t="s">
        <v>34</v>
      </c>
      <c r="E456">
        <v>34</v>
      </c>
      <c r="F456" t="s">
        <v>56</v>
      </c>
      <c r="G456">
        <v>3</v>
      </c>
      <c r="H456" s="7">
        <v>50</v>
      </c>
      <c r="I456" s="7">
        <v>150</v>
      </c>
      <c r="J456"/>
    </row>
    <row r="457" spans="1:10" x14ac:dyDescent="0.35">
      <c r="A457" t="s">
        <v>1018</v>
      </c>
      <c r="B457" s="1">
        <v>45126</v>
      </c>
      <c r="C457" t="s">
        <v>640</v>
      </c>
      <c r="D457" t="s">
        <v>26</v>
      </c>
      <c r="E457">
        <v>28</v>
      </c>
      <c r="F457" t="s">
        <v>13</v>
      </c>
      <c r="G457">
        <v>4</v>
      </c>
      <c r="H457" s="7">
        <v>50</v>
      </c>
      <c r="I457" s="7">
        <v>200</v>
      </c>
      <c r="J457"/>
    </row>
    <row r="458" spans="1:10" x14ac:dyDescent="0.35">
      <c r="A458" t="s">
        <v>1020</v>
      </c>
      <c r="B458" s="1">
        <v>44988</v>
      </c>
      <c r="C458" t="s">
        <v>1995</v>
      </c>
      <c r="D458" t="s">
        <v>26</v>
      </c>
      <c r="E458">
        <v>52</v>
      </c>
      <c r="F458" t="s">
        <v>56</v>
      </c>
      <c r="G458">
        <v>4</v>
      </c>
      <c r="H458" s="7">
        <v>30</v>
      </c>
      <c r="I458" s="7">
        <v>120</v>
      </c>
      <c r="J458"/>
    </row>
    <row r="459" spans="1:10" x14ac:dyDescent="0.35">
      <c r="A459" t="s">
        <v>1022</v>
      </c>
      <c r="B459" s="1">
        <v>45219</v>
      </c>
      <c r="C459" t="s">
        <v>2237</v>
      </c>
      <c r="D459" t="s">
        <v>34</v>
      </c>
      <c r="E459">
        <v>20</v>
      </c>
      <c r="F459" t="s">
        <v>56</v>
      </c>
      <c r="G459">
        <v>1</v>
      </c>
      <c r="H459" s="7">
        <v>50</v>
      </c>
      <c r="I459" s="7">
        <v>50</v>
      </c>
      <c r="J459"/>
    </row>
    <row r="460" spans="1:10" x14ac:dyDescent="0.35">
      <c r="A460" t="s">
        <v>1024</v>
      </c>
      <c r="B460" s="1">
        <v>45222</v>
      </c>
      <c r="C460" t="s">
        <v>1710</v>
      </c>
      <c r="D460" t="s">
        <v>34</v>
      </c>
      <c r="E460">
        <v>48</v>
      </c>
      <c r="F460" t="s">
        <v>13</v>
      </c>
      <c r="G460">
        <v>1</v>
      </c>
      <c r="H460" s="7">
        <v>50</v>
      </c>
      <c r="I460" s="7">
        <v>50</v>
      </c>
      <c r="J460"/>
    </row>
    <row r="461" spans="1:10" x14ac:dyDescent="0.35">
      <c r="A461" t="s">
        <v>1027</v>
      </c>
      <c r="B461" s="1">
        <v>45129</v>
      </c>
      <c r="C461" t="s">
        <v>1133</v>
      </c>
      <c r="D461" t="s">
        <v>34</v>
      </c>
      <c r="E461">
        <v>50</v>
      </c>
      <c r="F461" t="s">
        <v>56</v>
      </c>
      <c r="G461">
        <v>1</v>
      </c>
      <c r="H461" s="7">
        <v>50</v>
      </c>
      <c r="I461" s="7">
        <v>50</v>
      </c>
      <c r="J461"/>
    </row>
    <row r="462" spans="1:10" x14ac:dyDescent="0.35">
      <c r="A462" t="s">
        <v>1028</v>
      </c>
      <c r="B462" s="1">
        <v>45264</v>
      </c>
      <c r="C462" t="s">
        <v>1057</v>
      </c>
      <c r="D462" t="s">
        <v>34</v>
      </c>
      <c r="E462">
        <v>24</v>
      </c>
      <c r="F462" t="s">
        <v>13</v>
      </c>
      <c r="G462">
        <v>1</v>
      </c>
      <c r="H462" s="7">
        <v>30</v>
      </c>
      <c r="I462" s="7">
        <v>30</v>
      </c>
      <c r="J462"/>
    </row>
    <row r="463" spans="1:10" x14ac:dyDescent="0.35">
      <c r="A463" t="s">
        <v>1030</v>
      </c>
      <c r="B463" s="1">
        <v>45002</v>
      </c>
      <c r="C463" t="s">
        <v>2261</v>
      </c>
      <c r="D463" t="s">
        <v>26</v>
      </c>
      <c r="E463">
        <v>60</v>
      </c>
      <c r="F463" t="s">
        <v>56</v>
      </c>
      <c r="G463">
        <v>4</v>
      </c>
      <c r="H463" s="7">
        <v>25</v>
      </c>
      <c r="I463" s="7">
        <v>100</v>
      </c>
      <c r="J463"/>
    </row>
    <row r="464" spans="1:10" x14ac:dyDescent="0.35">
      <c r="A464" t="s">
        <v>1033</v>
      </c>
      <c r="B464" s="1">
        <v>45218</v>
      </c>
      <c r="C464" t="s">
        <v>989</v>
      </c>
      <c r="D464" t="s">
        <v>26</v>
      </c>
      <c r="E464">
        <v>46</v>
      </c>
      <c r="F464" t="s">
        <v>56</v>
      </c>
      <c r="G464">
        <v>1</v>
      </c>
      <c r="H464" s="7">
        <v>300</v>
      </c>
      <c r="I464" s="7">
        <v>300</v>
      </c>
      <c r="J464"/>
    </row>
    <row r="465" spans="1:10" x14ac:dyDescent="0.35">
      <c r="A465" t="s">
        <v>1034</v>
      </c>
      <c r="B465" s="1">
        <v>44935</v>
      </c>
      <c r="C465" t="s">
        <v>389</v>
      </c>
      <c r="D465" t="s">
        <v>34</v>
      </c>
      <c r="E465">
        <v>63</v>
      </c>
      <c r="F465" t="s">
        <v>56</v>
      </c>
      <c r="G465">
        <v>4</v>
      </c>
      <c r="H465" s="7">
        <v>50</v>
      </c>
      <c r="I465" s="7">
        <v>200</v>
      </c>
      <c r="J465"/>
    </row>
    <row r="466" spans="1:10" x14ac:dyDescent="0.35">
      <c r="A466" t="s">
        <v>170</v>
      </c>
      <c r="B466" s="1">
        <v>45069</v>
      </c>
      <c r="C466" t="s">
        <v>1247</v>
      </c>
      <c r="D466" t="s">
        <v>34</v>
      </c>
      <c r="E466">
        <v>44</v>
      </c>
      <c r="F466" t="s">
        <v>13</v>
      </c>
      <c r="G466">
        <v>4</v>
      </c>
      <c r="H466" s="7">
        <v>300</v>
      </c>
      <c r="I466" s="7">
        <v>1200</v>
      </c>
      <c r="J466"/>
    </row>
    <row r="467" spans="1:10" x14ac:dyDescent="0.35">
      <c r="A467" t="s">
        <v>1037</v>
      </c>
      <c r="B467" s="1">
        <v>45163</v>
      </c>
      <c r="C467" t="s">
        <v>655</v>
      </c>
      <c r="D467" t="s">
        <v>26</v>
      </c>
      <c r="E467">
        <v>64</v>
      </c>
      <c r="F467" t="s">
        <v>13</v>
      </c>
      <c r="G467">
        <v>4</v>
      </c>
      <c r="H467" s="7">
        <v>50</v>
      </c>
      <c r="I467" s="7">
        <v>200</v>
      </c>
      <c r="J467"/>
    </row>
    <row r="468" spans="1:10" x14ac:dyDescent="0.35">
      <c r="A468" t="s">
        <v>1040</v>
      </c>
      <c r="B468" s="1">
        <v>45107</v>
      </c>
      <c r="C468" t="s">
        <v>1319</v>
      </c>
      <c r="D468" t="s">
        <v>26</v>
      </c>
      <c r="E468">
        <v>28</v>
      </c>
      <c r="F468" t="s">
        <v>56</v>
      </c>
      <c r="G468">
        <v>2</v>
      </c>
      <c r="H468" s="7">
        <v>500</v>
      </c>
      <c r="I468" s="7">
        <v>1000</v>
      </c>
      <c r="J468"/>
    </row>
    <row r="469" spans="1:10" x14ac:dyDescent="0.35">
      <c r="A469" t="s">
        <v>1042</v>
      </c>
      <c r="B469" s="1">
        <v>45157</v>
      </c>
      <c r="C469" t="s">
        <v>444</v>
      </c>
      <c r="D469" t="s">
        <v>26</v>
      </c>
      <c r="E469">
        <v>30</v>
      </c>
      <c r="F469" t="s">
        <v>13</v>
      </c>
      <c r="G469">
        <v>2</v>
      </c>
      <c r="H469" s="7">
        <v>30</v>
      </c>
      <c r="I469" s="7">
        <v>60</v>
      </c>
      <c r="J469"/>
    </row>
    <row r="470" spans="1:10" x14ac:dyDescent="0.35">
      <c r="A470" t="s">
        <v>1044</v>
      </c>
      <c r="B470" s="1">
        <v>45062</v>
      </c>
      <c r="C470" t="s">
        <v>1369</v>
      </c>
      <c r="D470" t="s">
        <v>26</v>
      </c>
      <c r="E470">
        <v>30</v>
      </c>
      <c r="F470" t="s">
        <v>13</v>
      </c>
      <c r="G470">
        <v>4</v>
      </c>
      <c r="H470" s="7">
        <v>500</v>
      </c>
      <c r="I470" s="7">
        <v>2000</v>
      </c>
      <c r="J470"/>
    </row>
    <row r="471" spans="1:10" x14ac:dyDescent="0.35">
      <c r="A471" t="s">
        <v>1046</v>
      </c>
      <c r="B471" s="1">
        <v>45274</v>
      </c>
      <c r="C471" t="s">
        <v>2292</v>
      </c>
      <c r="D471" t="s">
        <v>26</v>
      </c>
      <c r="E471">
        <v>52</v>
      </c>
      <c r="F471" t="s">
        <v>36</v>
      </c>
      <c r="G471">
        <v>2</v>
      </c>
      <c r="H471" s="7">
        <v>30</v>
      </c>
      <c r="I471" s="7">
        <v>60</v>
      </c>
      <c r="J471"/>
    </row>
    <row r="472" spans="1:10" x14ac:dyDescent="0.35">
      <c r="A472" t="s">
        <v>1048</v>
      </c>
      <c r="B472" s="1">
        <v>45000</v>
      </c>
      <c r="C472" t="s">
        <v>60</v>
      </c>
      <c r="D472" t="s">
        <v>34</v>
      </c>
      <c r="E472">
        <v>19</v>
      </c>
      <c r="F472" t="s">
        <v>13</v>
      </c>
      <c r="G472">
        <v>2</v>
      </c>
      <c r="H472" s="7">
        <v>500</v>
      </c>
      <c r="I472" s="7">
        <v>1000</v>
      </c>
      <c r="J472"/>
    </row>
    <row r="473" spans="1:10" x14ac:dyDescent="0.35">
      <c r="A473" t="s">
        <v>1051</v>
      </c>
      <c r="B473" s="1">
        <v>45270</v>
      </c>
      <c r="C473" t="s">
        <v>1718</v>
      </c>
      <c r="D473" t="s">
        <v>34</v>
      </c>
      <c r="E473">
        <v>33</v>
      </c>
      <c r="F473" t="s">
        <v>56</v>
      </c>
      <c r="G473">
        <v>2</v>
      </c>
      <c r="H473" s="7">
        <v>50</v>
      </c>
      <c r="I473" s="7">
        <v>100</v>
      </c>
      <c r="J473"/>
    </row>
    <row r="474" spans="1:10" x14ac:dyDescent="0.35">
      <c r="A474" t="s">
        <v>1054</v>
      </c>
      <c r="B474" s="1">
        <v>45032</v>
      </c>
      <c r="C474" t="s">
        <v>1718</v>
      </c>
      <c r="D474" t="s">
        <v>26</v>
      </c>
      <c r="E474">
        <v>38</v>
      </c>
      <c r="F474" t="s">
        <v>56</v>
      </c>
      <c r="G474">
        <v>1</v>
      </c>
      <c r="H474" s="7">
        <v>300</v>
      </c>
      <c r="I474" s="7">
        <v>300</v>
      </c>
      <c r="J474"/>
    </row>
    <row r="475" spans="1:10" x14ac:dyDescent="0.35">
      <c r="A475" t="s">
        <v>1056</v>
      </c>
      <c r="B475" s="1">
        <v>44974</v>
      </c>
      <c r="C475" t="s">
        <v>1913</v>
      </c>
      <c r="D475" t="s">
        <v>34</v>
      </c>
      <c r="E475">
        <v>20</v>
      </c>
      <c r="F475" t="s">
        <v>36</v>
      </c>
      <c r="G475">
        <v>4</v>
      </c>
      <c r="H475" s="7">
        <v>300</v>
      </c>
      <c r="I475" s="7">
        <v>1200</v>
      </c>
      <c r="J475"/>
    </row>
    <row r="476" spans="1:10" x14ac:dyDescent="0.35">
      <c r="A476" t="s">
        <v>78</v>
      </c>
      <c r="B476" s="1">
        <v>45039</v>
      </c>
      <c r="C476" t="s">
        <v>568</v>
      </c>
      <c r="D476" t="s">
        <v>26</v>
      </c>
      <c r="E476">
        <v>43</v>
      </c>
      <c r="F476" t="s">
        <v>36</v>
      </c>
      <c r="G476">
        <v>1</v>
      </c>
      <c r="H476" s="7">
        <v>500</v>
      </c>
      <c r="I476" s="7">
        <v>500</v>
      </c>
      <c r="J476"/>
    </row>
    <row r="477" spans="1:10" x14ac:dyDescent="0.35">
      <c r="A477" t="s">
        <v>1059</v>
      </c>
      <c r="B477" s="1">
        <v>45072</v>
      </c>
      <c r="C477" t="s">
        <v>1105</v>
      </c>
      <c r="D477" t="s">
        <v>26</v>
      </c>
      <c r="E477">
        <v>53</v>
      </c>
      <c r="F477" t="s">
        <v>56</v>
      </c>
      <c r="G477">
        <v>2</v>
      </c>
      <c r="H477" s="7">
        <v>500</v>
      </c>
      <c r="I477" s="7">
        <v>1000</v>
      </c>
      <c r="J477"/>
    </row>
    <row r="478" spans="1:10" x14ac:dyDescent="0.35">
      <c r="A478" t="s">
        <v>1061</v>
      </c>
      <c r="B478" s="1">
        <v>45143</v>
      </c>
      <c r="C478" t="s">
        <v>2295</v>
      </c>
      <c r="D478" t="s">
        <v>26</v>
      </c>
      <c r="E478">
        <v>34</v>
      </c>
      <c r="F478" t="s">
        <v>36</v>
      </c>
      <c r="G478">
        <v>4</v>
      </c>
      <c r="H478" s="7">
        <v>300</v>
      </c>
      <c r="I478" s="7">
        <v>1200</v>
      </c>
      <c r="J478"/>
    </row>
    <row r="479" spans="1:10" x14ac:dyDescent="0.35">
      <c r="A479" t="s">
        <v>1064</v>
      </c>
      <c r="B479" s="1">
        <v>45123</v>
      </c>
      <c r="C479" t="s">
        <v>1630</v>
      </c>
      <c r="D479" t="s">
        <v>26</v>
      </c>
      <c r="E479">
        <v>40</v>
      </c>
      <c r="F479" t="s">
        <v>56</v>
      </c>
      <c r="G479">
        <v>3</v>
      </c>
      <c r="H479" s="7">
        <v>30</v>
      </c>
      <c r="I479" s="7">
        <v>90</v>
      </c>
      <c r="J479"/>
    </row>
    <row r="480" spans="1:10" x14ac:dyDescent="0.35">
      <c r="A480" t="s">
        <v>1067</v>
      </c>
      <c r="B480" s="1">
        <v>45208</v>
      </c>
      <c r="C480" t="s">
        <v>888</v>
      </c>
      <c r="D480" t="s">
        <v>34</v>
      </c>
      <c r="E480">
        <v>56</v>
      </c>
      <c r="F480" t="s">
        <v>13</v>
      </c>
      <c r="G480">
        <v>1</v>
      </c>
      <c r="H480" s="7">
        <v>25</v>
      </c>
      <c r="I480" s="7">
        <v>25</v>
      </c>
      <c r="J480"/>
    </row>
    <row r="481" spans="1:10" x14ac:dyDescent="0.35">
      <c r="A481" t="s">
        <v>1069</v>
      </c>
      <c r="B481" s="1">
        <v>45072</v>
      </c>
      <c r="C481" t="s">
        <v>2274</v>
      </c>
      <c r="D481" t="s">
        <v>26</v>
      </c>
      <c r="E481">
        <v>54</v>
      </c>
      <c r="F481" t="s">
        <v>56</v>
      </c>
      <c r="G481">
        <v>4</v>
      </c>
      <c r="H481" s="7">
        <v>30</v>
      </c>
      <c r="I481" s="7">
        <v>120</v>
      </c>
      <c r="J481"/>
    </row>
    <row r="482" spans="1:10" x14ac:dyDescent="0.35">
      <c r="A482" t="s">
        <v>1071</v>
      </c>
      <c r="B482" s="1">
        <v>45287</v>
      </c>
      <c r="C482" t="s">
        <v>2266</v>
      </c>
      <c r="D482" t="s">
        <v>26</v>
      </c>
      <c r="E482">
        <v>54</v>
      </c>
      <c r="F482" t="s">
        <v>13</v>
      </c>
      <c r="G482">
        <v>2</v>
      </c>
      <c r="H482" s="7">
        <v>300</v>
      </c>
      <c r="I482" s="7">
        <v>600</v>
      </c>
      <c r="J482"/>
    </row>
    <row r="483" spans="1:10" x14ac:dyDescent="0.35">
      <c r="A483" t="s">
        <v>1074</v>
      </c>
      <c r="B483" s="1">
        <v>45096</v>
      </c>
      <c r="C483" t="s">
        <v>2237</v>
      </c>
      <c r="D483" t="s">
        <v>26</v>
      </c>
      <c r="E483">
        <v>58</v>
      </c>
      <c r="F483" t="s">
        <v>56</v>
      </c>
      <c r="G483">
        <v>1</v>
      </c>
      <c r="H483" s="7">
        <v>25</v>
      </c>
      <c r="I483" s="7">
        <v>25</v>
      </c>
      <c r="J483"/>
    </row>
    <row r="484" spans="1:10" x14ac:dyDescent="0.35">
      <c r="A484" t="s">
        <v>1076</v>
      </c>
      <c r="B484" s="1">
        <v>45204</v>
      </c>
      <c r="C484" t="s">
        <v>344</v>
      </c>
      <c r="D484" t="s">
        <v>34</v>
      </c>
      <c r="E484">
        <v>27</v>
      </c>
      <c r="F484" t="s">
        <v>36</v>
      </c>
      <c r="G484">
        <v>1</v>
      </c>
      <c r="H484" s="7">
        <v>30</v>
      </c>
      <c r="I484" s="7">
        <v>30</v>
      </c>
      <c r="J484"/>
    </row>
    <row r="485" spans="1:10" x14ac:dyDescent="0.35">
      <c r="A485" t="s">
        <v>1077</v>
      </c>
      <c r="B485" s="1">
        <v>44991</v>
      </c>
      <c r="C485" t="s">
        <v>1980</v>
      </c>
      <c r="D485" t="s">
        <v>26</v>
      </c>
      <c r="E485">
        <v>57</v>
      </c>
      <c r="F485" t="s">
        <v>13</v>
      </c>
      <c r="G485">
        <v>4</v>
      </c>
      <c r="H485" s="7">
        <v>50</v>
      </c>
      <c r="I485" s="7">
        <v>200</v>
      </c>
      <c r="J485"/>
    </row>
    <row r="486" spans="1:10" x14ac:dyDescent="0.35">
      <c r="A486" t="s">
        <v>1078</v>
      </c>
      <c r="B486" s="1">
        <v>45289</v>
      </c>
      <c r="C486" t="s">
        <v>1294</v>
      </c>
      <c r="D486" t="s">
        <v>26</v>
      </c>
      <c r="E486">
        <v>30</v>
      </c>
      <c r="F486" t="s">
        <v>36</v>
      </c>
      <c r="G486">
        <v>3</v>
      </c>
      <c r="H486" s="7">
        <v>500</v>
      </c>
      <c r="I486" s="7">
        <v>1500</v>
      </c>
      <c r="J486"/>
    </row>
    <row r="487" spans="1:10" x14ac:dyDescent="0.35">
      <c r="A487" t="s">
        <v>1079</v>
      </c>
      <c r="B487" s="1">
        <v>45292</v>
      </c>
      <c r="C487" t="s">
        <v>2224</v>
      </c>
      <c r="D487" t="s">
        <v>34</v>
      </c>
      <c r="E487">
        <v>55</v>
      </c>
      <c r="F487" t="s">
        <v>13</v>
      </c>
      <c r="G487">
        <v>1</v>
      </c>
      <c r="H487" s="7">
        <v>30</v>
      </c>
      <c r="I487" s="7">
        <v>30</v>
      </c>
      <c r="J487"/>
    </row>
    <row r="488" spans="1:10" x14ac:dyDescent="0.35">
      <c r="A488" t="s">
        <v>1080</v>
      </c>
      <c r="B488" s="1">
        <v>45078</v>
      </c>
      <c r="C488" t="s">
        <v>2322</v>
      </c>
      <c r="D488" t="s">
        <v>34</v>
      </c>
      <c r="E488">
        <v>47</v>
      </c>
      <c r="F488" t="s">
        <v>56</v>
      </c>
      <c r="G488">
        <v>2</v>
      </c>
      <c r="H488" s="7">
        <v>30</v>
      </c>
      <c r="I488" s="7">
        <v>60</v>
      </c>
      <c r="J488"/>
    </row>
    <row r="489" spans="1:10" x14ac:dyDescent="0.35">
      <c r="A489" t="s">
        <v>1082</v>
      </c>
      <c r="B489" s="1">
        <v>45103</v>
      </c>
      <c r="C489" t="s">
        <v>1974</v>
      </c>
      <c r="D489" t="s">
        <v>26</v>
      </c>
      <c r="E489">
        <v>37</v>
      </c>
      <c r="F489" t="s">
        <v>13</v>
      </c>
      <c r="G489">
        <v>3</v>
      </c>
      <c r="H489" s="7">
        <v>300</v>
      </c>
      <c r="I489" s="7">
        <v>900</v>
      </c>
      <c r="J489"/>
    </row>
    <row r="490" spans="1:10" x14ac:dyDescent="0.35">
      <c r="A490" t="s">
        <v>1083</v>
      </c>
      <c r="B490" s="1">
        <v>45069</v>
      </c>
      <c r="C490" t="s">
        <v>2208</v>
      </c>
      <c r="D490" t="s">
        <v>26</v>
      </c>
      <c r="E490">
        <v>29</v>
      </c>
      <c r="F490" t="s">
        <v>36</v>
      </c>
      <c r="G490">
        <v>4</v>
      </c>
      <c r="H490" s="7">
        <v>500</v>
      </c>
      <c r="I490" s="7">
        <v>2000</v>
      </c>
      <c r="J490"/>
    </row>
    <row r="491" spans="1:10" x14ac:dyDescent="0.35">
      <c r="A491" t="s">
        <v>1086</v>
      </c>
      <c r="B491" s="1">
        <v>45239</v>
      </c>
      <c r="C491" t="s">
        <v>2249</v>
      </c>
      <c r="D491" t="s">
        <v>34</v>
      </c>
      <c r="E491">
        <v>22</v>
      </c>
      <c r="F491" t="s">
        <v>56</v>
      </c>
      <c r="G491">
        <v>4</v>
      </c>
      <c r="H491" s="7">
        <v>50</v>
      </c>
      <c r="I491" s="7">
        <v>200</v>
      </c>
      <c r="J491"/>
    </row>
    <row r="492" spans="1:10" x14ac:dyDescent="0.35">
      <c r="A492" t="s">
        <v>1087</v>
      </c>
      <c r="B492" s="1">
        <v>44982</v>
      </c>
      <c r="C492" t="s">
        <v>1050</v>
      </c>
      <c r="D492" t="s">
        <v>34</v>
      </c>
      <c r="E492">
        <v>38</v>
      </c>
      <c r="F492" t="s">
        <v>13</v>
      </c>
      <c r="G492">
        <v>3</v>
      </c>
      <c r="H492" s="7">
        <v>300</v>
      </c>
      <c r="I492" s="7">
        <v>900</v>
      </c>
      <c r="J492"/>
    </row>
    <row r="493" spans="1:10" x14ac:dyDescent="0.35">
      <c r="A493" t="s">
        <v>1088</v>
      </c>
      <c r="B493" s="1">
        <v>45031</v>
      </c>
      <c r="C493" t="s">
        <v>2187</v>
      </c>
      <c r="D493" t="s">
        <v>26</v>
      </c>
      <c r="E493">
        <v>49</v>
      </c>
      <c r="F493" t="s">
        <v>36</v>
      </c>
      <c r="G493">
        <v>4</v>
      </c>
      <c r="H493" s="7">
        <v>50</v>
      </c>
      <c r="I493" s="7">
        <v>200</v>
      </c>
      <c r="J493"/>
    </row>
    <row r="494" spans="1:10" x14ac:dyDescent="0.35">
      <c r="A494" t="s">
        <v>1091</v>
      </c>
      <c r="B494" s="1">
        <v>45066</v>
      </c>
      <c r="C494" t="s">
        <v>1983</v>
      </c>
      <c r="D494" t="s">
        <v>34</v>
      </c>
      <c r="E494">
        <v>54</v>
      </c>
      <c r="F494" t="s">
        <v>56</v>
      </c>
      <c r="G494">
        <v>3</v>
      </c>
      <c r="H494" s="7">
        <v>25</v>
      </c>
      <c r="I494" s="7">
        <v>75</v>
      </c>
      <c r="J494"/>
    </row>
    <row r="495" spans="1:10" x14ac:dyDescent="0.35">
      <c r="A495" t="s">
        <v>1092</v>
      </c>
      <c r="B495" s="1">
        <v>45203</v>
      </c>
      <c r="C495" t="s">
        <v>1684</v>
      </c>
      <c r="D495" t="s">
        <v>26</v>
      </c>
      <c r="E495">
        <v>34</v>
      </c>
      <c r="F495" t="s">
        <v>13</v>
      </c>
      <c r="G495">
        <v>4</v>
      </c>
      <c r="H495" s="7">
        <v>50</v>
      </c>
      <c r="I495" s="7">
        <v>200</v>
      </c>
      <c r="J495"/>
    </row>
    <row r="496" spans="1:10" x14ac:dyDescent="0.35">
      <c r="A496" t="s">
        <v>1094</v>
      </c>
      <c r="B496" s="1">
        <v>45052</v>
      </c>
      <c r="C496" t="s">
        <v>1891</v>
      </c>
      <c r="D496" t="s">
        <v>34</v>
      </c>
      <c r="E496">
        <v>56</v>
      </c>
      <c r="F496" t="s">
        <v>13</v>
      </c>
      <c r="G496">
        <v>2</v>
      </c>
      <c r="H496" s="7">
        <v>300</v>
      </c>
      <c r="I496" s="7">
        <v>600</v>
      </c>
      <c r="J496"/>
    </row>
    <row r="497" spans="1:10" x14ac:dyDescent="0.35">
      <c r="A497" t="s">
        <v>1097</v>
      </c>
      <c r="B497" s="1">
        <v>45028</v>
      </c>
      <c r="C497" t="s">
        <v>757</v>
      </c>
      <c r="D497" t="s">
        <v>26</v>
      </c>
      <c r="E497">
        <v>40</v>
      </c>
      <c r="F497" t="s">
        <v>56</v>
      </c>
      <c r="G497">
        <v>2</v>
      </c>
      <c r="H497" s="7">
        <v>25</v>
      </c>
      <c r="I497" s="7">
        <v>50</v>
      </c>
      <c r="J497"/>
    </row>
    <row r="498" spans="1:10" x14ac:dyDescent="0.35">
      <c r="A498" t="s">
        <v>1098</v>
      </c>
      <c r="B498" s="1">
        <v>45177</v>
      </c>
      <c r="C498" t="s">
        <v>1921</v>
      </c>
      <c r="D498" t="s">
        <v>26</v>
      </c>
      <c r="E498">
        <v>44</v>
      </c>
      <c r="F498" t="s">
        <v>36</v>
      </c>
      <c r="G498">
        <v>3</v>
      </c>
      <c r="H498" s="7">
        <v>25</v>
      </c>
      <c r="I498" s="7">
        <v>75</v>
      </c>
      <c r="J498"/>
    </row>
    <row r="499" spans="1:10" x14ac:dyDescent="0.35">
      <c r="A499" t="s">
        <v>1100</v>
      </c>
      <c r="B499" s="1">
        <v>45112</v>
      </c>
      <c r="C499" t="s">
        <v>455</v>
      </c>
      <c r="D499" t="s">
        <v>26</v>
      </c>
      <c r="E499">
        <v>46</v>
      </c>
      <c r="F499" t="s">
        <v>36</v>
      </c>
      <c r="G499">
        <v>1</v>
      </c>
      <c r="H499" s="7">
        <v>30</v>
      </c>
      <c r="I499" s="7">
        <v>30</v>
      </c>
      <c r="J499"/>
    </row>
    <row r="500" spans="1:10" x14ac:dyDescent="0.35">
      <c r="A500" t="s">
        <v>184</v>
      </c>
      <c r="B500" s="1">
        <v>45259</v>
      </c>
      <c r="C500" t="s">
        <v>2235</v>
      </c>
      <c r="D500" t="s">
        <v>26</v>
      </c>
      <c r="E500">
        <v>49</v>
      </c>
      <c r="F500" t="s">
        <v>56</v>
      </c>
      <c r="G500">
        <v>1</v>
      </c>
      <c r="H500" s="7">
        <v>300</v>
      </c>
      <c r="I500" s="7">
        <v>300</v>
      </c>
      <c r="J500"/>
    </row>
    <row r="501" spans="1:10" x14ac:dyDescent="0.35">
      <c r="A501" t="s">
        <v>1103</v>
      </c>
      <c r="B501" s="1">
        <v>45053</v>
      </c>
      <c r="C501" t="s">
        <v>2247</v>
      </c>
      <c r="D501" t="s">
        <v>34</v>
      </c>
      <c r="E501">
        <v>31</v>
      </c>
      <c r="F501" t="s">
        <v>56</v>
      </c>
      <c r="G501">
        <v>4</v>
      </c>
      <c r="H501" s="7">
        <v>50</v>
      </c>
      <c r="I501" s="7">
        <v>200</v>
      </c>
      <c r="J501"/>
    </row>
    <row r="502" spans="1:10" x14ac:dyDescent="0.35">
      <c r="A502" t="s">
        <v>1106</v>
      </c>
      <c r="B502" s="1">
        <v>45011</v>
      </c>
      <c r="C502" t="s">
        <v>1026</v>
      </c>
      <c r="D502" t="s">
        <v>34</v>
      </c>
      <c r="E502">
        <v>34</v>
      </c>
      <c r="F502" t="s">
        <v>13</v>
      </c>
      <c r="G502">
        <v>2</v>
      </c>
      <c r="H502" s="7">
        <v>50</v>
      </c>
      <c r="I502" s="7">
        <v>100</v>
      </c>
      <c r="J502"/>
    </row>
    <row r="503" spans="1:10" x14ac:dyDescent="0.35">
      <c r="A503" t="s">
        <v>1108</v>
      </c>
      <c r="B503" s="1">
        <v>45040</v>
      </c>
      <c r="C503" t="s">
        <v>2260</v>
      </c>
      <c r="D503" t="s">
        <v>26</v>
      </c>
      <c r="E503">
        <v>30</v>
      </c>
      <c r="F503" t="s">
        <v>13</v>
      </c>
      <c r="G503">
        <v>2</v>
      </c>
      <c r="H503" s="7">
        <v>25</v>
      </c>
      <c r="I503" s="7">
        <v>50</v>
      </c>
      <c r="J503"/>
    </row>
    <row r="504" spans="1:10" x14ac:dyDescent="0.35">
      <c r="A504" t="s">
        <v>1110</v>
      </c>
      <c r="B504" s="1">
        <v>45063</v>
      </c>
      <c r="C504" t="s">
        <v>2297</v>
      </c>
      <c r="D504" t="s">
        <v>34</v>
      </c>
      <c r="E504">
        <v>31</v>
      </c>
      <c r="F504" t="s">
        <v>13</v>
      </c>
      <c r="G504">
        <v>4</v>
      </c>
      <c r="H504" s="7">
        <v>500</v>
      </c>
      <c r="I504" s="7">
        <v>2000</v>
      </c>
      <c r="J504"/>
    </row>
    <row r="505" spans="1:10" x14ac:dyDescent="0.35">
      <c r="A505" t="s">
        <v>1113</v>
      </c>
      <c r="B505" s="1">
        <v>45210</v>
      </c>
      <c r="C505" t="s">
        <v>406</v>
      </c>
      <c r="D505" t="s">
        <v>26</v>
      </c>
      <c r="E505">
        <v>63</v>
      </c>
      <c r="F505" t="s">
        <v>36</v>
      </c>
      <c r="G505">
        <v>3</v>
      </c>
      <c r="H505" s="7">
        <v>25</v>
      </c>
      <c r="I505" s="7">
        <v>75</v>
      </c>
      <c r="J505"/>
    </row>
    <row r="506" spans="1:10" x14ac:dyDescent="0.35">
      <c r="A506" t="s">
        <v>1115</v>
      </c>
      <c r="B506" s="1">
        <v>45147</v>
      </c>
      <c r="C506" t="s">
        <v>1449</v>
      </c>
      <c r="D506" t="s">
        <v>34</v>
      </c>
      <c r="E506">
        <v>20</v>
      </c>
      <c r="F506" t="s">
        <v>56</v>
      </c>
      <c r="G506">
        <v>2</v>
      </c>
      <c r="H506" s="7">
        <v>30</v>
      </c>
      <c r="I506" s="7">
        <v>60</v>
      </c>
      <c r="J506"/>
    </row>
    <row r="507" spans="1:10" x14ac:dyDescent="0.35">
      <c r="A507" t="s">
        <v>1116</v>
      </c>
      <c r="B507" s="1">
        <v>45101</v>
      </c>
      <c r="C507" t="s">
        <v>896</v>
      </c>
      <c r="D507" t="s">
        <v>34</v>
      </c>
      <c r="E507">
        <v>43</v>
      </c>
      <c r="F507" t="s">
        <v>36</v>
      </c>
      <c r="G507">
        <v>4</v>
      </c>
      <c r="H507" s="7">
        <v>30</v>
      </c>
      <c r="I507" s="7">
        <v>120</v>
      </c>
      <c r="J507"/>
    </row>
    <row r="508" spans="1:10" x14ac:dyDescent="0.35">
      <c r="A508" t="s">
        <v>1117</v>
      </c>
      <c r="B508" s="1">
        <v>44952</v>
      </c>
      <c r="C508" t="s">
        <v>82</v>
      </c>
      <c r="D508" t="s">
        <v>26</v>
      </c>
      <c r="E508">
        <v>29</v>
      </c>
      <c r="F508" t="s">
        <v>36</v>
      </c>
      <c r="G508">
        <v>3</v>
      </c>
      <c r="H508" s="7">
        <v>300</v>
      </c>
      <c r="I508" s="7">
        <v>900</v>
      </c>
      <c r="J508"/>
    </row>
    <row r="509" spans="1:10" x14ac:dyDescent="0.35">
      <c r="A509" t="s">
        <v>1119</v>
      </c>
      <c r="B509" s="1">
        <v>45237</v>
      </c>
      <c r="C509" t="s">
        <v>2196</v>
      </c>
      <c r="D509" t="s">
        <v>26</v>
      </c>
      <c r="E509">
        <v>33</v>
      </c>
      <c r="F509" t="s">
        <v>56</v>
      </c>
      <c r="G509">
        <v>1</v>
      </c>
      <c r="H509" s="7">
        <v>500</v>
      </c>
      <c r="I509" s="7">
        <v>500</v>
      </c>
      <c r="J509"/>
    </row>
    <row r="510" spans="1:10" x14ac:dyDescent="0.35">
      <c r="A510" t="s">
        <v>1120</v>
      </c>
      <c r="B510" s="1">
        <v>44950</v>
      </c>
      <c r="C510" t="s">
        <v>1867</v>
      </c>
      <c r="D510" t="s">
        <v>26</v>
      </c>
      <c r="E510">
        <v>46</v>
      </c>
      <c r="F510" t="s">
        <v>36</v>
      </c>
      <c r="G510">
        <v>4</v>
      </c>
      <c r="H510" s="7">
        <v>500</v>
      </c>
      <c r="I510" s="7">
        <v>2000</v>
      </c>
      <c r="J510"/>
    </row>
    <row r="511" spans="1:10" x14ac:dyDescent="0.35">
      <c r="A511" t="s">
        <v>1122</v>
      </c>
      <c r="B511" s="1">
        <v>45276</v>
      </c>
      <c r="C511" t="s">
        <v>253</v>
      </c>
      <c r="D511" t="s">
        <v>34</v>
      </c>
      <c r="E511">
        <v>54</v>
      </c>
      <c r="F511" t="s">
        <v>13</v>
      </c>
      <c r="G511">
        <v>2</v>
      </c>
      <c r="H511" s="7">
        <v>50</v>
      </c>
      <c r="I511" s="7">
        <v>100</v>
      </c>
      <c r="J511"/>
    </row>
    <row r="512" spans="1:10" x14ac:dyDescent="0.35">
      <c r="A512" t="s">
        <v>1125</v>
      </c>
      <c r="B512" s="1">
        <v>45060</v>
      </c>
      <c r="C512" t="s">
        <v>816</v>
      </c>
      <c r="D512" t="s">
        <v>26</v>
      </c>
      <c r="E512">
        <v>52</v>
      </c>
      <c r="F512" t="s">
        <v>56</v>
      </c>
      <c r="G512">
        <v>1</v>
      </c>
      <c r="H512" s="7">
        <v>500</v>
      </c>
      <c r="I512" s="7">
        <v>500</v>
      </c>
      <c r="J512"/>
    </row>
    <row r="513" spans="1:10" x14ac:dyDescent="0.35">
      <c r="A513" t="s">
        <v>1128</v>
      </c>
      <c r="B513" s="1">
        <v>45018</v>
      </c>
      <c r="C513" t="s">
        <v>530</v>
      </c>
      <c r="D513" t="s">
        <v>26</v>
      </c>
      <c r="E513">
        <v>43</v>
      </c>
      <c r="F513" t="s">
        <v>13</v>
      </c>
      <c r="G513">
        <v>3</v>
      </c>
      <c r="H513" s="7">
        <v>50</v>
      </c>
      <c r="I513" s="7">
        <v>150</v>
      </c>
      <c r="J513"/>
    </row>
    <row r="514" spans="1:10" x14ac:dyDescent="0.35">
      <c r="A514" t="s">
        <v>1130</v>
      </c>
      <c r="B514" s="1">
        <v>45134</v>
      </c>
      <c r="C514" t="s">
        <v>2241</v>
      </c>
      <c r="D514" t="s">
        <v>26</v>
      </c>
      <c r="E514">
        <v>20</v>
      </c>
      <c r="F514" t="s">
        <v>36</v>
      </c>
      <c r="G514">
        <v>3</v>
      </c>
      <c r="H514" s="7">
        <v>30</v>
      </c>
      <c r="I514" s="7">
        <v>90</v>
      </c>
      <c r="J514"/>
    </row>
    <row r="515" spans="1:10" x14ac:dyDescent="0.35">
      <c r="A515" t="s">
        <v>1132</v>
      </c>
      <c r="B515" s="1">
        <v>45231</v>
      </c>
      <c r="C515" t="s">
        <v>1198</v>
      </c>
      <c r="D515" t="s">
        <v>34</v>
      </c>
      <c r="E515">
        <v>31</v>
      </c>
      <c r="F515" t="s">
        <v>13</v>
      </c>
      <c r="G515">
        <v>3</v>
      </c>
      <c r="H515" s="7">
        <v>300</v>
      </c>
      <c r="I515" s="7">
        <v>900</v>
      </c>
      <c r="J515"/>
    </row>
    <row r="516" spans="1:10" x14ac:dyDescent="0.35">
      <c r="A516" t="s">
        <v>1134</v>
      </c>
      <c r="B516" s="1">
        <v>44971</v>
      </c>
      <c r="C516" t="s">
        <v>538</v>
      </c>
      <c r="D516" t="s">
        <v>34</v>
      </c>
      <c r="E516">
        <v>23</v>
      </c>
      <c r="F516" t="s">
        <v>56</v>
      </c>
      <c r="G516">
        <v>2</v>
      </c>
      <c r="H516" s="7">
        <v>50</v>
      </c>
      <c r="I516" s="7">
        <v>100</v>
      </c>
      <c r="J516"/>
    </row>
    <row r="517" spans="1:10" x14ac:dyDescent="0.35">
      <c r="A517" t="s">
        <v>1137</v>
      </c>
      <c r="B517" s="1">
        <v>45008</v>
      </c>
      <c r="C517" t="s">
        <v>1833</v>
      </c>
      <c r="D517" t="s">
        <v>34</v>
      </c>
      <c r="E517">
        <v>32</v>
      </c>
      <c r="F517" t="s">
        <v>56</v>
      </c>
      <c r="G517">
        <v>3</v>
      </c>
      <c r="H517" s="7">
        <v>50</v>
      </c>
      <c r="I517" s="7">
        <v>150</v>
      </c>
      <c r="J517"/>
    </row>
    <row r="518" spans="1:10" x14ac:dyDescent="0.35">
      <c r="A518" t="s">
        <v>294</v>
      </c>
      <c r="B518" s="1">
        <v>45008</v>
      </c>
      <c r="C518" t="s">
        <v>2193</v>
      </c>
      <c r="D518" t="s">
        <v>26</v>
      </c>
      <c r="E518">
        <v>50</v>
      </c>
      <c r="F518" t="s">
        <v>13</v>
      </c>
      <c r="G518">
        <v>2</v>
      </c>
      <c r="H518" s="7">
        <v>50</v>
      </c>
      <c r="I518" s="7">
        <v>100</v>
      </c>
      <c r="J518"/>
    </row>
    <row r="519" spans="1:10" x14ac:dyDescent="0.35">
      <c r="A519" t="s">
        <v>1140</v>
      </c>
      <c r="B519" s="1">
        <v>45251</v>
      </c>
      <c r="C519" t="s">
        <v>703</v>
      </c>
      <c r="D519" t="s">
        <v>26</v>
      </c>
      <c r="E519">
        <v>48</v>
      </c>
      <c r="F519" t="s">
        <v>36</v>
      </c>
      <c r="G519">
        <v>2</v>
      </c>
      <c r="H519" s="7">
        <v>30</v>
      </c>
      <c r="I519" s="7">
        <v>60</v>
      </c>
      <c r="J519"/>
    </row>
    <row r="520" spans="1:10" x14ac:dyDescent="0.35">
      <c r="A520" t="s">
        <v>1141</v>
      </c>
      <c r="B520" s="1">
        <v>45201</v>
      </c>
      <c r="C520" t="s">
        <v>1154</v>
      </c>
      <c r="D520" t="s">
        <v>26</v>
      </c>
      <c r="E520">
        <v>35</v>
      </c>
      <c r="F520" t="s">
        <v>13</v>
      </c>
      <c r="G520">
        <v>1</v>
      </c>
      <c r="H520" s="7">
        <v>50</v>
      </c>
      <c r="I520" s="7">
        <v>50</v>
      </c>
      <c r="J520"/>
    </row>
    <row r="521" spans="1:10" x14ac:dyDescent="0.35">
      <c r="A521" t="s">
        <v>1142</v>
      </c>
      <c r="B521" s="1">
        <v>45007</v>
      </c>
      <c r="C521" t="s">
        <v>1722</v>
      </c>
      <c r="D521" t="s">
        <v>26</v>
      </c>
      <c r="E521">
        <v>46</v>
      </c>
      <c r="F521" t="s">
        <v>36</v>
      </c>
      <c r="G521">
        <v>3</v>
      </c>
      <c r="H521" s="7">
        <v>30</v>
      </c>
      <c r="I521" s="7">
        <v>90</v>
      </c>
      <c r="J521"/>
    </row>
    <row r="522" spans="1:10" x14ac:dyDescent="0.35">
      <c r="A522" t="s">
        <v>1145</v>
      </c>
      <c r="B522" s="1">
        <v>45144</v>
      </c>
      <c r="C522" t="s">
        <v>2225</v>
      </c>
      <c r="D522" t="s">
        <v>26</v>
      </c>
      <c r="E522">
        <v>61</v>
      </c>
      <c r="F522" t="s">
        <v>13</v>
      </c>
      <c r="G522">
        <v>1</v>
      </c>
      <c r="H522" s="7">
        <v>500</v>
      </c>
      <c r="I522" s="7">
        <v>500</v>
      </c>
      <c r="J522"/>
    </row>
    <row r="523" spans="1:10" x14ac:dyDescent="0.35">
      <c r="A523" t="s">
        <v>1147</v>
      </c>
      <c r="B523" s="1">
        <v>45186</v>
      </c>
      <c r="C523" t="s">
        <v>2192</v>
      </c>
      <c r="D523" t="s">
        <v>26</v>
      </c>
      <c r="E523">
        <v>60</v>
      </c>
      <c r="F523" t="s">
        <v>36</v>
      </c>
      <c r="G523">
        <v>1</v>
      </c>
      <c r="H523" s="7">
        <v>300</v>
      </c>
      <c r="I523" s="7">
        <v>300</v>
      </c>
      <c r="J523"/>
    </row>
    <row r="524" spans="1:10" x14ac:dyDescent="0.35">
      <c r="A524" t="s">
        <v>1148</v>
      </c>
      <c r="B524" s="1">
        <v>44954</v>
      </c>
      <c r="C524" t="s">
        <v>2267</v>
      </c>
      <c r="D524" t="s">
        <v>34</v>
      </c>
      <c r="E524">
        <v>29</v>
      </c>
      <c r="F524" t="s">
        <v>13</v>
      </c>
      <c r="G524">
        <v>3</v>
      </c>
      <c r="H524" s="7">
        <v>30</v>
      </c>
      <c r="I524" s="7">
        <v>90</v>
      </c>
      <c r="J524"/>
    </row>
    <row r="525" spans="1:10" x14ac:dyDescent="0.35">
      <c r="A525" t="s">
        <v>1149</v>
      </c>
      <c r="B525" s="1">
        <v>44933</v>
      </c>
      <c r="C525" t="s">
        <v>2304</v>
      </c>
      <c r="D525" t="s">
        <v>34</v>
      </c>
      <c r="E525">
        <v>51</v>
      </c>
      <c r="F525" t="s">
        <v>13</v>
      </c>
      <c r="G525">
        <v>3</v>
      </c>
      <c r="H525" s="7">
        <v>25</v>
      </c>
      <c r="I525" s="7">
        <v>75</v>
      </c>
      <c r="J525"/>
    </row>
    <row r="526" spans="1:10" x14ac:dyDescent="0.35">
      <c r="A526" t="s">
        <v>1151</v>
      </c>
      <c r="B526" s="1">
        <v>44962</v>
      </c>
      <c r="C526" t="s">
        <v>1178</v>
      </c>
      <c r="D526" t="s">
        <v>26</v>
      </c>
      <c r="E526">
        <v>47</v>
      </c>
      <c r="F526" t="s">
        <v>56</v>
      </c>
      <c r="G526">
        <v>1</v>
      </c>
      <c r="H526" s="7">
        <v>25</v>
      </c>
      <c r="I526" s="7">
        <v>25</v>
      </c>
      <c r="J526"/>
    </row>
    <row r="527" spans="1:10" x14ac:dyDescent="0.35">
      <c r="A527" t="s">
        <v>191</v>
      </c>
      <c r="B527" s="1">
        <v>45052</v>
      </c>
      <c r="C527" t="s">
        <v>1551</v>
      </c>
      <c r="D527" t="s">
        <v>26</v>
      </c>
      <c r="E527">
        <v>51</v>
      </c>
      <c r="F527" t="s">
        <v>13</v>
      </c>
      <c r="G527">
        <v>1</v>
      </c>
      <c r="H527" s="7">
        <v>30</v>
      </c>
      <c r="I527" s="7">
        <v>30</v>
      </c>
      <c r="J527"/>
    </row>
    <row r="528" spans="1:10" x14ac:dyDescent="0.35">
      <c r="A528" t="s">
        <v>1155</v>
      </c>
      <c r="B528" s="1">
        <v>45270</v>
      </c>
      <c r="C528" t="s">
        <v>346</v>
      </c>
      <c r="D528" t="s">
        <v>34</v>
      </c>
      <c r="E528">
        <v>20</v>
      </c>
      <c r="F528" t="s">
        <v>36</v>
      </c>
      <c r="G528">
        <v>2</v>
      </c>
      <c r="H528" s="7">
        <v>30</v>
      </c>
      <c r="I528" s="7">
        <v>60</v>
      </c>
      <c r="J528"/>
    </row>
    <row r="529" spans="1:10" x14ac:dyDescent="0.35">
      <c r="A529" t="s">
        <v>1157</v>
      </c>
      <c r="B529" s="1">
        <v>45050</v>
      </c>
      <c r="C529" t="s">
        <v>2258</v>
      </c>
      <c r="D529" t="s">
        <v>34</v>
      </c>
      <c r="E529">
        <v>32</v>
      </c>
      <c r="F529" t="s">
        <v>56</v>
      </c>
      <c r="G529">
        <v>2</v>
      </c>
      <c r="H529" s="7">
        <v>25</v>
      </c>
      <c r="I529" s="7">
        <v>50</v>
      </c>
      <c r="J529"/>
    </row>
    <row r="530" spans="1:10" x14ac:dyDescent="0.35">
      <c r="A530" t="s">
        <v>1158</v>
      </c>
      <c r="B530" s="1">
        <v>44951</v>
      </c>
      <c r="C530" t="s">
        <v>501</v>
      </c>
      <c r="D530" t="s">
        <v>34</v>
      </c>
      <c r="E530">
        <v>49</v>
      </c>
      <c r="F530" t="s">
        <v>13</v>
      </c>
      <c r="G530">
        <v>1</v>
      </c>
      <c r="H530" s="7">
        <v>50</v>
      </c>
      <c r="I530" s="7">
        <v>50</v>
      </c>
      <c r="J530"/>
    </row>
    <row r="531" spans="1:10" x14ac:dyDescent="0.35">
      <c r="A531" t="s">
        <v>1160</v>
      </c>
      <c r="B531" s="1">
        <v>45141</v>
      </c>
      <c r="C531" t="s">
        <v>2200</v>
      </c>
      <c r="D531" t="s">
        <v>34</v>
      </c>
      <c r="E531">
        <v>42</v>
      </c>
      <c r="F531" t="s">
        <v>13</v>
      </c>
      <c r="G531">
        <v>1</v>
      </c>
      <c r="H531" s="7">
        <v>25</v>
      </c>
      <c r="I531" s="7">
        <v>25</v>
      </c>
      <c r="J531"/>
    </row>
    <row r="532" spans="1:10" x14ac:dyDescent="0.35">
      <c r="A532" t="s">
        <v>1162</v>
      </c>
      <c r="B532" s="1">
        <v>44979</v>
      </c>
      <c r="C532" t="s">
        <v>2310</v>
      </c>
      <c r="D532" t="s">
        <v>34</v>
      </c>
      <c r="E532">
        <v>30</v>
      </c>
      <c r="F532" t="s">
        <v>13</v>
      </c>
      <c r="G532">
        <v>4</v>
      </c>
      <c r="H532" s="7">
        <v>25</v>
      </c>
      <c r="I532" s="7">
        <v>100</v>
      </c>
      <c r="J532"/>
    </row>
    <row r="533" spans="1:10" x14ac:dyDescent="0.35">
      <c r="A533" t="s">
        <v>1164</v>
      </c>
      <c r="B533" s="1">
        <v>45164</v>
      </c>
      <c r="C533" t="s">
        <v>2323</v>
      </c>
      <c r="D533" t="s">
        <v>26</v>
      </c>
      <c r="E533">
        <v>34</v>
      </c>
      <c r="F533" t="s">
        <v>36</v>
      </c>
      <c r="G533">
        <v>3</v>
      </c>
      <c r="H533" s="7">
        <v>300</v>
      </c>
      <c r="I533" s="7">
        <v>900</v>
      </c>
      <c r="J533"/>
    </row>
    <row r="534" spans="1:10" x14ac:dyDescent="0.35">
      <c r="A534" t="s">
        <v>1166</v>
      </c>
      <c r="B534" s="1">
        <v>45087</v>
      </c>
      <c r="C534" t="s">
        <v>2321</v>
      </c>
      <c r="D534" t="s">
        <v>26</v>
      </c>
      <c r="E534">
        <v>26</v>
      </c>
      <c r="F534" t="s">
        <v>13</v>
      </c>
      <c r="G534">
        <v>2</v>
      </c>
      <c r="H534" s="7">
        <v>25</v>
      </c>
      <c r="I534" s="7">
        <v>50</v>
      </c>
      <c r="J534"/>
    </row>
    <row r="535" spans="1:10" x14ac:dyDescent="0.35">
      <c r="A535" t="s">
        <v>1167</v>
      </c>
      <c r="B535" s="1">
        <v>45146</v>
      </c>
      <c r="C535" t="s">
        <v>796</v>
      </c>
      <c r="D535" t="s">
        <v>34</v>
      </c>
      <c r="E535">
        <v>62</v>
      </c>
      <c r="F535" t="s">
        <v>56</v>
      </c>
      <c r="G535">
        <v>1</v>
      </c>
      <c r="H535" s="7">
        <v>25</v>
      </c>
      <c r="I535" s="7">
        <v>25</v>
      </c>
      <c r="J535"/>
    </row>
    <row r="536" spans="1:10" x14ac:dyDescent="0.35">
      <c r="A536" t="s">
        <v>1169</v>
      </c>
      <c r="B536" s="1">
        <v>45049</v>
      </c>
      <c r="C536" t="s">
        <v>763</v>
      </c>
      <c r="D536" t="s">
        <v>34</v>
      </c>
      <c r="E536">
        <v>40</v>
      </c>
      <c r="F536" t="s">
        <v>56</v>
      </c>
      <c r="G536">
        <v>3</v>
      </c>
      <c r="H536" s="7">
        <v>25</v>
      </c>
      <c r="I536" s="7">
        <v>75</v>
      </c>
      <c r="J536"/>
    </row>
    <row r="537" spans="1:10" x14ac:dyDescent="0.35">
      <c r="A537" t="s">
        <v>1171</v>
      </c>
      <c r="B537" s="1">
        <v>45062</v>
      </c>
      <c r="C537" t="s">
        <v>1309</v>
      </c>
      <c r="D537" t="s">
        <v>26</v>
      </c>
      <c r="E537">
        <v>18</v>
      </c>
      <c r="F537" t="s">
        <v>36</v>
      </c>
      <c r="G537">
        <v>1</v>
      </c>
      <c r="H537" s="7">
        <v>30</v>
      </c>
      <c r="I537" s="7">
        <v>30</v>
      </c>
      <c r="J537"/>
    </row>
    <row r="538" spans="1:10" x14ac:dyDescent="0.35">
      <c r="A538" t="s">
        <v>61</v>
      </c>
      <c r="B538" s="1">
        <v>44930</v>
      </c>
      <c r="C538" t="s">
        <v>1260</v>
      </c>
      <c r="D538" t="s">
        <v>34</v>
      </c>
      <c r="E538">
        <v>30</v>
      </c>
      <c r="F538" t="s">
        <v>36</v>
      </c>
      <c r="G538">
        <v>3</v>
      </c>
      <c r="H538" s="7">
        <v>30</v>
      </c>
      <c r="I538" s="7">
        <v>90</v>
      </c>
      <c r="J538"/>
    </row>
    <row r="539" spans="1:10" x14ac:dyDescent="0.35">
      <c r="A539" t="s">
        <v>1174</v>
      </c>
      <c r="B539" s="1">
        <v>45033</v>
      </c>
      <c r="C539" t="s">
        <v>954</v>
      </c>
      <c r="D539" t="s">
        <v>34</v>
      </c>
      <c r="E539">
        <v>62</v>
      </c>
      <c r="F539" t="s">
        <v>36</v>
      </c>
      <c r="G539">
        <v>1</v>
      </c>
      <c r="H539" s="7">
        <v>25</v>
      </c>
      <c r="I539" s="7">
        <v>25</v>
      </c>
      <c r="J539"/>
    </row>
    <row r="540" spans="1:10" x14ac:dyDescent="0.35">
      <c r="A540" t="s">
        <v>1177</v>
      </c>
      <c r="B540" s="1">
        <v>45190</v>
      </c>
      <c r="C540" t="s">
        <v>2283</v>
      </c>
      <c r="D540" t="s">
        <v>26</v>
      </c>
      <c r="E540">
        <v>23</v>
      </c>
      <c r="F540" t="s">
        <v>13</v>
      </c>
      <c r="G540">
        <v>3</v>
      </c>
      <c r="H540" s="7">
        <v>25</v>
      </c>
      <c r="I540" s="7">
        <v>75</v>
      </c>
      <c r="J540"/>
    </row>
    <row r="541" spans="1:10" x14ac:dyDescent="0.35">
      <c r="A541" t="s">
        <v>1179</v>
      </c>
      <c r="B541" s="1">
        <v>44936</v>
      </c>
      <c r="C541" t="s">
        <v>2250</v>
      </c>
      <c r="D541" t="s">
        <v>26</v>
      </c>
      <c r="E541">
        <v>27</v>
      </c>
      <c r="F541" t="s">
        <v>56</v>
      </c>
      <c r="G541">
        <v>1</v>
      </c>
      <c r="H541" s="7">
        <v>30</v>
      </c>
      <c r="I541" s="7">
        <v>30</v>
      </c>
      <c r="J541"/>
    </row>
    <row r="542" spans="1:10" x14ac:dyDescent="0.35">
      <c r="A542" t="s">
        <v>1181</v>
      </c>
      <c r="B542" s="1">
        <v>45005</v>
      </c>
      <c r="C542" t="s">
        <v>1807</v>
      </c>
      <c r="D542" t="s">
        <v>26</v>
      </c>
      <c r="E542">
        <v>31</v>
      </c>
      <c r="F542" t="s">
        <v>13</v>
      </c>
      <c r="G542">
        <v>4</v>
      </c>
      <c r="H542" s="7">
        <v>25</v>
      </c>
      <c r="I542" s="7">
        <v>100</v>
      </c>
      <c r="J542"/>
    </row>
    <row r="543" spans="1:10" x14ac:dyDescent="0.35">
      <c r="A543" t="s">
        <v>1183</v>
      </c>
      <c r="B543" s="1">
        <v>45036</v>
      </c>
      <c r="C543" t="s">
        <v>1312</v>
      </c>
      <c r="D543" t="s">
        <v>26</v>
      </c>
      <c r="E543">
        <v>48</v>
      </c>
      <c r="F543" t="s">
        <v>13</v>
      </c>
      <c r="G543">
        <v>2</v>
      </c>
      <c r="H543" s="7">
        <v>25</v>
      </c>
      <c r="I543" s="7">
        <v>50</v>
      </c>
      <c r="J543"/>
    </row>
    <row r="544" spans="1:10" x14ac:dyDescent="0.35">
      <c r="A544" t="s">
        <v>235</v>
      </c>
      <c r="B544" s="1">
        <v>45248</v>
      </c>
      <c r="C544" t="s">
        <v>867</v>
      </c>
      <c r="D544" t="s">
        <v>26</v>
      </c>
      <c r="E544">
        <v>63</v>
      </c>
      <c r="F544" t="s">
        <v>36</v>
      </c>
      <c r="G544">
        <v>1</v>
      </c>
      <c r="H544" s="7">
        <v>30</v>
      </c>
      <c r="I544" s="7">
        <v>30</v>
      </c>
      <c r="J544"/>
    </row>
    <row r="545" spans="1:10" x14ac:dyDescent="0.35">
      <c r="A545" t="s">
        <v>1188</v>
      </c>
      <c r="B545" s="1">
        <v>45058</v>
      </c>
      <c r="C545" t="s">
        <v>612</v>
      </c>
      <c r="D545" t="s">
        <v>34</v>
      </c>
      <c r="E545">
        <v>64</v>
      </c>
      <c r="F545" t="s">
        <v>56</v>
      </c>
      <c r="G545">
        <v>4</v>
      </c>
      <c r="H545" s="7">
        <v>25</v>
      </c>
      <c r="I545" s="7">
        <v>100</v>
      </c>
      <c r="J545"/>
    </row>
    <row r="546" spans="1:10" x14ac:dyDescent="0.35">
      <c r="A546" t="s">
        <v>1190</v>
      </c>
      <c r="B546" s="1">
        <v>45166</v>
      </c>
      <c r="C546" t="s">
        <v>2183</v>
      </c>
      <c r="D546" t="s">
        <v>34</v>
      </c>
      <c r="E546">
        <v>38</v>
      </c>
      <c r="F546" t="s">
        <v>56</v>
      </c>
      <c r="G546">
        <v>4</v>
      </c>
      <c r="H546" s="7">
        <v>50</v>
      </c>
      <c r="I546" s="7">
        <v>200</v>
      </c>
      <c r="J546"/>
    </row>
    <row r="547" spans="1:10" x14ac:dyDescent="0.35">
      <c r="A547" t="s">
        <v>1191</v>
      </c>
      <c r="B547" s="1">
        <v>45010</v>
      </c>
      <c r="C547" t="s">
        <v>1382</v>
      </c>
      <c r="D547" t="s">
        <v>26</v>
      </c>
      <c r="E547">
        <v>55</v>
      </c>
      <c r="F547" t="s">
        <v>13</v>
      </c>
      <c r="G547">
        <v>1</v>
      </c>
      <c r="H547" s="7">
        <v>500</v>
      </c>
      <c r="I547" s="7">
        <v>500</v>
      </c>
      <c r="J547"/>
    </row>
    <row r="548" spans="1:10" x14ac:dyDescent="0.35">
      <c r="A548" t="s">
        <v>1193</v>
      </c>
      <c r="B548" s="1">
        <v>45210</v>
      </c>
      <c r="C548" t="s">
        <v>255</v>
      </c>
      <c r="D548" t="s">
        <v>26</v>
      </c>
      <c r="E548">
        <v>22</v>
      </c>
      <c r="F548" t="s">
        <v>36</v>
      </c>
      <c r="G548">
        <v>2</v>
      </c>
      <c r="H548" s="7">
        <v>500</v>
      </c>
      <c r="I548" s="7">
        <v>1000</v>
      </c>
      <c r="J548"/>
    </row>
    <row r="549" spans="1:10" x14ac:dyDescent="0.35">
      <c r="A549" t="s">
        <v>1195</v>
      </c>
      <c r="B549" s="1">
        <v>45265</v>
      </c>
      <c r="C549" t="s">
        <v>1770</v>
      </c>
      <c r="D549" t="s">
        <v>26</v>
      </c>
      <c r="E549">
        <v>32</v>
      </c>
      <c r="F549" t="s">
        <v>36</v>
      </c>
      <c r="G549">
        <v>4</v>
      </c>
      <c r="H549" s="7">
        <v>25</v>
      </c>
      <c r="I549" s="7">
        <v>100</v>
      </c>
      <c r="J549"/>
    </row>
    <row r="550" spans="1:10" x14ac:dyDescent="0.35">
      <c r="A550" t="s">
        <v>1197</v>
      </c>
      <c r="B550" s="1">
        <v>44994</v>
      </c>
      <c r="C550" t="s">
        <v>1894</v>
      </c>
      <c r="D550" t="s">
        <v>34</v>
      </c>
      <c r="E550">
        <v>42</v>
      </c>
      <c r="F550" t="s">
        <v>56</v>
      </c>
      <c r="G550">
        <v>4</v>
      </c>
      <c r="H550" s="7">
        <v>25</v>
      </c>
      <c r="I550" s="7">
        <v>100</v>
      </c>
      <c r="J550"/>
    </row>
    <row r="551" spans="1:10" x14ac:dyDescent="0.35">
      <c r="A551" t="s">
        <v>1199</v>
      </c>
      <c r="B551" s="1">
        <v>45065</v>
      </c>
      <c r="C551" t="s">
        <v>2283</v>
      </c>
      <c r="D551" t="s">
        <v>26</v>
      </c>
      <c r="E551">
        <v>47</v>
      </c>
      <c r="F551" t="s">
        <v>36</v>
      </c>
      <c r="G551">
        <v>2</v>
      </c>
      <c r="H551" s="7">
        <v>500</v>
      </c>
      <c r="I551" s="7">
        <v>1000</v>
      </c>
      <c r="J551"/>
    </row>
    <row r="552" spans="1:10" x14ac:dyDescent="0.35">
      <c r="A552" t="s">
        <v>1202</v>
      </c>
      <c r="B552" s="1">
        <v>45157</v>
      </c>
      <c r="C552" t="s">
        <v>1196</v>
      </c>
      <c r="D552" t="s">
        <v>26</v>
      </c>
      <c r="E552">
        <v>56</v>
      </c>
      <c r="F552" t="s">
        <v>13</v>
      </c>
      <c r="G552">
        <v>2</v>
      </c>
      <c r="H552" s="7">
        <v>50</v>
      </c>
      <c r="I552" s="7">
        <v>100</v>
      </c>
      <c r="J552"/>
    </row>
    <row r="553" spans="1:10" x14ac:dyDescent="0.35">
      <c r="A553" t="s">
        <v>1204</v>
      </c>
      <c r="B553" s="1">
        <v>45285</v>
      </c>
      <c r="C553" t="s">
        <v>612</v>
      </c>
      <c r="D553" t="s">
        <v>26</v>
      </c>
      <c r="E553">
        <v>43</v>
      </c>
      <c r="F553" t="s">
        <v>13</v>
      </c>
      <c r="G553">
        <v>4</v>
      </c>
      <c r="H553" s="7">
        <v>300</v>
      </c>
      <c r="I553" s="7">
        <v>1200</v>
      </c>
      <c r="J553"/>
    </row>
    <row r="554" spans="1:10" x14ac:dyDescent="0.35">
      <c r="A554" t="s">
        <v>1206</v>
      </c>
      <c r="B554" s="1">
        <v>44994</v>
      </c>
      <c r="C554" t="s">
        <v>2260</v>
      </c>
      <c r="D554" t="s">
        <v>26</v>
      </c>
      <c r="E554">
        <v>46</v>
      </c>
      <c r="F554" t="s">
        <v>56</v>
      </c>
      <c r="G554">
        <v>4</v>
      </c>
      <c r="H554" s="7">
        <v>50</v>
      </c>
      <c r="I554" s="7">
        <v>200</v>
      </c>
      <c r="J554"/>
    </row>
    <row r="555" spans="1:10" x14ac:dyDescent="0.35">
      <c r="A555" t="s">
        <v>1208</v>
      </c>
      <c r="B555" s="1">
        <v>45269</v>
      </c>
      <c r="C555" t="s">
        <v>472</v>
      </c>
      <c r="D555" t="s">
        <v>34</v>
      </c>
      <c r="E555">
        <v>28</v>
      </c>
      <c r="F555" t="s">
        <v>36</v>
      </c>
      <c r="G555">
        <v>2</v>
      </c>
      <c r="H555" s="7">
        <v>50</v>
      </c>
      <c r="I555" s="7">
        <v>100</v>
      </c>
      <c r="J555"/>
    </row>
    <row r="556" spans="1:10" x14ac:dyDescent="0.35">
      <c r="A556" t="s">
        <v>1211</v>
      </c>
      <c r="B556" s="1">
        <v>45180</v>
      </c>
      <c r="C556" t="s">
        <v>1618</v>
      </c>
      <c r="D556" t="s">
        <v>34</v>
      </c>
      <c r="E556">
        <v>47</v>
      </c>
      <c r="F556" t="s">
        <v>36</v>
      </c>
      <c r="G556">
        <v>4</v>
      </c>
      <c r="H556" s="7">
        <v>500</v>
      </c>
      <c r="I556" s="7">
        <v>2000</v>
      </c>
      <c r="J556"/>
    </row>
    <row r="557" spans="1:10" x14ac:dyDescent="0.35">
      <c r="A557" t="s">
        <v>1212</v>
      </c>
      <c r="B557" s="1">
        <v>45014</v>
      </c>
      <c r="C557" t="s">
        <v>1475</v>
      </c>
      <c r="D557" t="s">
        <v>34</v>
      </c>
      <c r="E557">
        <v>56</v>
      </c>
      <c r="F557" t="s">
        <v>56</v>
      </c>
      <c r="G557">
        <v>1</v>
      </c>
      <c r="H557" s="7">
        <v>500</v>
      </c>
      <c r="I557" s="7">
        <v>500</v>
      </c>
      <c r="J557"/>
    </row>
    <row r="558" spans="1:10" x14ac:dyDescent="0.35">
      <c r="A558" t="s">
        <v>1215</v>
      </c>
      <c r="B558" s="1">
        <v>45259</v>
      </c>
      <c r="C558" t="s">
        <v>1300</v>
      </c>
      <c r="D558" t="s">
        <v>34</v>
      </c>
      <c r="E558">
        <v>58</v>
      </c>
      <c r="F558" t="s">
        <v>56</v>
      </c>
      <c r="G558">
        <v>3</v>
      </c>
      <c r="H558" s="7">
        <v>500</v>
      </c>
      <c r="I558" s="7">
        <v>1500</v>
      </c>
      <c r="J558"/>
    </row>
    <row r="559" spans="1:10" x14ac:dyDescent="0.35">
      <c r="A559" t="s">
        <v>1219</v>
      </c>
      <c r="B559" s="1">
        <v>45286</v>
      </c>
      <c r="C559" t="s">
        <v>814</v>
      </c>
      <c r="D559" t="s">
        <v>26</v>
      </c>
      <c r="E559">
        <v>34</v>
      </c>
      <c r="F559" t="s">
        <v>56</v>
      </c>
      <c r="G559">
        <v>2</v>
      </c>
      <c r="H559" s="7">
        <v>50</v>
      </c>
      <c r="I559" s="7">
        <v>100</v>
      </c>
      <c r="J559"/>
    </row>
    <row r="560" spans="1:10" x14ac:dyDescent="0.35">
      <c r="A560" t="s">
        <v>1220</v>
      </c>
      <c r="B560" s="1">
        <v>45028</v>
      </c>
      <c r="C560" t="s">
        <v>374</v>
      </c>
      <c r="D560" t="s">
        <v>26</v>
      </c>
      <c r="E560">
        <v>39</v>
      </c>
      <c r="F560" t="s">
        <v>36</v>
      </c>
      <c r="G560">
        <v>1</v>
      </c>
      <c r="H560" s="7">
        <v>300</v>
      </c>
      <c r="I560" s="7">
        <v>300</v>
      </c>
      <c r="J560"/>
    </row>
    <row r="561" spans="1:10" x14ac:dyDescent="0.35">
      <c r="A561" t="s">
        <v>1223</v>
      </c>
      <c r="B561" s="1">
        <v>45009</v>
      </c>
      <c r="C561" t="s">
        <v>1630</v>
      </c>
      <c r="D561" t="s">
        <v>34</v>
      </c>
      <c r="E561">
        <v>23</v>
      </c>
      <c r="F561" t="s">
        <v>13</v>
      </c>
      <c r="G561">
        <v>3</v>
      </c>
      <c r="H561" s="7">
        <v>50</v>
      </c>
      <c r="I561" s="7">
        <v>150</v>
      </c>
      <c r="J561"/>
    </row>
    <row r="562" spans="1:10" x14ac:dyDescent="0.35">
      <c r="A562" t="s">
        <v>1226</v>
      </c>
      <c r="B562" s="1">
        <v>45081</v>
      </c>
      <c r="C562" t="s">
        <v>1207</v>
      </c>
      <c r="D562" t="s">
        <v>34</v>
      </c>
      <c r="E562">
        <v>59</v>
      </c>
      <c r="F562" t="s">
        <v>56</v>
      </c>
      <c r="G562">
        <v>3</v>
      </c>
      <c r="H562" s="7">
        <v>300</v>
      </c>
      <c r="I562" s="7">
        <v>900</v>
      </c>
      <c r="J562"/>
    </row>
    <row r="563" spans="1:10" x14ac:dyDescent="0.35">
      <c r="A563" t="s">
        <v>1227</v>
      </c>
      <c r="B563" s="1">
        <v>44998</v>
      </c>
      <c r="C563" t="s">
        <v>1124</v>
      </c>
      <c r="D563" t="s">
        <v>26</v>
      </c>
      <c r="E563">
        <v>60</v>
      </c>
      <c r="F563" t="s">
        <v>56</v>
      </c>
      <c r="G563">
        <v>3</v>
      </c>
      <c r="H563" s="7">
        <v>50</v>
      </c>
      <c r="I563" s="7">
        <v>150</v>
      </c>
      <c r="J563"/>
    </row>
    <row r="564" spans="1:10" x14ac:dyDescent="0.35">
      <c r="A564" t="s">
        <v>44</v>
      </c>
      <c r="B564" s="1">
        <v>45053</v>
      </c>
      <c r="C564" t="s">
        <v>2217</v>
      </c>
      <c r="D564" t="s">
        <v>34</v>
      </c>
      <c r="E564">
        <v>60</v>
      </c>
      <c r="F564" t="s">
        <v>36</v>
      </c>
      <c r="G564">
        <v>1</v>
      </c>
      <c r="H564" s="7">
        <v>50</v>
      </c>
      <c r="I564" s="7">
        <v>50</v>
      </c>
      <c r="J564"/>
    </row>
    <row r="565" spans="1:10" x14ac:dyDescent="0.35">
      <c r="A565" t="s">
        <v>1231</v>
      </c>
      <c r="B565" s="1">
        <v>45193</v>
      </c>
      <c r="C565" t="s">
        <v>2228</v>
      </c>
      <c r="D565" t="s">
        <v>26</v>
      </c>
      <c r="E565">
        <v>28</v>
      </c>
      <c r="F565" t="s">
        <v>13</v>
      </c>
      <c r="G565">
        <v>3</v>
      </c>
      <c r="H565" s="7">
        <v>30</v>
      </c>
      <c r="I565" s="7">
        <v>90</v>
      </c>
      <c r="J565"/>
    </row>
    <row r="566" spans="1:10" x14ac:dyDescent="0.35">
      <c r="A566" t="s">
        <v>22</v>
      </c>
      <c r="B566" s="1">
        <v>45254</v>
      </c>
      <c r="C566" t="s">
        <v>1152</v>
      </c>
      <c r="D566" t="s">
        <v>34</v>
      </c>
      <c r="E566">
        <v>34</v>
      </c>
      <c r="F566" t="s">
        <v>36</v>
      </c>
      <c r="G566">
        <v>3</v>
      </c>
      <c r="H566" s="7">
        <v>50</v>
      </c>
      <c r="I566" s="7">
        <v>150</v>
      </c>
      <c r="J566"/>
    </row>
    <row r="567" spans="1:10" x14ac:dyDescent="0.35">
      <c r="A567" t="s">
        <v>1234</v>
      </c>
      <c r="B567" s="1">
        <v>45266</v>
      </c>
      <c r="C567" t="s">
        <v>1693</v>
      </c>
      <c r="D567" t="s">
        <v>34</v>
      </c>
      <c r="E567">
        <v>50</v>
      </c>
      <c r="F567" t="s">
        <v>13</v>
      </c>
      <c r="G567">
        <v>2</v>
      </c>
      <c r="H567" s="7">
        <v>500</v>
      </c>
      <c r="I567" s="7">
        <v>1000</v>
      </c>
      <c r="J567"/>
    </row>
    <row r="568" spans="1:10" x14ac:dyDescent="0.35">
      <c r="A568" t="s">
        <v>1236</v>
      </c>
      <c r="B568" s="1">
        <v>45006</v>
      </c>
      <c r="C568" t="s">
        <v>1096</v>
      </c>
      <c r="D568" t="s">
        <v>26</v>
      </c>
      <c r="E568">
        <v>41</v>
      </c>
      <c r="F568" t="s">
        <v>56</v>
      </c>
      <c r="G568">
        <v>2</v>
      </c>
      <c r="H568" s="7">
        <v>300</v>
      </c>
      <c r="I568" s="7">
        <v>600</v>
      </c>
      <c r="J568"/>
    </row>
    <row r="569" spans="1:10" x14ac:dyDescent="0.35">
      <c r="A569" t="s">
        <v>1239</v>
      </c>
      <c r="B569" s="1">
        <v>45236</v>
      </c>
      <c r="C569" t="s">
        <v>159</v>
      </c>
      <c r="D569" t="s">
        <v>26</v>
      </c>
      <c r="E569">
        <v>25</v>
      </c>
      <c r="F569" t="s">
        <v>56</v>
      </c>
      <c r="G569">
        <v>4</v>
      </c>
      <c r="H569" s="7">
        <v>300</v>
      </c>
      <c r="I569" s="7">
        <v>1200</v>
      </c>
      <c r="J569"/>
    </row>
    <row r="570" spans="1:10" x14ac:dyDescent="0.35">
      <c r="A570" t="s">
        <v>1241</v>
      </c>
      <c r="B570" s="1">
        <v>45156</v>
      </c>
      <c r="C570" t="s">
        <v>2282</v>
      </c>
      <c r="D570" t="s">
        <v>26</v>
      </c>
      <c r="E570">
        <v>56</v>
      </c>
      <c r="F570" t="s">
        <v>13</v>
      </c>
      <c r="G570">
        <v>3</v>
      </c>
      <c r="H570" s="7">
        <v>500</v>
      </c>
      <c r="I570" s="7">
        <v>1500</v>
      </c>
      <c r="J570"/>
    </row>
    <row r="571" spans="1:10" x14ac:dyDescent="0.35">
      <c r="A571" t="s">
        <v>1243</v>
      </c>
      <c r="B571" s="1">
        <v>45202</v>
      </c>
      <c r="C571" t="s">
        <v>2237</v>
      </c>
      <c r="D571" t="s">
        <v>34</v>
      </c>
      <c r="E571">
        <v>52</v>
      </c>
      <c r="F571" t="s">
        <v>13</v>
      </c>
      <c r="G571">
        <v>3</v>
      </c>
      <c r="H571" s="7">
        <v>50</v>
      </c>
      <c r="I571" s="7">
        <v>150</v>
      </c>
      <c r="J571"/>
    </row>
    <row r="572" spans="1:10" x14ac:dyDescent="0.35">
      <c r="A572" t="s">
        <v>1245</v>
      </c>
      <c r="B572" s="1">
        <v>44928</v>
      </c>
      <c r="C572" t="s">
        <v>1942</v>
      </c>
      <c r="D572" t="s">
        <v>26</v>
      </c>
      <c r="E572">
        <v>64</v>
      </c>
      <c r="F572" t="s">
        <v>56</v>
      </c>
      <c r="G572">
        <v>3</v>
      </c>
      <c r="H572" s="7">
        <v>50</v>
      </c>
      <c r="I572" s="7">
        <v>150</v>
      </c>
      <c r="J572"/>
    </row>
    <row r="573" spans="1:10" x14ac:dyDescent="0.35">
      <c r="A573" t="s">
        <v>1248</v>
      </c>
      <c r="B573" s="1">
        <v>45256</v>
      </c>
      <c r="C573" t="s">
        <v>872</v>
      </c>
      <c r="D573" t="s">
        <v>34</v>
      </c>
      <c r="E573">
        <v>51</v>
      </c>
      <c r="F573" t="s">
        <v>56</v>
      </c>
      <c r="G573">
        <v>3</v>
      </c>
      <c r="H573" s="7">
        <v>500</v>
      </c>
      <c r="I573" s="7">
        <v>1500</v>
      </c>
      <c r="J573"/>
    </row>
    <row r="574" spans="1:10" x14ac:dyDescent="0.35">
      <c r="A574" t="s">
        <v>1250</v>
      </c>
      <c r="B574" s="1">
        <v>45275</v>
      </c>
      <c r="C574" t="s">
        <v>2207</v>
      </c>
      <c r="D574" t="s">
        <v>34</v>
      </c>
      <c r="E574">
        <v>29</v>
      </c>
      <c r="F574" t="s">
        <v>56</v>
      </c>
      <c r="G574">
        <v>1</v>
      </c>
      <c r="H574" s="7">
        <v>50</v>
      </c>
      <c r="I574" s="7">
        <v>50</v>
      </c>
      <c r="J574"/>
    </row>
    <row r="575" spans="1:10" x14ac:dyDescent="0.35">
      <c r="A575" t="s">
        <v>1253</v>
      </c>
      <c r="B575" s="1">
        <v>45160</v>
      </c>
      <c r="C575" t="s">
        <v>2296</v>
      </c>
      <c r="D575" t="s">
        <v>34</v>
      </c>
      <c r="E575">
        <v>22</v>
      </c>
      <c r="F575" t="s">
        <v>36</v>
      </c>
      <c r="G575">
        <v>4</v>
      </c>
      <c r="H575" s="7">
        <v>300</v>
      </c>
      <c r="I575" s="7">
        <v>1200</v>
      </c>
      <c r="J575"/>
    </row>
    <row r="576" spans="1:10" x14ac:dyDescent="0.35">
      <c r="A576" t="s">
        <v>1255</v>
      </c>
      <c r="B576" s="1">
        <v>45221</v>
      </c>
      <c r="C576" t="s">
        <v>679</v>
      </c>
      <c r="D576" t="s">
        <v>26</v>
      </c>
      <c r="E576">
        <v>53</v>
      </c>
      <c r="F576" t="s">
        <v>56</v>
      </c>
      <c r="G576">
        <v>3</v>
      </c>
      <c r="H576" s="7">
        <v>300</v>
      </c>
      <c r="I576" s="7">
        <v>900</v>
      </c>
      <c r="J576"/>
    </row>
    <row r="577" spans="1:10" x14ac:dyDescent="0.35">
      <c r="A577" t="s">
        <v>1258</v>
      </c>
      <c r="B577" s="1">
        <v>45167</v>
      </c>
      <c r="C577" t="s">
        <v>2245</v>
      </c>
      <c r="D577" t="s">
        <v>34</v>
      </c>
      <c r="E577">
        <v>34</v>
      </c>
      <c r="F577" t="s">
        <v>36</v>
      </c>
      <c r="G577">
        <v>1</v>
      </c>
      <c r="H577" s="7">
        <v>30</v>
      </c>
      <c r="I577" s="7">
        <v>30</v>
      </c>
      <c r="J577"/>
    </row>
    <row r="578" spans="1:10" x14ac:dyDescent="0.35">
      <c r="A578" t="s">
        <v>1259</v>
      </c>
      <c r="B578" s="1">
        <v>45245</v>
      </c>
      <c r="C578" t="s">
        <v>1144</v>
      </c>
      <c r="D578" t="s">
        <v>34</v>
      </c>
      <c r="E578">
        <v>23</v>
      </c>
      <c r="F578" t="s">
        <v>13</v>
      </c>
      <c r="G578">
        <v>3</v>
      </c>
      <c r="H578" s="7">
        <v>500</v>
      </c>
      <c r="I578" s="7">
        <v>1500</v>
      </c>
      <c r="J578"/>
    </row>
    <row r="579" spans="1:10" x14ac:dyDescent="0.35">
      <c r="A579" t="s">
        <v>1261</v>
      </c>
      <c r="B579" s="1">
        <v>45283</v>
      </c>
      <c r="C579" t="s">
        <v>729</v>
      </c>
      <c r="D579" t="s">
        <v>26</v>
      </c>
      <c r="E579">
        <v>27</v>
      </c>
      <c r="F579" t="s">
        <v>13</v>
      </c>
      <c r="G579">
        <v>1</v>
      </c>
      <c r="H579" s="7">
        <v>25</v>
      </c>
      <c r="I579" s="7">
        <v>25</v>
      </c>
      <c r="J579"/>
    </row>
    <row r="580" spans="1:10" x14ac:dyDescent="0.35">
      <c r="A580" t="s">
        <v>1263</v>
      </c>
      <c r="B580" s="1">
        <v>45029</v>
      </c>
      <c r="C580" t="s">
        <v>2312</v>
      </c>
      <c r="D580" t="s">
        <v>26</v>
      </c>
      <c r="E580">
        <v>58</v>
      </c>
      <c r="F580" t="s">
        <v>56</v>
      </c>
      <c r="G580">
        <v>2</v>
      </c>
      <c r="H580" s="7">
        <v>30</v>
      </c>
      <c r="I580" s="7">
        <v>60</v>
      </c>
      <c r="J580"/>
    </row>
    <row r="581" spans="1:10" x14ac:dyDescent="0.35">
      <c r="A581" t="s">
        <v>1266</v>
      </c>
      <c r="B581" s="1">
        <v>45246</v>
      </c>
      <c r="C581" t="s">
        <v>1559</v>
      </c>
      <c r="D581" t="s">
        <v>34</v>
      </c>
      <c r="E581">
        <v>19</v>
      </c>
      <c r="F581" t="s">
        <v>13</v>
      </c>
      <c r="G581">
        <v>3</v>
      </c>
      <c r="H581" s="7">
        <v>500</v>
      </c>
      <c r="I581" s="7">
        <v>1500</v>
      </c>
      <c r="J581"/>
    </row>
    <row r="582" spans="1:10" x14ac:dyDescent="0.35">
      <c r="A582" t="s">
        <v>1268</v>
      </c>
      <c r="B582" s="1">
        <v>45247</v>
      </c>
      <c r="C582" t="s">
        <v>325</v>
      </c>
      <c r="D582" t="s">
        <v>34</v>
      </c>
      <c r="E582">
        <v>52</v>
      </c>
      <c r="F582" t="s">
        <v>36</v>
      </c>
      <c r="G582">
        <v>3</v>
      </c>
      <c r="H582" s="7">
        <v>30</v>
      </c>
      <c r="I582" s="7">
        <v>90</v>
      </c>
      <c r="J582"/>
    </row>
    <row r="583" spans="1:10" x14ac:dyDescent="0.35">
      <c r="A583" t="s">
        <v>1270</v>
      </c>
      <c r="B583" s="1">
        <v>45239</v>
      </c>
      <c r="C583" t="s">
        <v>707</v>
      </c>
      <c r="D583" t="s">
        <v>26</v>
      </c>
      <c r="E583">
        <v>18</v>
      </c>
      <c r="F583" t="s">
        <v>56</v>
      </c>
      <c r="G583">
        <v>4</v>
      </c>
      <c r="H583" s="7">
        <v>500</v>
      </c>
      <c r="I583" s="7">
        <v>2000</v>
      </c>
      <c r="J583"/>
    </row>
    <row r="584" spans="1:10" x14ac:dyDescent="0.35">
      <c r="A584" t="s">
        <v>1271</v>
      </c>
      <c r="B584" s="1">
        <v>45247</v>
      </c>
      <c r="C584" t="s">
        <v>133</v>
      </c>
      <c r="D584" t="s">
        <v>26</v>
      </c>
      <c r="E584">
        <v>48</v>
      </c>
      <c r="F584" t="s">
        <v>56</v>
      </c>
      <c r="G584">
        <v>3</v>
      </c>
      <c r="H584" s="7">
        <v>300</v>
      </c>
      <c r="I584" s="7">
        <v>900</v>
      </c>
      <c r="J584"/>
    </row>
    <row r="585" spans="1:10" x14ac:dyDescent="0.35">
      <c r="A585" t="s">
        <v>1272</v>
      </c>
      <c r="B585" s="1">
        <v>45147</v>
      </c>
      <c r="C585" t="s">
        <v>2265</v>
      </c>
      <c r="D585" t="s">
        <v>26</v>
      </c>
      <c r="E585">
        <v>45</v>
      </c>
      <c r="F585" t="s">
        <v>56</v>
      </c>
      <c r="G585">
        <v>4</v>
      </c>
      <c r="H585" s="7">
        <v>50</v>
      </c>
      <c r="I585" s="7">
        <v>200</v>
      </c>
      <c r="J585"/>
    </row>
    <row r="586" spans="1:10" x14ac:dyDescent="0.35">
      <c r="A586" t="s">
        <v>1274</v>
      </c>
      <c r="B586" s="1">
        <v>45170</v>
      </c>
      <c r="C586" t="s">
        <v>626</v>
      </c>
      <c r="D586" t="s">
        <v>34</v>
      </c>
      <c r="E586">
        <v>54</v>
      </c>
      <c r="F586" t="s">
        <v>36</v>
      </c>
      <c r="G586">
        <v>1</v>
      </c>
      <c r="H586" s="7">
        <v>25</v>
      </c>
      <c r="I586" s="7">
        <v>25</v>
      </c>
      <c r="J586"/>
    </row>
    <row r="587" spans="1:10" x14ac:dyDescent="0.35">
      <c r="A587" t="s">
        <v>1276</v>
      </c>
      <c r="B587" s="1">
        <v>45005</v>
      </c>
      <c r="C587" t="s">
        <v>1693</v>
      </c>
      <c r="D587" t="s">
        <v>34</v>
      </c>
      <c r="E587">
        <v>44</v>
      </c>
      <c r="F587" t="s">
        <v>13</v>
      </c>
      <c r="G587">
        <v>2</v>
      </c>
      <c r="H587" s="7">
        <v>300</v>
      </c>
      <c r="I587" s="7">
        <v>600</v>
      </c>
      <c r="J587"/>
    </row>
    <row r="588" spans="1:10" x14ac:dyDescent="0.35">
      <c r="A588" t="s">
        <v>1278</v>
      </c>
      <c r="B588" s="1">
        <v>45132</v>
      </c>
      <c r="C588" t="s">
        <v>1073</v>
      </c>
      <c r="D588" t="s">
        <v>34</v>
      </c>
      <c r="E588">
        <v>30</v>
      </c>
      <c r="F588" t="s">
        <v>36</v>
      </c>
      <c r="G588">
        <v>1</v>
      </c>
      <c r="H588" s="7">
        <v>500</v>
      </c>
      <c r="I588" s="7">
        <v>500</v>
      </c>
      <c r="J588"/>
    </row>
    <row r="589" spans="1:10" x14ac:dyDescent="0.35">
      <c r="A589" t="s">
        <v>1281</v>
      </c>
      <c r="B589" s="1">
        <v>45068</v>
      </c>
      <c r="C589" t="s">
        <v>440</v>
      </c>
      <c r="D589" t="s">
        <v>26</v>
      </c>
      <c r="E589">
        <v>54</v>
      </c>
      <c r="F589" t="s">
        <v>56</v>
      </c>
      <c r="G589">
        <v>4</v>
      </c>
      <c r="H589" s="7">
        <v>25</v>
      </c>
      <c r="I589" s="7">
        <v>100</v>
      </c>
      <c r="J589"/>
    </row>
    <row r="590" spans="1:10" x14ac:dyDescent="0.35">
      <c r="A590" t="s">
        <v>1283</v>
      </c>
      <c r="B590" s="1">
        <v>45052</v>
      </c>
      <c r="C590" t="s">
        <v>2285</v>
      </c>
      <c r="D590" t="s">
        <v>34</v>
      </c>
      <c r="E590">
        <v>35</v>
      </c>
      <c r="F590" t="s">
        <v>13</v>
      </c>
      <c r="G590">
        <v>2</v>
      </c>
      <c r="H590" s="7">
        <v>30</v>
      </c>
      <c r="I590" s="7">
        <v>60</v>
      </c>
      <c r="J590"/>
    </row>
    <row r="591" spans="1:10" x14ac:dyDescent="0.35">
      <c r="A591" t="s">
        <v>1284</v>
      </c>
      <c r="B591" s="1">
        <v>45243</v>
      </c>
      <c r="C591" t="s">
        <v>1163</v>
      </c>
      <c r="D591" t="s">
        <v>26</v>
      </c>
      <c r="E591">
        <v>57</v>
      </c>
      <c r="F591" t="s">
        <v>56</v>
      </c>
      <c r="G591">
        <v>1</v>
      </c>
      <c r="H591" s="7">
        <v>25</v>
      </c>
      <c r="I591" s="7">
        <v>25</v>
      </c>
      <c r="J591"/>
    </row>
    <row r="592" spans="1:10" x14ac:dyDescent="0.35">
      <c r="A592" t="s">
        <v>1286</v>
      </c>
      <c r="B592" s="1">
        <v>45018</v>
      </c>
      <c r="C592" t="s">
        <v>1663</v>
      </c>
      <c r="D592" t="s">
        <v>34</v>
      </c>
      <c r="E592">
        <v>43</v>
      </c>
      <c r="F592" t="s">
        <v>13</v>
      </c>
      <c r="G592">
        <v>3</v>
      </c>
      <c r="H592" s="7">
        <v>50</v>
      </c>
      <c r="I592" s="7">
        <v>150</v>
      </c>
      <c r="J592"/>
    </row>
    <row r="593" spans="1:10" x14ac:dyDescent="0.35">
      <c r="A593" t="s">
        <v>1288</v>
      </c>
      <c r="B593" s="1">
        <v>45085</v>
      </c>
      <c r="C593" t="s">
        <v>1346</v>
      </c>
      <c r="D593" t="s">
        <v>34</v>
      </c>
      <c r="E593">
        <v>25</v>
      </c>
      <c r="F593" t="s">
        <v>36</v>
      </c>
      <c r="G593">
        <v>1</v>
      </c>
      <c r="H593" s="7">
        <v>500</v>
      </c>
      <c r="I593" s="7">
        <v>500</v>
      </c>
      <c r="J593"/>
    </row>
    <row r="594" spans="1:10" x14ac:dyDescent="0.35">
      <c r="A594" t="s">
        <v>1289</v>
      </c>
      <c r="B594" s="1">
        <v>45123</v>
      </c>
      <c r="C594" t="s">
        <v>1746</v>
      </c>
      <c r="D594" t="s">
        <v>26</v>
      </c>
      <c r="E594">
        <v>44</v>
      </c>
      <c r="F594" t="s">
        <v>56</v>
      </c>
      <c r="G594">
        <v>4</v>
      </c>
      <c r="H594" s="7">
        <v>25</v>
      </c>
      <c r="I594" s="7">
        <v>100</v>
      </c>
      <c r="J594"/>
    </row>
    <row r="595" spans="1:10" x14ac:dyDescent="0.35">
      <c r="A595" t="s">
        <v>1290</v>
      </c>
      <c r="B595" s="1">
        <v>45244</v>
      </c>
      <c r="C595" t="s">
        <v>2275</v>
      </c>
      <c r="D595" t="s">
        <v>34</v>
      </c>
      <c r="E595">
        <v>35</v>
      </c>
      <c r="F595" t="s">
        <v>56</v>
      </c>
      <c r="G595">
        <v>3</v>
      </c>
      <c r="H595" s="7">
        <v>300</v>
      </c>
      <c r="I595" s="7">
        <v>900</v>
      </c>
      <c r="J595"/>
    </row>
    <row r="596" spans="1:10" x14ac:dyDescent="0.35">
      <c r="A596" t="s">
        <v>1292</v>
      </c>
      <c r="B596" s="1">
        <v>44947</v>
      </c>
      <c r="C596" t="s">
        <v>936</v>
      </c>
      <c r="D596" t="s">
        <v>26</v>
      </c>
      <c r="E596">
        <v>42</v>
      </c>
      <c r="F596" t="s">
        <v>36</v>
      </c>
      <c r="G596">
        <v>1</v>
      </c>
      <c r="H596" s="7">
        <v>30</v>
      </c>
      <c r="I596" s="7">
        <v>30</v>
      </c>
      <c r="J596"/>
    </row>
    <row r="597" spans="1:10" x14ac:dyDescent="0.35">
      <c r="A597" t="s">
        <v>1295</v>
      </c>
      <c r="B597" s="1">
        <v>45171</v>
      </c>
      <c r="C597" t="s">
        <v>666</v>
      </c>
      <c r="D597" t="s">
        <v>34</v>
      </c>
      <c r="E597">
        <v>46</v>
      </c>
      <c r="F597" t="s">
        <v>36</v>
      </c>
      <c r="G597">
        <v>4</v>
      </c>
      <c r="H597" s="7">
        <v>300</v>
      </c>
      <c r="I597" s="7">
        <v>1200</v>
      </c>
      <c r="J597"/>
    </row>
    <row r="598" spans="1:10" x14ac:dyDescent="0.35">
      <c r="A598" t="s">
        <v>1296</v>
      </c>
      <c r="B598" s="1">
        <v>45194</v>
      </c>
      <c r="C598" t="s">
        <v>933</v>
      </c>
      <c r="D598" t="s">
        <v>26</v>
      </c>
      <c r="E598">
        <v>62</v>
      </c>
      <c r="F598" t="s">
        <v>36</v>
      </c>
      <c r="G598">
        <v>2</v>
      </c>
      <c r="H598" s="7">
        <v>50</v>
      </c>
      <c r="I598" s="7">
        <v>100</v>
      </c>
      <c r="J598"/>
    </row>
    <row r="599" spans="1:10" x14ac:dyDescent="0.35">
      <c r="A599" t="s">
        <v>1298</v>
      </c>
      <c r="B599" s="1">
        <v>45012</v>
      </c>
      <c r="C599" t="s">
        <v>1139</v>
      </c>
      <c r="D599" t="s">
        <v>26</v>
      </c>
      <c r="E599">
        <v>23</v>
      </c>
      <c r="F599" t="s">
        <v>56</v>
      </c>
      <c r="G599">
        <v>3</v>
      </c>
      <c r="H599" s="7">
        <v>30</v>
      </c>
      <c r="I599" s="7">
        <v>90</v>
      </c>
      <c r="J599"/>
    </row>
    <row r="600" spans="1:10" x14ac:dyDescent="0.35">
      <c r="A600" t="s">
        <v>1301</v>
      </c>
      <c r="B600" s="1">
        <v>45088</v>
      </c>
      <c r="C600" t="s">
        <v>2212</v>
      </c>
      <c r="D600" t="s">
        <v>34</v>
      </c>
      <c r="E600">
        <v>31</v>
      </c>
      <c r="F600" t="s">
        <v>56</v>
      </c>
      <c r="G600">
        <v>1</v>
      </c>
      <c r="H600" s="7">
        <v>300</v>
      </c>
      <c r="I600" s="7">
        <v>300</v>
      </c>
      <c r="J600"/>
    </row>
    <row r="601" spans="1:10" x14ac:dyDescent="0.35">
      <c r="A601" t="s">
        <v>1303</v>
      </c>
      <c r="B601" s="1">
        <v>45163</v>
      </c>
      <c r="C601" t="s">
        <v>2280</v>
      </c>
      <c r="D601" t="s">
        <v>26</v>
      </c>
      <c r="E601">
        <v>59</v>
      </c>
      <c r="F601" t="s">
        <v>36</v>
      </c>
      <c r="G601">
        <v>3</v>
      </c>
      <c r="H601" s="7">
        <v>25</v>
      </c>
      <c r="I601" s="7">
        <v>75</v>
      </c>
      <c r="J601"/>
    </row>
    <row r="602" spans="1:10" x14ac:dyDescent="0.35">
      <c r="A602" t="s">
        <v>1305</v>
      </c>
      <c r="B602" s="1">
        <v>44942</v>
      </c>
      <c r="C602" t="s">
        <v>941</v>
      </c>
      <c r="D602" t="s">
        <v>26</v>
      </c>
      <c r="E602">
        <v>42</v>
      </c>
      <c r="F602" t="s">
        <v>13</v>
      </c>
      <c r="G602">
        <v>4</v>
      </c>
      <c r="H602" s="7">
        <v>500</v>
      </c>
      <c r="I602" s="7">
        <v>2000</v>
      </c>
      <c r="J602"/>
    </row>
    <row r="603" spans="1:10" x14ac:dyDescent="0.35">
      <c r="A603" t="s">
        <v>1307</v>
      </c>
      <c r="B603" s="1">
        <v>45252</v>
      </c>
      <c r="C603" t="s">
        <v>1958</v>
      </c>
      <c r="D603" t="s">
        <v>26</v>
      </c>
      <c r="E603">
        <v>28</v>
      </c>
      <c r="F603" t="s">
        <v>36</v>
      </c>
      <c r="G603">
        <v>2</v>
      </c>
      <c r="H603" s="7">
        <v>50</v>
      </c>
      <c r="I603" s="7">
        <v>100</v>
      </c>
      <c r="J603"/>
    </row>
    <row r="604" spans="1:10" x14ac:dyDescent="0.35">
      <c r="A604" t="s">
        <v>1310</v>
      </c>
      <c r="B604" s="1">
        <v>44978</v>
      </c>
      <c r="C604" t="s">
        <v>1194</v>
      </c>
      <c r="D604" t="s">
        <v>26</v>
      </c>
      <c r="E604">
        <v>20</v>
      </c>
      <c r="F604" t="s">
        <v>36</v>
      </c>
      <c r="G604">
        <v>1</v>
      </c>
      <c r="H604" s="7">
        <v>25</v>
      </c>
      <c r="I604" s="7">
        <v>25</v>
      </c>
      <c r="J604"/>
    </row>
    <row r="605" spans="1:10" x14ac:dyDescent="0.35">
      <c r="A605" t="s">
        <v>1313</v>
      </c>
      <c r="B605" s="1">
        <v>45018</v>
      </c>
      <c r="C605" t="s">
        <v>1102</v>
      </c>
      <c r="D605" t="s">
        <v>34</v>
      </c>
      <c r="E605">
        <v>34</v>
      </c>
      <c r="F605" t="s">
        <v>56</v>
      </c>
      <c r="G605">
        <v>4</v>
      </c>
      <c r="H605" s="7">
        <v>500</v>
      </c>
      <c r="I605" s="7">
        <v>2000</v>
      </c>
      <c r="J605"/>
    </row>
    <row r="606" spans="1:10" x14ac:dyDescent="0.35">
      <c r="A606" t="s">
        <v>1315</v>
      </c>
      <c r="B606" s="1">
        <v>45280</v>
      </c>
      <c r="C606" t="s">
        <v>1449</v>
      </c>
      <c r="D606" t="s">
        <v>34</v>
      </c>
      <c r="E606">
        <v>34</v>
      </c>
      <c r="F606" t="s">
        <v>13</v>
      </c>
      <c r="G606">
        <v>2</v>
      </c>
      <c r="H606" s="7">
        <v>25</v>
      </c>
      <c r="I606" s="7">
        <v>50</v>
      </c>
      <c r="J606"/>
    </row>
    <row r="607" spans="1:10" x14ac:dyDescent="0.35">
      <c r="A607" t="s">
        <v>1317</v>
      </c>
      <c r="B607" s="1">
        <v>45272</v>
      </c>
      <c r="C607" t="s">
        <v>1273</v>
      </c>
      <c r="D607" t="s">
        <v>26</v>
      </c>
      <c r="E607">
        <v>52</v>
      </c>
      <c r="F607" t="s">
        <v>36</v>
      </c>
      <c r="G607">
        <v>3</v>
      </c>
      <c r="H607" s="7">
        <v>50</v>
      </c>
      <c r="I607" s="7">
        <v>150</v>
      </c>
      <c r="J607"/>
    </row>
    <row r="608" spans="1:10" x14ac:dyDescent="0.35">
      <c r="A608" t="s">
        <v>71</v>
      </c>
      <c r="B608" s="1">
        <v>45222</v>
      </c>
      <c r="C608" t="s">
        <v>1817</v>
      </c>
      <c r="D608" t="s">
        <v>34</v>
      </c>
      <c r="E608">
        <v>30</v>
      </c>
      <c r="F608" t="s">
        <v>36</v>
      </c>
      <c r="G608">
        <v>3</v>
      </c>
      <c r="H608" s="7">
        <v>50</v>
      </c>
      <c r="I608" s="7">
        <v>150</v>
      </c>
      <c r="J608"/>
    </row>
    <row r="609" spans="1:10" x14ac:dyDescent="0.35">
      <c r="A609" t="s">
        <v>1321</v>
      </c>
      <c r="B609" s="1">
        <v>45269</v>
      </c>
      <c r="C609" t="s">
        <v>2286</v>
      </c>
      <c r="D609" t="s">
        <v>26</v>
      </c>
      <c r="E609">
        <v>55</v>
      </c>
      <c r="F609" t="s">
        <v>13</v>
      </c>
      <c r="G609">
        <v>1</v>
      </c>
      <c r="H609" s="7">
        <v>500</v>
      </c>
      <c r="I609" s="7">
        <v>500</v>
      </c>
      <c r="J609"/>
    </row>
    <row r="610" spans="1:10" x14ac:dyDescent="0.35">
      <c r="A610" t="s">
        <v>1322</v>
      </c>
      <c r="B610" s="1">
        <v>45061</v>
      </c>
      <c r="C610" t="s">
        <v>2257</v>
      </c>
      <c r="D610" t="s">
        <v>26</v>
      </c>
      <c r="E610">
        <v>55</v>
      </c>
      <c r="F610" t="s">
        <v>13</v>
      </c>
      <c r="G610">
        <v>4</v>
      </c>
      <c r="H610" s="7">
        <v>30</v>
      </c>
      <c r="I610" s="7">
        <v>120</v>
      </c>
      <c r="J610"/>
    </row>
    <row r="611" spans="1:10" x14ac:dyDescent="0.35">
      <c r="A611" t="s">
        <v>1326</v>
      </c>
      <c r="B611" s="1">
        <v>45048</v>
      </c>
      <c r="C611" t="s">
        <v>403</v>
      </c>
      <c r="D611" t="s">
        <v>34</v>
      </c>
      <c r="E611">
        <v>50</v>
      </c>
      <c r="F611" t="s">
        <v>13</v>
      </c>
      <c r="G611">
        <v>3</v>
      </c>
      <c r="H611" s="7">
        <v>30</v>
      </c>
      <c r="I611" s="7">
        <v>90</v>
      </c>
      <c r="J611"/>
    </row>
    <row r="612" spans="1:10" x14ac:dyDescent="0.35">
      <c r="A612" t="s">
        <v>52</v>
      </c>
      <c r="B612" s="1">
        <v>44974</v>
      </c>
      <c r="C612" t="s">
        <v>2201</v>
      </c>
      <c r="D612" t="s">
        <v>34</v>
      </c>
      <c r="E612">
        <v>22</v>
      </c>
      <c r="F612" t="s">
        <v>56</v>
      </c>
      <c r="G612">
        <v>3</v>
      </c>
      <c r="H612" s="7">
        <v>300</v>
      </c>
      <c r="I612" s="7">
        <v>900</v>
      </c>
      <c r="J612"/>
    </row>
    <row r="613" spans="1:10" x14ac:dyDescent="0.35">
      <c r="A613" t="s">
        <v>1330</v>
      </c>
      <c r="B613" s="1">
        <v>45187</v>
      </c>
      <c r="C613" t="s">
        <v>669</v>
      </c>
      <c r="D613" t="s">
        <v>26</v>
      </c>
      <c r="E613">
        <v>25</v>
      </c>
      <c r="F613" t="s">
        <v>36</v>
      </c>
      <c r="G613">
        <v>4</v>
      </c>
      <c r="H613" s="7">
        <v>50</v>
      </c>
      <c r="I613" s="7">
        <v>200</v>
      </c>
      <c r="J613"/>
    </row>
    <row r="614" spans="1:10" x14ac:dyDescent="0.35">
      <c r="A614" t="s">
        <v>1331</v>
      </c>
      <c r="B614" s="1">
        <v>45283</v>
      </c>
      <c r="C614" t="s">
        <v>2260</v>
      </c>
      <c r="D614" t="s">
        <v>26</v>
      </c>
      <c r="E614">
        <v>61</v>
      </c>
      <c r="F614" t="s">
        <v>56</v>
      </c>
      <c r="G614">
        <v>4</v>
      </c>
      <c r="H614" s="7">
        <v>25</v>
      </c>
      <c r="I614" s="7">
        <v>100</v>
      </c>
      <c r="J614"/>
    </row>
    <row r="615" spans="1:10" x14ac:dyDescent="0.35">
      <c r="A615" t="s">
        <v>1333</v>
      </c>
      <c r="B615" s="1">
        <v>45145</v>
      </c>
      <c r="C615" t="s">
        <v>523</v>
      </c>
      <c r="D615" t="s">
        <v>26</v>
      </c>
      <c r="E615">
        <v>43</v>
      </c>
      <c r="F615" t="s">
        <v>13</v>
      </c>
      <c r="G615">
        <v>3</v>
      </c>
      <c r="H615" s="7">
        <v>300</v>
      </c>
      <c r="I615" s="7">
        <v>900</v>
      </c>
      <c r="J615"/>
    </row>
    <row r="616" spans="1:10" x14ac:dyDescent="0.35">
      <c r="A616" t="s">
        <v>1334</v>
      </c>
      <c r="B616" s="1">
        <v>45270</v>
      </c>
      <c r="C616" t="s">
        <v>1978</v>
      </c>
      <c r="D616" t="s">
        <v>26</v>
      </c>
      <c r="E616">
        <v>64</v>
      </c>
      <c r="F616" t="s">
        <v>56</v>
      </c>
      <c r="G616">
        <v>2</v>
      </c>
      <c r="H616" s="7">
        <v>30</v>
      </c>
      <c r="I616" s="7">
        <v>60</v>
      </c>
      <c r="J616"/>
    </row>
    <row r="617" spans="1:10" x14ac:dyDescent="0.35">
      <c r="A617" t="s">
        <v>65</v>
      </c>
      <c r="B617" s="1">
        <v>45156</v>
      </c>
      <c r="C617" t="s">
        <v>648</v>
      </c>
      <c r="D617" t="s">
        <v>26</v>
      </c>
      <c r="E617">
        <v>42</v>
      </c>
      <c r="F617" t="s">
        <v>13</v>
      </c>
      <c r="G617">
        <v>1</v>
      </c>
      <c r="H617" s="7">
        <v>30</v>
      </c>
      <c r="I617" s="7">
        <v>30</v>
      </c>
      <c r="J617"/>
    </row>
    <row r="618" spans="1:10" x14ac:dyDescent="0.35">
      <c r="A618" t="s">
        <v>1338</v>
      </c>
      <c r="B618" s="1">
        <v>45024</v>
      </c>
      <c r="C618" t="s">
        <v>1073</v>
      </c>
      <c r="D618" t="s">
        <v>34</v>
      </c>
      <c r="E618">
        <v>48</v>
      </c>
      <c r="F618" t="s">
        <v>56</v>
      </c>
      <c r="G618">
        <v>1</v>
      </c>
      <c r="H618" s="7">
        <v>30</v>
      </c>
      <c r="I618" s="7">
        <v>30</v>
      </c>
      <c r="J618"/>
    </row>
    <row r="619" spans="1:10" x14ac:dyDescent="0.35">
      <c r="A619" t="s">
        <v>1341</v>
      </c>
      <c r="B619" s="1">
        <v>45165</v>
      </c>
      <c r="C619" t="s">
        <v>2299</v>
      </c>
      <c r="D619" t="s">
        <v>26</v>
      </c>
      <c r="E619">
        <v>62</v>
      </c>
      <c r="F619" t="s">
        <v>13</v>
      </c>
      <c r="G619">
        <v>4</v>
      </c>
      <c r="H619" s="7">
        <v>300</v>
      </c>
      <c r="I619" s="7">
        <v>1200</v>
      </c>
      <c r="J619"/>
    </row>
    <row r="620" spans="1:10" x14ac:dyDescent="0.35">
      <c r="A620" t="s">
        <v>1343</v>
      </c>
      <c r="B620" s="1">
        <v>45006</v>
      </c>
      <c r="C620" t="s">
        <v>763</v>
      </c>
      <c r="D620" t="s">
        <v>34</v>
      </c>
      <c r="E620">
        <v>28</v>
      </c>
      <c r="F620" t="s">
        <v>56</v>
      </c>
      <c r="G620">
        <v>4</v>
      </c>
      <c r="H620" s="7">
        <v>300</v>
      </c>
      <c r="I620" s="7">
        <v>1200</v>
      </c>
      <c r="J620"/>
    </row>
    <row r="621" spans="1:10" x14ac:dyDescent="0.35">
      <c r="A621" t="s">
        <v>1344</v>
      </c>
      <c r="B621" s="1">
        <v>45151</v>
      </c>
      <c r="C621" t="s">
        <v>1407</v>
      </c>
      <c r="D621" t="s">
        <v>34</v>
      </c>
      <c r="E621">
        <v>55</v>
      </c>
      <c r="F621" t="s">
        <v>56</v>
      </c>
      <c r="G621">
        <v>1</v>
      </c>
      <c r="H621" s="7">
        <v>500</v>
      </c>
      <c r="I621" s="7">
        <v>500</v>
      </c>
      <c r="J621"/>
    </row>
    <row r="622" spans="1:10" x14ac:dyDescent="0.35">
      <c r="A622" t="s">
        <v>1345</v>
      </c>
      <c r="B622" s="1">
        <v>45024</v>
      </c>
      <c r="C622" t="s">
        <v>1312</v>
      </c>
      <c r="D622" t="s">
        <v>34</v>
      </c>
      <c r="E622">
        <v>52</v>
      </c>
      <c r="F622" t="s">
        <v>56</v>
      </c>
      <c r="G622">
        <v>4</v>
      </c>
      <c r="H622" s="7">
        <v>30</v>
      </c>
      <c r="I622" s="7">
        <v>120</v>
      </c>
      <c r="J622"/>
    </row>
    <row r="623" spans="1:10" x14ac:dyDescent="0.35">
      <c r="A623" t="s">
        <v>1347</v>
      </c>
      <c r="B623" s="1">
        <v>44963</v>
      </c>
      <c r="C623" t="s">
        <v>1896</v>
      </c>
      <c r="D623" t="s">
        <v>34</v>
      </c>
      <c r="E623">
        <v>31</v>
      </c>
      <c r="F623" t="s">
        <v>56</v>
      </c>
      <c r="G623">
        <v>3</v>
      </c>
      <c r="H623" s="7">
        <v>50</v>
      </c>
      <c r="I623" s="7">
        <v>150</v>
      </c>
      <c r="J623"/>
    </row>
    <row r="624" spans="1:10" x14ac:dyDescent="0.35">
      <c r="A624" t="s">
        <v>1350</v>
      </c>
      <c r="B624" s="1">
        <v>45013</v>
      </c>
      <c r="C624" t="s">
        <v>2207</v>
      </c>
      <c r="D624" t="s">
        <v>34</v>
      </c>
      <c r="E624">
        <v>60</v>
      </c>
      <c r="F624" t="s">
        <v>56</v>
      </c>
      <c r="G624">
        <v>2</v>
      </c>
      <c r="H624" s="7">
        <v>50</v>
      </c>
      <c r="I624" s="7">
        <v>100</v>
      </c>
      <c r="J624"/>
    </row>
    <row r="625" spans="1:10" x14ac:dyDescent="0.35">
      <c r="A625" t="s">
        <v>1352</v>
      </c>
      <c r="B625" s="1">
        <v>45248</v>
      </c>
      <c r="C625" t="s">
        <v>133</v>
      </c>
      <c r="D625" t="s">
        <v>34</v>
      </c>
      <c r="E625">
        <v>46</v>
      </c>
      <c r="F625" t="s">
        <v>36</v>
      </c>
      <c r="G625">
        <v>2</v>
      </c>
      <c r="H625" s="7">
        <v>500</v>
      </c>
      <c r="I625" s="7">
        <v>1000</v>
      </c>
      <c r="J625"/>
    </row>
    <row r="626" spans="1:10" x14ac:dyDescent="0.35">
      <c r="A626" t="s">
        <v>1354</v>
      </c>
      <c r="B626" s="1">
        <v>45262</v>
      </c>
      <c r="C626" t="s">
        <v>1238</v>
      </c>
      <c r="D626" t="s">
        <v>34</v>
      </c>
      <c r="E626">
        <v>37</v>
      </c>
      <c r="F626" t="s">
        <v>56</v>
      </c>
      <c r="G626">
        <v>3</v>
      </c>
      <c r="H626" s="7">
        <v>500</v>
      </c>
      <c r="I626" s="7">
        <v>1500</v>
      </c>
      <c r="J626"/>
    </row>
    <row r="627" spans="1:10" x14ac:dyDescent="0.35">
      <c r="A627" t="s">
        <v>1357</v>
      </c>
      <c r="B627" s="1">
        <v>44962</v>
      </c>
      <c r="C627" t="s">
        <v>1837</v>
      </c>
      <c r="D627" t="s">
        <v>34</v>
      </c>
      <c r="E627">
        <v>52</v>
      </c>
      <c r="F627" t="s">
        <v>56</v>
      </c>
      <c r="G627">
        <v>1</v>
      </c>
      <c r="H627" s="7">
        <v>30</v>
      </c>
      <c r="I627" s="7">
        <v>30</v>
      </c>
      <c r="J627"/>
    </row>
    <row r="628" spans="1:10" x14ac:dyDescent="0.35">
      <c r="A628" t="s">
        <v>1359</v>
      </c>
      <c r="B628" s="1">
        <v>45198</v>
      </c>
      <c r="C628" t="s">
        <v>1488</v>
      </c>
      <c r="D628" t="s">
        <v>34</v>
      </c>
      <c r="E628">
        <v>31</v>
      </c>
      <c r="F628" t="s">
        <v>13</v>
      </c>
      <c r="G628">
        <v>1</v>
      </c>
      <c r="H628" s="7">
        <v>300</v>
      </c>
      <c r="I628" s="7">
        <v>300</v>
      </c>
      <c r="J628"/>
    </row>
    <row r="629" spans="1:10" x14ac:dyDescent="0.35">
      <c r="A629" t="s">
        <v>1361</v>
      </c>
      <c r="B629" s="1">
        <v>45174</v>
      </c>
      <c r="C629" t="s">
        <v>2216</v>
      </c>
      <c r="D629" t="s">
        <v>34</v>
      </c>
      <c r="E629">
        <v>52</v>
      </c>
      <c r="F629" t="s">
        <v>13</v>
      </c>
      <c r="G629">
        <v>1</v>
      </c>
      <c r="H629" s="7">
        <v>30</v>
      </c>
      <c r="I629" s="7">
        <v>30</v>
      </c>
      <c r="J629"/>
    </row>
    <row r="630" spans="1:10" x14ac:dyDescent="0.35">
      <c r="A630" t="s">
        <v>1363</v>
      </c>
      <c r="B630" s="1">
        <v>45201</v>
      </c>
      <c r="C630" t="s">
        <v>747</v>
      </c>
      <c r="D630" t="s">
        <v>34</v>
      </c>
      <c r="E630">
        <v>41</v>
      </c>
      <c r="F630" t="s">
        <v>56</v>
      </c>
      <c r="G630">
        <v>4</v>
      </c>
      <c r="H630" s="7">
        <v>30</v>
      </c>
      <c r="I630" s="7">
        <v>120</v>
      </c>
      <c r="J630"/>
    </row>
    <row r="631" spans="1:10" x14ac:dyDescent="0.35">
      <c r="A631" t="s">
        <v>1365</v>
      </c>
      <c r="B631" s="1">
        <v>44997</v>
      </c>
      <c r="C631" t="s">
        <v>1754</v>
      </c>
      <c r="D631" t="s">
        <v>26</v>
      </c>
      <c r="E631">
        <v>57</v>
      </c>
      <c r="F631" t="s">
        <v>56</v>
      </c>
      <c r="G631">
        <v>1</v>
      </c>
      <c r="H631" s="7">
        <v>500</v>
      </c>
      <c r="I631" s="7">
        <v>500</v>
      </c>
      <c r="J631"/>
    </row>
    <row r="632" spans="1:10" x14ac:dyDescent="0.35">
      <c r="A632" t="s">
        <v>1368</v>
      </c>
      <c r="B632" s="1">
        <v>45133</v>
      </c>
      <c r="C632" t="s">
        <v>1952</v>
      </c>
      <c r="D632" t="s">
        <v>34</v>
      </c>
      <c r="E632">
        <v>54</v>
      </c>
      <c r="F632" t="s">
        <v>36</v>
      </c>
      <c r="G632">
        <v>2</v>
      </c>
      <c r="H632" s="7">
        <v>50</v>
      </c>
      <c r="I632" s="7">
        <v>100</v>
      </c>
      <c r="J632"/>
    </row>
    <row r="633" spans="1:10" x14ac:dyDescent="0.35">
      <c r="A633" t="s">
        <v>1370</v>
      </c>
      <c r="B633" s="1">
        <v>45279</v>
      </c>
      <c r="C633" t="s">
        <v>2218</v>
      </c>
      <c r="D633" t="s">
        <v>26</v>
      </c>
      <c r="E633">
        <v>47</v>
      </c>
      <c r="F633" t="s">
        <v>56</v>
      </c>
      <c r="G633">
        <v>2</v>
      </c>
      <c r="H633" s="7">
        <v>50</v>
      </c>
      <c r="I633" s="7">
        <v>100</v>
      </c>
      <c r="J633"/>
    </row>
    <row r="634" spans="1:10" x14ac:dyDescent="0.35">
      <c r="A634" t="s">
        <v>1372</v>
      </c>
      <c r="B634" s="1">
        <v>45146</v>
      </c>
      <c r="C634" t="s">
        <v>888</v>
      </c>
      <c r="D634" t="s">
        <v>34</v>
      </c>
      <c r="E634">
        <v>48</v>
      </c>
      <c r="F634" t="s">
        <v>56</v>
      </c>
      <c r="G634">
        <v>2</v>
      </c>
      <c r="H634" s="7">
        <v>50</v>
      </c>
      <c r="I634" s="7">
        <v>100</v>
      </c>
      <c r="J634"/>
    </row>
    <row r="635" spans="1:10" x14ac:dyDescent="0.35">
      <c r="A635" t="s">
        <v>1374</v>
      </c>
      <c r="B635" s="1">
        <v>45035</v>
      </c>
      <c r="C635" t="s">
        <v>1447</v>
      </c>
      <c r="D635" t="s">
        <v>26</v>
      </c>
      <c r="E635">
        <v>40</v>
      </c>
      <c r="F635" t="s">
        <v>56</v>
      </c>
      <c r="G635">
        <v>3</v>
      </c>
      <c r="H635" s="7">
        <v>300</v>
      </c>
      <c r="I635" s="7">
        <v>900</v>
      </c>
      <c r="J635"/>
    </row>
    <row r="636" spans="1:10" x14ac:dyDescent="0.35">
      <c r="A636" t="s">
        <v>1375</v>
      </c>
      <c r="B636" s="1">
        <v>45210</v>
      </c>
      <c r="C636" t="s">
        <v>1962</v>
      </c>
      <c r="D636" t="s">
        <v>34</v>
      </c>
      <c r="E636">
        <v>36</v>
      </c>
      <c r="F636" t="s">
        <v>13</v>
      </c>
      <c r="G636">
        <v>2</v>
      </c>
      <c r="H636" s="7">
        <v>50</v>
      </c>
      <c r="I636" s="7">
        <v>100</v>
      </c>
      <c r="J636"/>
    </row>
    <row r="637" spans="1:10" x14ac:dyDescent="0.35">
      <c r="A637" t="s">
        <v>1376</v>
      </c>
      <c r="B637" s="1">
        <v>44958</v>
      </c>
      <c r="C637" t="s">
        <v>455</v>
      </c>
      <c r="D637" t="s">
        <v>34</v>
      </c>
      <c r="E637">
        <v>25</v>
      </c>
      <c r="F637" t="s">
        <v>56</v>
      </c>
      <c r="G637">
        <v>4</v>
      </c>
      <c r="H637" s="7">
        <v>500</v>
      </c>
      <c r="I637" s="7">
        <v>2000</v>
      </c>
      <c r="J637"/>
    </row>
    <row r="638" spans="1:10" x14ac:dyDescent="0.35">
      <c r="A638" t="s">
        <v>1378</v>
      </c>
      <c r="B638" s="1">
        <v>44943</v>
      </c>
      <c r="C638" t="s">
        <v>1867</v>
      </c>
      <c r="D638" t="s">
        <v>26</v>
      </c>
      <c r="E638">
        <v>49</v>
      </c>
      <c r="F638" t="s">
        <v>56</v>
      </c>
      <c r="G638">
        <v>2</v>
      </c>
      <c r="H638" s="7">
        <v>500</v>
      </c>
      <c r="I638" s="7">
        <v>1000</v>
      </c>
      <c r="J638"/>
    </row>
    <row r="639" spans="1:10" x14ac:dyDescent="0.35">
      <c r="A639" t="s">
        <v>1379</v>
      </c>
      <c r="B639" s="1">
        <v>45070</v>
      </c>
      <c r="C639" t="s">
        <v>1240</v>
      </c>
      <c r="D639" t="s">
        <v>34</v>
      </c>
      <c r="E639">
        <v>62</v>
      </c>
      <c r="F639" t="s">
        <v>56</v>
      </c>
      <c r="G639">
        <v>2</v>
      </c>
      <c r="H639" s="7">
        <v>25</v>
      </c>
      <c r="I639" s="7">
        <v>50</v>
      </c>
      <c r="J639"/>
    </row>
    <row r="640" spans="1:10" x14ac:dyDescent="0.35">
      <c r="A640" t="s">
        <v>1381</v>
      </c>
      <c r="B640" s="1">
        <v>45088</v>
      </c>
      <c r="C640" t="s">
        <v>1401</v>
      </c>
      <c r="D640" t="s">
        <v>26</v>
      </c>
      <c r="E640">
        <v>34</v>
      </c>
      <c r="F640" t="s">
        <v>36</v>
      </c>
      <c r="G640">
        <v>2</v>
      </c>
      <c r="H640" s="7">
        <v>500</v>
      </c>
      <c r="I640" s="7">
        <v>1000</v>
      </c>
      <c r="J640"/>
    </row>
    <row r="641" spans="1:10" x14ac:dyDescent="0.35">
      <c r="A641" t="s">
        <v>1383</v>
      </c>
      <c r="B641" s="1">
        <v>45170</v>
      </c>
      <c r="C641" t="s">
        <v>2281</v>
      </c>
      <c r="D641" t="s">
        <v>26</v>
      </c>
      <c r="E641">
        <v>19</v>
      </c>
      <c r="F641" t="s">
        <v>13</v>
      </c>
      <c r="G641">
        <v>2</v>
      </c>
      <c r="H641" s="7">
        <v>300</v>
      </c>
      <c r="I641" s="7">
        <v>600</v>
      </c>
      <c r="J641"/>
    </row>
    <row r="642" spans="1:10" x14ac:dyDescent="0.35">
      <c r="A642" t="s">
        <v>1384</v>
      </c>
      <c r="B642" s="1">
        <v>44974</v>
      </c>
      <c r="C642" t="s">
        <v>359</v>
      </c>
      <c r="D642" t="s">
        <v>26</v>
      </c>
      <c r="E642">
        <v>41</v>
      </c>
      <c r="F642" t="s">
        <v>56</v>
      </c>
      <c r="G642">
        <v>3</v>
      </c>
      <c r="H642" s="7">
        <v>30</v>
      </c>
      <c r="I642" s="7">
        <v>90</v>
      </c>
      <c r="J642"/>
    </row>
    <row r="643" spans="1:10" x14ac:dyDescent="0.35">
      <c r="A643" t="s">
        <v>1385</v>
      </c>
      <c r="B643" s="1">
        <v>45005</v>
      </c>
      <c r="C643" t="s">
        <v>2205</v>
      </c>
      <c r="D643" t="s">
        <v>34</v>
      </c>
      <c r="E643">
        <v>23</v>
      </c>
      <c r="F643" t="s">
        <v>56</v>
      </c>
      <c r="G643">
        <v>4</v>
      </c>
      <c r="H643" s="7">
        <v>300</v>
      </c>
      <c r="I643" s="7">
        <v>1200</v>
      </c>
      <c r="J643"/>
    </row>
    <row r="644" spans="1:10" x14ac:dyDescent="0.35">
      <c r="A644" t="s">
        <v>1388</v>
      </c>
      <c r="B644" s="1">
        <v>45044</v>
      </c>
      <c r="C644" t="s">
        <v>490</v>
      </c>
      <c r="D644" t="s">
        <v>26</v>
      </c>
      <c r="E644">
        <v>59</v>
      </c>
      <c r="F644" t="s">
        <v>13</v>
      </c>
      <c r="G644">
        <v>2</v>
      </c>
      <c r="H644" s="7">
        <v>30</v>
      </c>
      <c r="I644" s="7">
        <v>60</v>
      </c>
      <c r="J644"/>
    </row>
    <row r="645" spans="1:10" x14ac:dyDescent="0.35">
      <c r="A645" t="s">
        <v>1389</v>
      </c>
      <c r="B645" s="1">
        <v>45278</v>
      </c>
      <c r="C645" t="s">
        <v>194</v>
      </c>
      <c r="D645" t="s">
        <v>26</v>
      </c>
      <c r="E645">
        <v>46</v>
      </c>
      <c r="F645" t="s">
        <v>13</v>
      </c>
      <c r="G645">
        <v>1</v>
      </c>
      <c r="H645" s="7">
        <v>300</v>
      </c>
      <c r="I645" s="7">
        <v>300</v>
      </c>
      <c r="J645"/>
    </row>
    <row r="646" spans="1:10" x14ac:dyDescent="0.35">
      <c r="A646" t="s">
        <v>1390</v>
      </c>
      <c r="B646" s="1">
        <v>45121</v>
      </c>
      <c r="C646" t="s">
        <v>304</v>
      </c>
      <c r="D646" t="s">
        <v>34</v>
      </c>
      <c r="E646">
        <v>57</v>
      </c>
      <c r="F646" t="s">
        <v>36</v>
      </c>
      <c r="G646">
        <v>2</v>
      </c>
      <c r="H646" s="7">
        <v>300</v>
      </c>
      <c r="I646" s="7">
        <v>600</v>
      </c>
      <c r="J646"/>
    </row>
    <row r="647" spans="1:10" x14ac:dyDescent="0.35">
      <c r="A647" t="s">
        <v>1393</v>
      </c>
      <c r="B647" s="1">
        <v>45201</v>
      </c>
      <c r="C647" t="s">
        <v>941</v>
      </c>
      <c r="D647" t="s">
        <v>26</v>
      </c>
      <c r="E647">
        <v>21</v>
      </c>
      <c r="F647" t="s">
        <v>36</v>
      </c>
      <c r="G647">
        <v>4</v>
      </c>
      <c r="H647" s="7">
        <v>25</v>
      </c>
      <c r="I647" s="7">
        <v>100</v>
      </c>
      <c r="J647"/>
    </row>
    <row r="648" spans="1:10" x14ac:dyDescent="0.35">
      <c r="A648" t="s">
        <v>1395</v>
      </c>
      <c r="B648" s="1">
        <v>45131</v>
      </c>
      <c r="C648" t="s">
        <v>2234</v>
      </c>
      <c r="D648" t="s">
        <v>26</v>
      </c>
      <c r="E648">
        <v>33</v>
      </c>
      <c r="F648" t="s">
        <v>56</v>
      </c>
      <c r="G648">
        <v>2</v>
      </c>
      <c r="H648" s="7">
        <v>25</v>
      </c>
      <c r="I648" s="7">
        <v>50</v>
      </c>
      <c r="J648"/>
    </row>
    <row r="649" spans="1:10" x14ac:dyDescent="0.35">
      <c r="A649" t="s">
        <v>1399</v>
      </c>
      <c r="B649" s="1">
        <v>45034</v>
      </c>
      <c r="C649" t="s">
        <v>1500</v>
      </c>
      <c r="D649" t="s">
        <v>26</v>
      </c>
      <c r="E649">
        <v>22</v>
      </c>
      <c r="F649" t="s">
        <v>36</v>
      </c>
      <c r="G649">
        <v>4</v>
      </c>
      <c r="H649" s="7">
        <v>25</v>
      </c>
      <c r="I649" s="7">
        <v>100</v>
      </c>
      <c r="J649"/>
    </row>
    <row r="650" spans="1:10" x14ac:dyDescent="0.35">
      <c r="A650" t="s">
        <v>1403</v>
      </c>
      <c r="B650" s="1">
        <v>45232</v>
      </c>
      <c r="C650" t="s">
        <v>365</v>
      </c>
      <c r="D650" t="s">
        <v>26</v>
      </c>
      <c r="E650">
        <v>42</v>
      </c>
      <c r="F650" t="s">
        <v>56</v>
      </c>
      <c r="G650">
        <v>3</v>
      </c>
      <c r="H650" s="7">
        <v>30</v>
      </c>
      <c r="I650" s="7">
        <v>90</v>
      </c>
      <c r="J650"/>
    </row>
    <row r="651" spans="1:10" x14ac:dyDescent="0.35">
      <c r="A651" t="s">
        <v>281</v>
      </c>
      <c r="B651" s="1">
        <v>45069</v>
      </c>
      <c r="C651" t="s">
        <v>1099</v>
      </c>
      <c r="D651" t="s">
        <v>26</v>
      </c>
      <c r="E651">
        <v>18</v>
      </c>
      <c r="F651" t="s">
        <v>36</v>
      </c>
      <c r="G651">
        <v>3</v>
      </c>
      <c r="H651" s="7">
        <v>25</v>
      </c>
      <c r="I651" s="7">
        <v>75</v>
      </c>
      <c r="J651"/>
    </row>
    <row r="652" spans="1:10" x14ac:dyDescent="0.35">
      <c r="A652" t="s">
        <v>1406</v>
      </c>
      <c r="B652" s="1">
        <v>45143</v>
      </c>
      <c r="C652" t="s">
        <v>1989</v>
      </c>
      <c r="D652" t="s">
        <v>34</v>
      </c>
      <c r="E652">
        <v>38</v>
      </c>
      <c r="F652" t="s">
        <v>13</v>
      </c>
      <c r="G652">
        <v>1</v>
      </c>
      <c r="H652" s="7">
        <v>30</v>
      </c>
      <c r="I652" s="7">
        <v>30</v>
      </c>
      <c r="J652"/>
    </row>
    <row r="653" spans="1:10" x14ac:dyDescent="0.35">
      <c r="A653" t="s">
        <v>1408</v>
      </c>
      <c r="B653" s="1">
        <v>45126</v>
      </c>
      <c r="C653" t="s">
        <v>258</v>
      </c>
      <c r="D653" t="s">
        <v>26</v>
      </c>
      <c r="E653">
        <v>37</v>
      </c>
      <c r="F653" t="s">
        <v>13</v>
      </c>
      <c r="G653">
        <v>2</v>
      </c>
      <c r="H653" s="7">
        <v>30</v>
      </c>
      <c r="I653" s="7">
        <v>60</v>
      </c>
      <c r="J653"/>
    </row>
    <row r="654" spans="1:10" x14ac:dyDescent="0.35">
      <c r="A654" t="s">
        <v>1409</v>
      </c>
      <c r="B654" s="1">
        <v>45087</v>
      </c>
      <c r="C654" t="s">
        <v>189</v>
      </c>
      <c r="D654" t="s">
        <v>34</v>
      </c>
      <c r="E654">
        <v>45</v>
      </c>
      <c r="F654" t="s">
        <v>56</v>
      </c>
      <c r="G654">
        <v>2</v>
      </c>
      <c r="H654" s="7">
        <v>500</v>
      </c>
      <c r="I654" s="7">
        <v>1000</v>
      </c>
      <c r="J654"/>
    </row>
    <row r="655" spans="1:10" x14ac:dyDescent="0.35">
      <c r="A655" t="s">
        <v>1410</v>
      </c>
      <c r="B655" s="1">
        <v>45210</v>
      </c>
      <c r="C655" t="s">
        <v>255</v>
      </c>
      <c r="D655" t="s">
        <v>26</v>
      </c>
      <c r="E655">
        <v>36</v>
      </c>
      <c r="F655" t="s">
        <v>13</v>
      </c>
      <c r="G655">
        <v>4</v>
      </c>
      <c r="H655" s="7">
        <v>50</v>
      </c>
      <c r="I655" s="7">
        <v>200</v>
      </c>
      <c r="J655"/>
    </row>
    <row r="656" spans="1:10" x14ac:dyDescent="0.35">
      <c r="A656" t="s">
        <v>1411</v>
      </c>
      <c r="B656" s="1">
        <v>45131</v>
      </c>
      <c r="C656" t="s">
        <v>2197</v>
      </c>
      <c r="D656" t="s">
        <v>34</v>
      </c>
      <c r="E656">
        <v>27</v>
      </c>
      <c r="F656" t="s">
        <v>36</v>
      </c>
      <c r="G656">
        <v>3</v>
      </c>
      <c r="H656" s="7">
        <v>500</v>
      </c>
      <c r="I656" s="7">
        <v>1500</v>
      </c>
      <c r="J656"/>
    </row>
    <row r="657" spans="1:10" x14ac:dyDescent="0.35">
      <c r="A657" t="s">
        <v>1413</v>
      </c>
      <c r="B657" s="1">
        <v>45054</v>
      </c>
      <c r="C657" t="s">
        <v>2265</v>
      </c>
      <c r="D657" t="s">
        <v>34</v>
      </c>
      <c r="E657">
        <v>18</v>
      </c>
      <c r="F657" t="s">
        <v>36</v>
      </c>
      <c r="G657">
        <v>3</v>
      </c>
      <c r="H657" s="7">
        <v>25</v>
      </c>
      <c r="I657" s="7">
        <v>75</v>
      </c>
      <c r="J657"/>
    </row>
    <row r="658" spans="1:10" x14ac:dyDescent="0.35">
      <c r="A658" t="s">
        <v>1415</v>
      </c>
      <c r="B658" s="1">
        <v>45264</v>
      </c>
      <c r="C658" t="s">
        <v>1782</v>
      </c>
      <c r="D658" t="s">
        <v>34</v>
      </c>
      <c r="E658">
        <v>45</v>
      </c>
      <c r="F658" t="s">
        <v>36</v>
      </c>
      <c r="G658">
        <v>3</v>
      </c>
      <c r="H658" s="7">
        <v>500</v>
      </c>
      <c r="I658" s="7">
        <v>1500</v>
      </c>
      <c r="J658"/>
    </row>
    <row r="659" spans="1:10" x14ac:dyDescent="0.35">
      <c r="A659" t="s">
        <v>1417</v>
      </c>
      <c r="B659" s="1">
        <v>45113</v>
      </c>
      <c r="C659" t="s">
        <v>1965</v>
      </c>
      <c r="D659" t="s">
        <v>26</v>
      </c>
      <c r="E659">
        <v>36</v>
      </c>
      <c r="F659" t="s">
        <v>56</v>
      </c>
      <c r="G659">
        <v>2</v>
      </c>
      <c r="H659" s="7">
        <v>30</v>
      </c>
      <c r="I659" s="7">
        <v>60</v>
      </c>
      <c r="J659"/>
    </row>
    <row r="660" spans="1:10" x14ac:dyDescent="0.35">
      <c r="A660" t="s">
        <v>1419</v>
      </c>
      <c r="B660" s="1">
        <v>44981</v>
      </c>
      <c r="C660" t="s">
        <v>1102</v>
      </c>
      <c r="D660" t="s">
        <v>34</v>
      </c>
      <c r="E660">
        <v>32</v>
      </c>
      <c r="F660" t="s">
        <v>56</v>
      </c>
      <c r="G660">
        <v>4</v>
      </c>
      <c r="H660" s="7">
        <v>300</v>
      </c>
      <c r="I660" s="7">
        <v>1200</v>
      </c>
      <c r="J660"/>
    </row>
    <row r="661" spans="1:10" x14ac:dyDescent="0.35">
      <c r="A661" t="s">
        <v>1420</v>
      </c>
      <c r="B661" s="1">
        <v>45048</v>
      </c>
      <c r="C661" t="s">
        <v>2252</v>
      </c>
      <c r="D661" t="s">
        <v>34</v>
      </c>
      <c r="E661">
        <v>21</v>
      </c>
      <c r="F661" t="s">
        <v>56</v>
      </c>
      <c r="G661">
        <v>1</v>
      </c>
      <c r="H661" s="7">
        <v>25</v>
      </c>
      <c r="I661" s="7">
        <v>25</v>
      </c>
      <c r="J661"/>
    </row>
    <row r="662" spans="1:10" x14ac:dyDescent="0.35">
      <c r="A662" t="s">
        <v>1422</v>
      </c>
      <c r="B662" s="1">
        <v>45231</v>
      </c>
      <c r="C662" t="s">
        <v>982</v>
      </c>
      <c r="D662" t="s">
        <v>34</v>
      </c>
      <c r="E662">
        <v>21</v>
      </c>
      <c r="F662" t="s">
        <v>13</v>
      </c>
      <c r="G662">
        <v>2</v>
      </c>
      <c r="H662" s="7">
        <v>25</v>
      </c>
      <c r="I662" s="7">
        <v>50</v>
      </c>
      <c r="J662"/>
    </row>
    <row r="663" spans="1:10" x14ac:dyDescent="0.35">
      <c r="A663" t="s">
        <v>1423</v>
      </c>
      <c r="B663" s="1">
        <v>45267</v>
      </c>
      <c r="C663" t="s">
        <v>975</v>
      </c>
      <c r="D663" t="s">
        <v>34</v>
      </c>
      <c r="E663">
        <v>40</v>
      </c>
      <c r="F663" t="s">
        <v>56</v>
      </c>
      <c r="G663">
        <v>3</v>
      </c>
      <c r="H663" s="7">
        <v>300</v>
      </c>
      <c r="I663" s="7">
        <v>900</v>
      </c>
      <c r="J663"/>
    </row>
    <row r="664" spans="1:10" x14ac:dyDescent="0.35">
      <c r="A664" t="s">
        <v>1424</v>
      </c>
      <c r="B664" s="1">
        <v>45081</v>
      </c>
      <c r="C664" t="s">
        <v>794</v>
      </c>
      <c r="D664" t="s">
        <v>34</v>
      </c>
      <c r="E664">
        <v>44</v>
      </c>
      <c r="F664" t="s">
        <v>36</v>
      </c>
      <c r="G664">
        <v>1</v>
      </c>
      <c r="H664" s="7">
        <v>30</v>
      </c>
      <c r="I664" s="7">
        <v>30</v>
      </c>
      <c r="J664"/>
    </row>
    <row r="665" spans="1:10" x14ac:dyDescent="0.35">
      <c r="A665" t="s">
        <v>1426</v>
      </c>
      <c r="B665" s="1">
        <v>45083</v>
      </c>
      <c r="C665" t="s">
        <v>2230</v>
      </c>
      <c r="D665" t="s">
        <v>34</v>
      </c>
      <c r="E665">
        <v>21</v>
      </c>
      <c r="F665" t="s">
        <v>13</v>
      </c>
      <c r="G665">
        <v>1</v>
      </c>
      <c r="H665" s="7">
        <v>500</v>
      </c>
      <c r="I665" s="7">
        <v>500</v>
      </c>
      <c r="J665"/>
    </row>
    <row r="666" spans="1:10" x14ac:dyDescent="0.35">
      <c r="A666" t="s">
        <v>1427</v>
      </c>
      <c r="B666" s="1">
        <v>45035</v>
      </c>
      <c r="C666" t="s">
        <v>669</v>
      </c>
      <c r="D666" t="s">
        <v>26</v>
      </c>
      <c r="E666">
        <v>42</v>
      </c>
      <c r="F666" t="s">
        <v>36</v>
      </c>
      <c r="G666">
        <v>2</v>
      </c>
      <c r="H666" s="7">
        <v>25</v>
      </c>
      <c r="I666" s="7">
        <v>50</v>
      </c>
      <c r="J666"/>
    </row>
    <row r="667" spans="1:10" x14ac:dyDescent="0.35">
      <c r="A667" t="s">
        <v>1429</v>
      </c>
      <c r="B667" s="1">
        <v>45175</v>
      </c>
      <c r="C667" t="s">
        <v>1207</v>
      </c>
      <c r="D667" t="s">
        <v>26</v>
      </c>
      <c r="E667">
        <v>22</v>
      </c>
      <c r="F667" t="s">
        <v>56</v>
      </c>
      <c r="G667">
        <v>4</v>
      </c>
      <c r="H667" s="7">
        <v>300</v>
      </c>
      <c r="I667" s="7">
        <v>1200</v>
      </c>
      <c r="J667"/>
    </row>
    <row r="668" spans="1:10" x14ac:dyDescent="0.35">
      <c r="A668" t="s">
        <v>1431</v>
      </c>
      <c r="B668" s="1">
        <v>45280</v>
      </c>
      <c r="C668" t="s">
        <v>1842</v>
      </c>
      <c r="D668" t="s">
        <v>34</v>
      </c>
      <c r="E668">
        <v>48</v>
      </c>
      <c r="F668" t="s">
        <v>13</v>
      </c>
      <c r="G668">
        <v>3</v>
      </c>
      <c r="H668" s="7">
        <v>50</v>
      </c>
      <c r="I668" s="7">
        <v>150</v>
      </c>
      <c r="J668"/>
    </row>
    <row r="669" spans="1:10" x14ac:dyDescent="0.35">
      <c r="A669" t="s">
        <v>1433</v>
      </c>
      <c r="B669" s="1">
        <v>45252</v>
      </c>
      <c r="C669" t="s">
        <v>392</v>
      </c>
      <c r="D669" t="s">
        <v>26</v>
      </c>
      <c r="E669">
        <v>18</v>
      </c>
      <c r="F669" t="s">
        <v>36</v>
      </c>
      <c r="G669">
        <v>4</v>
      </c>
      <c r="H669" s="7">
        <v>500</v>
      </c>
      <c r="I669" s="7">
        <v>2000</v>
      </c>
      <c r="J669"/>
    </row>
    <row r="670" spans="1:10" x14ac:dyDescent="0.35">
      <c r="A670" t="s">
        <v>1436</v>
      </c>
      <c r="B670" s="1">
        <v>45269</v>
      </c>
      <c r="C670" t="s">
        <v>1520</v>
      </c>
      <c r="D670" t="s">
        <v>34</v>
      </c>
      <c r="E670">
        <v>29</v>
      </c>
      <c r="F670" t="s">
        <v>56</v>
      </c>
      <c r="G670">
        <v>2</v>
      </c>
      <c r="H670" s="7">
        <v>50</v>
      </c>
      <c r="I670" s="7">
        <v>100</v>
      </c>
      <c r="J670"/>
    </row>
    <row r="671" spans="1:10" x14ac:dyDescent="0.35">
      <c r="A671" t="s">
        <v>1437</v>
      </c>
      <c r="B671" s="1">
        <v>45132</v>
      </c>
      <c r="C671" t="s">
        <v>516</v>
      </c>
      <c r="D671" t="s">
        <v>26</v>
      </c>
      <c r="E671">
        <v>22</v>
      </c>
      <c r="F671" t="s">
        <v>13</v>
      </c>
      <c r="G671">
        <v>1</v>
      </c>
      <c r="H671" s="7">
        <v>500</v>
      </c>
      <c r="I671" s="7">
        <v>500</v>
      </c>
      <c r="J671"/>
    </row>
    <row r="672" spans="1:10" x14ac:dyDescent="0.35">
      <c r="A672" t="s">
        <v>1438</v>
      </c>
      <c r="B672" s="1">
        <v>45150</v>
      </c>
      <c r="C672" t="s">
        <v>398</v>
      </c>
      <c r="D672" t="s">
        <v>26</v>
      </c>
      <c r="E672">
        <v>22</v>
      </c>
      <c r="F672" t="s">
        <v>13</v>
      </c>
      <c r="G672">
        <v>3</v>
      </c>
      <c r="H672" s="7">
        <v>50</v>
      </c>
      <c r="I672" s="7">
        <v>150</v>
      </c>
      <c r="J672"/>
    </row>
    <row r="673" spans="1:10" x14ac:dyDescent="0.35">
      <c r="A673" t="s">
        <v>1439</v>
      </c>
      <c r="B673" s="1">
        <v>45146</v>
      </c>
      <c r="C673" t="s">
        <v>2192</v>
      </c>
      <c r="D673" t="s">
        <v>26</v>
      </c>
      <c r="E673">
        <v>60</v>
      </c>
      <c r="F673" t="s">
        <v>56</v>
      </c>
      <c r="G673">
        <v>4</v>
      </c>
      <c r="H673" s="7">
        <v>300</v>
      </c>
      <c r="I673" s="7">
        <v>1200</v>
      </c>
      <c r="J673"/>
    </row>
    <row r="674" spans="1:10" x14ac:dyDescent="0.35">
      <c r="A674" t="s">
        <v>1440</v>
      </c>
      <c r="B674" s="1">
        <v>45007</v>
      </c>
      <c r="C674" t="s">
        <v>572</v>
      </c>
      <c r="D674" t="s">
        <v>34</v>
      </c>
      <c r="E674">
        <v>60</v>
      </c>
      <c r="F674" t="s">
        <v>56</v>
      </c>
      <c r="G674">
        <v>1</v>
      </c>
      <c r="H674" s="7">
        <v>50</v>
      </c>
      <c r="I674" s="7">
        <v>50</v>
      </c>
      <c r="J674"/>
    </row>
    <row r="675" spans="1:10" x14ac:dyDescent="0.35">
      <c r="A675" t="s">
        <v>1442</v>
      </c>
      <c r="B675" s="1">
        <v>45038</v>
      </c>
      <c r="C675" t="s">
        <v>526</v>
      </c>
      <c r="D675" t="s">
        <v>26</v>
      </c>
      <c r="E675">
        <v>27</v>
      </c>
      <c r="F675" t="s">
        <v>56</v>
      </c>
      <c r="G675">
        <v>4</v>
      </c>
      <c r="H675" s="7">
        <v>25</v>
      </c>
      <c r="I675" s="7">
        <v>100</v>
      </c>
      <c r="J675"/>
    </row>
    <row r="676" spans="1:10" x14ac:dyDescent="0.35">
      <c r="A676" t="s">
        <v>1445</v>
      </c>
      <c r="B676" s="1">
        <v>45225</v>
      </c>
      <c r="C676" t="s">
        <v>1312</v>
      </c>
      <c r="D676" t="s">
        <v>34</v>
      </c>
      <c r="E676">
        <v>64</v>
      </c>
      <c r="F676" t="s">
        <v>56</v>
      </c>
      <c r="G676">
        <v>2</v>
      </c>
      <c r="H676" s="7">
        <v>300</v>
      </c>
      <c r="I676" s="7">
        <v>600</v>
      </c>
      <c r="J676"/>
    </row>
    <row r="677" spans="1:10" x14ac:dyDescent="0.35">
      <c r="A677" t="s">
        <v>1446</v>
      </c>
      <c r="B677" s="1">
        <v>45163</v>
      </c>
      <c r="C677" t="s">
        <v>1356</v>
      </c>
      <c r="D677" t="s">
        <v>26</v>
      </c>
      <c r="E677">
        <v>51</v>
      </c>
      <c r="F677" t="s">
        <v>13</v>
      </c>
      <c r="G677">
        <v>4</v>
      </c>
      <c r="H677" s="7">
        <v>30</v>
      </c>
      <c r="I677" s="7">
        <v>120</v>
      </c>
      <c r="J677"/>
    </row>
    <row r="678" spans="1:10" x14ac:dyDescent="0.35">
      <c r="A678" t="s">
        <v>1448</v>
      </c>
      <c r="B678" s="1">
        <v>45200</v>
      </c>
      <c r="C678" t="s">
        <v>2184</v>
      </c>
      <c r="D678" t="s">
        <v>26</v>
      </c>
      <c r="E678">
        <v>55</v>
      </c>
      <c r="F678" t="s">
        <v>13</v>
      </c>
      <c r="G678">
        <v>4</v>
      </c>
      <c r="H678" s="7">
        <v>500</v>
      </c>
      <c r="I678" s="7">
        <v>2000</v>
      </c>
      <c r="J678"/>
    </row>
    <row r="679" spans="1:10" x14ac:dyDescent="0.35">
      <c r="A679" t="s">
        <v>1450</v>
      </c>
      <c r="B679" s="1">
        <v>45276</v>
      </c>
      <c r="C679" t="s">
        <v>2320</v>
      </c>
      <c r="D679" t="s">
        <v>26</v>
      </c>
      <c r="E679">
        <v>45</v>
      </c>
      <c r="F679" t="s">
        <v>13</v>
      </c>
      <c r="G679">
        <v>1</v>
      </c>
      <c r="H679" s="7">
        <v>30</v>
      </c>
      <c r="I679" s="7">
        <v>30</v>
      </c>
      <c r="J679"/>
    </row>
    <row r="680" spans="1:10" x14ac:dyDescent="0.35">
      <c r="A680" t="s">
        <v>1452</v>
      </c>
      <c r="B680" s="1">
        <v>45096</v>
      </c>
      <c r="C680" t="s">
        <v>231</v>
      </c>
      <c r="D680" t="s">
        <v>34</v>
      </c>
      <c r="E680">
        <v>38</v>
      </c>
      <c r="F680" t="s">
        <v>13</v>
      </c>
      <c r="G680">
        <v>3</v>
      </c>
      <c r="H680" s="7">
        <v>500</v>
      </c>
      <c r="I680" s="7">
        <v>1500</v>
      </c>
      <c r="J680"/>
    </row>
    <row r="681" spans="1:10" x14ac:dyDescent="0.35">
      <c r="A681" t="s">
        <v>1454</v>
      </c>
      <c r="B681" s="1">
        <v>45099</v>
      </c>
      <c r="C681" t="s">
        <v>2322</v>
      </c>
      <c r="D681" t="s">
        <v>26</v>
      </c>
      <c r="E681">
        <v>64</v>
      </c>
      <c r="F681" t="s">
        <v>56</v>
      </c>
      <c r="G681">
        <v>3</v>
      </c>
      <c r="H681" s="7">
        <v>50</v>
      </c>
      <c r="I681" s="7">
        <v>150</v>
      </c>
      <c r="J681"/>
    </row>
    <row r="682" spans="1:10" x14ac:dyDescent="0.35">
      <c r="A682" t="s">
        <v>1455</v>
      </c>
      <c r="B682" s="1">
        <v>45203</v>
      </c>
      <c r="C682" t="s">
        <v>2187</v>
      </c>
      <c r="D682" t="s">
        <v>34</v>
      </c>
      <c r="E682">
        <v>41</v>
      </c>
      <c r="F682" t="s">
        <v>13</v>
      </c>
      <c r="G682">
        <v>2</v>
      </c>
      <c r="H682" s="7">
        <v>30</v>
      </c>
      <c r="I682" s="7">
        <v>60</v>
      </c>
      <c r="J682"/>
    </row>
    <row r="683" spans="1:10" x14ac:dyDescent="0.35">
      <c r="A683" t="s">
        <v>1457</v>
      </c>
      <c r="B683" s="1">
        <v>44952</v>
      </c>
      <c r="C683" t="s">
        <v>280</v>
      </c>
      <c r="D683" t="s">
        <v>26</v>
      </c>
      <c r="E683">
        <v>56</v>
      </c>
      <c r="F683" t="s">
        <v>36</v>
      </c>
      <c r="G683">
        <v>3</v>
      </c>
      <c r="H683" s="7">
        <v>500</v>
      </c>
      <c r="I683" s="7">
        <v>1500</v>
      </c>
      <c r="J683"/>
    </row>
    <row r="684" spans="1:10" x14ac:dyDescent="0.35">
      <c r="A684" t="s">
        <v>1459</v>
      </c>
      <c r="B684" s="1">
        <v>44984</v>
      </c>
      <c r="C684" t="s">
        <v>2281</v>
      </c>
      <c r="D684" t="s">
        <v>26</v>
      </c>
      <c r="E684">
        <v>44</v>
      </c>
      <c r="F684" t="s">
        <v>13</v>
      </c>
      <c r="G684">
        <v>2</v>
      </c>
      <c r="H684" s="7">
        <v>300</v>
      </c>
      <c r="I684" s="7">
        <v>600</v>
      </c>
      <c r="J684"/>
    </row>
    <row r="685" spans="1:10" x14ac:dyDescent="0.35">
      <c r="A685" t="s">
        <v>1462</v>
      </c>
      <c r="B685" s="1">
        <v>45106</v>
      </c>
      <c r="C685" t="s">
        <v>1703</v>
      </c>
      <c r="D685" t="s">
        <v>26</v>
      </c>
      <c r="E685">
        <v>42</v>
      </c>
      <c r="F685" t="s">
        <v>36</v>
      </c>
      <c r="G685">
        <v>4</v>
      </c>
      <c r="H685" s="7">
        <v>500</v>
      </c>
      <c r="I685" s="7">
        <v>2000</v>
      </c>
      <c r="J685"/>
    </row>
    <row r="686" spans="1:10" x14ac:dyDescent="0.35">
      <c r="A686" t="s">
        <v>1463</v>
      </c>
      <c r="B686" s="1">
        <v>45049</v>
      </c>
      <c r="C686" t="s">
        <v>311</v>
      </c>
      <c r="D686" t="s">
        <v>34</v>
      </c>
      <c r="E686">
        <v>38</v>
      </c>
      <c r="F686" t="s">
        <v>56</v>
      </c>
      <c r="G686">
        <v>3</v>
      </c>
      <c r="H686" s="7">
        <v>30</v>
      </c>
      <c r="I686" s="7">
        <v>90</v>
      </c>
      <c r="J686"/>
    </row>
    <row r="687" spans="1:10" x14ac:dyDescent="0.35">
      <c r="A687" t="s">
        <v>1464</v>
      </c>
      <c r="B687" s="1">
        <v>45050</v>
      </c>
      <c r="C687" t="s">
        <v>2186</v>
      </c>
      <c r="D687" t="s">
        <v>34</v>
      </c>
      <c r="E687">
        <v>21</v>
      </c>
      <c r="F687" t="s">
        <v>36</v>
      </c>
      <c r="G687">
        <v>2</v>
      </c>
      <c r="H687" s="7">
        <v>500</v>
      </c>
      <c r="I687" s="7">
        <v>1000</v>
      </c>
      <c r="J687"/>
    </row>
    <row r="688" spans="1:10" x14ac:dyDescent="0.35">
      <c r="A688" t="s">
        <v>1466</v>
      </c>
      <c r="B688" s="1">
        <v>45121</v>
      </c>
      <c r="C688" t="s">
        <v>950</v>
      </c>
      <c r="D688" t="s">
        <v>34</v>
      </c>
      <c r="E688">
        <v>61</v>
      </c>
      <c r="F688" t="s">
        <v>36</v>
      </c>
      <c r="G688">
        <v>3</v>
      </c>
      <c r="H688" s="7">
        <v>30</v>
      </c>
      <c r="I688" s="7">
        <v>90</v>
      </c>
      <c r="J688"/>
    </row>
    <row r="689" spans="1:10" x14ac:dyDescent="0.35">
      <c r="A689" t="s">
        <v>366</v>
      </c>
      <c r="B689" s="1">
        <v>45185</v>
      </c>
      <c r="C689" t="s">
        <v>645</v>
      </c>
      <c r="D689" t="s">
        <v>26</v>
      </c>
      <c r="E689">
        <v>62</v>
      </c>
      <c r="F689" t="s">
        <v>56</v>
      </c>
      <c r="G689">
        <v>2</v>
      </c>
      <c r="H689" s="7">
        <v>25</v>
      </c>
      <c r="I689" s="7">
        <v>50</v>
      </c>
      <c r="J689"/>
    </row>
    <row r="690" spans="1:10" x14ac:dyDescent="0.35">
      <c r="A690" t="s">
        <v>1468</v>
      </c>
      <c r="B690" s="1">
        <v>44941</v>
      </c>
      <c r="C690" t="s">
        <v>2255</v>
      </c>
      <c r="D690" t="s">
        <v>34</v>
      </c>
      <c r="E690">
        <v>27</v>
      </c>
      <c r="F690" t="s">
        <v>13</v>
      </c>
      <c r="G690">
        <v>4</v>
      </c>
      <c r="H690" s="7">
        <v>25</v>
      </c>
      <c r="I690" s="7">
        <v>100</v>
      </c>
      <c r="J690"/>
    </row>
    <row r="691" spans="1:10" x14ac:dyDescent="0.35">
      <c r="A691" t="s">
        <v>1469</v>
      </c>
      <c r="B691" s="1">
        <v>45202</v>
      </c>
      <c r="C691" t="s">
        <v>82</v>
      </c>
      <c r="D691" t="s">
        <v>34</v>
      </c>
      <c r="E691">
        <v>64</v>
      </c>
      <c r="F691" t="s">
        <v>13</v>
      </c>
      <c r="G691">
        <v>4</v>
      </c>
      <c r="H691" s="7">
        <v>30</v>
      </c>
      <c r="I691" s="7">
        <v>120</v>
      </c>
      <c r="J691"/>
    </row>
    <row r="692" spans="1:10" x14ac:dyDescent="0.35">
      <c r="A692" t="s">
        <v>1470</v>
      </c>
      <c r="B692" s="1">
        <v>45068</v>
      </c>
      <c r="C692" t="s">
        <v>1324</v>
      </c>
      <c r="D692" t="s">
        <v>34</v>
      </c>
      <c r="E692">
        <v>21</v>
      </c>
      <c r="F692" t="s">
        <v>36</v>
      </c>
      <c r="G692">
        <v>3</v>
      </c>
      <c r="H692" s="7">
        <v>500</v>
      </c>
      <c r="I692" s="7">
        <v>1500</v>
      </c>
      <c r="J692"/>
    </row>
    <row r="693" spans="1:10" x14ac:dyDescent="0.35">
      <c r="A693" t="s">
        <v>1472</v>
      </c>
      <c r="B693" s="1">
        <v>45065</v>
      </c>
      <c r="C693" t="s">
        <v>1225</v>
      </c>
      <c r="D693" t="s">
        <v>34</v>
      </c>
      <c r="E693">
        <v>22</v>
      </c>
      <c r="F693" t="s">
        <v>13</v>
      </c>
      <c r="G693">
        <v>1</v>
      </c>
      <c r="H693" s="7">
        <v>300</v>
      </c>
      <c r="I693" s="7">
        <v>300</v>
      </c>
      <c r="J693"/>
    </row>
    <row r="694" spans="1:10" x14ac:dyDescent="0.35">
      <c r="A694" t="s">
        <v>1474</v>
      </c>
      <c r="B694" s="1">
        <v>45024</v>
      </c>
      <c r="C694" t="s">
        <v>837</v>
      </c>
      <c r="D694" t="s">
        <v>34</v>
      </c>
      <c r="E694">
        <v>43</v>
      </c>
      <c r="F694" t="s">
        <v>56</v>
      </c>
      <c r="G694">
        <v>2</v>
      </c>
      <c r="H694" s="7">
        <v>500</v>
      </c>
      <c r="I694" s="7">
        <v>1000</v>
      </c>
      <c r="J694"/>
    </row>
    <row r="695" spans="1:10" x14ac:dyDescent="0.35">
      <c r="A695" t="s">
        <v>1476</v>
      </c>
      <c r="B695" s="1">
        <v>44965</v>
      </c>
      <c r="C695" t="s">
        <v>68</v>
      </c>
      <c r="D695" t="s">
        <v>26</v>
      </c>
      <c r="E695">
        <v>43</v>
      </c>
      <c r="F695" t="s">
        <v>13</v>
      </c>
      <c r="G695">
        <v>2</v>
      </c>
      <c r="H695" s="7">
        <v>25</v>
      </c>
      <c r="I695" s="7">
        <v>50</v>
      </c>
      <c r="J695"/>
    </row>
    <row r="696" spans="1:10" x14ac:dyDescent="0.35">
      <c r="A696" t="s">
        <v>1479</v>
      </c>
      <c r="B696" s="1">
        <v>45176</v>
      </c>
      <c r="C696" t="s">
        <v>501</v>
      </c>
      <c r="D696" t="s">
        <v>34</v>
      </c>
      <c r="E696">
        <v>41</v>
      </c>
      <c r="F696" t="s">
        <v>56</v>
      </c>
      <c r="G696">
        <v>4</v>
      </c>
      <c r="H696" s="7">
        <v>30</v>
      </c>
      <c r="I696" s="7">
        <v>120</v>
      </c>
      <c r="J696"/>
    </row>
    <row r="697" spans="1:10" x14ac:dyDescent="0.35">
      <c r="A697" t="s">
        <v>1482</v>
      </c>
      <c r="B697" s="1">
        <v>45266</v>
      </c>
      <c r="C697" t="s">
        <v>1671</v>
      </c>
      <c r="D697" t="s">
        <v>26</v>
      </c>
      <c r="E697">
        <v>25</v>
      </c>
      <c r="F697" t="s">
        <v>13</v>
      </c>
      <c r="G697">
        <v>1</v>
      </c>
      <c r="H697" s="7">
        <v>300</v>
      </c>
      <c r="I697" s="7">
        <v>300</v>
      </c>
      <c r="J697"/>
    </row>
    <row r="698" spans="1:10" x14ac:dyDescent="0.35">
      <c r="A698" t="s">
        <v>1483</v>
      </c>
      <c r="B698" s="1">
        <v>45101</v>
      </c>
      <c r="C698" t="s">
        <v>1500</v>
      </c>
      <c r="D698" t="s">
        <v>34</v>
      </c>
      <c r="E698">
        <v>43</v>
      </c>
      <c r="F698" t="s">
        <v>13</v>
      </c>
      <c r="G698">
        <v>4</v>
      </c>
      <c r="H698" s="7">
        <v>500</v>
      </c>
      <c r="I698" s="7">
        <v>2000</v>
      </c>
      <c r="J698"/>
    </row>
    <row r="699" spans="1:10" x14ac:dyDescent="0.35">
      <c r="A699" t="s">
        <v>1484</v>
      </c>
      <c r="B699" s="1">
        <v>44992</v>
      </c>
      <c r="C699" t="s">
        <v>2201</v>
      </c>
      <c r="D699" t="s">
        <v>34</v>
      </c>
      <c r="E699">
        <v>63</v>
      </c>
      <c r="F699" t="s">
        <v>56</v>
      </c>
      <c r="G699">
        <v>4</v>
      </c>
      <c r="H699" s="7">
        <v>500</v>
      </c>
      <c r="I699" s="7">
        <v>2000</v>
      </c>
      <c r="J699"/>
    </row>
    <row r="700" spans="1:10" x14ac:dyDescent="0.35">
      <c r="A700" t="s">
        <v>1486</v>
      </c>
      <c r="B700" s="1">
        <v>45092</v>
      </c>
      <c r="C700" t="s">
        <v>2289</v>
      </c>
      <c r="D700" t="s">
        <v>34</v>
      </c>
      <c r="E700">
        <v>62</v>
      </c>
      <c r="F700" t="s">
        <v>36</v>
      </c>
      <c r="G700">
        <v>4</v>
      </c>
      <c r="H700" s="7">
        <v>30</v>
      </c>
      <c r="I700" s="7">
        <v>120</v>
      </c>
      <c r="J700"/>
    </row>
    <row r="701" spans="1:10" x14ac:dyDescent="0.35">
      <c r="A701" t="s">
        <v>1487</v>
      </c>
      <c r="B701" s="1">
        <v>44984</v>
      </c>
      <c r="C701" t="s">
        <v>1995</v>
      </c>
      <c r="D701" t="s">
        <v>34</v>
      </c>
      <c r="E701">
        <v>24</v>
      </c>
      <c r="F701" t="s">
        <v>56</v>
      </c>
      <c r="G701">
        <v>1</v>
      </c>
      <c r="H701" s="7">
        <v>25</v>
      </c>
      <c r="I701" s="7">
        <v>25</v>
      </c>
      <c r="J701"/>
    </row>
    <row r="702" spans="1:10" x14ac:dyDescent="0.35">
      <c r="A702" t="s">
        <v>1490</v>
      </c>
      <c r="B702" s="1">
        <v>45102</v>
      </c>
      <c r="C702" t="s">
        <v>961</v>
      </c>
      <c r="D702" t="s">
        <v>26</v>
      </c>
      <c r="E702">
        <v>46</v>
      </c>
      <c r="F702" t="s">
        <v>13</v>
      </c>
      <c r="G702">
        <v>3</v>
      </c>
      <c r="H702" s="7">
        <v>300</v>
      </c>
      <c r="I702" s="7">
        <v>900</v>
      </c>
      <c r="J702"/>
    </row>
    <row r="703" spans="1:10" x14ac:dyDescent="0.35">
      <c r="A703" t="s">
        <v>1492</v>
      </c>
      <c r="B703" s="1">
        <v>45002</v>
      </c>
      <c r="C703" t="s">
        <v>1770</v>
      </c>
      <c r="D703" t="s">
        <v>34</v>
      </c>
      <c r="E703">
        <v>54</v>
      </c>
      <c r="F703" t="s">
        <v>56</v>
      </c>
      <c r="G703">
        <v>3</v>
      </c>
      <c r="H703" s="7">
        <v>25</v>
      </c>
      <c r="I703" s="7">
        <v>75</v>
      </c>
      <c r="J703"/>
    </row>
    <row r="704" spans="1:10" x14ac:dyDescent="0.35">
      <c r="A704" t="s">
        <v>1494</v>
      </c>
      <c r="B704" s="1">
        <v>45039</v>
      </c>
      <c r="C704" t="s">
        <v>385</v>
      </c>
      <c r="D704" t="s">
        <v>34</v>
      </c>
      <c r="E704">
        <v>41</v>
      </c>
      <c r="F704" t="s">
        <v>36</v>
      </c>
      <c r="G704">
        <v>3</v>
      </c>
      <c r="H704" s="7">
        <v>500</v>
      </c>
      <c r="I704" s="7">
        <v>1500</v>
      </c>
      <c r="J704"/>
    </row>
    <row r="705" spans="1:10" x14ac:dyDescent="0.35">
      <c r="A705" t="s">
        <v>1496</v>
      </c>
      <c r="B705" s="1">
        <v>45150</v>
      </c>
      <c r="C705" t="s">
        <v>975</v>
      </c>
      <c r="D705" t="s">
        <v>26</v>
      </c>
      <c r="E705">
        <v>47</v>
      </c>
      <c r="F705" t="s">
        <v>56</v>
      </c>
      <c r="G705">
        <v>4</v>
      </c>
      <c r="H705" s="7">
        <v>30</v>
      </c>
      <c r="I705" s="7">
        <v>120</v>
      </c>
      <c r="J705"/>
    </row>
    <row r="706" spans="1:10" x14ac:dyDescent="0.35">
      <c r="A706" t="s">
        <v>1498</v>
      </c>
      <c r="B706" s="1">
        <v>45116</v>
      </c>
      <c r="C706" t="s">
        <v>1196</v>
      </c>
      <c r="D706" t="s">
        <v>26</v>
      </c>
      <c r="E706">
        <v>44</v>
      </c>
      <c r="F706" t="s">
        <v>56</v>
      </c>
      <c r="G706">
        <v>4</v>
      </c>
      <c r="H706" s="7">
        <v>25</v>
      </c>
      <c r="I706" s="7">
        <v>100</v>
      </c>
      <c r="J706"/>
    </row>
    <row r="707" spans="1:10" x14ac:dyDescent="0.35">
      <c r="A707" t="s">
        <v>1499</v>
      </c>
      <c r="B707" s="1">
        <v>45062</v>
      </c>
      <c r="C707" t="s">
        <v>1594</v>
      </c>
      <c r="D707" t="s">
        <v>34</v>
      </c>
      <c r="E707">
        <v>62</v>
      </c>
      <c r="F707" t="s">
        <v>13</v>
      </c>
      <c r="G707">
        <v>4</v>
      </c>
      <c r="H707" s="7">
        <v>50</v>
      </c>
      <c r="I707" s="7">
        <v>200</v>
      </c>
      <c r="J707"/>
    </row>
    <row r="708" spans="1:10" x14ac:dyDescent="0.35">
      <c r="A708" t="s">
        <v>1501</v>
      </c>
      <c r="B708" s="1">
        <v>45155</v>
      </c>
      <c r="C708" t="s">
        <v>1057</v>
      </c>
      <c r="D708" t="s">
        <v>26</v>
      </c>
      <c r="E708">
        <v>63</v>
      </c>
      <c r="F708" t="s">
        <v>13</v>
      </c>
      <c r="G708">
        <v>3</v>
      </c>
      <c r="H708" s="7">
        <v>300</v>
      </c>
      <c r="I708" s="7">
        <v>900</v>
      </c>
      <c r="J708"/>
    </row>
    <row r="709" spans="1:10" x14ac:dyDescent="0.35">
      <c r="A709" t="s">
        <v>1503</v>
      </c>
      <c r="B709" s="1">
        <v>45215</v>
      </c>
      <c r="C709" t="s">
        <v>1689</v>
      </c>
      <c r="D709" t="s">
        <v>34</v>
      </c>
      <c r="E709">
        <v>23</v>
      </c>
      <c r="F709" t="s">
        <v>13</v>
      </c>
      <c r="G709">
        <v>2</v>
      </c>
      <c r="H709" s="7">
        <v>30</v>
      </c>
      <c r="I709" s="7">
        <v>60</v>
      </c>
      <c r="J709"/>
    </row>
    <row r="710" spans="1:10" x14ac:dyDescent="0.35">
      <c r="A710" t="s">
        <v>1505</v>
      </c>
      <c r="B710" s="1">
        <v>45026</v>
      </c>
      <c r="C710" t="s">
        <v>1229</v>
      </c>
      <c r="D710" t="s">
        <v>34</v>
      </c>
      <c r="E710">
        <v>31</v>
      </c>
      <c r="F710" t="s">
        <v>13</v>
      </c>
      <c r="G710">
        <v>1</v>
      </c>
      <c r="H710" s="7">
        <v>30</v>
      </c>
      <c r="I710" s="7">
        <v>30</v>
      </c>
      <c r="J710"/>
    </row>
    <row r="711" spans="1:10" x14ac:dyDescent="0.35">
      <c r="A711" t="s">
        <v>1507</v>
      </c>
      <c r="B711" s="1">
        <v>44979</v>
      </c>
      <c r="C711" t="s">
        <v>872</v>
      </c>
      <c r="D711" t="s">
        <v>34</v>
      </c>
      <c r="E711">
        <v>52</v>
      </c>
      <c r="F711" t="s">
        <v>13</v>
      </c>
      <c r="G711">
        <v>2</v>
      </c>
      <c r="H711" s="7">
        <v>25</v>
      </c>
      <c r="I711" s="7">
        <v>50</v>
      </c>
      <c r="J711"/>
    </row>
    <row r="712" spans="1:10" x14ac:dyDescent="0.35">
      <c r="A712" t="s">
        <v>1508</v>
      </c>
      <c r="B712" s="1">
        <v>45034</v>
      </c>
      <c r="C712" t="s">
        <v>2198</v>
      </c>
      <c r="D712" t="s">
        <v>34</v>
      </c>
      <c r="E712">
        <v>34</v>
      </c>
      <c r="F712" t="s">
        <v>36</v>
      </c>
      <c r="G712">
        <v>1</v>
      </c>
      <c r="H712" s="7">
        <v>300</v>
      </c>
      <c r="I712" s="7">
        <v>300</v>
      </c>
      <c r="J712"/>
    </row>
    <row r="713" spans="1:10" x14ac:dyDescent="0.35">
      <c r="A713" t="s">
        <v>1509</v>
      </c>
      <c r="B713" s="1">
        <v>45169</v>
      </c>
      <c r="C713" t="s">
        <v>272</v>
      </c>
      <c r="D713" t="s">
        <v>26</v>
      </c>
      <c r="E713">
        <v>63</v>
      </c>
      <c r="F713" t="s">
        <v>13</v>
      </c>
      <c r="G713">
        <v>2</v>
      </c>
      <c r="H713" s="7">
        <v>25</v>
      </c>
      <c r="I713" s="7">
        <v>50</v>
      </c>
      <c r="J713"/>
    </row>
    <row r="714" spans="1:10" x14ac:dyDescent="0.35">
      <c r="A714" t="s">
        <v>1511</v>
      </c>
      <c r="B714" s="1">
        <v>45157</v>
      </c>
      <c r="C714" t="s">
        <v>221</v>
      </c>
      <c r="D714" t="s">
        <v>34</v>
      </c>
      <c r="E714">
        <v>46</v>
      </c>
      <c r="F714" t="s">
        <v>13</v>
      </c>
      <c r="G714">
        <v>1</v>
      </c>
      <c r="H714" s="7">
        <v>500</v>
      </c>
      <c r="I714" s="7">
        <v>500</v>
      </c>
      <c r="J714"/>
    </row>
    <row r="715" spans="1:10" x14ac:dyDescent="0.35">
      <c r="A715" t="s">
        <v>1512</v>
      </c>
      <c r="B715" s="1">
        <v>45262</v>
      </c>
      <c r="C715" t="s">
        <v>453</v>
      </c>
      <c r="D715" t="s">
        <v>26</v>
      </c>
      <c r="E715">
        <v>55</v>
      </c>
      <c r="F715" t="s">
        <v>13</v>
      </c>
      <c r="G715">
        <v>3</v>
      </c>
      <c r="H715" s="7">
        <v>500</v>
      </c>
      <c r="I715" s="7">
        <v>1500</v>
      </c>
      <c r="J715"/>
    </row>
    <row r="716" spans="1:10" x14ac:dyDescent="0.35">
      <c r="A716" t="s">
        <v>1513</v>
      </c>
      <c r="B716" s="1">
        <v>45148</v>
      </c>
      <c r="C716" t="s">
        <v>2185</v>
      </c>
      <c r="D716" t="s">
        <v>34</v>
      </c>
      <c r="E716">
        <v>21</v>
      </c>
      <c r="F716" t="s">
        <v>56</v>
      </c>
      <c r="G716">
        <v>4</v>
      </c>
      <c r="H716" s="7">
        <v>50</v>
      </c>
      <c r="I716" s="7">
        <v>200</v>
      </c>
      <c r="J716"/>
    </row>
    <row r="717" spans="1:10" x14ac:dyDescent="0.35">
      <c r="A717" t="s">
        <v>1515</v>
      </c>
      <c r="B717" s="1">
        <v>45059</v>
      </c>
      <c r="C717" t="s">
        <v>2306</v>
      </c>
      <c r="D717" t="s">
        <v>34</v>
      </c>
      <c r="E717">
        <v>47</v>
      </c>
      <c r="F717" t="s">
        <v>13</v>
      </c>
      <c r="G717">
        <v>2</v>
      </c>
      <c r="H717" s="7">
        <v>300</v>
      </c>
      <c r="I717" s="7">
        <v>600</v>
      </c>
      <c r="J717"/>
    </row>
    <row r="718" spans="1:10" x14ac:dyDescent="0.35">
      <c r="A718" t="s">
        <v>1517</v>
      </c>
      <c r="B718" s="1">
        <v>45003</v>
      </c>
      <c r="C718" t="s">
        <v>2222</v>
      </c>
      <c r="D718" t="s">
        <v>34</v>
      </c>
      <c r="E718">
        <v>51</v>
      </c>
      <c r="F718" t="s">
        <v>56</v>
      </c>
      <c r="G718">
        <v>3</v>
      </c>
      <c r="H718" s="7">
        <v>500</v>
      </c>
      <c r="I718" s="7">
        <v>1500</v>
      </c>
      <c r="J718"/>
    </row>
    <row r="719" spans="1:10" x14ac:dyDescent="0.35">
      <c r="A719" t="s">
        <v>1519</v>
      </c>
      <c r="B719" s="1">
        <v>45251</v>
      </c>
      <c r="C719" t="s">
        <v>1196</v>
      </c>
      <c r="D719" t="s">
        <v>34</v>
      </c>
      <c r="E719">
        <v>43</v>
      </c>
      <c r="F719" t="s">
        <v>13</v>
      </c>
      <c r="G719">
        <v>3</v>
      </c>
      <c r="H719" s="7">
        <v>300</v>
      </c>
      <c r="I719" s="7">
        <v>900</v>
      </c>
      <c r="J719"/>
    </row>
    <row r="720" spans="1:10" x14ac:dyDescent="0.35">
      <c r="A720" t="s">
        <v>1521</v>
      </c>
      <c r="B720" s="1">
        <v>45049</v>
      </c>
      <c r="C720" t="s">
        <v>1974</v>
      </c>
      <c r="D720" t="s">
        <v>34</v>
      </c>
      <c r="E720">
        <v>42</v>
      </c>
      <c r="F720" t="s">
        <v>36</v>
      </c>
      <c r="G720">
        <v>1</v>
      </c>
      <c r="H720" s="7">
        <v>30</v>
      </c>
      <c r="I720" s="7">
        <v>30</v>
      </c>
      <c r="J720"/>
    </row>
    <row r="721" spans="1:10" x14ac:dyDescent="0.35">
      <c r="A721" t="s">
        <v>1522</v>
      </c>
      <c r="B721" s="1">
        <v>45034</v>
      </c>
      <c r="C721" t="s">
        <v>1894</v>
      </c>
      <c r="D721" t="s">
        <v>34</v>
      </c>
      <c r="E721">
        <v>54</v>
      </c>
      <c r="F721" t="s">
        <v>13</v>
      </c>
      <c r="G721">
        <v>2</v>
      </c>
      <c r="H721" s="7">
        <v>25</v>
      </c>
      <c r="I721" s="7">
        <v>50</v>
      </c>
      <c r="J721"/>
    </row>
    <row r="722" spans="1:10" x14ac:dyDescent="0.35">
      <c r="A722" t="s">
        <v>1523</v>
      </c>
      <c r="B722" s="1">
        <v>44967</v>
      </c>
      <c r="C722" t="s">
        <v>1329</v>
      </c>
      <c r="D722" t="s">
        <v>34</v>
      </c>
      <c r="E722">
        <v>25</v>
      </c>
      <c r="F722" t="s">
        <v>13</v>
      </c>
      <c r="G722">
        <v>1</v>
      </c>
      <c r="H722" s="7">
        <v>300</v>
      </c>
      <c r="I722" s="7">
        <v>300</v>
      </c>
      <c r="J722"/>
    </row>
    <row r="723" spans="1:10" x14ac:dyDescent="0.35">
      <c r="A723" t="s">
        <v>1525</v>
      </c>
      <c r="B723" s="1">
        <v>45080</v>
      </c>
      <c r="C723" t="s">
        <v>645</v>
      </c>
      <c r="D723" t="s">
        <v>26</v>
      </c>
      <c r="E723">
        <v>21</v>
      </c>
      <c r="F723" t="s">
        <v>36</v>
      </c>
      <c r="G723">
        <v>1</v>
      </c>
      <c r="H723" s="7">
        <v>500</v>
      </c>
      <c r="I723" s="7">
        <v>500</v>
      </c>
      <c r="J723"/>
    </row>
    <row r="724" spans="1:10" x14ac:dyDescent="0.35">
      <c r="A724" t="s">
        <v>1527</v>
      </c>
      <c r="B724" s="1">
        <v>45108</v>
      </c>
      <c r="C724" t="s">
        <v>82</v>
      </c>
      <c r="D724" t="s">
        <v>26</v>
      </c>
      <c r="E724">
        <v>47</v>
      </c>
      <c r="F724" t="s">
        <v>56</v>
      </c>
      <c r="G724">
        <v>3</v>
      </c>
      <c r="H724" s="7">
        <v>500</v>
      </c>
      <c r="I724" s="7">
        <v>1500</v>
      </c>
      <c r="J724"/>
    </row>
    <row r="725" spans="1:10" x14ac:dyDescent="0.35">
      <c r="A725" t="s">
        <v>1528</v>
      </c>
      <c r="B725" s="1">
        <v>45064</v>
      </c>
      <c r="C725" t="s">
        <v>2203</v>
      </c>
      <c r="D725" t="s">
        <v>26</v>
      </c>
      <c r="E725">
        <v>46</v>
      </c>
      <c r="F725" t="s">
        <v>56</v>
      </c>
      <c r="G725">
        <v>1</v>
      </c>
      <c r="H725" s="7">
        <v>50</v>
      </c>
      <c r="I725" s="7">
        <v>50</v>
      </c>
      <c r="J725"/>
    </row>
    <row r="726" spans="1:10" x14ac:dyDescent="0.35">
      <c r="A726" t="s">
        <v>1530</v>
      </c>
      <c r="B726" s="1">
        <v>44948</v>
      </c>
      <c r="C726" t="s">
        <v>2251</v>
      </c>
      <c r="D726" t="s">
        <v>34</v>
      </c>
      <c r="E726">
        <v>41</v>
      </c>
      <c r="F726" t="s">
        <v>13</v>
      </c>
      <c r="G726">
        <v>1</v>
      </c>
      <c r="H726" s="7">
        <v>25</v>
      </c>
      <c r="I726" s="7">
        <v>25</v>
      </c>
      <c r="J726"/>
    </row>
    <row r="727" spans="1:10" x14ac:dyDescent="0.35">
      <c r="A727" t="s">
        <v>1532</v>
      </c>
      <c r="B727" s="1">
        <v>45059</v>
      </c>
      <c r="C727" t="s">
        <v>1609</v>
      </c>
      <c r="D727" t="s">
        <v>26</v>
      </c>
      <c r="E727">
        <v>62</v>
      </c>
      <c r="F727" t="s">
        <v>36</v>
      </c>
      <c r="G727">
        <v>4</v>
      </c>
      <c r="H727" s="7">
        <v>50</v>
      </c>
      <c r="I727" s="7">
        <v>200</v>
      </c>
      <c r="J727"/>
    </row>
    <row r="728" spans="1:10" x14ac:dyDescent="0.35">
      <c r="A728" t="s">
        <v>1534</v>
      </c>
      <c r="B728" s="1">
        <v>45082</v>
      </c>
      <c r="C728" t="s">
        <v>2212</v>
      </c>
      <c r="D728" t="s">
        <v>26</v>
      </c>
      <c r="E728">
        <v>25</v>
      </c>
      <c r="F728" t="s">
        <v>13</v>
      </c>
      <c r="G728">
        <v>1</v>
      </c>
      <c r="H728" s="7">
        <v>50</v>
      </c>
      <c r="I728" s="7">
        <v>50</v>
      </c>
      <c r="J728"/>
    </row>
    <row r="729" spans="1:10" x14ac:dyDescent="0.35">
      <c r="A729" t="s">
        <v>1536</v>
      </c>
      <c r="B729" s="1">
        <v>45230</v>
      </c>
      <c r="C729" t="s">
        <v>648</v>
      </c>
      <c r="D729" t="s">
        <v>34</v>
      </c>
      <c r="E729">
        <v>35</v>
      </c>
      <c r="F729" t="s">
        <v>56</v>
      </c>
      <c r="G729">
        <v>3</v>
      </c>
      <c r="H729" s="7">
        <v>30</v>
      </c>
      <c r="I729" s="7">
        <v>90</v>
      </c>
      <c r="J729"/>
    </row>
    <row r="730" spans="1:10" x14ac:dyDescent="0.35">
      <c r="A730" t="s">
        <v>1537</v>
      </c>
      <c r="B730" s="1">
        <v>45039</v>
      </c>
      <c r="C730" t="s">
        <v>2275</v>
      </c>
      <c r="D730" t="s">
        <v>26</v>
      </c>
      <c r="E730">
        <v>51</v>
      </c>
      <c r="F730" t="s">
        <v>56</v>
      </c>
      <c r="G730">
        <v>3</v>
      </c>
      <c r="H730" s="7">
        <v>30</v>
      </c>
      <c r="I730" s="7">
        <v>90</v>
      </c>
      <c r="J730"/>
    </row>
    <row r="731" spans="1:10" x14ac:dyDescent="0.35">
      <c r="A731" t="s">
        <v>1538</v>
      </c>
      <c r="B731" s="1">
        <v>45208</v>
      </c>
      <c r="C731" t="s">
        <v>1850</v>
      </c>
      <c r="D731" t="s">
        <v>34</v>
      </c>
      <c r="E731">
        <v>43</v>
      </c>
      <c r="F731" t="s">
        <v>56</v>
      </c>
      <c r="G731">
        <v>4</v>
      </c>
      <c r="H731" s="7">
        <v>30</v>
      </c>
      <c r="I731" s="7">
        <v>120</v>
      </c>
      <c r="J731"/>
    </row>
    <row r="732" spans="1:10" x14ac:dyDescent="0.35">
      <c r="A732" t="s">
        <v>1539</v>
      </c>
      <c r="B732" s="1">
        <v>44987</v>
      </c>
      <c r="C732" t="s">
        <v>2191</v>
      </c>
      <c r="D732" t="s">
        <v>34</v>
      </c>
      <c r="E732">
        <v>50</v>
      </c>
      <c r="F732" t="s">
        <v>36</v>
      </c>
      <c r="G732">
        <v>1</v>
      </c>
      <c r="H732" s="7">
        <v>300</v>
      </c>
      <c r="I732" s="7">
        <v>300</v>
      </c>
      <c r="J732"/>
    </row>
    <row r="733" spans="1:10" x14ac:dyDescent="0.35">
      <c r="A733" t="s">
        <v>1541</v>
      </c>
      <c r="B733" s="1">
        <v>45107</v>
      </c>
      <c r="C733" t="s">
        <v>737</v>
      </c>
      <c r="D733" t="s">
        <v>26</v>
      </c>
      <c r="E733">
        <v>20</v>
      </c>
      <c r="F733" t="s">
        <v>56</v>
      </c>
      <c r="G733">
        <v>1</v>
      </c>
      <c r="H733" s="7">
        <v>30</v>
      </c>
      <c r="I733" s="7">
        <v>30</v>
      </c>
      <c r="J733"/>
    </row>
    <row r="734" spans="1:10" x14ac:dyDescent="0.35">
      <c r="A734" t="s">
        <v>1542</v>
      </c>
      <c r="B734" s="1">
        <v>44953</v>
      </c>
      <c r="C734" t="s">
        <v>2185</v>
      </c>
      <c r="D734" t="s">
        <v>34</v>
      </c>
      <c r="E734">
        <v>29</v>
      </c>
      <c r="F734" t="s">
        <v>56</v>
      </c>
      <c r="G734">
        <v>4</v>
      </c>
      <c r="H734" s="7">
        <v>25</v>
      </c>
      <c r="I734" s="7">
        <v>100</v>
      </c>
      <c r="J734"/>
    </row>
    <row r="735" spans="1:10" x14ac:dyDescent="0.35">
      <c r="A735" t="s">
        <v>1543</v>
      </c>
      <c r="B735" s="1">
        <v>45284</v>
      </c>
      <c r="C735" t="s">
        <v>825</v>
      </c>
      <c r="D735" t="s">
        <v>26</v>
      </c>
      <c r="E735">
        <v>32</v>
      </c>
      <c r="F735" t="s">
        <v>13</v>
      </c>
      <c r="G735">
        <v>1</v>
      </c>
      <c r="H735" s="7">
        <v>50</v>
      </c>
      <c r="I735" s="7">
        <v>50</v>
      </c>
      <c r="J735"/>
    </row>
    <row r="736" spans="1:10" x14ac:dyDescent="0.35">
      <c r="A736" t="s">
        <v>1545</v>
      </c>
      <c r="B736" s="1">
        <v>45069</v>
      </c>
      <c r="C736" t="s">
        <v>2280</v>
      </c>
      <c r="D736" t="s">
        <v>26</v>
      </c>
      <c r="E736">
        <v>60</v>
      </c>
      <c r="F736" t="s">
        <v>13</v>
      </c>
      <c r="G736">
        <v>3</v>
      </c>
      <c r="H736" s="7">
        <v>300</v>
      </c>
      <c r="I736" s="7">
        <v>900</v>
      </c>
      <c r="J736"/>
    </row>
    <row r="737" spans="1:10" x14ac:dyDescent="0.35">
      <c r="A737" t="s">
        <v>1546</v>
      </c>
      <c r="B737" s="1">
        <v>45177</v>
      </c>
      <c r="C737" t="s">
        <v>1712</v>
      </c>
      <c r="D737" t="s">
        <v>34</v>
      </c>
      <c r="E737">
        <v>32</v>
      </c>
      <c r="F737" t="s">
        <v>13</v>
      </c>
      <c r="G737">
        <v>2</v>
      </c>
      <c r="H737" s="7">
        <v>25</v>
      </c>
      <c r="I737" s="7">
        <v>50</v>
      </c>
      <c r="J737"/>
    </row>
    <row r="738" spans="1:10" x14ac:dyDescent="0.35">
      <c r="A738" t="s">
        <v>1548</v>
      </c>
      <c r="B738" s="1">
        <v>45051</v>
      </c>
      <c r="C738" t="s">
        <v>1407</v>
      </c>
      <c r="D738" t="s">
        <v>34</v>
      </c>
      <c r="E738">
        <v>22</v>
      </c>
      <c r="F738" t="s">
        <v>13</v>
      </c>
      <c r="G738">
        <v>1</v>
      </c>
      <c r="H738" s="7">
        <v>50</v>
      </c>
      <c r="I738" s="7">
        <v>50</v>
      </c>
      <c r="J738"/>
    </row>
    <row r="739" spans="1:10" x14ac:dyDescent="0.35">
      <c r="A739" t="s">
        <v>1549</v>
      </c>
      <c r="B739" s="1">
        <v>45161</v>
      </c>
      <c r="C739" t="s">
        <v>2285</v>
      </c>
      <c r="D739" t="s">
        <v>26</v>
      </c>
      <c r="E739">
        <v>19</v>
      </c>
      <c r="F739" t="s">
        <v>36</v>
      </c>
      <c r="G739">
        <v>1</v>
      </c>
      <c r="H739" s="7">
        <v>500</v>
      </c>
      <c r="I739" s="7">
        <v>500</v>
      </c>
      <c r="J739"/>
    </row>
    <row r="740" spans="1:10" x14ac:dyDescent="0.35">
      <c r="A740" t="s">
        <v>1552</v>
      </c>
      <c r="B740" s="1">
        <v>44978</v>
      </c>
      <c r="C740" t="s">
        <v>2277</v>
      </c>
      <c r="D740" t="s">
        <v>26</v>
      </c>
      <c r="E740">
        <v>43</v>
      </c>
      <c r="F740" t="s">
        <v>56</v>
      </c>
      <c r="G740">
        <v>1</v>
      </c>
      <c r="H740" s="7">
        <v>300</v>
      </c>
      <c r="I740" s="7">
        <v>300</v>
      </c>
      <c r="J740"/>
    </row>
    <row r="741" spans="1:10" x14ac:dyDescent="0.35">
      <c r="A741" t="s">
        <v>1554</v>
      </c>
      <c r="B741" s="1">
        <v>45142</v>
      </c>
      <c r="C741" t="s">
        <v>1570</v>
      </c>
      <c r="D741" t="s">
        <v>26</v>
      </c>
      <c r="E741">
        <v>50</v>
      </c>
      <c r="F741" t="s">
        <v>36</v>
      </c>
      <c r="G741">
        <v>2</v>
      </c>
      <c r="H741" s="7">
        <v>50</v>
      </c>
      <c r="I741" s="7">
        <v>100</v>
      </c>
      <c r="J741"/>
    </row>
    <row r="742" spans="1:10" x14ac:dyDescent="0.35">
      <c r="A742" t="s">
        <v>1555</v>
      </c>
      <c r="B742" s="1">
        <v>45007</v>
      </c>
      <c r="C742" t="s">
        <v>1240</v>
      </c>
      <c r="D742" t="s">
        <v>34</v>
      </c>
      <c r="E742">
        <v>64</v>
      </c>
      <c r="F742" t="s">
        <v>36</v>
      </c>
      <c r="G742">
        <v>2</v>
      </c>
      <c r="H742" s="7">
        <v>500</v>
      </c>
      <c r="I742" s="7">
        <v>1000</v>
      </c>
      <c r="J742"/>
    </row>
    <row r="743" spans="1:10" x14ac:dyDescent="0.35">
      <c r="A743" t="s">
        <v>1557</v>
      </c>
      <c r="B743" s="1">
        <v>45229</v>
      </c>
      <c r="C743" t="s">
        <v>1273</v>
      </c>
      <c r="D743" t="s">
        <v>34</v>
      </c>
      <c r="E743">
        <v>35</v>
      </c>
      <c r="F743" t="s">
        <v>36</v>
      </c>
      <c r="G743">
        <v>3</v>
      </c>
      <c r="H743" s="7">
        <v>25</v>
      </c>
      <c r="I743" s="7">
        <v>75</v>
      </c>
      <c r="J743"/>
    </row>
    <row r="744" spans="1:10" x14ac:dyDescent="0.35">
      <c r="A744" t="s">
        <v>1560</v>
      </c>
      <c r="B744" s="1">
        <v>45232</v>
      </c>
      <c r="C744" t="s">
        <v>2242</v>
      </c>
      <c r="D744" t="s">
        <v>26</v>
      </c>
      <c r="E744">
        <v>39</v>
      </c>
      <c r="F744" t="s">
        <v>56</v>
      </c>
      <c r="G744">
        <v>3</v>
      </c>
      <c r="H744" s="7">
        <v>25</v>
      </c>
      <c r="I744" s="7">
        <v>75</v>
      </c>
      <c r="J744"/>
    </row>
    <row r="745" spans="1:10" x14ac:dyDescent="0.35">
      <c r="A745" t="s">
        <v>1562</v>
      </c>
      <c r="B745" s="1">
        <v>45057</v>
      </c>
      <c r="C745" t="s">
        <v>556</v>
      </c>
      <c r="D745" t="s">
        <v>26</v>
      </c>
      <c r="E745">
        <v>40</v>
      </c>
      <c r="F745" t="s">
        <v>56</v>
      </c>
      <c r="G745">
        <v>1</v>
      </c>
      <c r="H745" s="7">
        <v>30</v>
      </c>
      <c r="I745" s="7">
        <v>30</v>
      </c>
      <c r="J745"/>
    </row>
    <row r="746" spans="1:10" x14ac:dyDescent="0.35">
      <c r="A746" t="s">
        <v>1564</v>
      </c>
      <c r="B746" s="1">
        <v>45209</v>
      </c>
      <c r="C746" t="s">
        <v>1965</v>
      </c>
      <c r="D746" t="s">
        <v>26</v>
      </c>
      <c r="E746">
        <v>40</v>
      </c>
      <c r="F746" t="s">
        <v>13</v>
      </c>
      <c r="G746">
        <v>4</v>
      </c>
      <c r="H746" s="7">
        <v>50</v>
      </c>
      <c r="I746" s="7">
        <v>200</v>
      </c>
      <c r="J746"/>
    </row>
    <row r="747" spans="1:10" x14ac:dyDescent="0.35">
      <c r="A747" t="s">
        <v>1566</v>
      </c>
      <c r="B747" s="1">
        <v>45053</v>
      </c>
      <c r="C747" t="s">
        <v>1733</v>
      </c>
      <c r="D747" t="s">
        <v>26</v>
      </c>
      <c r="E747">
        <v>51</v>
      </c>
      <c r="F747" t="s">
        <v>13</v>
      </c>
      <c r="G747">
        <v>4</v>
      </c>
      <c r="H747" s="7">
        <v>30</v>
      </c>
      <c r="I747" s="7">
        <v>120</v>
      </c>
      <c r="J747"/>
    </row>
    <row r="748" spans="1:10" x14ac:dyDescent="0.35">
      <c r="A748" t="s">
        <v>1567</v>
      </c>
      <c r="B748" s="1">
        <v>45009</v>
      </c>
      <c r="C748" t="s">
        <v>1187</v>
      </c>
      <c r="D748" t="s">
        <v>34</v>
      </c>
      <c r="E748">
        <v>45</v>
      </c>
      <c r="F748" t="s">
        <v>36</v>
      </c>
      <c r="G748">
        <v>2</v>
      </c>
      <c r="H748" s="7">
        <v>50</v>
      </c>
      <c r="I748" s="7">
        <v>100</v>
      </c>
      <c r="J748"/>
    </row>
    <row r="749" spans="1:10" x14ac:dyDescent="0.35">
      <c r="A749" t="s">
        <v>1569</v>
      </c>
      <c r="B749" s="1">
        <v>45209</v>
      </c>
      <c r="C749" t="s">
        <v>757</v>
      </c>
      <c r="D749" t="s">
        <v>34</v>
      </c>
      <c r="E749">
        <v>57</v>
      </c>
      <c r="F749" t="s">
        <v>36</v>
      </c>
      <c r="G749">
        <v>4</v>
      </c>
      <c r="H749" s="7">
        <v>300</v>
      </c>
      <c r="I749" s="7">
        <v>1200</v>
      </c>
      <c r="J749"/>
    </row>
    <row r="750" spans="1:10" x14ac:dyDescent="0.35">
      <c r="A750" t="s">
        <v>1571</v>
      </c>
      <c r="B750" s="1">
        <v>44927</v>
      </c>
      <c r="C750" t="s">
        <v>1946</v>
      </c>
      <c r="D750" t="s">
        <v>34</v>
      </c>
      <c r="E750">
        <v>46</v>
      </c>
      <c r="F750" t="s">
        <v>36</v>
      </c>
      <c r="G750">
        <v>3</v>
      </c>
      <c r="H750" s="7">
        <v>500</v>
      </c>
      <c r="I750" s="7">
        <v>1500</v>
      </c>
      <c r="J750"/>
    </row>
    <row r="751" spans="1:10" x14ac:dyDescent="0.35">
      <c r="A751" t="s">
        <v>1573</v>
      </c>
      <c r="B751" s="1">
        <v>45286</v>
      </c>
      <c r="C751" t="s">
        <v>2204</v>
      </c>
      <c r="D751" t="s">
        <v>34</v>
      </c>
      <c r="E751">
        <v>23</v>
      </c>
      <c r="F751" t="s">
        <v>56</v>
      </c>
      <c r="G751">
        <v>1</v>
      </c>
      <c r="H751" s="7">
        <v>30</v>
      </c>
      <c r="I751" s="7">
        <v>30</v>
      </c>
      <c r="J751"/>
    </row>
    <row r="752" spans="1:10" x14ac:dyDescent="0.35">
      <c r="A752" t="s">
        <v>1574</v>
      </c>
      <c r="B752" s="1">
        <v>45232</v>
      </c>
      <c r="C752" t="s">
        <v>614</v>
      </c>
      <c r="D752" t="s">
        <v>34</v>
      </c>
      <c r="E752">
        <v>33</v>
      </c>
      <c r="F752" t="s">
        <v>36</v>
      </c>
      <c r="G752">
        <v>2</v>
      </c>
      <c r="H752" s="7">
        <v>50</v>
      </c>
      <c r="I752" s="7">
        <v>100</v>
      </c>
      <c r="J752"/>
    </row>
    <row r="753" spans="1:10" x14ac:dyDescent="0.35">
      <c r="A753" t="s">
        <v>1575</v>
      </c>
      <c r="B753" s="1">
        <v>45206</v>
      </c>
      <c r="C753" t="s">
        <v>2223</v>
      </c>
      <c r="D753" t="s">
        <v>34</v>
      </c>
      <c r="E753">
        <v>57</v>
      </c>
      <c r="F753" t="s">
        <v>13</v>
      </c>
      <c r="G753">
        <v>2</v>
      </c>
      <c r="H753" s="7">
        <v>50</v>
      </c>
      <c r="I753" s="7">
        <v>100</v>
      </c>
      <c r="J753"/>
    </row>
    <row r="754" spans="1:10" x14ac:dyDescent="0.35">
      <c r="A754" t="s">
        <v>1576</v>
      </c>
      <c r="B754" s="1">
        <v>44963</v>
      </c>
      <c r="C754" t="s">
        <v>346</v>
      </c>
      <c r="D754" t="s">
        <v>26</v>
      </c>
      <c r="E754">
        <v>43</v>
      </c>
      <c r="F754" t="s">
        <v>36</v>
      </c>
      <c r="G754">
        <v>1</v>
      </c>
      <c r="H754" s="7">
        <v>25</v>
      </c>
      <c r="I754" s="7">
        <v>25</v>
      </c>
      <c r="J754"/>
    </row>
    <row r="755" spans="1:10" x14ac:dyDescent="0.35">
      <c r="A755" t="s">
        <v>1578</v>
      </c>
      <c r="B755" s="1">
        <v>45292</v>
      </c>
      <c r="C755" t="s">
        <v>912</v>
      </c>
      <c r="D755" t="s">
        <v>34</v>
      </c>
      <c r="E755">
        <v>42</v>
      </c>
      <c r="F755" t="s">
        <v>36</v>
      </c>
      <c r="G755">
        <v>3</v>
      </c>
      <c r="H755" s="7">
        <v>500</v>
      </c>
      <c r="I755" s="7">
        <v>1500</v>
      </c>
      <c r="J755"/>
    </row>
    <row r="756" spans="1:10" x14ac:dyDescent="0.35">
      <c r="A756" t="s">
        <v>1581</v>
      </c>
      <c r="B756" s="1">
        <v>45253</v>
      </c>
      <c r="C756" t="s">
        <v>679</v>
      </c>
      <c r="D756" t="s">
        <v>26</v>
      </c>
      <c r="E756">
        <v>40</v>
      </c>
      <c r="F756" t="s">
        <v>13</v>
      </c>
      <c r="G756">
        <v>1</v>
      </c>
      <c r="H756" s="7">
        <v>300</v>
      </c>
      <c r="I756" s="7">
        <v>300</v>
      </c>
      <c r="J756"/>
    </row>
    <row r="757" spans="1:10" x14ac:dyDescent="0.35">
      <c r="A757" t="s">
        <v>1583</v>
      </c>
      <c r="B757" s="1">
        <v>45122</v>
      </c>
      <c r="C757" t="s">
        <v>2239</v>
      </c>
      <c r="D757" t="s">
        <v>26</v>
      </c>
      <c r="E757">
        <v>59</v>
      </c>
      <c r="F757" t="s">
        <v>36</v>
      </c>
      <c r="G757">
        <v>3</v>
      </c>
      <c r="H757" s="7">
        <v>500</v>
      </c>
      <c r="I757" s="7">
        <v>1500</v>
      </c>
      <c r="J757"/>
    </row>
    <row r="758" spans="1:10" x14ac:dyDescent="0.35">
      <c r="A758" t="s">
        <v>1586</v>
      </c>
      <c r="B758" s="1">
        <v>45215</v>
      </c>
      <c r="C758" t="s">
        <v>663</v>
      </c>
      <c r="D758" t="s">
        <v>26</v>
      </c>
      <c r="E758">
        <v>43</v>
      </c>
      <c r="F758" t="s">
        <v>13</v>
      </c>
      <c r="G758">
        <v>4</v>
      </c>
      <c r="H758" s="7">
        <v>25</v>
      </c>
      <c r="I758" s="7">
        <v>100</v>
      </c>
      <c r="J758"/>
    </row>
    <row r="759" spans="1:10" x14ac:dyDescent="0.35">
      <c r="A759" t="s">
        <v>1588</v>
      </c>
      <c r="B759" s="1">
        <v>45289</v>
      </c>
      <c r="C759" t="s">
        <v>1453</v>
      </c>
      <c r="D759" t="s">
        <v>26</v>
      </c>
      <c r="E759">
        <v>49</v>
      </c>
      <c r="F759" t="s">
        <v>13</v>
      </c>
      <c r="G759">
        <v>4</v>
      </c>
      <c r="H759" s="7">
        <v>25</v>
      </c>
      <c r="I759" s="7">
        <v>100</v>
      </c>
      <c r="J759"/>
    </row>
    <row r="760" spans="1:10" x14ac:dyDescent="0.35">
      <c r="A760" t="s">
        <v>1589</v>
      </c>
      <c r="B760" s="1">
        <v>45132</v>
      </c>
      <c r="C760" t="s">
        <v>698</v>
      </c>
      <c r="D760" t="s">
        <v>34</v>
      </c>
      <c r="E760">
        <v>61</v>
      </c>
      <c r="F760" t="s">
        <v>13</v>
      </c>
      <c r="G760">
        <v>2</v>
      </c>
      <c r="H760" s="7">
        <v>500</v>
      </c>
      <c r="I760" s="7">
        <v>1000</v>
      </c>
      <c r="J760"/>
    </row>
    <row r="761" spans="1:10" x14ac:dyDescent="0.35">
      <c r="A761" t="s">
        <v>1591</v>
      </c>
      <c r="B761" s="1">
        <v>45223</v>
      </c>
      <c r="C761" t="s">
        <v>2206</v>
      </c>
      <c r="D761" t="s">
        <v>34</v>
      </c>
      <c r="E761">
        <v>39</v>
      </c>
      <c r="F761" t="s">
        <v>36</v>
      </c>
      <c r="G761">
        <v>3</v>
      </c>
      <c r="H761" s="7">
        <v>25</v>
      </c>
      <c r="I761" s="7">
        <v>75</v>
      </c>
      <c r="J761"/>
    </row>
    <row r="762" spans="1:10" x14ac:dyDescent="0.35">
      <c r="A762" t="s">
        <v>1593</v>
      </c>
      <c r="B762" s="1">
        <v>45288</v>
      </c>
      <c r="C762" t="s">
        <v>304</v>
      </c>
      <c r="D762" t="s">
        <v>34</v>
      </c>
      <c r="E762">
        <v>64</v>
      </c>
      <c r="F762" t="s">
        <v>13</v>
      </c>
      <c r="G762">
        <v>2</v>
      </c>
      <c r="H762" s="7">
        <v>25</v>
      </c>
      <c r="I762" s="7">
        <v>50</v>
      </c>
      <c r="J762"/>
    </row>
    <row r="763" spans="1:10" x14ac:dyDescent="0.35">
      <c r="A763" t="s">
        <v>1595</v>
      </c>
      <c r="B763" s="1">
        <v>45039</v>
      </c>
      <c r="C763" t="s">
        <v>1894</v>
      </c>
      <c r="D763" t="s">
        <v>26</v>
      </c>
      <c r="E763">
        <v>52</v>
      </c>
      <c r="F763" t="s">
        <v>56</v>
      </c>
      <c r="G763">
        <v>3</v>
      </c>
      <c r="H763" s="7">
        <v>30</v>
      </c>
      <c r="I763" s="7">
        <v>90</v>
      </c>
      <c r="J763"/>
    </row>
    <row r="764" spans="1:10" x14ac:dyDescent="0.35">
      <c r="A764" t="s">
        <v>1596</v>
      </c>
      <c r="B764" s="1">
        <v>45222</v>
      </c>
      <c r="C764" t="s">
        <v>791</v>
      </c>
      <c r="D764" t="s">
        <v>26</v>
      </c>
      <c r="E764">
        <v>62</v>
      </c>
      <c r="F764" t="s">
        <v>36</v>
      </c>
      <c r="G764">
        <v>1</v>
      </c>
      <c r="H764" s="7">
        <v>500</v>
      </c>
      <c r="I764" s="7">
        <v>500</v>
      </c>
      <c r="J764"/>
    </row>
    <row r="765" spans="1:10" x14ac:dyDescent="0.35">
      <c r="A765" t="s">
        <v>1598</v>
      </c>
      <c r="B765" s="1">
        <v>45054</v>
      </c>
      <c r="C765" t="s">
        <v>1451</v>
      </c>
      <c r="D765" t="s">
        <v>34</v>
      </c>
      <c r="E765">
        <v>62</v>
      </c>
      <c r="F765" t="s">
        <v>13</v>
      </c>
      <c r="G765">
        <v>4</v>
      </c>
      <c r="H765" s="7">
        <v>500</v>
      </c>
      <c r="I765" s="7">
        <v>2000</v>
      </c>
      <c r="J765"/>
    </row>
    <row r="766" spans="1:10" x14ac:dyDescent="0.35">
      <c r="A766" t="s">
        <v>1599</v>
      </c>
      <c r="B766" s="1">
        <v>45273</v>
      </c>
      <c r="C766" t="s">
        <v>225</v>
      </c>
      <c r="D766" t="s">
        <v>34</v>
      </c>
      <c r="E766">
        <v>63</v>
      </c>
      <c r="F766" t="s">
        <v>13</v>
      </c>
      <c r="G766">
        <v>2</v>
      </c>
      <c r="H766" s="7">
        <v>300</v>
      </c>
      <c r="I766" s="7">
        <v>600</v>
      </c>
      <c r="J766"/>
    </row>
    <row r="767" spans="1:10" x14ac:dyDescent="0.35">
      <c r="A767" t="s">
        <v>1601</v>
      </c>
      <c r="B767" s="1">
        <v>45101</v>
      </c>
      <c r="C767" t="s">
        <v>526</v>
      </c>
      <c r="D767" t="s">
        <v>34</v>
      </c>
      <c r="E767">
        <v>62</v>
      </c>
      <c r="F767" t="s">
        <v>13</v>
      </c>
      <c r="G767">
        <v>4</v>
      </c>
      <c r="H767" s="7">
        <v>500</v>
      </c>
      <c r="I767" s="7">
        <v>2000</v>
      </c>
      <c r="J767"/>
    </row>
    <row r="768" spans="1:10" x14ac:dyDescent="0.35">
      <c r="A768" t="s">
        <v>1604</v>
      </c>
      <c r="B768" s="1">
        <v>45268</v>
      </c>
      <c r="C768" t="s">
        <v>841</v>
      </c>
      <c r="D768" t="s">
        <v>26</v>
      </c>
      <c r="E768">
        <v>46</v>
      </c>
      <c r="F768" t="s">
        <v>13</v>
      </c>
      <c r="G768">
        <v>3</v>
      </c>
      <c r="H768" s="7">
        <v>300</v>
      </c>
      <c r="I768" s="7">
        <v>900</v>
      </c>
      <c r="J768"/>
    </row>
    <row r="769" spans="1:10" x14ac:dyDescent="0.35">
      <c r="A769" t="s">
        <v>1606</v>
      </c>
      <c r="B769" s="1">
        <v>45232</v>
      </c>
      <c r="C769" t="s">
        <v>1312</v>
      </c>
      <c r="D769" t="s">
        <v>26</v>
      </c>
      <c r="E769">
        <v>37</v>
      </c>
      <c r="F769" t="s">
        <v>13</v>
      </c>
      <c r="G769">
        <v>3</v>
      </c>
      <c r="H769" s="7">
        <v>500</v>
      </c>
      <c r="I769" s="7">
        <v>1500</v>
      </c>
      <c r="J769"/>
    </row>
    <row r="770" spans="1:10" x14ac:dyDescent="0.35">
      <c r="A770" t="s">
        <v>1608</v>
      </c>
      <c r="B770" s="1">
        <v>45206</v>
      </c>
      <c r="C770" t="s">
        <v>2276</v>
      </c>
      <c r="D770" t="s">
        <v>26</v>
      </c>
      <c r="E770">
        <v>35</v>
      </c>
      <c r="F770" t="s">
        <v>13</v>
      </c>
      <c r="G770">
        <v>4</v>
      </c>
      <c r="H770" s="7">
        <v>300</v>
      </c>
      <c r="I770" s="7">
        <v>1200</v>
      </c>
      <c r="J770"/>
    </row>
    <row r="771" spans="1:10" x14ac:dyDescent="0.35">
      <c r="A771" t="s">
        <v>1610</v>
      </c>
      <c r="B771" s="1">
        <v>45257</v>
      </c>
      <c r="C771" t="s">
        <v>1925</v>
      </c>
      <c r="D771" t="s">
        <v>26</v>
      </c>
      <c r="E771">
        <v>32</v>
      </c>
      <c r="F771" t="s">
        <v>36</v>
      </c>
      <c r="G771">
        <v>3</v>
      </c>
      <c r="H771" s="7">
        <v>30</v>
      </c>
      <c r="I771" s="7">
        <v>90</v>
      </c>
      <c r="J771"/>
    </row>
    <row r="772" spans="1:10" x14ac:dyDescent="0.35">
      <c r="A772" t="s">
        <v>1612</v>
      </c>
      <c r="B772" s="1">
        <v>45017</v>
      </c>
      <c r="C772" t="s">
        <v>1346</v>
      </c>
      <c r="D772" t="s">
        <v>34</v>
      </c>
      <c r="E772">
        <v>63</v>
      </c>
      <c r="F772" t="s">
        <v>13</v>
      </c>
      <c r="G772">
        <v>4</v>
      </c>
      <c r="H772" s="7">
        <v>300</v>
      </c>
      <c r="I772" s="7">
        <v>1200</v>
      </c>
      <c r="J772"/>
    </row>
    <row r="773" spans="1:10" x14ac:dyDescent="0.35">
      <c r="A773" t="s">
        <v>1613</v>
      </c>
      <c r="B773" s="1">
        <v>44970</v>
      </c>
      <c r="C773" t="s">
        <v>954</v>
      </c>
      <c r="D773" t="s">
        <v>34</v>
      </c>
      <c r="E773">
        <v>21</v>
      </c>
      <c r="F773" t="s">
        <v>36</v>
      </c>
      <c r="G773">
        <v>4</v>
      </c>
      <c r="H773" s="7">
        <v>500</v>
      </c>
      <c r="I773" s="7">
        <v>2000</v>
      </c>
      <c r="J773"/>
    </row>
    <row r="774" spans="1:10" x14ac:dyDescent="0.35">
      <c r="A774" t="s">
        <v>1615</v>
      </c>
      <c r="B774" s="1">
        <v>44988</v>
      </c>
      <c r="C774" t="s">
        <v>2195</v>
      </c>
      <c r="D774" t="s">
        <v>26</v>
      </c>
      <c r="E774">
        <v>22</v>
      </c>
      <c r="F774" t="s">
        <v>13</v>
      </c>
      <c r="G774">
        <v>2</v>
      </c>
      <c r="H774" s="7">
        <v>25</v>
      </c>
      <c r="I774" s="7">
        <v>50</v>
      </c>
      <c r="J774"/>
    </row>
    <row r="775" spans="1:10" x14ac:dyDescent="0.35">
      <c r="A775" t="s">
        <v>1616</v>
      </c>
      <c r="B775" s="1">
        <v>44975</v>
      </c>
      <c r="C775" t="s">
        <v>1377</v>
      </c>
      <c r="D775" t="s">
        <v>34</v>
      </c>
      <c r="E775">
        <v>23</v>
      </c>
      <c r="F775" t="s">
        <v>56</v>
      </c>
      <c r="G775">
        <v>2</v>
      </c>
      <c r="H775" s="7">
        <v>500</v>
      </c>
      <c r="I775" s="7">
        <v>1000</v>
      </c>
      <c r="J775"/>
    </row>
    <row r="776" spans="1:10" x14ac:dyDescent="0.35">
      <c r="A776" t="s">
        <v>1619</v>
      </c>
      <c r="B776" s="1">
        <v>45065</v>
      </c>
      <c r="C776" t="s">
        <v>208</v>
      </c>
      <c r="D776" t="s">
        <v>34</v>
      </c>
      <c r="E776">
        <v>61</v>
      </c>
      <c r="F776" t="s">
        <v>36</v>
      </c>
      <c r="G776">
        <v>2</v>
      </c>
      <c r="H776" s="7">
        <v>25</v>
      </c>
      <c r="I776" s="7">
        <v>50</v>
      </c>
      <c r="J776"/>
    </row>
    <row r="777" spans="1:10" x14ac:dyDescent="0.35">
      <c r="A777" t="s">
        <v>1620</v>
      </c>
      <c r="B777" s="1">
        <v>45178</v>
      </c>
      <c r="C777" t="s">
        <v>1312</v>
      </c>
      <c r="D777" t="s">
        <v>34</v>
      </c>
      <c r="E777">
        <v>23</v>
      </c>
      <c r="F777" t="s">
        <v>13</v>
      </c>
      <c r="G777">
        <v>2</v>
      </c>
      <c r="H777" s="7">
        <v>50</v>
      </c>
      <c r="I777" s="7">
        <v>100</v>
      </c>
      <c r="J777"/>
    </row>
    <row r="778" spans="1:10" x14ac:dyDescent="0.35">
      <c r="A778" t="s">
        <v>1621</v>
      </c>
      <c r="B778" s="1">
        <v>44959</v>
      </c>
      <c r="C778" t="s">
        <v>2226</v>
      </c>
      <c r="D778" t="s">
        <v>34</v>
      </c>
      <c r="E778">
        <v>51</v>
      </c>
      <c r="F778" t="s">
        <v>13</v>
      </c>
      <c r="G778">
        <v>3</v>
      </c>
      <c r="H778" s="7">
        <v>50</v>
      </c>
      <c r="I778" s="7">
        <v>150</v>
      </c>
      <c r="J778"/>
    </row>
    <row r="779" spans="1:10" x14ac:dyDescent="0.35">
      <c r="A779" t="s">
        <v>1622</v>
      </c>
      <c r="B779" s="1">
        <v>45073</v>
      </c>
      <c r="C779" t="s">
        <v>1932</v>
      </c>
      <c r="D779" t="s">
        <v>26</v>
      </c>
      <c r="E779">
        <v>64</v>
      </c>
      <c r="F779" t="s">
        <v>56</v>
      </c>
      <c r="G779">
        <v>4</v>
      </c>
      <c r="H779" s="7">
        <v>500</v>
      </c>
      <c r="I779" s="7">
        <v>2000</v>
      </c>
      <c r="J779"/>
    </row>
    <row r="780" spans="1:10" x14ac:dyDescent="0.35">
      <c r="A780" t="s">
        <v>1624</v>
      </c>
      <c r="B780" s="1">
        <v>45280</v>
      </c>
      <c r="C780" t="s">
        <v>1825</v>
      </c>
      <c r="D780" t="s">
        <v>26</v>
      </c>
      <c r="E780">
        <v>30</v>
      </c>
      <c r="F780" t="s">
        <v>13</v>
      </c>
      <c r="G780">
        <v>4</v>
      </c>
      <c r="H780" s="7">
        <v>50</v>
      </c>
      <c r="I780" s="7">
        <v>200</v>
      </c>
      <c r="J780"/>
    </row>
    <row r="781" spans="1:10" x14ac:dyDescent="0.35">
      <c r="A781" t="s">
        <v>1627</v>
      </c>
      <c r="B781" s="1">
        <v>44952</v>
      </c>
      <c r="C781" t="s">
        <v>1799</v>
      </c>
      <c r="D781" t="s">
        <v>34</v>
      </c>
      <c r="E781">
        <v>28</v>
      </c>
      <c r="F781" t="s">
        <v>56</v>
      </c>
      <c r="G781">
        <v>4</v>
      </c>
      <c r="H781" s="7">
        <v>30</v>
      </c>
      <c r="I781" s="7">
        <v>120</v>
      </c>
      <c r="J781"/>
    </row>
    <row r="782" spans="1:10" x14ac:dyDescent="0.35">
      <c r="A782" t="s">
        <v>37</v>
      </c>
      <c r="B782" s="1">
        <v>44984</v>
      </c>
      <c r="C782" t="s">
        <v>1809</v>
      </c>
      <c r="D782" t="s">
        <v>26</v>
      </c>
      <c r="E782">
        <v>26</v>
      </c>
      <c r="F782" t="s">
        <v>56</v>
      </c>
      <c r="G782">
        <v>2</v>
      </c>
      <c r="H782" s="7">
        <v>500</v>
      </c>
      <c r="I782" s="7">
        <v>1000</v>
      </c>
      <c r="J782"/>
    </row>
    <row r="783" spans="1:10" x14ac:dyDescent="0.35">
      <c r="A783" t="s">
        <v>1629</v>
      </c>
      <c r="B783" s="1">
        <v>45223</v>
      </c>
      <c r="C783" t="s">
        <v>732</v>
      </c>
      <c r="D783" t="s">
        <v>26</v>
      </c>
      <c r="E783">
        <v>43</v>
      </c>
      <c r="F783" t="s">
        <v>56</v>
      </c>
      <c r="G783">
        <v>4</v>
      </c>
      <c r="H783" s="7">
        <v>500</v>
      </c>
      <c r="I783" s="7">
        <v>2000</v>
      </c>
      <c r="J783"/>
    </row>
    <row r="784" spans="1:10" x14ac:dyDescent="0.35">
      <c r="A784" t="s">
        <v>1631</v>
      </c>
      <c r="B784" s="1">
        <v>45133</v>
      </c>
      <c r="C784" t="s">
        <v>2229</v>
      </c>
      <c r="D784" t="s">
        <v>34</v>
      </c>
      <c r="E784">
        <v>43</v>
      </c>
      <c r="F784" t="s">
        <v>13</v>
      </c>
      <c r="G784">
        <v>1</v>
      </c>
      <c r="H784" s="7">
        <v>300</v>
      </c>
      <c r="I784" s="7">
        <v>300</v>
      </c>
      <c r="J784"/>
    </row>
    <row r="785" spans="1:10" x14ac:dyDescent="0.35">
      <c r="A785" t="s">
        <v>1633</v>
      </c>
      <c r="B785" s="1">
        <v>45261</v>
      </c>
      <c r="C785" t="s">
        <v>1194</v>
      </c>
      <c r="D785" t="s">
        <v>26</v>
      </c>
      <c r="E785">
        <v>19</v>
      </c>
      <c r="F785" t="s">
        <v>13</v>
      </c>
      <c r="G785">
        <v>2</v>
      </c>
      <c r="H785" s="7">
        <v>30</v>
      </c>
      <c r="I785" s="7">
        <v>60</v>
      </c>
      <c r="J785"/>
    </row>
    <row r="786" spans="1:10" x14ac:dyDescent="0.35">
      <c r="A786" t="s">
        <v>1634</v>
      </c>
      <c r="B786" s="1">
        <v>44971</v>
      </c>
      <c r="C786" t="s">
        <v>1952</v>
      </c>
      <c r="D786" t="s">
        <v>34</v>
      </c>
      <c r="E786">
        <v>49</v>
      </c>
      <c r="F786" t="s">
        <v>13</v>
      </c>
      <c r="G786">
        <v>1</v>
      </c>
      <c r="H786" s="7">
        <v>300</v>
      </c>
      <c r="I786" s="7">
        <v>300</v>
      </c>
      <c r="J786"/>
    </row>
    <row r="787" spans="1:10" x14ac:dyDescent="0.35">
      <c r="A787" t="s">
        <v>1635</v>
      </c>
      <c r="B787" s="1">
        <v>45043</v>
      </c>
      <c r="C787" t="s">
        <v>2289</v>
      </c>
      <c r="D787" t="s">
        <v>26</v>
      </c>
      <c r="E787">
        <v>51</v>
      </c>
      <c r="F787" t="s">
        <v>36</v>
      </c>
      <c r="G787">
        <v>4</v>
      </c>
      <c r="H787" s="7">
        <v>50</v>
      </c>
      <c r="I787" s="7">
        <v>200</v>
      </c>
      <c r="J787"/>
    </row>
    <row r="788" spans="1:10" x14ac:dyDescent="0.35">
      <c r="A788" t="s">
        <v>1637</v>
      </c>
      <c r="B788" s="1">
        <v>45279</v>
      </c>
      <c r="C788" t="s">
        <v>1980</v>
      </c>
      <c r="D788" t="s">
        <v>26</v>
      </c>
      <c r="E788">
        <v>44</v>
      </c>
      <c r="F788" t="s">
        <v>56</v>
      </c>
      <c r="G788">
        <v>2</v>
      </c>
      <c r="H788" s="7">
        <v>300</v>
      </c>
      <c r="I788" s="7">
        <v>600</v>
      </c>
      <c r="J788"/>
    </row>
    <row r="789" spans="1:10" x14ac:dyDescent="0.35">
      <c r="A789" t="s">
        <v>1638</v>
      </c>
      <c r="B789" s="1">
        <v>44928</v>
      </c>
      <c r="C789" t="s">
        <v>2264</v>
      </c>
      <c r="D789" t="s">
        <v>26</v>
      </c>
      <c r="E789">
        <v>19</v>
      </c>
      <c r="F789" t="s">
        <v>36</v>
      </c>
      <c r="G789">
        <v>1</v>
      </c>
      <c r="H789" s="7">
        <v>25</v>
      </c>
      <c r="I789" s="7">
        <v>25</v>
      </c>
      <c r="J789"/>
    </row>
    <row r="790" spans="1:10" x14ac:dyDescent="0.35">
      <c r="A790" t="s">
        <v>462</v>
      </c>
      <c r="B790" s="1">
        <v>45121</v>
      </c>
      <c r="C790" t="s">
        <v>2208</v>
      </c>
      <c r="D790" t="s">
        <v>26</v>
      </c>
      <c r="E790">
        <v>48</v>
      </c>
      <c r="F790" t="s">
        <v>56</v>
      </c>
      <c r="G790">
        <v>1</v>
      </c>
      <c r="H790" s="7">
        <v>300</v>
      </c>
      <c r="I790" s="7">
        <v>300</v>
      </c>
      <c r="J790"/>
    </row>
    <row r="791" spans="1:10" x14ac:dyDescent="0.35">
      <c r="A791" t="s">
        <v>1640</v>
      </c>
      <c r="B791" s="1">
        <v>45069</v>
      </c>
      <c r="C791" t="s">
        <v>1754</v>
      </c>
      <c r="D791" t="s">
        <v>26</v>
      </c>
      <c r="E791">
        <v>52</v>
      </c>
      <c r="F791" t="s">
        <v>36</v>
      </c>
      <c r="G791">
        <v>3</v>
      </c>
      <c r="H791" s="7">
        <v>50</v>
      </c>
      <c r="I791" s="7">
        <v>150</v>
      </c>
      <c r="J791"/>
    </row>
    <row r="792" spans="1:10" x14ac:dyDescent="0.35">
      <c r="A792" t="s">
        <v>1641</v>
      </c>
      <c r="B792" s="1">
        <v>44932</v>
      </c>
      <c r="C792" t="s">
        <v>548</v>
      </c>
      <c r="D792" t="s">
        <v>34</v>
      </c>
      <c r="E792">
        <v>54</v>
      </c>
      <c r="F792" t="s">
        <v>56</v>
      </c>
      <c r="G792">
        <v>1</v>
      </c>
      <c r="H792" s="7">
        <v>500</v>
      </c>
      <c r="I792" s="7">
        <v>500</v>
      </c>
      <c r="J792"/>
    </row>
    <row r="793" spans="1:10" x14ac:dyDescent="0.35">
      <c r="A793" t="s">
        <v>1642</v>
      </c>
      <c r="B793" s="1">
        <v>45232</v>
      </c>
      <c r="C793" t="s">
        <v>1707</v>
      </c>
      <c r="D793" t="s">
        <v>34</v>
      </c>
      <c r="E793">
        <v>31</v>
      </c>
      <c r="F793" t="s">
        <v>13</v>
      </c>
      <c r="G793">
        <v>4</v>
      </c>
      <c r="H793" s="7">
        <v>25</v>
      </c>
      <c r="I793" s="7">
        <v>100</v>
      </c>
      <c r="J793"/>
    </row>
    <row r="794" spans="1:10" x14ac:dyDescent="0.35">
      <c r="A794" t="s">
        <v>1643</v>
      </c>
      <c r="B794" s="1">
        <v>45089</v>
      </c>
      <c r="C794" t="s">
        <v>849</v>
      </c>
      <c r="D794" t="s">
        <v>34</v>
      </c>
      <c r="E794">
        <v>62</v>
      </c>
      <c r="F794" t="s">
        <v>13</v>
      </c>
      <c r="G794">
        <v>2</v>
      </c>
      <c r="H794" s="7">
        <v>25</v>
      </c>
      <c r="I794" s="7">
        <v>50</v>
      </c>
      <c r="J794"/>
    </row>
    <row r="795" spans="1:10" x14ac:dyDescent="0.35">
      <c r="A795" t="s">
        <v>47</v>
      </c>
      <c r="B795" s="1">
        <v>45103</v>
      </c>
      <c r="C795" t="s">
        <v>2307</v>
      </c>
      <c r="D795" t="s">
        <v>26</v>
      </c>
      <c r="E795">
        <v>20</v>
      </c>
      <c r="F795" t="s">
        <v>13</v>
      </c>
      <c r="G795">
        <v>4</v>
      </c>
      <c r="H795" s="7">
        <v>300</v>
      </c>
      <c r="I795" s="7">
        <v>1200</v>
      </c>
      <c r="J795"/>
    </row>
    <row r="796" spans="1:10" x14ac:dyDescent="0.35">
      <c r="A796" t="s">
        <v>1645</v>
      </c>
      <c r="B796" s="1">
        <v>45159</v>
      </c>
      <c r="C796" t="s">
        <v>68</v>
      </c>
      <c r="D796" t="s">
        <v>34</v>
      </c>
      <c r="E796">
        <v>39</v>
      </c>
      <c r="F796" t="s">
        <v>56</v>
      </c>
      <c r="G796">
        <v>2</v>
      </c>
      <c r="H796" s="7">
        <v>30</v>
      </c>
      <c r="I796" s="7">
        <v>60</v>
      </c>
      <c r="J796"/>
    </row>
    <row r="797" spans="1:10" x14ac:dyDescent="0.35">
      <c r="A797" t="s">
        <v>1648</v>
      </c>
      <c r="B797" s="1">
        <v>45121</v>
      </c>
      <c r="C797" t="s">
        <v>2195</v>
      </c>
      <c r="D797" t="s">
        <v>34</v>
      </c>
      <c r="E797">
        <v>51</v>
      </c>
      <c r="F797" t="s">
        <v>13</v>
      </c>
      <c r="G797">
        <v>3</v>
      </c>
      <c r="H797" s="7">
        <v>50</v>
      </c>
      <c r="I797" s="7">
        <v>150</v>
      </c>
      <c r="J797"/>
    </row>
    <row r="798" spans="1:10" x14ac:dyDescent="0.35">
      <c r="A798" t="s">
        <v>1649</v>
      </c>
      <c r="B798" s="1">
        <v>45153</v>
      </c>
      <c r="C798" t="s">
        <v>1780</v>
      </c>
      <c r="D798" t="s">
        <v>34</v>
      </c>
      <c r="E798">
        <v>42</v>
      </c>
      <c r="F798" t="s">
        <v>56</v>
      </c>
      <c r="G798">
        <v>2</v>
      </c>
      <c r="H798" s="7">
        <v>50</v>
      </c>
      <c r="I798" s="7">
        <v>100</v>
      </c>
      <c r="J798"/>
    </row>
    <row r="799" spans="1:10" x14ac:dyDescent="0.35">
      <c r="A799" t="s">
        <v>1650</v>
      </c>
      <c r="B799" s="1">
        <v>45260</v>
      </c>
      <c r="C799" t="s">
        <v>1421</v>
      </c>
      <c r="D799" t="s">
        <v>34</v>
      </c>
      <c r="E799">
        <v>53</v>
      </c>
      <c r="F799" t="s">
        <v>13</v>
      </c>
      <c r="G799">
        <v>2</v>
      </c>
      <c r="H799" s="7">
        <v>30</v>
      </c>
      <c r="I799" s="7">
        <v>60</v>
      </c>
      <c r="J799"/>
    </row>
    <row r="800" spans="1:10" x14ac:dyDescent="0.35">
      <c r="A800" t="s">
        <v>1653</v>
      </c>
      <c r="B800" s="1">
        <v>45002</v>
      </c>
      <c r="C800" t="s">
        <v>530</v>
      </c>
      <c r="D800" t="s">
        <v>34</v>
      </c>
      <c r="E800">
        <v>36</v>
      </c>
      <c r="F800" t="s">
        <v>56</v>
      </c>
      <c r="G800">
        <v>3</v>
      </c>
      <c r="H800" s="7">
        <v>300</v>
      </c>
      <c r="I800" s="7">
        <v>900</v>
      </c>
      <c r="J800"/>
    </row>
    <row r="801" spans="1:10" x14ac:dyDescent="0.35">
      <c r="A801" t="s">
        <v>1655</v>
      </c>
      <c r="B801" s="1">
        <v>45078</v>
      </c>
      <c r="C801" t="s">
        <v>679</v>
      </c>
      <c r="D801" t="s">
        <v>26</v>
      </c>
      <c r="E801">
        <v>54</v>
      </c>
      <c r="F801" t="s">
        <v>36</v>
      </c>
      <c r="G801">
        <v>1</v>
      </c>
      <c r="H801" s="7">
        <v>50</v>
      </c>
      <c r="I801" s="7">
        <v>50</v>
      </c>
      <c r="J801"/>
    </row>
    <row r="802" spans="1:10" x14ac:dyDescent="0.35">
      <c r="A802" t="s">
        <v>1656</v>
      </c>
      <c r="B802" s="1">
        <v>45244</v>
      </c>
      <c r="C802" t="s">
        <v>2196</v>
      </c>
      <c r="D802" t="s">
        <v>26</v>
      </c>
      <c r="E802">
        <v>55</v>
      </c>
      <c r="F802" t="s">
        <v>36</v>
      </c>
      <c r="G802">
        <v>1</v>
      </c>
      <c r="H802" s="7">
        <v>50</v>
      </c>
      <c r="I802" s="7">
        <v>50</v>
      </c>
      <c r="J802"/>
    </row>
    <row r="803" spans="1:10" x14ac:dyDescent="0.35">
      <c r="A803" t="s">
        <v>1657</v>
      </c>
      <c r="B803" s="1">
        <v>45264</v>
      </c>
      <c r="C803" t="s">
        <v>2291</v>
      </c>
      <c r="D803" t="s">
        <v>26</v>
      </c>
      <c r="E803">
        <v>33</v>
      </c>
      <c r="F803" t="s">
        <v>36</v>
      </c>
      <c r="G803">
        <v>3</v>
      </c>
      <c r="H803" s="7">
        <v>50</v>
      </c>
      <c r="I803" s="7">
        <v>150</v>
      </c>
      <c r="J803"/>
    </row>
    <row r="804" spans="1:10" x14ac:dyDescent="0.35">
      <c r="A804" t="s">
        <v>1658</v>
      </c>
      <c r="B804" s="1">
        <v>45038</v>
      </c>
      <c r="C804" t="s">
        <v>1277</v>
      </c>
      <c r="D804" t="s">
        <v>26</v>
      </c>
      <c r="E804">
        <v>48</v>
      </c>
      <c r="F804" t="s">
        <v>56</v>
      </c>
      <c r="G804">
        <v>2</v>
      </c>
      <c r="H804" s="7">
        <v>25</v>
      </c>
      <c r="I804" s="7">
        <v>50</v>
      </c>
      <c r="J804"/>
    </row>
    <row r="805" spans="1:10" x14ac:dyDescent="0.35">
      <c r="A805" t="s">
        <v>1660</v>
      </c>
      <c r="B805" s="1">
        <v>45071</v>
      </c>
      <c r="C805" t="s">
        <v>1435</v>
      </c>
      <c r="D805" t="s">
        <v>34</v>
      </c>
      <c r="E805">
        <v>26</v>
      </c>
      <c r="F805" t="s">
        <v>56</v>
      </c>
      <c r="G805">
        <v>2</v>
      </c>
      <c r="H805" s="7">
        <v>300</v>
      </c>
      <c r="I805" s="7">
        <v>600</v>
      </c>
      <c r="J805"/>
    </row>
    <row r="806" spans="1:10" x14ac:dyDescent="0.35">
      <c r="A806" t="s">
        <v>1662</v>
      </c>
      <c r="B806" s="1">
        <v>44930</v>
      </c>
      <c r="C806" t="s">
        <v>806</v>
      </c>
      <c r="D806" t="s">
        <v>26</v>
      </c>
      <c r="E806">
        <v>23</v>
      </c>
      <c r="F806" t="s">
        <v>56</v>
      </c>
      <c r="G806">
        <v>3</v>
      </c>
      <c r="H806" s="7">
        <v>50</v>
      </c>
      <c r="I806" s="7">
        <v>150</v>
      </c>
      <c r="J806"/>
    </row>
    <row r="807" spans="1:10" x14ac:dyDescent="0.35">
      <c r="A807" t="s">
        <v>1664</v>
      </c>
      <c r="B807" s="1">
        <v>45260</v>
      </c>
      <c r="C807" t="s">
        <v>1950</v>
      </c>
      <c r="D807" t="s">
        <v>34</v>
      </c>
      <c r="E807">
        <v>59</v>
      </c>
      <c r="F807" t="s">
        <v>13</v>
      </c>
      <c r="G807">
        <v>4</v>
      </c>
      <c r="H807" s="7">
        <v>25</v>
      </c>
      <c r="I807" s="7">
        <v>100</v>
      </c>
      <c r="J807"/>
    </row>
    <row r="808" spans="1:10" x14ac:dyDescent="0.35">
      <c r="A808" t="s">
        <v>1665</v>
      </c>
      <c r="B808" s="1">
        <v>45099</v>
      </c>
      <c r="C808" t="s">
        <v>2318</v>
      </c>
      <c r="D808" t="s">
        <v>26</v>
      </c>
      <c r="E808">
        <v>37</v>
      </c>
      <c r="F808" t="s">
        <v>56</v>
      </c>
      <c r="G808">
        <v>4</v>
      </c>
      <c r="H808" s="7">
        <v>30</v>
      </c>
      <c r="I808" s="7">
        <v>120</v>
      </c>
      <c r="J808"/>
    </row>
    <row r="809" spans="1:10" x14ac:dyDescent="0.35">
      <c r="A809" t="s">
        <v>1667</v>
      </c>
      <c r="B809" s="1">
        <v>45020</v>
      </c>
      <c r="C809" t="s">
        <v>715</v>
      </c>
      <c r="D809" t="s">
        <v>26</v>
      </c>
      <c r="E809">
        <v>56</v>
      </c>
      <c r="F809" t="s">
        <v>36</v>
      </c>
      <c r="G809">
        <v>2</v>
      </c>
      <c r="H809" s="7">
        <v>30</v>
      </c>
      <c r="I809" s="7">
        <v>60</v>
      </c>
      <c r="J809"/>
    </row>
    <row r="810" spans="1:10" x14ac:dyDescent="0.35">
      <c r="A810" t="s">
        <v>1668</v>
      </c>
      <c r="B810" s="1">
        <v>45266</v>
      </c>
      <c r="C810" t="s">
        <v>1524</v>
      </c>
      <c r="D810" t="s">
        <v>26</v>
      </c>
      <c r="E810">
        <v>57</v>
      </c>
      <c r="F810" t="s">
        <v>36</v>
      </c>
      <c r="G810">
        <v>2</v>
      </c>
      <c r="H810" s="7">
        <v>25</v>
      </c>
      <c r="I810" s="7">
        <v>50</v>
      </c>
      <c r="J810"/>
    </row>
    <row r="811" spans="1:10" x14ac:dyDescent="0.35">
      <c r="A811" t="s">
        <v>1669</v>
      </c>
      <c r="B811" s="1">
        <v>45116</v>
      </c>
      <c r="C811" t="s">
        <v>2252</v>
      </c>
      <c r="D811" t="s">
        <v>26</v>
      </c>
      <c r="E811">
        <v>47</v>
      </c>
      <c r="F811" t="s">
        <v>56</v>
      </c>
      <c r="G811">
        <v>2</v>
      </c>
      <c r="H811" s="7">
        <v>50</v>
      </c>
      <c r="I811" s="7">
        <v>100</v>
      </c>
      <c r="J811"/>
    </row>
    <row r="812" spans="1:10" x14ac:dyDescent="0.35">
      <c r="A812" t="s">
        <v>1672</v>
      </c>
      <c r="B812" s="1">
        <v>45207</v>
      </c>
      <c r="C812" t="s">
        <v>2255</v>
      </c>
      <c r="D812" t="s">
        <v>34</v>
      </c>
      <c r="E812">
        <v>60</v>
      </c>
      <c r="F812" t="s">
        <v>13</v>
      </c>
      <c r="G812">
        <v>4</v>
      </c>
      <c r="H812" s="7">
        <v>500</v>
      </c>
      <c r="I812" s="7">
        <v>2000</v>
      </c>
      <c r="J812"/>
    </row>
    <row r="813" spans="1:10" x14ac:dyDescent="0.35">
      <c r="A813" t="s">
        <v>1674</v>
      </c>
      <c r="B813" s="1">
        <v>45076</v>
      </c>
      <c r="C813" t="s">
        <v>2277</v>
      </c>
      <c r="D813" t="s">
        <v>26</v>
      </c>
      <c r="E813">
        <v>19</v>
      </c>
      <c r="F813" t="s">
        <v>13</v>
      </c>
      <c r="G813">
        <v>2</v>
      </c>
      <c r="H813" s="7">
        <v>25</v>
      </c>
      <c r="I813" s="7">
        <v>50</v>
      </c>
      <c r="J813"/>
    </row>
    <row r="814" spans="1:10" x14ac:dyDescent="0.35">
      <c r="A814" t="s">
        <v>1675</v>
      </c>
      <c r="B814" s="1">
        <v>44994</v>
      </c>
      <c r="C814" t="s">
        <v>614</v>
      </c>
      <c r="D814" t="s">
        <v>34</v>
      </c>
      <c r="E814">
        <v>26</v>
      </c>
      <c r="F814" t="s">
        <v>56</v>
      </c>
      <c r="G814">
        <v>3</v>
      </c>
      <c r="H814" s="7">
        <v>300</v>
      </c>
      <c r="I814" s="7">
        <v>900</v>
      </c>
      <c r="J814"/>
    </row>
    <row r="815" spans="1:10" x14ac:dyDescent="0.35">
      <c r="A815" t="s">
        <v>1677</v>
      </c>
      <c r="B815" s="1">
        <v>45052</v>
      </c>
      <c r="C815" t="s">
        <v>554</v>
      </c>
      <c r="D815" t="s">
        <v>34</v>
      </c>
      <c r="E815">
        <v>49</v>
      </c>
      <c r="F815" t="s">
        <v>13</v>
      </c>
      <c r="G815">
        <v>4</v>
      </c>
      <c r="H815" s="7">
        <v>50</v>
      </c>
      <c r="I815" s="7">
        <v>200</v>
      </c>
      <c r="J815"/>
    </row>
    <row r="816" spans="1:10" x14ac:dyDescent="0.35">
      <c r="A816" t="s">
        <v>1678</v>
      </c>
      <c r="B816" s="1">
        <v>45045</v>
      </c>
      <c r="C816" t="s">
        <v>1036</v>
      </c>
      <c r="D816" t="s">
        <v>26</v>
      </c>
      <c r="E816">
        <v>30</v>
      </c>
      <c r="F816" t="s">
        <v>56</v>
      </c>
      <c r="G816">
        <v>3</v>
      </c>
      <c r="H816" s="7">
        <v>300</v>
      </c>
      <c r="I816" s="7">
        <v>900</v>
      </c>
      <c r="J816"/>
    </row>
    <row r="817" spans="1:10" x14ac:dyDescent="0.35">
      <c r="A817" t="s">
        <v>1679</v>
      </c>
      <c r="B817" s="1">
        <v>45040</v>
      </c>
      <c r="C817" t="s">
        <v>1129</v>
      </c>
      <c r="D817" t="s">
        <v>34</v>
      </c>
      <c r="E817">
        <v>43</v>
      </c>
      <c r="F817" t="s">
        <v>56</v>
      </c>
      <c r="G817">
        <v>4</v>
      </c>
      <c r="H817" s="7">
        <v>30</v>
      </c>
      <c r="I817" s="7">
        <v>120</v>
      </c>
      <c r="J817"/>
    </row>
    <row r="818" spans="1:10" x14ac:dyDescent="0.35">
      <c r="A818" t="s">
        <v>1681</v>
      </c>
      <c r="B818" s="1">
        <v>45165</v>
      </c>
      <c r="C818" t="s">
        <v>844</v>
      </c>
      <c r="D818" t="s">
        <v>34</v>
      </c>
      <c r="E818">
        <v>62</v>
      </c>
      <c r="F818" t="s">
        <v>13</v>
      </c>
      <c r="G818">
        <v>3</v>
      </c>
      <c r="H818" s="7">
        <v>50</v>
      </c>
      <c r="I818" s="7">
        <v>150</v>
      </c>
      <c r="J818"/>
    </row>
    <row r="819" spans="1:10" x14ac:dyDescent="0.35">
      <c r="A819" t="s">
        <v>1682</v>
      </c>
      <c r="B819" s="1">
        <v>45238</v>
      </c>
      <c r="C819" t="s">
        <v>2186</v>
      </c>
      <c r="D819" t="s">
        <v>34</v>
      </c>
      <c r="E819">
        <v>19</v>
      </c>
      <c r="F819" t="s">
        <v>36</v>
      </c>
      <c r="G819">
        <v>3</v>
      </c>
      <c r="H819" s="7">
        <v>30</v>
      </c>
      <c r="I819" s="7">
        <v>90</v>
      </c>
      <c r="J819"/>
    </row>
    <row r="820" spans="1:10" x14ac:dyDescent="0.35">
      <c r="A820" t="s">
        <v>1685</v>
      </c>
      <c r="B820" s="1">
        <v>45063</v>
      </c>
      <c r="C820" t="s">
        <v>791</v>
      </c>
      <c r="D820" t="s">
        <v>26</v>
      </c>
      <c r="E820">
        <v>57</v>
      </c>
      <c r="F820" t="s">
        <v>56</v>
      </c>
      <c r="G820">
        <v>2</v>
      </c>
      <c r="H820" s="7">
        <v>500</v>
      </c>
      <c r="I820" s="7">
        <v>1000</v>
      </c>
      <c r="J820"/>
    </row>
    <row r="821" spans="1:10" x14ac:dyDescent="0.35">
      <c r="A821" t="s">
        <v>1687</v>
      </c>
      <c r="B821" s="1">
        <v>45228</v>
      </c>
      <c r="C821" t="s">
        <v>1478</v>
      </c>
      <c r="D821" t="s">
        <v>26</v>
      </c>
      <c r="E821">
        <v>61</v>
      </c>
      <c r="F821" t="s">
        <v>56</v>
      </c>
      <c r="G821">
        <v>1</v>
      </c>
      <c r="H821" s="7">
        <v>50</v>
      </c>
      <c r="I821" s="7">
        <v>50</v>
      </c>
      <c r="J821"/>
    </row>
    <row r="822" spans="1:10" x14ac:dyDescent="0.35">
      <c r="A822" t="s">
        <v>1690</v>
      </c>
      <c r="B822" s="1">
        <v>44965</v>
      </c>
      <c r="C822" t="s">
        <v>2242</v>
      </c>
      <c r="D822" t="s">
        <v>26</v>
      </c>
      <c r="E822">
        <v>46</v>
      </c>
      <c r="F822" t="s">
        <v>13</v>
      </c>
      <c r="G822">
        <v>4</v>
      </c>
      <c r="H822" s="7">
        <v>25</v>
      </c>
      <c r="I822" s="7">
        <v>100</v>
      </c>
      <c r="J822"/>
    </row>
    <row r="823" spans="1:10" x14ac:dyDescent="0.35">
      <c r="A823" t="s">
        <v>1691</v>
      </c>
      <c r="B823" s="1">
        <v>45022</v>
      </c>
      <c r="C823" t="s">
        <v>311</v>
      </c>
      <c r="D823" t="s">
        <v>34</v>
      </c>
      <c r="E823">
        <v>58</v>
      </c>
      <c r="F823" t="s">
        <v>13</v>
      </c>
      <c r="G823">
        <v>4</v>
      </c>
      <c r="H823" s="7">
        <v>300</v>
      </c>
      <c r="I823" s="7">
        <v>1200</v>
      </c>
      <c r="J823"/>
    </row>
    <row r="824" spans="1:10" x14ac:dyDescent="0.35">
      <c r="A824" t="s">
        <v>1694</v>
      </c>
      <c r="B824" s="1">
        <v>45250</v>
      </c>
      <c r="C824" t="s">
        <v>794</v>
      </c>
      <c r="D824" t="s">
        <v>26</v>
      </c>
      <c r="E824">
        <v>62</v>
      </c>
      <c r="F824" t="s">
        <v>13</v>
      </c>
      <c r="G824">
        <v>2</v>
      </c>
      <c r="H824" s="7">
        <v>25</v>
      </c>
      <c r="I824" s="7">
        <v>50</v>
      </c>
      <c r="J824"/>
    </row>
    <row r="825" spans="1:10" x14ac:dyDescent="0.35">
      <c r="A825" t="s">
        <v>1697</v>
      </c>
      <c r="B825" s="1">
        <v>45028</v>
      </c>
      <c r="C825" t="s">
        <v>2213</v>
      </c>
      <c r="D825" t="s">
        <v>26</v>
      </c>
      <c r="E825">
        <v>36</v>
      </c>
      <c r="F825" t="s">
        <v>36</v>
      </c>
      <c r="G825">
        <v>2</v>
      </c>
      <c r="H825" s="7">
        <v>500</v>
      </c>
      <c r="I825" s="7">
        <v>1000</v>
      </c>
      <c r="J825"/>
    </row>
    <row r="826" spans="1:10" x14ac:dyDescent="0.35">
      <c r="A826" t="s">
        <v>1698</v>
      </c>
      <c r="B826" s="1">
        <v>45167</v>
      </c>
      <c r="C826" t="s">
        <v>1644</v>
      </c>
      <c r="D826" t="s">
        <v>26</v>
      </c>
      <c r="E826">
        <v>27</v>
      </c>
      <c r="F826" t="s">
        <v>56</v>
      </c>
      <c r="G826">
        <v>4</v>
      </c>
      <c r="H826" s="7">
        <v>500</v>
      </c>
      <c r="I826" s="7">
        <v>2000</v>
      </c>
      <c r="J826"/>
    </row>
    <row r="827" spans="1:10" x14ac:dyDescent="0.35">
      <c r="A827" t="s">
        <v>128</v>
      </c>
      <c r="B827" s="1">
        <v>44978</v>
      </c>
      <c r="C827" t="s">
        <v>2194</v>
      </c>
      <c r="D827" t="s">
        <v>34</v>
      </c>
      <c r="E827">
        <v>21</v>
      </c>
      <c r="F827" t="s">
        <v>56</v>
      </c>
      <c r="G827">
        <v>2</v>
      </c>
      <c r="H827" s="7">
        <v>30</v>
      </c>
      <c r="I827" s="7">
        <v>60</v>
      </c>
      <c r="J827"/>
    </row>
    <row r="828" spans="1:10" x14ac:dyDescent="0.35">
      <c r="A828" t="s">
        <v>1700</v>
      </c>
      <c r="B828" s="1">
        <v>45159</v>
      </c>
      <c r="C828" t="s">
        <v>403</v>
      </c>
      <c r="D828" t="s">
        <v>34</v>
      </c>
      <c r="E828">
        <v>22</v>
      </c>
      <c r="F828" t="s">
        <v>36</v>
      </c>
      <c r="G828">
        <v>2</v>
      </c>
      <c r="H828" s="7">
        <v>500</v>
      </c>
      <c r="I828" s="7">
        <v>1000</v>
      </c>
      <c r="J828"/>
    </row>
    <row r="829" spans="1:10" x14ac:dyDescent="0.35">
      <c r="A829" t="s">
        <v>107</v>
      </c>
      <c r="B829" s="1">
        <v>45221</v>
      </c>
      <c r="C829" t="s">
        <v>2263</v>
      </c>
      <c r="D829" t="s">
        <v>26</v>
      </c>
      <c r="E829">
        <v>59</v>
      </c>
      <c r="F829" t="s">
        <v>36</v>
      </c>
      <c r="G829">
        <v>2</v>
      </c>
      <c r="H829" s="7">
        <v>500</v>
      </c>
      <c r="I829" s="7">
        <v>1000</v>
      </c>
      <c r="J829"/>
    </row>
    <row r="830" spans="1:10" x14ac:dyDescent="0.35">
      <c r="A830" t="s">
        <v>1702</v>
      </c>
      <c r="B830" s="1">
        <v>45097</v>
      </c>
      <c r="C830" t="s">
        <v>715</v>
      </c>
      <c r="D830" t="s">
        <v>26</v>
      </c>
      <c r="E830">
        <v>28</v>
      </c>
      <c r="F830" t="s">
        <v>56</v>
      </c>
      <c r="G830">
        <v>3</v>
      </c>
      <c r="H830" s="7">
        <v>30</v>
      </c>
      <c r="I830" s="7">
        <v>90</v>
      </c>
      <c r="J830"/>
    </row>
    <row r="831" spans="1:10" x14ac:dyDescent="0.35">
      <c r="A831" t="s">
        <v>1704</v>
      </c>
      <c r="B831" s="1">
        <v>45202</v>
      </c>
      <c r="C831" t="s">
        <v>2272</v>
      </c>
      <c r="D831" t="s">
        <v>34</v>
      </c>
      <c r="E831">
        <v>56</v>
      </c>
      <c r="F831" t="s">
        <v>56</v>
      </c>
      <c r="G831">
        <v>4</v>
      </c>
      <c r="H831" s="7">
        <v>25</v>
      </c>
      <c r="I831" s="7">
        <v>100</v>
      </c>
      <c r="J831"/>
    </row>
    <row r="832" spans="1:10" x14ac:dyDescent="0.35">
      <c r="A832" t="s">
        <v>1705</v>
      </c>
      <c r="B832" s="1">
        <v>45177</v>
      </c>
      <c r="C832" t="s">
        <v>340</v>
      </c>
      <c r="D832" t="s">
        <v>26</v>
      </c>
      <c r="E832">
        <v>43</v>
      </c>
      <c r="F832" t="s">
        <v>36</v>
      </c>
      <c r="G832">
        <v>3</v>
      </c>
      <c r="H832" s="7">
        <v>300</v>
      </c>
      <c r="I832" s="7">
        <v>900</v>
      </c>
      <c r="J832"/>
    </row>
    <row r="833" spans="1:10" x14ac:dyDescent="0.35">
      <c r="A833" t="s">
        <v>1708</v>
      </c>
      <c r="B833" s="1">
        <v>44952</v>
      </c>
      <c r="C833" t="s">
        <v>1478</v>
      </c>
      <c r="D833" t="s">
        <v>26</v>
      </c>
      <c r="E833">
        <v>27</v>
      </c>
      <c r="F833" t="s">
        <v>36</v>
      </c>
      <c r="G833">
        <v>1</v>
      </c>
      <c r="H833" s="7">
        <v>50</v>
      </c>
      <c r="I833" s="7">
        <v>50</v>
      </c>
      <c r="J833"/>
    </row>
    <row r="834" spans="1:10" x14ac:dyDescent="0.35">
      <c r="A834" t="s">
        <v>1709</v>
      </c>
      <c r="B834" s="1">
        <v>44962</v>
      </c>
      <c r="C834" t="s">
        <v>1686</v>
      </c>
      <c r="D834" t="s">
        <v>26</v>
      </c>
      <c r="E834">
        <v>54</v>
      </c>
      <c r="F834" t="s">
        <v>13</v>
      </c>
      <c r="G834">
        <v>4</v>
      </c>
      <c r="H834" s="7">
        <v>300</v>
      </c>
      <c r="I834" s="7">
        <v>1200</v>
      </c>
      <c r="J834"/>
    </row>
    <row r="835" spans="1:10" x14ac:dyDescent="0.35">
      <c r="A835" t="s">
        <v>1711</v>
      </c>
      <c r="B835" s="1">
        <v>45116</v>
      </c>
      <c r="C835" t="s">
        <v>1154</v>
      </c>
      <c r="D835" t="s">
        <v>34</v>
      </c>
      <c r="E835">
        <v>50</v>
      </c>
      <c r="F835" t="s">
        <v>56</v>
      </c>
      <c r="G835">
        <v>3</v>
      </c>
      <c r="H835" s="7">
        <v>25</v>
      </c>
      <c r="I835" s="7">
        <v>75</v>
      </c>
      <c r="J835"/>
    </row>
    <row r="836" spans="1:10" x14ac:dyDescent="0.35">
      <c r="A836" t="s">
        <v>15</v>
      </c>
      <c r="B836" s="1">
        <v>45162</v>
      </c>
      <c r="C836" t="s">
        <v>2286</v>
      </c>
      <c r="D836" t="s">
        <v>26</v>
      </c>
      <c r="E836">
        <v>27</v>
      </c>
      <c r="F836" t="s">
        <v>36</v>
      </c>
      <c r="G836">
        <v>3</v>
      </c>
      <c r="H836" s="7">
        <v>25</v>
      </c>
      <c r="I836" s="7">
        <v>75</v>
      </c>
      <c r="J836"/>
    </row>
    <row r="837" spans="1:10" x14ac:dyDescent="0.35">
      <c r="A837" t="s">
        <v>1715</v>
      </c>
      <c r="B837" s="1">
        <v>45088</v>
      </c>
      <c r="C837" t="s">
        <v>455</v>
      </c>
      <c r="D837" t="s">
        <v>34</v>
      </c>
      <c r="E837">
        <v>59</v>
      </c>
      <c r="F837" t="s">
        <v>56</v>
      </c>
      <c r="G837">
        <v>4</v>
      </c>
      <c r="H837" s="7">
        <v>25</v>
      </c>
      <c r="I837" s="7">
        <v>100</v>
      </c>
      <c r="J837"/>
    </row>
    <row r="838" spans="1:10" x14ac:dyDescent="0.35">
      <c r="A838" t="s">
        <v>1716</v>
      </c>
      <c r="B838" s="1">
        <v>45041</v>
      </c>
      <c r="C838" t="s">
        <v>1475</v>
      </c>
      <c r="D838" t="s">
        <v>26</v>
      </c>
      <c r="E838">
        <v>45</v>
      </c>
      <c r="F838" t="s">
        <v>36</v>
      </c>
      <c r="G838">
        <v>1</v>
      </c>
      <c r="H838" s="7">
        <v>30</v>
      </c>
      <c r="I838" s="7">
        <v>30</v>
      </c>
      <c r="J838"/>
    </row>
    <row r="839" spans="1:10" x14ac:dyDescent="0.35">
      <c r="A839" t="s">
        <v>1719</v>
      </c>
      <c r="B839" s="1">
        <v>44962</v>
      </c>
      <c r="C839" t="s">
        <v>2206</v>
      </c>
      <c r="D839" t="s">
        <v>26</v>
      </c>
      <c r="E839">
        <v>18</v>
      </c>
      <c r="F839" t="s">
        <v>13</v>
      </c>
      <c r="G839">
        <v>4</v>
      </c>
      <c r="H839" s="7">
        <v>30</v>
      </c>
      <c r="I839" s="7">
        <v>120</v>
      </c>
      <c r="J839"/>
    </row>
    <row r="840" spans="1:10" x14ac:dyDescent="0.35">
      <c r="A840" t="s">
        <v>1720</v>
      </c>
      <c r="B840" s="1">
        <v>44957</v>
      </c>
      <c r="C840" t="s">
        <v>2265</v>
      </c>
      <c r="D840" t="s">
        <v>26</v>
      </c>
      <c r="E840">
        <v>23</v>
      </c>
      <c r="F840" t="s">
        <v>13</v>
      </c>
      <c r="G840">
        <v>2</v>
      </c>
      <c r="H840" s="7">
        <v>500</v>
      </c>
      <c r="I840" s="7">
        <v>1000</v>
      </c>
      <c r="J840"/>
    </row>
    <row r="841" spans="1:10" x14ac:dyDescent="0.35">
      <c r="A841" t="s">
        <v>1723</v>
      </c>
      <c r="B841" s="1">
        <v>45131</v>
      </c>
      <c r="C841" t="s">
        <v>1373</v>
      </c>
      <c r="D841" t="s">
        <v>34</v>
      </c>
      <c r="E841">
        <v>44</v>
      </c>
      <c r="F841" t="s">
        <v>56</v>
      </c>
      <c r="G841">
        <v>4</v>
      </c>
      <c r="H841" s="7">
        <v>500</v>
      </c>
      <c r="I841" s="7">
        <v>2000</v>
      </c>
      <c r="J841"/>
    </row>
    <row r="842" spans="1:10" x14ac:dyDescent="0.35">
      <c r="A842" t="s">
        <v>1725</v>
      </c>
      <c r="B842" s="1">
        <v>45210</v>
      </c>
      <c r="C842" t="s">
        <v>1201</v>
      </c>
      <c r="D842" t="s">
        <v>26</v>
      </c>
      <c r="E842">
        <v>59</v>
      </c>
      <c r="F842" t="s">
        <v>13</v>
      </c>
      <c r="G842">
        <v>1</v>
      </c>
      <c r="H842" s="7">
        <v>500</v>
      </c>
      <c r="I842" s="7">
        <v>500</v>
      </c>
      <c r="J842"/>
    </row>
    <row r="843" spans="1:10" x14ac:dyDescent="0.35">
      <c r="A843" t="s">
        <v>1726</v>
      </c>
      <c r="B843" s="1">
        <v>45096</v>
      </c>
      <c r="C843" t="s">
        <v>794</v>
      </c>
      <c r="D843" t="s">
        <v>26</v>
      </c>
      <c r="E843">
        <v>50</v>
      </c>
      <c r="F843" t="s">
        <v>56</v>
      </c>
      <c r="G843">
        <v>4</v>
      </c>
      <c r="H843" s="7">
        <v>25</v>
      </c>
      <c r="I843" s="7">
        <v>100</v>
      </c>
      <c r="J843"/>
    </row>
    <row r="844" spans="1:10" x14ac:dyDescent="0.35">
      <c r="A844" t="s">
        <v>1728</v>
      </c>
      <c r="B844" s="1">
        <v>45289</v>
      </c>
      <c r="C844" t="s">
        <v>2248</v>
      </c>
      <c r="D844" t="s">
        <v>34</v>
      </c>
      <c r="E844">
        <v>46</v>
      </c>
      <c r="F844" t="s">
        <v>36</v>
      </c>
      <c r="G844">
        <v>4</v>
      </c>
      <c r="H844" s="7">
        <v>300</v>
      </c>
      <c r="I844" s="7">
        <v>1200</v>
      </c>
      <c r="J844"/>
    </row>
    <row r="845" spans="1:10" x14ac:dyDescent="0.35">
      <c r="A845" t="s">
        <v>1730</v>
      </c>
      <c r="B845" s="1">
        <v>44960</v>
      </c>
      <c r="C845" t="s">
        <v>1747</v>
      </c>
      <c r="D845" t="s">
        <v>26</v>
      </c>
      <c r="E845">
        <v>21</v>
      </c>
      <c r="F845" t="s">
        <v>56</v>
      </c>
      <c r="G845">
        <v>4</v>
      </c>
      <c r="H845" s="7">
        <v>300</v>
      </c>
      <c r="I845" s="7">
        <v>1200</v>
      </c>
      <c r="J845"/>
    </row>
    <row r="846" spans="1:10" x14ac:dyDescent="0.35">
      <c r="A846" t="s">
        <v>1732</v>
      </c>
      <c r="B846" s="1">
        <v>44992</v>
      </c>
      <c r="C846" t="s">
        <v>1118</v>
      </c>
      <c r="D846" t="s">
        <v>26</v>
      </c>
      <c r="E846">
        <v>61</v>
      </c>
      <c r="F846" t="s">
        <v>56</v>
      </c>
      <c r="G846">
        <v>3</v>
      </c>
      <c r="H846" s="7">
        <v>30</v>
      </c>
      <c r="I846" s="7">
        <v>90</v>
      </c>
      <c r="J846"/>
    </row>
    <row r="847" spans="1:10" x14ac:dyDescent="0.35">
      <c r="A847" t="s">
        <v>1734</v>
      </c>
      <c r="B847" s="1">
        <v>45069</v>
      </c>
      <c r="C847" t="s">
        <v>1584</v>
      </c>
      <c r="D847" t="s">
        <v>34</v>
      </c>
      <c r="E847">
        <v>44</v>
      </c>
      <c r="F847" t="s">
        <v>13</v>
      </c>
      <c r="G847">
        <v>1</v>
      </c>
      <c r="H847" s="7">
        <v>30</v>
      </c>
      <c r="I847" s="7">
        <v>30</v>
      </c>
      <c r="J847"/>
    </row>
    <row r="848" spans="1:10" x14ac:dyDescent="0.35">
      <c r="A848" t="s">
        <v>1736</v>
      </c>
      <c r="B848" s="1">
        <v>45067</v>
      </c>
      <c r="C848" t="s">
        <v>2307</v>
      </c>
      <c r="D848" t="s">
        <v>34</v>
      </c>
      <c r="E848">
        <v>59</v>
      </c>
      <c r="F848" t="s">
        <v>56</v>
      </c>
      <c r="G848">
        <v>3</v>
      </c>
      <c r="H848" s="7">
        <v>500</v>
      </c>
      <c r="I848" s="7">
        <v>1500</v>
      </c>
      <c r="J848"/>
    </row>
    <row r="849" spans="1:10" x14ac:dyDescent="0.35">
      <c r="A849" t="s">
        <v>1737</v>
      </c>
      <c r="B849" s="1">
        <v>45143</v>
      </c>
      <c r="C849" t="s">
        <v>1896</v>
      </c>
      <c r="D849" t="s">
        <v>34</v>
      </c>
      <c r="E849">
        <v>22</v>
      </c>
      <c r="F849" t="s">
        <v>13</v>
      </c>
      <c r="G849">
        <v>3</v>
      </c>
      <c r="H849" s="7">
        <v>500</v>
      </c>
      <c r="I849" s="7">
        <v>1500</v>
      </c>
      <c r="J849"/>
    </row>
    <row r="850" spans="1:10" x14ac:dyDescent="0.35">
      <c r="A850" t="s">
        <v>1739</v>
      </c>
      <c r="B850" s="1">
        <v>45259</v>
      </c>
      <c r="C850" t="s">
        <v>1435</v>
      </c>
      <c r="D850" t="s">
        <v>34</v>
      </c>
      <c r="E850">
        <v>36</v>
      </c>
      <c r="F850" t="s">
        <v>36</v>
      </c>
      <c r="G850">
        <v>1</v>
      </c>
      <c r="H850" s="7">
        <v>25</v>
      </c>
      <c r="I850" s="7">
        <v>25</v>
      </c>
      <c r="J850"/>
    </row>
    <row r="851" spans="1:10" x14ac:dyDescent="0.35">
      <c r="A851" t="s">
        <v>1740</v>
      </c>
      <c r="B851" s="1">
        <v>45099</v>
      </c>
      <c r="C851" t="s">
        <v>776</v>
      </c>
      <c r="D851" t="s">
        <v>34</v>
      </c>
      <c r="E851">
        <v>55</v>
      </c>
      <c r="F851" t="s">
        <v>36</v>
      </c>
      <c r="G851">
        <v>3</v>
      </c>
      <c r="H851" s="7">
        <v>300</v>
      </c>
      <c r="I851" s="7">
        <v>900</v>
      </c>
      <c r="J851"/>
    </row>
    <row r="852" spans="1:10" x14ac:dyDescent="0.35">
      <c r="A852" t="s">
        <v>1742</v>
      </c>
      <c r="B852" s="1">
        <v>45217</v>
      </c>
      <c r="C852" t="s">
        <v>1444</v>
      </c>
      <c r="D852" t="s">
        <v>34</v>
      </c>
      <c r="E852">
        <v>64</v>
      </c>
      <c r="F852" t="s">
        <v>36</v>
      </c>
      <c r="G852">
        <v>1</v>
      </c>
      <c r="H852" s="7">
        <v>25</v>
      </c>
      <c r="I852" s="7">
        <v>25</v>
      </c>
      <c r="J852"/>
    </row>
    <row r="853" spans="1:10" x14ac:dyDescent="0.35">
      <c r="A853" t="s">
        <v>1743</v>
      </c>
      <c r="B853" s="1">
        <v>45153</v>
      </c>
      <c r="C853" t="s">
        <v>1652</v>
      </c>
      <c r="D853" t="s">
        <v>26</v>
      </c>
      <c r="E853">
        <v>60</v>
      </c>
      <c r="F853" t="s">
        <v>13</v>
      </c>
      <c r="G853">
        <v>4</v>
      </c>
      <c r="H853" s="7">
        <v>30</v>
      </c>
      <c r="I853" s="7">
        <v>120</v>
      </c>
      <c r="J853"/>
    </row>
    <row r="854" spans="1:10" x14ac:dyDescent="0.35">
      <c r="A854" t="s">
        <v>1745</v>
      </c>
      <c r="B854" s="1">
        <v>45054</v>
      </c>
      <c r="C854" t="s">
        <v>2195</v>
      </c>
      <c r="D854" t="s">
        <v>26</v>
      </c>
      <c r="E854">
        <v>18</v>
      </c>
      <c r="F854" t="s">
        <v>13</v>
      </c>
      <c r="G854">
        <v>1</v>
      </c>
      <c r="H854" s="7">
        <v>500</v>
      </c>
      <c r="I854" s="7">
        <v>500</v>
      </c>
      <c r="J854"/>
    </row>
    <row r="855" spans="1:10" x14ac:dyDescent="0.35">
      <c r="A855" t="s">
        <v>70</v>
      </c>
      <c r="B855" s="1">
        <v>45228</v>
      </c>
      <c r="C855" t="s">
        <v>2211</v>
      </c>
      <c r="D855" t="s">
        <v>26</v>
      </c>
      <c r="E855">
        <v>39</v>
      </c>
      <c r="F855" t="s">
        <v>36</v>
      </c>
      <c r="G855">
        <v>3</v>
      </c>
      <c r="H855" s="7">
        <v>300</v>
      </c>
      <c r="I855" s="7">
        <v>900</v>
      </c>
      <c r="J855"/>
    </row>
    <row r="856" spans="1:10" x14ac:dyDescent="0.35">
      <c r="A856" t="s">
        <v>1748</v>
      </c>
      <c r="B856" s="1">
        <v>45079</v>
      </c>
      <c r="C856" t="s">
        <v>1559</v>
      </c>
      <c r="D856" t="s">
        <v>26</v>
      </c>
      <c r="E856">
        <v>25</v>
      </c>
      <c r="F856" t="s">
        <v>56</v>
      </c>
      <c r="G856">
        <v>2</v>
      </c>
      <c r="H856" s="7">
        <v>25</v>
      </c>
      <c r="I856" s="7">
        <v>50</v>
      </c>
      <c r="J856"/>
    </row>
    <row r="857" spans="1:10" x14ac:dyDescent="0.35">
      <c r="A857" t="s">
        <v>1750</v>
      </c>
      <c r="B857" s="1">
        <v>45233</v>
      </c>
      <c r="C857" t="s">
        <v>2191</v>
      </c>
      <c r="D857" t="s">
        <v>34</v>
      </c>
      <c r="E857">
        <v>19</v>
      </c>
      <c r="F857" t="s">
        <v>13</v>
      </c>
      <c r="G857">
        <v>4</v>
      </c>
      <c r="H857" s="7">
        <v>300</v>
      </c>
      <c r="I857" s="7">
        <v>1200</v>
      </c>
      <c r="J857"/>
    </row>
    <row r="858" spans="1:10" x14ac:dyDescent="0.35">
      <c r="A858" t="s">
        <v>1752</v>
      </c>
      <c r="B858" s="1">
        <v>44955</v>
      </c>
      <c r="C858" t="s">
        <v>2303</v>
      </c>
      <c r="D858" t="s">
        <v>34</v>
      </c>
      <c r="E858">
        <v>32</v>
      </c>
      <c r="F858" t="s">
        <v>56</v>
      </c>
      <c r="G858">
        <v>2</v>
      </c>
      <c r="H858" s="7">
        <v>300</v>
      </c>
      <c r="I858" s="7">
        <v>600</v>
      </c>
      <c r="J858"/>
    </row>
    <row r="859" spans="1:10" x14ac:dyDescent="0.35">
      <c r="A859" t="s">
        <v>1756</v>
      </c>
      <c r="B859" s="1">
        <v>44992</v>
      </c>
      <c r="C859" t="s">
        <v>2240</v>
      </c>
      <c r="D859" t="s">
        <v>26</v>
      </c>
      <c r="E859">
        <v>54</v>
      </c>
      <c r="F859" t="s">
        <v>36</v>
      </c>
      <c r="G859">
        <v>3</v>
      </c>
      <c r="H859" s="7">
        <v>300</v>
      </c>
      <c r="I859" s="7">
        <v>900</v>
      </c>
      <c r="J859"/>
    </row>
    <row r="860" spans="1:10" x14ac:dyDescent="0.35">
      <c r="A860" t="s">
        <v>1759</v>
      </c>
      <c r="B860" s="1">
        <v>45274</v>
      </c>
      <c r="C860" t="s">
        <v>1659</v>
      </c>
      <c r="D860" t="s">
        <v>34</v>
      </c>
      <c r="E860">
        <v>23</v>
      </c>
      <c r="F860" t="s">
        <v>56</v>
      </c>
      <c r="G860">
        <v>2</v>
      </c>
      <c r="H860" s="7">
        <v>300</v>
      </c>
      <c r="I860" s="7">
        <v>600</v>
      </c>
      <c r="J860"/>
    </row>
    <row r="861" spans="1:10" x14ac:dyDescent="0.35">
      <c r="A861" t="s">
        <v>1760</v>
      </c>
      <c r="B861" s="1">
        <v>45121</v>
      </c>
      <c r="C861" t="s">
        <v>2213</v>
      </c>
      <c r="D861" t="s">
        <v>34</v>
      </c>
      <c r="E861">
        <v>20</v>
      </c>
      <c r="F861" t="s">
        <v>36</v>
      </c>
      <c r="G861">
        <v>3</v>
      </c>
      <c r="H861" s="7">
        <v>300</v>
      </c>
      <c r="I861" s="7">
        <v>900</v>
      </c>
      <c r="J861"/>
    </row>
    <row r="862" spans="1:10" x14ac:dyDescent="0.35">
      <c r="A862" t="s">
        <v>1762</v>
      </c>
      <c r="B862" s="1">
        <v>45152</v>
      </c>
      <c r="C862" t="s">
        <v>2299</v>
      </c>
      <c r="D862" t="s">
        <v>34</v>
      </c>
      <c r="E862">
        <v>53</v>
      </c>
      <c r="F862" t="s">
        <v>36</v>
      </c>
      <c r="G862">
        <v>4</v>
      </c>
      <c r="H862" s="7">
        <v>300</v>
      </c>
      <c r="I862" s="7">
        <v>1200</v>
      </c>
      <c r="J862"/>
    </row>
    <row r="863" spans="1:10" x14ac:dyDescent="0.35">
      <c r="A863" t="s">
        <v>1764</v>
      </c>
      <c r="B863" s="1">
        <v>45071</v>
      </c>
      <c r="C863" t="s">
        <v>791</v>
      </c>
      <c r="D863" t="s">
        <v>26</v>
      </c>
      <c r="E863">
        <v>58</v>
      </c>
      <c r="F863" t="s">
        <v>36</v>
      </c>
      <c r="G863">
        <v>2</v>
      </c>
      <c r="H863" s="7">
        <v>500</v>
      </c>
      <c r="I863" s="7">
        <v>1000</v>
      </c>
      <c r="J863"/>
    </row>
    <row r="864" spans="1:10" x14ac:dyDescent="0.35">
      <c r="A864" t="s">
        <v>1766</v>
      </c>
      <c r="B864" s="1">
        <v>45082</v>
      </c>
      <c r="C864" t="s">
        <v>1867</v>
      </c>
      <c r="D864" t="s">
        <v>34</v>
      </c>
      <c r="E864">
        <v>44</v>
      </c>
      <c r="F864" t="s">
        <v>56</v>
      </c>
      <c r="G864">
        <v>2</v>
      </c>
      <c r="H864" s="7">
        <v>25</v>
      </c>
      <c r="I864" s="7">
        <v>50</v>
      </c>
      <c r="J864"/>
    </row>
    <row r="865" spans="1:10" x14ac:dyDescent="0.35">
      <c r="A865" t="s">
        <v>1767</v>
      </c>
      <c r="B865" s="1">
        <v>45215</v>
      </c>
      <c r="C865" t="s">
        <v>867</v>
      </c>
      <c r="D865" t="s">
        <v>34</v>
      </c>
      <c r="E865">
        <v>26</v>
      </c>
      <c r="F865" t="s">
        <v>13</v>
      </c>
      <c r="G865">
        <v>3</v>
      </c>
      <c r="H865" s="7">
        <v>500</v>
      </c>
      <c r="I865" s="7">
        <v>1500</v>
      </c>
      <c r="J865"/>
    </row>
    <row r="866" spans="1:10" x14ac:dyDescent="0.35">
      <c r="A866" t="s">
        <v>1769</v>
      </c>
      <c r="B866" s="1">
        <v>45036</v>
      </c>
      <c r="C866" t="s">
        <v>1314</v>
      </c>
      <c r="D866" t="s">
        <v>26</v>
      </c>
      <c r="E866">
        <v>59</v>
      </c>
      <c r="F866" t="s">
        <v>36</v>
      </c>
      <c r="G866">
        <v>3</v>
      </c>
      <c r="H866" s="7">
        <v>25</v>
      </c>
      <c r="I866" s="7">
        <v>75</v>
      </c>
      <c r="J866"/>
    </row>
    <row r="867" spans="1:10" x14ac:dyDescent="0.35">
      <c r="A867" t="s">
        <v>1771</v>
      </c>
      <c r="B867" s="1">
        <v>44937</v>
      </c>
      <c r="C867" t="s">
        <v>1747</v>
      </c>
      <c r="D867" t="s">
        <v>26</v>
      </c>
      <c r="E867">
        <v>18</v>
      </c>
      <c r="F867" t="s">
        <v>36</v>
      </c>
      <c r="G867">
        <v>3</v>
      </c>
      <c r="H867" s="7">
        <v>30</v>
      </c>
      <c r="I867" s="7">
        <v>90</v>
      </c>
      <c r="J867"/>
    </row>
    <row r="868" spans="1:10" x14ac:dyDescent="0.35">
      <c r="A868" t="s">
        <v>1773</v>
      </c>
      <c r="B868" s="1">
        <v>45068</v>
      </c>
      <c r="C868" t="s">
        <v>2207</v>
      </c>
      <c r="D868" t="s">
        <v>26</v>
      </c>
      <c r="E868">
        <v>55</v>
      </c>
      <c r="F868" t="s">
        <v>56</v>
      </c>
      <c r="G868">
        <v>4</v>
      </c>
      <c r="H868" s="7">
        <v>30</v>
      </c>
      <c r="I868" s="7">
        <v>120</v>
      </c>
      <c r="J868"/>
    </row>
    <row r="869" spans="1:10" x14ac:dyDescent="0.35">
      <c r="A869" t="s">
        <v>1775</v>
      </c>
      <c r="B869" s="1">
        <v>44966</v>
      </c>
      <c r="C869" t="s">
        <v>1718</v>
      </c>
      <c r="D869" t="s">
        <v>26</v>
      </c>
      <c r="E869">
        <v>58</v>
      </c>
      <c r="F869" t="s">
        <v>56</v>
      </c>
      <c r="G869">
        <v>2</v>
      </c>
      <c r="H869" s="7">
        <v>300</v>
      </c>
      <c r="I869" s="7">
        <v>600</v>
      </c>
      <c r="J869"/>
    </row>
    <row r="870" spans="1:10" x14ac:dyDescent="0.35">
      <c r="A870" t="s">
        <v>1776</v>
      </c>
      <c r="B870" s="1">
        <v>45142</v>
      </c>
      <c r="C870" t="s">
        <v>2202</v>
      </c>
      <c r="D870" t="s">
        <v>34</v>
      </c>
      <c r="E870">
        <v>61</v>
      </c>
      <c r="F870" t="s">
        <v>56</v>
      </c>
      <c r="G870">
        <v>1</v>
      </c>
      <c r="H870" s="7">
        <v>50</v>
      </c>
      <c r="I870" s="7">
        <v>50</v>
      </c>
      <c r="J870"/>
    </row>
    <row r="871" spans="1:10" x14ac:dyDescent="0.35">
      <c r="A871" t="s">
        <v>1778</v>
      </c>
      <c r="B871" s="1">
        <v>44970</v>
      </c>
      <c r="C871" t="s">
        <v>1797</v>
      </c>
      <c r="D871" t="s">
        <v>26</v>
      </c>
      <c r="E871">
        <v>63</v>
      </c>
      <c r="F871" t="s">
        <v>56</v>
      </c>
      <c r="G871">
        <v>3</v>
      </c>
      <c r="H871" s="7">
        <v>25</v>
      </c>
      <c r="I871" s="7">
        <v>75</v>
      </c>
      <c r="J871"/>
    </row>
    <row r="872" spans="1:10" x14ac:dyDescent="0.35">
      <c r="A872" t="s">
        <v>1779</v>
      </c>
      <c r="B872" s="1">
        <v>45010</v>
      </c>
      <c r="C872" t="s">
        <v>2219</v>
      </c>
      <c r="D872" t="s">
        <v>26</v>
      </c>
      <c r="E872">
        <v>18</v>
      </c>
      <c r="F872" t="s">
        <v>36</v>
      </c>
      <c r="G872">
        <v>2</v>
      </c>
      <c r="H872" s="7">
        <v>500</v>
      </c>
      <c r="I872" s="7">
        <v>1000</v>
      </c>
      <c r="J872"/>
    </row>
    <row r="873" spans="1:10" x14ac:dyDescent="0.35">
      <c r="A873" t="s">
        <v>1781</v>
      </c>
      <c r="B873" s="1">
        <v>45055</v>
      </c>
      <c r="C873" t="s">
        <v>1249</v>
      </c>
      <c r="D873" t="s">
        <v>34</v>
      </c>
      <c r="E873">
        <v>48</v>
      </c>
      <c r="F873" t="s">
        <v>36</v>
      </c>
      <c r="G873">
        <v>4</v>
      </c>
      <c r="H873" s="7">
        <v>25</v>
      </c>
      <c r="I873" s="7">
        <v>100</v>
      </c>
      <c r="J873"/>
    </row>
    <row r="874" spans="1:10" x14ac:dyDescent="0.35">
      <c r="A874" t="s">
        <v>1783</v>
      </c>
      <c r="B874" s="1">
        <v>45179</v>
      </c>
      <c r="C874" t="s">
        <v>2288</v>
      </c>
      <c r="D874" t="s">
        <v>34</v>
      </c>
      <c r="E874">
        <v>42</v>
      </c>
      <c r="F874" t="s">
        <v>13</v>
      </c>
      <c r="G874">
        <v>4</v>
      </c>
      <c r="H874" s="7">
        <v>50</v>
      </c>
      <c r="I874" s="7">
        <v>200</v>
      </c>
      <c r="J874"/>
    </row>
    <row r="875" spans="1:10" x14ac:dyDescent="0.35">
      <c r="A875" t="s">
        <v>228</v>
      </c>
      <c r="B875" s="1">
        <v>45099</v>
      </c>
      <c r="C875" t="s">
        <v>2300</v>
      </c>
      <c r="D875" t="s">
        <v>34</v>
      </c>
      <c r="E875">
        <v>45</v>
      </c>
      <c r="F875" t="s">
        <v>36</v>
      </c>
      <c r="G875">
        <v>1</v>
      </c>
      <c r="H875" s="7">
        <v>50</v>
      </c>
      <c r="I875" s="7">
        <v>50</v>
      </c>
      <c r="J875"/>
    </row>
    <row r="876" spans="1:10" x14ac:dyDescent="0.35">
      <c r="A876" t="s">
        <v>1787</v>
      </c>
      <c r="B876" s="1">
        <v>45280</v>
      </c>
      <c r="C876" t="s">
        <v>1294</v>
      </c>
      <c r="D876" t="s">
        <v>26</v>
      </c>
      <c r="E876">
        <v>30</v>
      </c>
      <c r="F876" t="s">
        <v>36</v>
      </c>
      <c r="G876">
        <v>3</v>
      </c>
      <c r="H876" s="7">
        <v>300</v>
      </c>
      <c r="I876" s="7">
        <v>900</v>
      </c>
      <c r="J876"/>
    </row>
    <row r="877" spans="1:10" x14ac:dyDescent="0.35">
      <c r="A877" t="s">
        <v>1788</v>
      </c>
      <c r="B877" s="1">
        <v>45118</v>
      </c>
      <c r="C877" t="s">
        <v>1989</v>
      </c>
      <c r="D877" t="s">
        <v>34</v>
      </c>
      <c r="E877">
        <v>62</v>
      </c>
      <c r="F877" t="s">
        <v>13</v>
      </c>
      <c r="G877">
        <v>2</v>
      </c>
      <c r="H877" s="7">
        <v>50</v>
      </c>
      <c r="I877" s="7">
        <v>100</v>
      </c>
      <c r="J877"/>
    </row>
    <row r="878" spans="1:10" x14ac:dyDescent="0.35">
      <c r="A878" t="s">
        <v>1790</v>
      </c>
      <c r="B878" s="1">
        <v>45081</v>
      </c>
      <c r="C878" t="s">
        <v>2298</v>
      </c>
      <c r="D878" t="s">
        <v>26</v>
      </c>
      <c r="E878">
        <v>18</v>
      </c>
      <c r="F878" t="s">
        <v>13</v>
      </c>
      <c r="G878">
        <v>1</v>
      </c>
      <c r="H878" s="7">
        <v>50</v>
      </c>
      <c r="I878" s="7">
        <v>50</v>
      </c>
      <c r="J878"/>
    </row>
    <row r="879" spans="1:10" x14ac:dyDescent="0.35">
      <c r="A879" t="s">
        <v>1791</v>
      </c>
      <c r="B879" s="1">
        <v>45091</v>
      </c>
      <c r="C879" t="s">
        <v>715</v>
      </c>
      <c r="D879" t="s">
        <v>26</v>
      </c>
      <c r="E879">
        <v>25</v>
      </c>
      <c r="F879" t="s">
        <v>56</v>
      </c>
      <c r="G879">
        <v>3</v>
      </c>
      <c r="H879" s="7">
        <v>300</v>
      </c>
      <c r="I879" s="7">
        <v>900</v>
      </c>
      <c r="J879"/>
    </row>
    <row r="880" spans="1:10" x14ac:dyDescent="0.35">
      <c r="A880" t="s">
        <v>1794</v>
      </c>
      <c r="B880" s="1">
        <v>44985</v>
      </c>
      <c r="C880" t="s">
        <v>1265</v>
      </c>
      <c r="D880" t="s">
        <v>34</v>
      </c>
      <c r="E880">
        <v>34</v>
      </c>
      <c r="F880" t="s">
        <v>56</v>
      </c>
      <c r="G880">
        <v>2</v>
      </c>
      <c r="H880" s="7">
        <v>25</v>
      </c>
      <c r="I880" s="7">
        <v>50</v>
      </c>
      <c r="J880"/>
    </row>
    <row r="881" spans="1:10" x14ac:dyDescent="0.35">
      <c r="A881" t="s">
        <v>1795</v>
      </c>
      <c r="B881" s="1">
        <v>44946</v>
      </c>
      <c r="C881" t="s">
        <v>933</v>
      </c>
      <c r="D881" t="s">
        <v>34</v>
      </c>
      <c r="E881">
        <v>26</v>
      </c>
      <c r="F881" t="s">
        <v>56</v>
      </c>
      <c r="G881">
        <v>3</v>
      </c>
      <c r="H881" s="7">
        <v>25</v>
      </c>
      <c r="I881" s="7">
        <v>75</v>
      </c>
      <c r="J881"/>
    </row>
    <row r="882" spans="1:10" x14ac:dyDescent="0.35">
      <c r="A882" t="s">
        <v>1798</v>
      </c>
      <c r="B882" s="1">
        <v>45135</v>
      </c>
      <c r="C882" t="s">
        <v>621</v>
      </c>
      <c r="D882" t="s">
        <v>26</v>
      </c>
      <c r="E882">
        <v>58</v>
      </c>
      <c r="F882" t="s">
        <v>36</v>
      </c>
      <c r="G882">
        <v>3</v>
      </c>
      <c r="H882" s="7">
        <v>300</v>
      </c>
      <c r="I882" s="7">
        <v>900</v>
      </c>
      <c r="J882"/>
    </row>
    <row r="883" spans="1:10" x14ac:dyDescent="0.35">
      <c r="A883" t="s">
        <v>1800</v>
      </c>
      <c r="B883" s="1">
        <v>45242</v>
      </c>
      <c r="C883" t="s">
        <v>2278</v>
      </c>
      <c r="D883" t="s">
        <v>34</v>
      </c>
      <c r="E883">
        <v>19</v>
      </c>
      <c r="F883" t="s">
        <v>13</v>
      </c>
      <c r="G883">
        <v>3</v>
      </c>
      <c r="H883" s="7">
        <v>25</v>
      </c>
      <c r="I883" s="7">
        <v>75</v>
      </c>
      <c r="J883"/>
    </row>
    <row r="884" spans="1:10" x14ac:dyDescent="0.35">
      <c r="A884" t="s">
        <v>1802</v>
      </c>
      <c r="B884" s="1">
        <v>45143</v>
      </c>
      <c r="C884" t="s">
        <v>610</v>
      </c>
      <c r="D884" t="s">
        <v>34</v>
      </c>
      <c r="E884">
        <v>21</v>
      </c>
      <c r="F884" t="s">
        <v>56</v>
      </c>
      <c r="G884">
        <v>2</v>
      </c>
      <c r="H884" s="7">
        <v>25</v>
      </c>
      <c r="I884" s="7">
        <v>50</v>
      </c>
      <c r="J884"/>
    </row>
    <row r="885" spans="1:10" x14ac:dyDescent="0.35">
      <c r="A885" t="s">
        <v>1804</v>
      </c>
      <c r="B885" s="1">
        <v>45230</v>
      </c>
      <c r="C885" t="s">
        <v>2318</v>
      </c>
      <c r="D885" t="s">
        <v>34</v>
      </c>
      <c r="E885">
        <v>30</v>
      </c>
      <c r="F885" t="s">
        <v>36</v>
      </c>
      <c r="G885">
        <v>4</v>
      </c>
      <c r="H885" s="7">
        <v>50</v>
      </c>
      <c r="I885" s="7">
        <v>200</v>
      </c>
      <c r="J885"/>
    </row>
    <row r="886" spans="1:10" x14ac:dyDescent="0.35">
      <c r="A886" t="s">
        <v>300</v>
      </c>
      <c r="B886" s="1">
        <v>45101</v>
      </c>
      <c r="C886" t="s">
        <v>1803</v>
      </c>
      <c r="D886" t="s">
        <v>34</v>
      </c>
      <c r="E886">
        <v>52</v>
      </c>
      <c r="F886" t="s">
        <v>36</v>
      </c>
      <c r="G886">
        <v>3</v>
      </c>
      <c r="H886" s="7">
        <v>300</v>
      </c>
      <c r="I886" s="7">
        <v>900</v>
      </c>
      <c r="J886"/>
    </row>
    <row r="887" spans="1:10" x14ac:dyDescent="0.35">
      <c r="A887" t="s">
        <v>1805</v>
      </c>
      <c r="B887" s="1">
        <v>45269</v>
      </c>
      <c r="C887" t="s">
        <v>698</v>
      </c>
      <c r="D887" t="s">
        <v>26</v>
      </c>
      <c r="E887">
        <v>33</v>
      </c>
      <c r="F887" t="s">
        <v>13</v>
      </c>
      <c r="G887">
        <v>4</v>
      </c>
      <c r="H887" s="7">
        <v>300</v>
      </c>
      <c r="I887" s="7">
        <v>1200</v>
      </c>
      <c r="J887"/>
    </row>
    <row r="888" spans="1:10" x14ac:dyDescent="0.35">
      <c r="A888" t="s">
        <v>1806</v>
      </c>
      <c r="B888" s="1">
        <v>45211</v>
      </c>
      <c r="C888" t="s">
        <v>530</v>
      </c>
      <c r="D888" t="s">
        <v>26</v>
      </c>
      <c r="E888">
        <v>28</v>
      </c>
      <c r="F888" t="s">
        <v>36</v>
      </c>
      <c r="G888">
        <v>1</v>
      </c>
      <c r="H888" s="7">
        <v>25</v>
      </c>
      <c r="I888" s="7">
        <v>25</v>
      </c>
      <c r="J888"/>
    </row>
    <row r="889" spans="1:10" x14ac:dyDescent="0.35">
      <c r="A889" t="s">
        <v>1808</v>
      </c>
      <c r="B889" s="1">
        <v>45156</v>
      </c>
      <c r="C889" t="s">
        <v>2314</v>
      </c>
      <c r="D889" t="s">
        <v>34</v>
      </c>
      <c r="E889">
        <v>36</v>
      </c>
      <c r="F889" t="s">
        <v>56</v>
      </c>
      <c r="G889">
        <v>4</v>
      </c>
      <c r="H889" s="7">
        <v>25</v>
      </c>
      <c r="I889" s="7">
        <v>100</v>
      </c>
      <c r="J889"/>
    </row>
    <row r="890" spans="1:10" x14ac:dyDescent="0.35">
      <c r="A890" t="s">
        <v>1810</v>
      </c>
      <c r="B890" s="1">
        <v>45170</v>
      </c>
      <c r="C890" t="s">
        <v>1863</v>
      </c>
      <c r="D890" t="s">
        <v>34</v>
      </c>
      <c r="E890">
        <v>43</v>
      </c>
      <c r="F890" t="s">
        <v>56</v>
      </c>
      <c r="G890">
        <v>2</v>
      </c>
      <c r="H890" s="7">
        <v>300</v>
      </c>
      <c r="I890" s="7">
        <v>600</v>
      </c>
      <c r="J890"/>
    </row>
    <row r="891" spans="1:10" x14ac:dyDescent="0.35">
      <c r="A891" t="s">
        <v>1812</v>
      </c>
      <c r="B891" s="1">
        <v>45090</v>
      </c>
      <c r="C891" t="s">
        <v>1568</v>
      </c>
      <c r="D891" t="s">
        <v>26</v>
      </c>
      <c r="E891">
        <v>55</v>
      </c>
      <c r="F891" t="s">
        <v>56</v>
      </c>
      <c r="G891">
        <v>1</v>
      </c>
      <c r="H891" s="7">
        <v>500</v>
      </c>
      <c r="I891" s="7">
        <v>500</v>
      </c>
      <c r="J891"/>
    </row>
    <row r="892" spans="1:10" x14ac:dyDescent="0.35">
      <c r="A892" t="s">
        <v>1813</v>
      </c>
      <c r="B892" s="1">
        <v>44995</v>
      </c>
      <c r="C892" t="s">
        <v>1105</v>
      </c>
      <c r="D892" t="s">
        <v>34</v>
      </c>
      <c r="E892">
        <v>34</v>
      </c>
      <c r="F892" t="s">
        <v>56</v>
      </c>
      <c r="G892">
        <v>3</v>
      </c>
      <c r="H892" s="7">
        <v>50</v>
      </c>
      <c r="I892" s="7">
        <v>150</v>
      </c>
      <c r="J892"/>
    </row>
    <row r="893" spans="1:10" x14ac:dyDescent="0.35">
      <c r="A893" t="s">
        <v>1815</v>
      </c>
      <c r="B893" s="1">
        <v>45035</v>
      </c>
      <c r="C893" t="s">
        <v>2219</v>
      </c>
      <c r="D893" t="s">
        <v>26</v>
      </c>
      <c r="E893">
        <v>22</v>
      </c>
      <c r="F893" t="s">
        <v>56</v>
      </c>
      <c r="G893">
        <v>1</v>
      </c>
      <c r="H893" s="7">
        <v>50</v>
      </c>
      <c r="I893" s="7">
        <v>50</v>
      </c>
      <c r="J893"/>
    </row>
    <row r="894" spans="1:10" x14ac:dyDescent="0.35">
      <c r="A894" t="s">
        <v>1816</v>
      </c>
      <c r="B894" s="1">
        <v>45080</v>
      </c>
      <c r="C894" t="s">
        <v>2293</v>
      </c>
      <c r="D894" t="s">
        <v>26</v>
      </c>
      <c r="E894">
        <v>27</v>
      </c>
      <c r="F894" t="s">
        <v>56</v>
      </c>
      <c r="G894">
        <v>1</v>
      </c>
      <c r="H894" s="7">
        <v>500</v>
      </c>
      <c r="I894" s="7">
        <v>500</v>
      </c>
      <c r="J894"/>
    </row>
    <row r="895" spans="1:10" x14ac:dyDescent="0.35">
      <c r="A895" t="s">
        <v>1818</v>
      </c>
      <c r="B895" s="1">
        <v>45042</v>
      </c>
      <c r="C895" t="s">
        <v>1260</v>
      </c>
      <c r="D895" t="s">
        <v>34</v>
      </c>
      <c r="E895">
        <v>45</v>
      </c>
      <c r="F895" t="s">
        <v>36</v>
      </c>
      <c r="G895">
        <v>3</v>
      </c>
      <c r="H895" s="7">
        <v>30</v>
      </c>
      <c r="I895" s="7">
        <v>90</v>
      </c>
      <c r="J895"/>
    </row>
    <row r="896" spans="1:10" x14ac:dyDescent="0.35">
      <c r="A896" t="s">
        <v>1820</v>
      </c>
      <c r="B896" s="1">
        <v>45035</v>
      </c>
      <c r="C896" t="s">
        <v>2195</v>
      </c>
      <c r="D896" t="s">
        <v>26</v>
      </c>
      <c r="E896">
        <v>27</v>
      </c>
      <c r="F896" t="s">
        <v>36</v>
      </c>
      <c r="G896">
        <v>3</v>
      </c>
      <c r="H896" s="7">
        <v>25</v>
      </c>
      <c r="I896" s="7">
        <v>75</v>
      </c>
      <c r="J896"/>
    </row>
    <row r="897" spans="1:10" x14ac:dyDescent="0.35">
      <c r="A897" t="s">
        <v>1821</v>
      </c>
      <c r="B897" s="1">
        <v>45146</v>
      </c>
      <c r="C897" t="s">
        <v>194</v>
      </c>
      <c r="D897" t="s">
        <v>34</v>
      </c>
      <c r="E897">
        <v>59</v>
      </c>
      <c r="F897" t="s">
        <v>56</v>
      </c>
      <c r="G897">
        <v>2</v>
      </c>
      <c r="H897" s="7">
        <v>30</v>
      </c>
      <c r="I897" s="7">
        <v>60</v>
      </c>
      <c r="J897"/>
    </row>
    <row r="898" spans="1:10" x14ac:dyDescent="0.35">
      <c r="A898" t="s">
        <v>1822</v>
      </c>
      <c r="B898" s="1">
        <v>45278</v>
      </c>
      <c r="C898" t="s">
        <v>874</v>
      </c>
      <c r="D898" t="s">
        <v>26</v>
      </c>
      <c r="E898">
        <v>47</v>
      </c>
      <c r="F898" t="s">
        <v>36</v>
      </c>
      <c r="G898">
        <v>2</v>
      </c>
      <c r="H898" s="7">
        <v>25</v>
      </c>
      <c r="I898" s="7">
        <v>50</v>
      </c>
      <c r="J898"/>
    </row>
    <row r="899" spans="1:10" x14ac:dyDescent="0.35">
      <c r="A899" t="s">
        <v>1823</v>
      </c>
      <c r="B899" s="1">
        <v>44988</v>
      </c>
      <c r="C899" t="s">
        <v>2210</v>
      </c>
      <c r="D899" t="s">
        <v>26</v>
      </c>
      <c r="E899">
        <v>31</v>
      </c>
      <c r="F899" t="s">
        <v>36</v>
      </c>
      <c r="G899">
        <v>4</v>
      </c>
      <c r="H899" s="7">
        <v>50</v>
      </c>
      <c r="I899" s="7">
        <v>200</v>
      </c>
      <c r="J899"/>
    </row>
    <row r="900" spans="1:10" x14ac:dyDescent="0.35">
      <c r="A900" t="s">
        <v>226</v>
      </c>
      <c r="B900" s="1">
        <v>45062</v>
      </c>
      <c r="C900" t="s">
        <v>2248</v>
      </c>
      <c r="D900" t="s">
        <v>34</v>
      </c>
      <c r="E900">
        <v>54</v>
      </c>
      <c r="F900" t="s">
        <v>13</v>
      </c>
      <c r="G900">
        <v>3</v>
      </c>
      <c r="H900" s="7">
        <v>300</v>
      </c>
      <c r="I900" s="7">
        <v>900</v>
      </c>
      <c r="J900"/>
    </row>
    <row r="901" spans="1:10" x14ac:dyDescent="0.35">
      <c r="A901" t="s">
        <v>1826</v>
      </c>
      <c r="B901" s="1">
        <v>45197</v>
      </c>
      <c r="C901" t="s">
        <v>1703</v>
      </c>
      <c r="D901" t="s">
        <v>34</v>
      </c>
      <c r="E901">
        <v>39</v>
      </c>
      <c r="F901" t="s">
        <v>36</v>
      </c>
      <c r="G901">
        <v>1</v>
      </c>
      <c r="H901" s="7">
        <v>25</v>
      </c>
      <c r="I901" s="7">
        <v>25</v>
      </c>
      <c r="J901"/>
    </row>
    <row r="902" spans="1:10" x14ac:dyDescent="0.35">
      <c r="A902" t="s">
        <v>1829</v>
      </c>
      <c r="B902" s="1">
        <v>44954</v>
      </c>
      <c r="C902" t="s">
        <v>1909</v>
      </c>
      <c r="D902" t="s">
        <v>26</v>
      </c>
      <c r="E902">
        <v>20</v>
      </c>
      <c r="F902" t="s">
        <v>13</v>
      </c>
      <c r="G902">
        <v>1</v>
      </c>
      <c r="H902" s="7">
        <v>30</v>
      </c>
      <c r="I902" s="7">
        <v>30</v>
      </c>
      <c r="J902"/>
    </row>
    <row r="903" spans="1:10" x14ac:dyDescent="0.35">
      <c r="A903" t="s">
        <v>1830</v>
      </c>
      <c r="B903" s="1">
        <v>45185</v>
      </c>
      <c r="C903" t="s">
        <v>1029</v>
      </c>
      <c r="D903" t="s">
        <v>26</v>
      </c>
      <c r="E903">
        <v>26</v>
      </c>
      <c r="F903" t="s">
        <v>13</v>
      </c>
      <c r="G903">
        <v>4</v>
      </c>
      <c r="H903" s="7">
        <v>25</v>
      </c>
      <c r="I903" s="7">
        <v>100</v>
      </c>
      <c r="J903"/>
    </row>
    <row r="904" spans="1:10" x14ac:dyDescent="0.35">
      <c r="A904" t="s">
        <v>216</v>
      </c>
      <c r="B904" s="1">
        <v>45214</v>
      </c>
      <c r="C904" t="s">
        <v>2292</v>
      </c>
      <c r="D904" t="s">
        <v>34</v>
      </c>
      <c r="E904">
        <v>18</v>
      </c>
      <c r="F904" t="s">
        <v>56</v>
      </c>
      <c r="G904">
        <v>2</v>
      </c>
      <c r="H904" s="7">
        <v>50</v>
      </c>
      <c r="I904" s="7">
        <v>100</v>
      </c>
      <c r="J904"/>
    </row>
    <row r="905" spans="1:10" x14ac:dyDescent="0.35">
      <c r="A905" t="s">
        <v>1835</v>
      </c>
      <c r="B905" s="1">
        <v>45066</v>
      </c>
      <c r="C905" t="s">
        <v>2207</v>
      </c>
      <c r="D905" t="s">
        <v>34</v>
      </c>
      <c r="E905">
        <v>32</v>
      </c>
      <c r="F905" t="s">
        <v>56</v>
      </c>
      <c r="G905">
        <v>2</v>
      </c>
      <c r="H905" s="7">
        <v>300</v>
      </c>
      <c r="I905" s="7">
        <v>600</v>
      </c>
      <c r="J905"/>
    </row>
    <row r="906" spans="1:10" x14ac:dyDescent="0.35">
      <c r="A906" t="s">
        <v>1838</v>
      </c>
      <c r="B906" s="1">
        <v>45258</v>
      </c>
      <c r="C906" t="s">
        <v>2242</v>
      </c>
      <c r="D906" t="s">
        <v>26</v>
      </c>
      <c r="E906">
        <v>38</v>
      </c>
      <c r="F906" t="s">
        <v>13</v>
      </c>
      <c r="G906">
        <v>3</v>
      </c>
      <c r="H906" s="7">
        <v>30</v>
      </c>
      <c r="I906" s="7">
        <v>90</v>
      </c>
      <c r="J906"/>
    </row>
    <row r="907" spans="1:10" x14ac:dyDescent="0.35">
      <c r="A907" t="s">
        <v>1840</v>
      </c>
      <c r="B907" s="1">
        <v>45187</v>
      </c>
      <c r="C907" t="s">
        <v>1222</v>
      </c>
      <c r="D907" t="s">
        <v>26</v>
      </c>
      <c r="E907">
        <v>21</v>
      </c>
      <c r="F907" t="s">
        <v>36</v>
      </c>
      <c r="G907">
        <v>2</v>
      </c>
      <c r="H907" s="7">
        <v>300</v>
      </c>
      <c r="I907" s="7">
        <v>600</v>
      </c>
      <c r="J907"/>
    </row>
    <row r="908" spans="1:10" x14ac:dyDescent="0.35">
      <c r="A908" t="s">
        <v>1841</v>
      </c>
      <c r="B908" s="1">
        <v>44974</v>
      </c>
      <c r="C908" t="s">
        <v>626</v>
      </c>
      <c r="D908" t="s">
        <v>34</v>
      </c>
      <c r="E908">
        <v>53</v>
      </c>
      <c r="F908" t="s">
        <v>13</v>
      </c>
      <c r="G908">
        <v>4</v>
      </c>
      <c r="H908" s="7">
        <v>500</v>
      </c>
      <c r="I908" s="7">
        <v>2000</v>
      </c>
      <c r="J908"/>
    </row>
    <row r="909" spans="1:10" x14ac:dyDescent="0.35">
      <c r="A909" t="s">
        <v>163</v>
      </c>
      <c r="B909" s="1">
        <v>45028</v>
      </c>
      <c r="C909" t="s">
        <v>2218</v>
      </c>
      <c r="D909" t="s">
        <v>34</v>
      </c>
      <c r="E909">
        <v>47</v>
      </c>
      <c r="F909" t="s">
        <v>13</v>
      </c>
      <c r="G909">
        <v>4</v>
      </c>
      <c r="H909" s="7">
        <v>30</v>
      </c>
      <c r="I909" s="7">
        <v>120</v>
      </c>
      <c r="J909"/>
    </row>
    <row r="910" spans="1:10" x14ac:dyDescent="0.35">
      <c r="A910" t="s">
        <v>1843</v>
      </c>
      <c r="B910" s="1">
        <v>45286</v>
      </c>
      <c r="C910" t="s">
        <v>2209</v>
      </c>
      <c r="D910" t="s">
        <v>26</v>
      </c>
      <c r="E910">
        <v>47</v>
      </c>
      <c r="F910" t="s">
        <v>56</v>
      </c>
      <c r="G910">
        <v>2</v>
      </c>
      <c r="H910" s="7">
        <v>300</v>
      </c>
      <c r="I910" s="7">
        <v>600</v>
      </c>
      <c r="J910"/>
    </row>
    <row r="911" spans="1:10" x14ac:dyDescent="0.35">
      <c r="A911" t="s">
        <v>1845</v>
      </c>
      <c r="B911" s="1">
        <v>44947</v>
      </c>
      <c r="C911" t="s">
        <v>2189</v>
      </c>
      <c r="D911" t="s">
        <v>26</v>
      </c>
      <c r="E911">
        <v>38</v>
      </c>
      <c r="F911" t="s">
        <v>13</v>
      </c>
      <c r="G911">
        <v>4</v>
      </c>
      <c r="H911" s="7">
        <v>500</v>
      </c>
      <c r="I911" s="7">
        <v>2000</v>
      </c>
      <c r="J911"/>
    </row>
    <row r="912" spans="1:10" x14ac:dyDescent="0.35">
      <c r="A912" t="s">
        <v>1846</v>
      </c>
      <c r="B912" s="1">
        <v>45126</v>
      </c>
      <c r="C912" t="s">
        <v>2205</v>
      </c>
      <c r="D912" t="s">
        <v>26</v>
      </c>
      <c r="E912">
        <v>64</v>
      </c>
      <c r="F912" t="s">
        <v>13</v>
      </c>
      <c r="G912">
        <v>1</v>
      </c>
      <c r="H912" s="7">
        <v>300</v>
      </c>
      <c r="I912" s="7">
        <v>300</v>
      </c>
      <c r="J912"/>
    </row>
    <row r="913" spans="1:10" x14ac:dyDescent="0.35">
      <c r="A913" t="s">
        <v>1847</v>
      </c>
      <c r="B913" s="1">
        <v>44977</v>
      </c>
      <c r="C913" t="s">
        <v>1863</v>
      </c>
      <c r="D913" t="s">
        <v>34</v>
      </c>
      <c r="E913">
        <v>54</v>
      </c>
      <c r="F913" t="s">
        <v>56</v>
      </c>
      <c r="G913">
        <v>4</v>
      </c>
      <c r="H913" s="7">
        <v>25</v>
      </c>
      <c r="I913" s="7">
        <v>100</v>
      </c>
      <c r="J913"/>
    </row>
    <row r="914" spans="1:10" x14ac:dyDescent="0.35">
      <c r="A914" t="s">
        <v>1848</v>
      </c>
      <c r="B914" s="1">
        <v>45226</v>
      </c>
      <c r="C914" t="s">
        <v>365</v>
      </c>
      <c r="D914" t="s">
        <v>34</v>
      </c>
      <c r="E914">
        <v>33</v>
      </c>
      <c r="F914" t="s">
        <v>56</v>
      </c>
      <c r="G914">
        <v>4</v>
      </c>
      <c r="H914" s="7">
        <v>500</v>
      </c>
      <c r="I914" s="7">
        <v>2000</v>
      </c>
      <c r="J914"/>
    </row>
    <row r="915" spans="1:10" x14ac:dyDescent="0.35">
      <c r="A915" t="s">
        <v>285</v>
      </c>
      <c r="B915" s="1">
        <v>45284</v>
      </c>
      <c r="C915" t="s">
        <v>329</v>
      </c>
      <c r="D915" t="s">
        <v>26</v>
      </c>
      <c r="E915">
        <v>51</v>
      </c>
      <c r="F915" t="s">
        <v>56</v>
      </c>
      <c r="G915">
        <v>3</v>
      </c>
      <c r="H915" s="7">
        <v>50</v>
      </c>
      <c r="I915" s="7">
        <v>150</v>
      </c>
      <c r="J915"/>
    </row>
    <row r="916" spans="1:10" x14ac:dyDescent="0.35">
      <c r="A916" t="s">
        <v>1853</v>
      </c>
      <c r="B916" s="1">
        <v>45159</v>
      </c>
      <c r="C916" t="s">
        <v>278</v>
      </c>
      <c r="D916" t="s">
        <v>26</v>
      </c>
      <c r="E916">
        <v>57</v>
      </c>
      <c r="F916" t="s">
        <v>13</v>
      </c>
      <c r="G916">
        <v>2</v>
      </c>
      <c r="H916" s="7">
        <v>30</v>
      </c>
      <c r="I916" s="7">
        <v>60</v>
      </c>
      <c r="J916"/>
    </row>
    <row r="917" spans="1:10" x14ac:dyDescent="0.35">
      <c r="A917" t="s">
        <v>1854</v>
      </c>
      <c r="B917" s="1">
        <v>45024</v>
      </c>
      <c r="C917" t="s">
        <v>221</v>
      </c>
      <c r="D917" t="s">
        <v>26</v>
      </c>
      <c r="E917">
        <v>47</v>
      </c>
      <c r="F917" t="s">
        <v>56</v>
      </c>
      <c r="G917">
        <v>4</v>
      </c>
      <c r="H917" s="7">
        <v>25</v>
      </c>
      <c r="I917" s="7">
        <v>100</v>
      </c>
      <c r="J917"/>
    </row>
    <row r="918" spans="1:10" x14ac:dyDescent="0.35">
      <c r="A918" t="s">
        <v>1855</v>
      </c>
      <c r="B918" s="1">
        <v>45167</v>
      </c>
      <c r="C918" t="s">
        <v>374</v>
      </c>
      <c r="D918" t="s">
        <v>34</v>
      </c>
      <c r="E918">
        <v>55</v>
      </c>
      <c r="F918" t="s">
        <v>36</v>
      </c>
      <c r="G918">
        <v>2</v>
      </c>
      <c r="H918" s="7">
        <v>50</v>
      </c>
      <c r="I918" s="7">
        <v>100</v>
      </c>
      <c r="J918"/>
    </row>
    <row r="919" spans="1:10" x14ac:dyDescent="0.35">
      <c r="A919" t="s">
        <v>246</v>
      </c>
      <c r="B919" s="1">
        <v>45235</v>
      </c>
      <c r="C919" t="s">
        <v>348</v>
      </c>
      <c r="D919" t="s">
        <v>34</v>
      </c>
      <c r="E919">
        <v>22</v>
      </c>
      <c r="F919" t="s">
        <v>56</v>
      </c>
      <c r="G919">
        <v>3</v>
      </c>
      <c r="H919" s="7">
        <v>300</v>
      </c>
      <c r="I919" s="7">
        <v>900</v>
      </c>
      <c r="J919"/>
    </row>
    <row r="920" spans="1:10" x14ac:dyDescent="0.35">
      <c r="A920" t="s">
        <v>1857</v>
      </c>
      <c r="B920" s="1">
        <v>45228</v>
      </c>
      <c r="C920" t="s">
        <v>1085</v>
      </c>
      <c r="D920" t="s">
        <v>26</v>
      </c>
      <c r="E920">
        <v>42</v>
      </c>
      <c r="F920" t="s">
        <v>13</v>
      </c>
      <c r="G920">
        <v>2</v>
      </c>
      <c r="H920" s="7">
        <v>30</v>
      </c>
      <c r="I920" s="7">
        <v>60</v>
      </c>
      <c r="J920"/>
    </row>
    <row r="921" spans="1:10" x14ac:dyDescent="0.35">
      <c r="A921" t="s">
        <v>1858</v>
      </c>
      <c r="B921" s="1">
        <v>44988</v>
      </c>
      <c r="C921" t="s">
        <v>2244</v>
      </c>
      <c r="D921" t="s">
        <v>34</v>
      </c>
      <c r="E921">
        <v>64</v>
      </c>
      <c r="F921" t="s">
        <v>36</v>
      </c>
      <c r="G921">
        <v>1</v>
      </c>
      <c r="H921" s="7">
        <v>500</v>
      </c>
      <c r="I921" s="7">
        <v>500</v>
      </c>
      <c r="J921"/>
    </row>
    <row r="922" spans="1:10" x14ac:dyDescent="0.35">
      <c r="A922" t="s">
        <v>1860</v>
      </c>
      <c r="B922" s="1">
        <v>45025</v>
      </c>
      <c r="C922" t="s">
        <v>440</v>
      </c>
      <c r="D922" t="s">
        <v>34</v>
      </c>
      <c r="E922">
        <v>20</v>
      </c>
      <c r="F922" t="s">
        <v>13</v>
      </c>
      <c r="G922">
        <v>1</v>
      </c>
      <c r="H922" s="7">
        <v>50</v>
      </c>
      <c r="I922" s="7">
        <v>50</v>
      </c>
      <c r="J922"/>
    </row>
    <row r="923" spans="1:10" x14ac:dyDescent="0.35">
      <c r="A923" t="s">
        <v>1861</v>
      </c>
      <c r="B923" s="1">
        <v>45043</v>
      </c>
      <c r="C923" t="s">
        <v>1724</v>
      </c>
      <c r="D923" t="s">
        <v>26</v>
      </c>
      <c r="E923">
        <v>28</v>
      </c>
      <c r="F923" t="s">
        <v>56</v>
      </c>
      <c r="G923">
        <v>4</v>
      </c>
      <c r="H923" s="7">
        <v>300</v>
      </c>
      <c r="I923" s="7">
        <v>1200</v>
      </c>
      <c r="J923"/>
    </row>
    <row r="924" spans="1:10" x14ac:dyDescent="0.35">
      <c r="A924" t="s">
        <v>1864</v>
      </c>
      <c r="B924" s="1">
        <v>44985</v>
      </c>
      <c r="C924" t="s">
        <v>2218</v>
      </c>
      <c r="D924" t="s">
        <v>26</v>
      </c>
      <c r="E924">
        <v>45</v>
      </c>
      <c r="F924" t="s">
        <v>36</v>
      </c>
      <c r="G924">
        <v>4</v>
      </c>
      <c r="H924" s="7">
        <v>25</v>
      </c>
      <c r="I924" s="7">
        <v>100</v>
      </c>
      <c r="J924"/>
    </row>
    <row r="925" spans="1:10" x14ac:dyDescent="0.35">
      <c r="A925" t="s">
        <v>1866</v>
      </c>
      <c r="B925" s="1">
        <v>45049</v>
      </c>
      <c r="C925" t="s">
        <v>2200</v>
      </c>
      <c r="D925" t="s">
        <v>26</v>
      </c>
      <c r="E925">
        <v>40</v>
      </c>
      <c r="F925" t="s">
        <v>13</v>
      </c>
      <c r="G925">
        <v>3</v>
      </c>
      <c r="H925" s="7">
        <v>25</v>
      </c>
      <c r="I925" s="7">
        <v>75</v>
      </c>
      <c r="J925"/>
    </row>
    <row r="926" spans="1:10" x14ac:dyDescent="0.35">
      <c r="A926" t="s">
        <v>1868</v>
      </c>
      <c r="B926" s="1">
        <v>45282</v>
      </c>
      <c r="C926" t="s">
        <v>1689</v>
      </c>
      <c r="D926" t="s">
        <v>34</v>
      </c>
      <c r="E926">
        <v>48</v>
      </c>
      <c r="F926" t="s">
        <v>36</v>
      </c>
      <c r="G926">
        <v>2</v>
      </c>
      <c r="H926" s="7">
        <v>500</v>
      </c>
      <c r="I926" s="7">
        <v>1000</v>
      </c>
      <c r="J926"/>
    </row>
    <row r="927" spans="1:10" x14ac:dyDescent="0.35">
      <c r="A927" t="s">
        <v>1870</v>
      </c>
      <c r="B927" s="1">
        <v>44937</v>
      </c>
      <c r="C927" t="s">
        <v>595</v>
      </c>
      <c r="D927" t="s">
        <v>26</v>
      </c>
      <c r="E927">
        <v>57</v>
      </c>
      <c r="F927" t="s">
        <v>36</v>
      </c>
      <c r="G927">
        <v>4</v>
      </c>
      <c r="H927" s="7">
        <v>25</v>
      </c>
      <c r="I927" s="7">
        <v>100</v>
      </c>
      <c r="J927"/>
    </row>
    <row r="928" spans="1:10" x14ac:dyDescent="0.35">
      <c r="A928" t="s">
        <v>1871</v>
      </c>
      <c r="B928" s="1">
        <v>45012</v>
      </c>
      <c r="C928" t="s">
        <v>1883</v>
      </c>
      <c r="D928" t="s">
        <v>34</v>
      </c>
      <c r="E928">
        <v>27</v>
      </c>
      <c r="F928" t="s">
        <v>36</v>
      </c>
      <c r="G928">
        <v>1</v>
      </c>
      <c r="H928" s="7">
        <v>500</v>
      </c>
      <c r="I928" s="7">
        <v>500</v>
      </c>
      <c r="J928"/>
    </row>
    <row r="929" spans="1:10" x14ac:dyDescent="0.35">
      <c r="A929" t="s">
        <v>1872</v>
      </c>
      <c r="B929" s="1">
        <v>45121</v>
      </c>
      <c r="C929" t="s">
        <v>707</v>
      </c>
      <c r="D929" t="s">
        <v>26</v>
      </c>
      <c r="E929">
        <v>35</v>
      </c>
      <c r="F929" t="s">
        <v>36</v>
      </c>
      <c r="G929">
        <v>4</v>
      </c>
      <c r="H929" s="7">
        <v>500</v>
      </c>
      <c r="I929" s="7">
        <v>2000</v>
      </c>
      <c r="J929"/>
    </row>
    <row r="930" spans="1:10" x14ac:dyDescent="0.35">
      <c r="A930" t="s">
        <v>1873</v>
      </c>
      <c r="B930" s="1">
        <v>44985</v>
      </c>
      <c r="C930" t="s">
        <v>348</v>
      </c>
      <c r="D930" t="s">
        <v>34</v>
      </c>
      <c r="E930">
        <v>43</v>
      </c>
      <c r="F930" t="s">
        <v>13</v>
      </c>
      <c r="G930">
        <v>4</v>
      </c>
      <c r="H930" s="7">
        <v>500</v>
      </c>
      <c r="I930" s="7">
        <v>2000</v>
      </c>
      <c r="J930"/>
    </row>
    <row r="931" spans="1:10" x14ac:dyDescent="0.35">
      <c r="A931" t="s">
        <v>1875</v>
      </c>
      <c r="B931" s="1">
        <v>45223</v>
      </c>
      <c r="C931" t="s">
        <v>2183</v>
      </c>
      <c r="D931" t="s">
        <v>34</v>
      </c>
      <c r="E931">
        <v>61</v>
      </c>
      <c r="F931" t="s">
        <v>56</v>
      </c>
      <c r="G931">
        <v>1</v>
      </c>
      <c r="H931" s="7">
        <v>25</v>
      </c>
      <c r="I931" s="7">
        <v>25</v>
      </c>
      <c r="J931"/>
    </row>
    <row r="932" spans="1:10" x14ac:dyDescent="0.35">
      <c r="A932" t="s">
        <v>1876</v>
      </c>
      <c r="B932" s="1">
        <v>45110</v>
      </c>
      <c r="C932" t="s">
        <v>747</v>
      </c>
      <c r="D932" t="s">
        <v>34</v>
      </c>
      <c r="E932">
        <v>25</v>
      </c>
      <c r="F932" t="s">
        <v>13</v>
      </c>
      <c r="G932">
        <v>4</v>
      </c>
      <c r="H932" s="7">
        <v>50</v>
      </c>
      <c r="I932" s="7">
        <v>200</v>
      </c>
      <c r="J932"/>
    </row>
    <row r="933" spans="1:10" x14ac:dyDescent="0.35">
      <c r="A933" t="s">
        <v>1877</v>
      </c>
      <c r="B933" s="1">
        <v>45162</v>
      </c>
      <c r="C933" t="s">
        <v>849</v>
      </c>
      <c r="D933" t="s">
        <v>34</v>
      </c>
      <c r="E933">
        <v>42</v>
      </c>
      <c r="F933" t="s">
        <v>13</v>
      </c>
      <c r="G933">
        <v>1</v>
      </c>
      <c r="H933" s="7">
        <v>30</v>
      </c>
      <c r="I933" s="7">
        <v>30</v>
      </c>
      <c r="J933"/>
    </row>
    <row r="934" spans="1:10" x14ac:dyDescent="0.35">
      <c r="A934" t="s">
        <v>1879</v>
      </c>
      <c r="B934" s="1">
        <v>44937</v>
      </c>
      <c r="C934" t="s">
        <v>2260</v>
      </c>
      <c r="D934" t="s">
        <v>26</v>
      </c>
      <c r="E934">
        <v>33</v>
      </c>
      <c r="F934" t="s">
        <v>56</v>
      </c>
      <c r="G934">
        <v>3</v>
      </c>
      <c r="H934" s="7">
        <v>30</v>
      </c>
      <c r="I934" s="7">
        <v>90</v>
      </c>
      <c r="J934"/>
    </row>
    <row r="935" spans="1:10" x14ac:dyDescent="0.35">
      <c r="A935" t="s">
        <v>1881</v>
      </c>
      <c r="B935" s="1">
        <v>45193</v>
      </c>
      <c r="C935" t="s">
        <v>346</v>
      </c>
      <c r="D935" t="s">
        <v>26</v>
      </c>
      <c r="E935">
        <v>62</v>
      </c>
      <c r="F935" t="s">
        <v>13</v>
      </c>
      <c r="G935">
        <v>1</v>
      </c>
      <c r="H935" s="7">
        <v>300</v>
      </c>
      <c r="I935" s="7">
        <v>300</v>
      </c>
      <c r="J935"/>
    </row>
    <row r="936" spans="1:10" x14ac:dyDescent="0.35">
      <c r="A936" t="s">
        <v>1882</v>
      </c>
      <c r="B936" s="1">
        <v>45020</v>
      </c>
      <c r="C936" t="s">
        <v>149</v>
      </c>
      <c r="D936" t="s">
        <v>26</v>
      </c>
      <c r="E936">
        <v>37</v>
      </c>
      <c r="F936" t="s">
        <v>56</v>
      </c>
      <c r="G936">
        <v>3</v>
      </c>
      <c r="H936" s="7">
        <v>500</v>
      </c>
      <c r="I936" s="7">
        <v>1500</v>
      </c>
      <c r="J936"/>
    </row>
    <row r="937" spans="1:10" x14ac:dyDescent="0.35">
      <c r="A937" t="s">
        <v>1884</v>
      </c>
      <c r="B937" s="1">
        <v>44974</v>
      </c>
      <c r="C937" t="s">
        <v>975</v>
      </c>
      <c r="D937" t="s">
        <v>26</v>
      </c>
      <c r="E937">
        <v>27</v>
      </c>
      <c r="F937" t="s">
        <v>36</v>
      </c>
      <c r="G937">
        <v>4</v>
      </c>
      <c r="H937" s="7">
        <v>50</v>
      </c>
      <c r="I937" s="7">
        <v>200</v>
      </c>
      <c r="J937"/>
    </row>
    <row r="938" spans="1:10" x14ac:dyDescent="0.35">
      <c r="A938" t="s">
        <v>1885</v>
      </c>
      <c r="B938" s="1">
        <v>45086</v>
      </c>
      <c r="C938" t="s">
        <v>719</v>
      </c>
      <c r="D938" t="s">
        <v>34</v>
      </c>
      <c r="E938">
        <v>43</v>
      </c>
      <c r="F938" t="s">
        <v>56</v>
      </c>
      <c r="G938">
        <v>4</v>
      </c>
      <c r="H938" s="7">
        <v>50</v>
      </c>
      <c r="I938" s="7">
        <v>200</v>
      </c>
      <c r="J938"/>
    </row>
    <row r="939" spans="1:10" x14ac:dyDescent="0.35">
      <c r="A939" t="s">
        <v>1886</v>
      </c>
      <c r="B939" s="1">
        <v>45131</v>
      </c>
      <c r="C939" t="s">
        <v>1735</v>
      </c>
      <c r="D939" t="s">
        <v>34</v>
      </c>
      <c r="E939">
        <v>37</v>
      </c>
      <c r="F939" t="s">
        <v>13</v>
      </c>
      <c r="G939">
        <v>2</v>
      </c>
      <c r="H939" s="7">
        <v>500</v>
      </c>
      <c r="I939" s="7">
        <v>1000</v>
      </c>
      <c r="J939"/>
    </row>
    <row r="940" spans="1:10" x14ac:dyDescent="0.35">
      <c r="A940" t="s">
        <v>1888</v>
      </c>
      <c r="B940" s="1">
        <v>45228</v>
      </c>
      <c r="C940" t="s">
        <v>1017</v>
      </c>
      <c r="D940" t="s">
        <v>26</v>
      </c>
      <c r="E940">
        <v>23</v>
      </c>
      <c r="F940" t="s">
        <v>36</v>
      </c>
      <c r="G940">
        <v>4</v>
      </c>
      <c r="H940" s="7">
        <v>25</v>
      </c>
      <c r="I940" s="7">
        <v>100</v>
      </c>
      <c r="J940"/>
    </row>
    <row r="941" spans="1:10" x14ac:dyDescent="0.35">
      <c r="A941" t="s">
        <v>1889</v>
      </c>
      <c r="B941" s="1">
        <v>45216</v>
      </c>
      <c r="C941" t="s">
        <v>1300</v>
      </c>
      <c r="D941" t="s">
        <v>34</v>
      </c>
      <c r="E941">
        <v>25</v>
      </c>
      <c r="F941" t="s">
        <v>36</v>
      </c>
      <c r="G941">
        <v>3</v>
      </c>
      <c r="H941" s="7">
        <v>25</v>
      </c>
      <c r="I941" s="7">
        <v>75</v>
      </c>
      <c r="J941"/>
    </row>
    <row r="942" spans="1:10" x14ac:dyDescent="0.35">
      <c r="A942" t="s">
        <v>1892</v>
      </c>
      <c r="B942" s="1">
        <v>45021</v>
      </c>
      <c r="C942" t="s">
        <v>1309</v>
      </c>
      <c r="D942" t="s">
        <v>26</v>
      </c>
      <c r="E942">
        <v>35</v>
      </c>
      <c r="F942" t="s">
        <v>56</v>
      </c>
      <c r="G942">
        <v>4</v>
      </c>
      <c r="H942" s="7">
        <v>300</v>
      </c>
      <c r="I942" s="7">
        <v>1200</v>
      </c>
      <c r="J942"/>
    </row>
    <row r="943" spans="1:10" x14ac:dyDescent="0.35">
      <c r="A943" t="s">
        <v>1893</v>
      </c>
      <c r="B943" s="1">
        <v>45186</v>
      </c>
      <c r="C943" t="s">
        <v>440</v>
      </c>
      <c r="D943" t="s">
        <v>34</v>
      </c>
      <c r="E943">
        <v>32</v>
      </c>
      <c r="F943" t="s">
        <v>56</v>
      </c>
      <c r="G943">
        <v>1</v>
      </c>
      <c r="H943" s="7">
        <v>50</v>
      </c>
      <c r="I943" s="7">
        <v>50</v>
      </c>
      <c r="J943"/>
    </row>
    <row r="944" spans="1:10" x14ac:dyDescent="0.35">
      <c r="A944" t="s">
        <v>1895</v>
      </c>
      <c r="B944" s="1">
        <v>45210</v>
      </c>
      <c r="C944" t="s">
        <v>2287</v>
      </c>
      <c r="D944" t="s">
        <v>26</v>
      </c>
      <c r="E944">
        <v>62</v>
      </c>
      <c r="F944" t="s">
        <v>56</v>
      </c>
      <c r="G944">
        <v>1</v>
      </c>
      <c r="H944" s="7">
        <v>300</v>
      </c>
      <c r="I944" s="7">
        <v>300</v>
      </c>
      <c r="J944"/>
    </row>
    <row r="945" spans="1:10" x14ac:dyDescent="0.35">
      <c r="A945" t="s">
        <v>1897</v>
      </c>
      <c r="B945" s="1">
        <v>44992</v>
      </c>
      <c r="C945" t="s">
        <v>1129</v>
      </c>
      <c r="D945" t="s">
        <v>34</v>
      </c>
      <c r="E945">
        <v>60</v>
      </c>
      <c r="F945" t="s">
        <v>13</v>
      </c>
      <c r="G945">
        <v>2</v>
      </c>
      <c r="H945" s="7">
        <v>25</v>
      </c>
      <c r="I945" s="7">
        <v>50</v>
      </c>
      <c r="J945"/>
    </row>
    <row r="946" spans="1:10" x14ac:dyDescent="0.35">
      <c r="A946" t="s">
        <v>1898</v>
      </c>
      <c r="B946" s="1">
        <v>45264</v>
      </c>
      <c r="C946" t="s">
        <v>1803</v>
      </c>
      <c r="D946" t="s">
        <v>26</v>
      </c>
      <c r="E946">
        <v>37</v>
      </c>
      <c r="F946" t="s">
        <v>56</v>
      </c>
      <c r="G946">
        <v>1</v>
      </c>
      <c r="H946" s="7">
        <v>50</v>
      </c>
      <c r="I946" s="7">
        <v>50</v>
      </c>
      <c r="J946"/>
    </row>
    <row r="947" spans="1:10" x14ac:dyDescent="0.35">
      <c r="A947" t="s">
        <v>1901</v>
      </c>
      <c r="B947" s="1">
        <v>44970</v>
      </c>
      <c r="C947" t="s">
        <v>495</v>
      </c>
      <c r="D947" t="s">
        <v>34</v>
      </c>
      <c r="E947">
        <v>30</v>
      </c>
      <c r="F947" t="s">
        <v>36</v>
      </c>
      <c r="G947">
        <v>1</v>
      </c>
      <c r="H947" s="7">
        <v>25</v>
      </c>
      <c r="I947" s="7">
        <v>25</v>
      </c>
      <c r="J947"/>
    </row>
    <row r="948" spans="1:10" x14ac:dyDescent="0.35">
      <c r="A948" t="s">
        <v>1903</v>
      </c>
      <c r="B948" s="1">
        <v>45211</v>
      </c>
      <c r="C948" t="s">
        <v>2221</v>
      </c>
      <c r="D948" t="s">
        <v>26</v>
      </c>
      <c r="E948">
        <v>41</v>
      </c>
      <c r="F948" t="s">
        <v>56</v>
      </c>
      <c r="G948">
        <v>1</v>
      </c>
      <c r="H948" s="7">
        <v>300</v>
      </c>
      <c r="I948" s="7">
        <v>300</v>
      </c>
      <c r="J948"/>
    </row>
    <row r="949" spans="1:10" x14ac:dyDescent="0.35">
      <c r="A949" t="s">
        <v>1905</v>
      </c>
      <c r="B949" s="1">
        <v>45159</v>
      </c>
      <c r="C949" t="s">
        <v>74</v>
      </c>
      <c r="D949" t="s">
        <v>34</v>
      </c>
      <c r="E949">
        <v>29</v>
      </c>
      <c r="F949" t="s">
        <v>13</v>
      </c>
      <c r="G949">
        <v>3</v>
      </c>
      <c r="H949" s="7">
        <v>30</v>
      </c>
      <c r="I949" s="7">
        <v>90</v>
      </c>
      <c r="J949"/>
    </row>
    <row r="950" spans="1:10" x14ac:dyDescent="0.35">
      <c r="A950" t="s">
        <v>1907</v>
      </c>
      <c r="B950" s="1">
        <v>45199</v>
      </c>
      <c r="C950" t="s">
        <v>2317</v>
      </c>
      <c r="D950" t="s">
        <v>26</v>
      </c>
      <c r="E950">
        <v>32</v>
      </c>
      <c r="F950" t="s">
        <v>56</v>
      </c>
      <c r="G950">
        <v>3</v>
      </c>
      <c r="H950" s="7">
        <v>300</v>
      </c>
      <c r="I950" s="7">
        <v>900</v>
      </c>
      <c r="J950"/>
    </row>
    <row r="951" spans="1:10" x14ac:dyDescent="0.35">
      <c r="A951" t="s">
        <v>1908</v>
      </c>
      <c r="B951" s="1">
        <v>44939</v>
      </c>
      <c r="C951" t="s">
        <v>554</v>
      </c>
      <c r="D951" t="s">
        <v>26</v>
      </c>
      <c r="E951">
        <v>19</v>
      </c>
      <c r="F951" t="s">
        <v>56</v>
      </c>
      <c r="G951">
        <v>4</v>
      </c>
      <c r="H951" s="7">
        <v>300</v>
      </c>
      <c r="I951" s="7">
        <v>1200</v>
      </c>
      <c r="J951"/>
    </row>
    <row r="952" spans="1:10" x14ac:dyDescent="0.35">
      <c r="A952" t="s">
        <v>1910</v>
      </c>
      <c r="B952" s="1">
        <v>45257</v>
      </c>
      <c r="C952" t="s">
        <v>1017</v>
      </c>
      <c r="D952" t="s">
        <v>34</v>
      </c>
      <c r="E952">
        <v>54</v>
      </c>
      <c r="F952" t="s">
        <v>13</v>
      </c>
      <c r="G952">
        <v>4</v>
      </c>
      <c r="H952" s="7">
        <v>30</v>
      </c>
      <c r="I952" s="7">
        <v>120</v>
      </c>
      <c r="J952"/>
    </row>
    <row r="953" spans="1:10" x14ac:dyDescent="0.35">
      <c r="A953" t="s">
        <v>1912</v>
      </c>
      <c r="B953" s="1">
        <v>45008</v>
      </c>
      <c r="C953" t="s">
        <v>1105</v>
      </c>
      <c r="D953" t="s">
        <v>34</v>
      </c>
      <c r="E953">
        <v>49</v>
      </c>
      <c r="F953" t="s">
        <v>56</v>
      </c>
      <c r="G953">
        <v>4</v>
      </c>
      <c r="H953" s="7">
        <v>50</v>
      </c>
      <c r="I953" s="7">
        <v>200</v>
      </c>
      <c r="J953"/>
    </row>
    <row r="954" spans="1:10" x14ac:dyDescent="0.35">
      <c r="A954" t="s">
        <v>1914</v>
      </c>
      <c r="B954" s="1">
        <v>45131</v>
      </c>
      <c r="C954" t="s">
        <v>975</v>
      </c>
      <c r="D954" t="s">
        <v>34</v>
      </c>
      <c r="E954">
        <v>24</v>
      </c>
      <c r="F954" t="s">
        <v>36</v>
      </c>
      <c r="G954">
        <v>2</v>
      </c>
      <c r="H954" s="7">
        <v>30</v>
      </c>
      <c r="I954" s="7">
        <v>60</v>
      </c>
      <c r="J954"/>
    </row>
    <row r="955" spans="1:10" x14ac:dyDescent="0.35">
      <c r="A955" t="s">
        <v>1915</v>
      </c>
      <c r="B955" s="1">
        <v>45130</v>
      </c>
      <c r="C955" t="s">
        <v>1225</v>
      </c>
      <c r="D955" t="s">
        <v>34</v>
      </c>
      <c r="E955">
        <v>25</v>
      </c>
      <c r="F955" t="s">
        <v>13</v>
      </c>
      <c r="G955">
        <v>4</v>
      </c>
      <c r="H955" s="7">
        <v>500</v>
      </c>
      <c r="I955" s="7">
        <v>2000</v>
      </c>
      <c r="J955"/>
    </row>
    <row r="956" spans="1:10" x14ac:dyDescent="0.35">
      <c r="A956" t="s">
        <v>1917</v>
      </c>
      <c r="B956" s="1">
        <v>45121</v>
      </c>
      <c r="C956" t="s">
        <v>2290</v>
      </c>
      <c r="D956" t="s">
        <v>34</v>
      </c>
      <c r="E956">
        <v>45</v>
      </c>
      <c r="F956" t="s">
        <v>13</v>
      </c>
      <c r="G956">
        <v>3</v>
      </c>
      <c r="H956" s="7">
        <v>300</v>
      </c>
      <c r="I956" s="7">
        <v>900</v>
      </c>
      <c r="J956"/>
    </row>
    <row r="957" spans="1:10" x14ac:dyDescent="0.35">
      <c r="A957" t="s">
        <v>1918</v>
      </c>
      <c r="B957" s="1">
        <v>45138</v>
      </c>
      <c r="C957" t="s">
        <v>608</v>
      </c>
      <c r="D957" t="s">
        <v>26</v>
      </c>
      <c r="E957">
        <v>54</v>
      </c>
      <c r="F957" t="s">
        <v>36</v>
      </c>
      <c r="G957">
        <v>3</v>
      </c>
      <c r="H957" s="7">
        <v>500</v>
      </c>
      <c r="I957" s="7">
        <v>1500</v>
      </c>
      <c r="J957"/>
    </row>
    <row r="958" spans="1:10" x14ac:dyDescent="0.35">
      <c r="A958" t="s">
        <v>1920</v>
      </c>
      <c r="B958" s="1">
        <v>45011</v>
      </c>
      <c r="C958" t="s">
        <v>825</v>
      </c>
      <c r="D958" t="s">
        <v>26</v>
      </c>
      <c r="E958">
        <v>34</v>
      </c>
      <c r="F958" t="s">
        <v>56</v>
      </c>
      <c r="G958">
        <v>4</v>
      </c>
      <c r="H958" s="7">
        <v>300</v>
      </c>
      <c r="I958" s="7">
        <v>1200</v>
      </c>
      <c r="J958"/>
    </row>
    <row r="959" spans="1:10" x14ac:dyDescent="0.35">
      <c r="A959" t="s">
        <v>1922</v>
      </c>
      <c r="B959" s="1">
        <v>45006</v>
      </c>
      <c r="C959" t="s">
        <v>2262</v>
      </c>
      <c r="D959" t="s">
        <v>26</v>
      </c>
      <c r="E959">
        <v>55</v>
      </c>
      <c r="F959" t="s">
        <v>36</v>
      </c>
      <c r="G959">
        <v>3</v>
      </c>
      <c r="H959" s="7">
        <v>500</v>
      </c>
      <c r="I959" s="7">
        <v>1500</v>
      </c>
      <c r="J959"/>
    </row>
    <row r="960" spans="1:10" x14ac:dyDescent="0.35">
      <c r="A960" t="s">
        <v>1923</v>
      </c>
      <c r="B960" s="1">
        <v>44934</v>
      </c>
      <c r="C960" t="s">
        <v>2297</v>
      </c>
      <c r="D960" t="s">
        <v>34</v>
      </c>
      <c r="E960">
        <v>60</v>
      </c>
      <c r="F960" t="s">
        <v>56</v>
      </c>
      <c r="G960">
        <v>2</v>
      </c>
      <c r="H960" s="7">
        <v>300</v>
      </c>
      <c r="I960" s="7">
        <v>600</v>
      </c>
      <c r="J960"/>
    </row>
    <row r="961" spans="1:10" x14ac:dyDescent="0.35">
      <c r="A961" t="s">
        <v>1926</v>
      </c>
      <c r="B961" s="1">
        <v>45083</v>
      </c>
      <c r="C961" t="s">
        <v>802</v>
      </c>
      <c r="D961" t="s">
        <v>34</v>
      </c>
      <c r="E961">
        <v>53</v>
      </c>
      <c r="F961" t="s">
        <v>36</v>
      </c>
      <c r="G961">
        <v>4</v>
      </c>
      <c r="H961" s="7">
        <v>50</v>
      </c>
      <c r="I961" s="7">
        <v>200</v>
      </c>
      <c r="J961"/>
    </row>
    <row r="962" spans="1:10" x14ac:dyDescent="0.35">
      <c r="A962" t="s">
        <v>1927</v>
      </c>
      <c r="B962" s="1">
        <v>45050</v>
      </c>
      <c r="C962" t="s">
        <v>907</v>
      </c>
      <c r="D962" t="s">
        <v>26</v>
      </c>
      <c r="E962">
        <v>60</v>
      </c>
      <c r="F962" t="s">
        <v>36</v>
      </c>
      <c r="G962">
        <v>3</v>
      </c>
      <c r="H962" s="7">
        <v>30</v>
      </c>
      <c r="I962" s="7">
        <v>90</v>
      </c>
      <c r="J962"/>
    </row>
    <row r="963" spans="1:10" x14ac:dyDescent="0.35">
      <c r="A963" t="s">
        <v>1929</v>
      </c>
      <c r="B963" s="1">
        <v>45010</v>
      </c>
      <c r="C963" t="s">
        <v>2196</v>
      </c>
      <c r="D963" t="s">
        <v>26</v>
      </c>
      <c r="E963">
        <v>40</v>
      </c>
      <c r="F963" t="s">
        <v>56</v>
      </c>
      <c r="G963">
        <v>1</v>
      </c>
      <c r="H963" s="7">
        <v>25</v>
      </c>
      <c r="I963" s="7">
        <v>25</v>
      </c>
      <c r="J963"/>
    </row>
    <row r="964" spans="1:10" x14ac:dyDescent="0.35">
      <c r="A964" t="s">
        <v>1930</v>
      </c>
      <c r="B964" s="1">
        <v>45182</v>
      </c>
      <c r="C964" t="s">
        <v>1724</v>
      </c>
      <c r="D964" t="s">
        <v>26</v>
      </c>
      <c r="E964">
        <v>41</v>
      </c>
      <c r="F964" t="s">
        <v>13</v>
      </c>
      <c r="G964">
        <v>2</v>
      </c>
      <c r="H964" s="7">
        <v>25</v>
      </c>
      <c r="I964" s="7">
        <v>50</v>
      </c>
      <c r="J964"/>
    </row>
    <row r="965" spans="1:10" x14ac:dyDescent="0.35">
      <c r="A965" t="s">
        <v>1933</v>
      </c>
      <c r="B965" s="1">
        <v>45237</v>
      </c>
      <c r="C965" t="s">
        <v>1937</v>
      </c>
      <c r="D965" t="s">
        <v>34</v>
      </c>
      <c r="E965">
        <v>36</v>
      </c>
      <c r="F965" t="s">
        <v>56</v>
      </c>
      <c r="G965">
        <v>3</v>
      </c>
      <c r="H965" s="7">
        <v>300</v>
      </c>
      <c r="I965" s="7">
        <v>900</v>
      </c>
      <c r="J965"/>
    </row>
    <row r="966" spans="1:10" x14ac:dyDescent="0.35">
      <c r="A966" t="s">
        <v>1934</v>
      </c>
      <c r="B966" s="1">
        <v>44936</v>
      </c>
      <c r="C966" t="s">
        <v>1382</v>
      </c>
      <c r="D966" t="s">
        <v>34</v>
      </c>
      <c r="E966">
        <v>31</v>
      </c>
      <c r="F966" t="s">
        <v>13</v>
      </c>
      <c r="G966">
        <v>4</v>
      </c>
      <c r="H966" s="7">
        <v>50</v>
      </c>
      <c r="I966" s="7">
        <v>200</v>
      </c>
      <c r="J966"/>
    </row>
    <row r="967" spans="1:10" x14ac:dyDescent="0.35">
      <c r="A967" t="s">
        <v>1936</v>
      </c>
      <c r="B967" s="1">
        <v>45276</v>
      </c>
      <c r="C967" t="s">
        <v>465</v>
      </c>
      <c r="D967" t="s">
        <v>34</v>
      </c>
      <c r="E967">
        <v>63</v>
      </c>
      <c r="F967" t="s">
        <v>13</v>
      </c>
      <c r="G967">
        <v>2</v>
      </c>
      <c r="H967" s="7">
        <v>500</v>
      </c>
      <c r="I967" s="7">
        <v>1000</v>
      </c>
      <c r="J967"/>
    </row>
    <row r="968" spans="1:10" x14ac:dyDescent="0.35">
      <c r="A968" t="s">
        <v>1938</v>
      </c>
      <c r="B968" s="1">
        <v>45164</v>
      </c>
      <c r="C968" t="s">
        <v>1937</v>
      </c>
      <c r="D968" t="s">
        <v>26</v>
      </c>
      <c r="E968">
        <v>46</v>
      </c>
      <c r="F968" t="s">
        <v>36</v>
      </c>
      <c r="G968">
        <v>1</v>
      </c>
      <c r="H968" s="7">
        <v>25</v>
      </c>
      <c r="I968" s="7">
        <v>25</v>
      </c>
      <c r="J968"/>
    </row>
    <row r="969" spans="1:10" x14ac:dyDescent="0.35">
      <c r="A969" t="s">
        <v>1940</v>
      </c>
      <c r="B969" s="1">
        <v>45184</v>
      </c>
      <c r="C969" t="s">
        <v>1747</v>
      </c>
      <c r="D969" t="s">
        <v>26</v>
      </c>
      <c r="E969">
        <v>18</v>
      </c>
      <c r="F969" t="s">
        <v>56</v>
      </c>
      <c r="G969">
        <v>3</v>
      </c>
      <c r="H969" s="7">
        <v>25</v>
      </c>
      <c r="I969" s="7">
        <v>75</v>
      </c>
      <c r="J969"/>
    </row>
    <row r="970" spans="1:10" x14ac:dyDescent="0.35">
      <c r="A970" t="s">
        <v>1943</v>
      </c>
      <c r="B970" s="1">
        <v>45166</v>
      </c>
      <c r="C970" t="s">
        <v>1632</v>
      </c>
      <c r="D970" t="s">
        <v>26</v>
      </c>
      <c r="E970">
        <v>62</v>
      </c>
      <c r="F970" t="s">
        <v>56</v>
      </c>
      <c r="G970">
        <v>3</v>
      </c>
      <c r="H970" s="7">
        <v>30</v>
      </c>
      <c r="I970" s="7">
        <v>90</v>
      </c>
      <c r="J970"/>
    </row>
    <row r="971" spans="1:10" x14ac:dyDescent="0.35">
      <c r="A971" t="s">
        <v>146</v>
      </c>
      <c r="B971" s="1">
        <v>45110</v>
      </c>
      <c r="C971" t="s">
        <v>133</v>
      </c>
      <c r="D971" t="s">
        <v>26</v>
      </c>
      <c r="E971">
        <v>55</v>
      </c>
      <c r="F971" t="s">
        <v>13</v>
      </c>
      <c r="G971">
        <v>1</v>
      </c>
      <c r="H971" s="7">
        <v>30</v>
      </c>
      <c r="I971" s="7">
        <v>30</v>
      </c>
      <c r="J971"/>
    </row>
    <row r="972" spans="1:10" x14ac:dyDescent="0.35">
      <c r="A972" t="s">
        <v>1945</v>
      </c>
      <c r="B972" s="1">
        <v>44948</v>
      </c>
      <c r="C972" t="s">
        <v>2183</v>
      </c>
      <c r="D972" t="s">
        <v>26</v>
      </c>
      <c r="E972">
        <v>53</v>
      </c>
      <c r="F972" t="s">
        <v>13</v>
      </c>
      <c r="G972">
        <v>1</v>
      </c>
      <c r="H972" s="7">
        <v>300</v>
      </c>
      <c r="I972" s="7">
        <v>300</v>
      </c>
      <c r="J972"/>
    </row>
    <row r="973" spans="1:10" x14ac:dyDescent="0.35">
      <c r="A973" t="s">
        <v>1947</v>
      </c>
      <c r="B973" s="1">
        <v>45104</v>
      </c>
      <c r="C973" t="s">
        <v>133</v>
      </c>
      <c r="D973" t="s">
        <v>26</v>
      </c>
      <c r="E973">
        <v>52</v>
      </c>
      <c r="F973" t="s">
        <v>36</v>
      </c>
      <c r="G973">
        <v>3</v>
      </c>
      <c r="H973" s="7">
        <v>300</v>
      </c>
      <c r="I973" s="7">
        <v>900</v>
      </c>
      <c r="J973"/>
    </row>
    <row r="974" spans="1:10" x14ac:dyDescent="0.35">
      <c r="A974" t="s">
        <v>1949</v>
      </c>
      <c r="B974" s="1">
        <v>44998</v>
      </c>
      <c r="C974" t="s">
        <v>1154</v>
      </c>
      <c r="D974" t="s">
        <v>34</v>
      </c>
      <c r="E974">
        <v>46</v>
      </c>
      <c r="F974" t="s">
        <v>56</v>
      </c>
      <c r="G974">
        <v>2</v>
      </c>
      <c r="H974" s="7">
        <v>25</v>
      </c>
      <c r="I974" s="7">
        <v>50</v>
      </c>
      <c r="J974"/>
    </row>
    <row r="975" spans="1:10" x14ac:dyDescent="0.35">
      <c r="A975" t="s">
        <v>1951</v>
      </c>
      <c r="B975" s="1">
        <v>45169</v>
      </c>
      <c r="C975" t="s">
        <v>673</v>
      </c>
      <c r="D975" t="s">
        <v>26</v>
      </c>
      <c r="E975">
        <v>57</v>
      </c>
      <c r="F975" t="s">
        <v>36</v>
      </c>
      <c r="G975">
        <v>4</v>
      </c>
      <c r="H975" s="7">
        <v>50</v>
      </c>
      <c r="I975" s="7">
        <v>200</v>
      </c>
      <c r="J975"/>
    </row>
    <row r="976" spans="1:10" x14ac:dyDescent="0.35">
      <c r="A976" t="s">
        <v>1953</v>
      </c>
      <c r="B976" s="1">
        <v>45051</v>
      </c>
      <c r="C976" t="s">
        <v>137</v>
      </c>
      <c r="D976" t="s">
        <v>34</v>
      </c>
      <c r="E976">
        <v>63</v>
      </c>
      <c r="F976" t="s">
        <v>56</v>
      </c>
      <c r="G976">
        <v>4</v>
      </c>
      <c r="H976" s="7">
        <v>30</v>
      </c>
      <c r="I976" s="7">
        <v>120</v>
      </c>
      <c r="J976"/>
    </row>
    <row r="977" spans="1:10" x14ac:dyDescent="0.35">
      <c r="A977" t="s">
        <v>1955</v>
      </c>
      <c r="B977" s="1">
        <v>45010</v>
      </c>
      <c r="C977" t="s">
        <v>1671</v>
      </c>
      <c r="D977" t="s">
        <v>26</v>
      </c>
      <c r="E977">
        <v>22</v>
      </c>
      <c r="F977" t="s">
        <v>13</v>
      </c>
      <c r="G977">
        <v>2</v>
      </c>
      <c r="H977" s="7">
        <v>50</v>
      </c>
      <c r="I977" s="7">
        <v>100</v>
      </c>
      <c r="J977"/>
    </row>
    <row r="978" spans="1:10" x14ac:dyDescent="0.35">
      <c r="A978" t="s">
        <v>1956</v>
      </c>
      <c r="B978" s="1">
        <v>45188</v>
      </c>
      <c r="C978" t="s">
        <v>905</v>
      </c>
      <c r="D978" t="s">
        <v>34</v>
      </c>
      <c r="E978">
        <v>24</v>
      </c>
      <c r="F978" t="s">
        <v>13</v>
      </c>
      <c r="G978">
        <v>4</v>
      </c>
      <c r="H978" s="7">
        <v>25</v>
      </c>
      <c r="I978" s="7">
        <v>100</v>
      </c>
      <c r="J978"/>
    </row>
    <row r="979" spans="1:10" x14ac:dyDescent="0.35">
      <c r="A979" t="s">
        <v>1957</v>
      </c>
      <c r="B979" s="1">
        <v>45268</v>
      </c>
      <c r="C979" t="s">
        <v>1430</v>
      </c>
      <c r="D979" t="s">
        <v>34</v>
      </c>
      <c r="E979">
        <v>27</v>
      </c>
      <c r="F979" t="s">
        <v>56</v>
      </c>
      <c r="G979">
        <v>2</v>
      </c>
      <c r="H979" s="7">
        <v>300</v>
      </c>
      <c r="I979" s="7">
        <v>600</v>
      </c>
      <c r="J979"/>
    </row>
    <row r="980" spans="1:10" x14ac:dyDescent="0.35">
      <c r="A980" t="s">
        <v>1959</v>
      </c>
      <c r="B980" s="1">
        <v>45228</v>
      </c>
      <c r="C980" t="s">
        <v>2305</v>
      </c>
      <c r="D980" t="s">
        <v>26</v>
      </c>
      <c r="E980">
        <v>30</v>
      </c>
      <c r="F980" t="s">
        <v>13</v>
      </c>
      <c r="G980">
        <v>2</v>
      </c>
      <c r="H980" s="7">
        <v>25</v>
      </c>
      <c r="I980" s="7">
        <v>50</v>
      </c>
      <c r="J980"/>
    </row>
    <row r="981" spans="1:10" x14ac:dyDescent="0.35">
      <c r="A981" t="s">
        <v>1960</v>
      </c>
      <c r="B981" s="1">
        <v>45046</v>
      </c>
      <c r="C981" t="s">
        <v>745</v>
      </c>
      <c r="D981" t="s">
        <v>26</v>
      </c>
      <c r="E981">
        <v>56</v>
      </c>
      <c r="F981" t="s">
        <v>36</v>
      </c>
      <c r="G981">
        <v>3</v>
      </c>
      <c r="H981" s="7">
        <v>25</v>
      </c>
      <c r="I981" s="7">
        <v>75</v>
      </c>
      <c r="J981"/>
    </row>
    <row r="982" spans="1:10" x14ac:dyDescent="0.35">
      <c r="A982" t="s">
        <v>1963</v>
      </c>
      <c r="B982" s="1">
        <v>45265</v>
      </c>
      <c r="C982" t="s">
        <v>1559</v>
      </c>
      <c r="D982" t="s">
        <v>26</v>
      </c>
      <c r="E982">
        <v>36</v>
      </c>
      <c r="F982" t="s">
        <v>13</v>
      </c>
      <c r="G982">
        <v>3</v>
      </c>
      <c r="H982" s="7">
        <v>50</v>
      </c>
      <c r="I982" s="7">
        <v>150</v>
      </c>
      <c r="J982"/>
    </row>
    <row r="983" spans="1:10" x14ac:dyDescent="0.35">
      <c r="A983" t="s">
        <v>1964</v>
      </c>
      <c r="B983" s="1">
        <v>44981</v>
      </c>
      <c r="C983" t="s">
        <v>776</v>
      </c>
      <c r="D983" t="s">
        <v>34</v>
      </c>
      <c r="E983">
        <v>53</v>
      </c>
      <c r="F983" t="s">
        <v>56</v>
      </c>
      <c r="G983">
        <v>1</v>
      </c>
      <c r="H983" s="7">
        <v>300</v>
      </c>
      <c r="I983" s="7">
        <v>300</v>
      </c>
      <c r="J983"/>
    </row>
    <row r="984" spans="1:10" x14ac:dyDescent="0.35">
      <c r="A984" t="s">
        <v>1966</v>
      </c>
      <c r="B984" s="1">
        <v>45018</v>
      </c>
      <c r="C984" t="s">
        <v>1364</v>
      </c>
      <c r="D984" t="s">
        <v>34</v>
      </c>
      <c r="E984">
        <v>58</v>
      </c>
      <c r="F984" t="s">
        <v>36</v>
      </c>
      <c r="G984">
        <v>1</v>
      </c>
      <c r="H984" s="7">
        <v>300</v>
      </c>
      <c r="I984" s="7">
        <v>300</v>
      </c>
      <c r="J984"/>
    </row>
    <row r="985" spans="1:10" x14ac:dyDescent="0.35">
      <c r="A985" t="s">
        <v>1967</v>
      </c>
      <c r="B985" s="1">
        <v>45056</v>
      </c>
      <c r="C985" t="s">
        <v>1630</v>
      </c>
      <c r="D985" t="s">
        <v>34</v>
      </c>
      <c r="E985">
        <v>54</v>
      </c>
      <c r="F985" t="s">
        <v>56</v>
      </c>
      <c r="G985">
        <v>4</v>
      </c>
      <c r="H985" s="7">
        <v>500</v>
      </c>
      <c r="I985" s="7">
        <v>2000</v>
      </c>
      <c r="J985"/>
    </row>
    <row r="986" spans="1:10" x14ac:dyDescent="0.35">
      <c r="A986" t="s">
        <v>1968</v>
      </c>
      <c r="B986" s="1">
        <v>45218</v>
      </c>
      <c r="C986" t="s">
        <v>2283</v>
      </c>
      <c r="D986" t="s">
        <v>34</v>
      </c>
      <c r="E986">
        <v>25</v>
      </c>
      <c r="F986" t="s">
        <v>36</v>
      </c>
      <c r="G986">
        <v>1</v>
      </c>
      <c r="H986" s="7">
        <v>300</v>
      </c>
      <c r="I986" s="7">
        <v>300</v>
      </c>
      <c r="J986"/>
    </row>
    <row r="987" spans="1:10" x14ac:dyDescent="0.35">
      <c r="A987" t="s">
        <v>1970</v>
      </c>
      <c r="B987" s="1">
        <v>44931</v>
      </c>
      <c r="C987" t="s">
        <v>1173</v>
      </c>
      <c r="D987" t="s">
        <v>26</v>
      </c>
      <c r="E987">
        <v>57</v>
      </c>
      <c r="F987" t="s">
        <v>13</v>
      </c>
      <c r="G987">
        <v>1</v>
      </c>
      <c r="H987" s="7">
        <v>50</v>
      </c>
      <c r="I987" s="7">
        <v>50</v>
      </c>
      <c r="J987"/>
    </row>
    <row r="988" spans="1:10" x14ac:dyDescent="0.35">
      <c r="A988" t="s">
        <v>1973</v>
      </c>
      <c r="B988" s="1">
        <v>44968</v>
      </c>
      <c r="C988" t="s">
        <v>1727</v>
      </c>
      <c r="D988" t="s">
        <v>34</v>
      </c>
      <c r="E988">
        <v>59</v>
      </c>
      <c r="F988" t="s">
        <v>56</v>
      </c>
      <c r="G988">
        <v>2</v>
      </c>
      <c r="H988" s="7">
        <v>500</v>
      </c>
      <c r="I988" s="7">
        <v>1000</v>
      </c>
      <c r="J988"/>
    </row>
    <row r="989" spans="1:10" x14ac:dyDescent="0.35">
      <c r="A989" t="s">
        <v>1975</v>
      </c>
      <c r="B989" s="1">
        <v>45047</v>
      </c>
      <c r="C989" t="s">
        <v>1238</v>
      </c>
      <c r="D989" t="s">
        <v>26</v>
      </c>
      <c r="E989">
        <v>24</v>
      </c>
      <c r="F989" t="s">
        <v>56</v>
      </c>
      <c r="G989">
        <v>1</v>
      </c>
      <c r="H989" s="7">
        <v>25</v>
      </c>
      <c r="I989" s="7">
        <v>25</v>
      </c>
      <c r="J989"/>
    </row>
    <row r="990" spans="1:10" x14ac:dyDescent="0.35">
      <c r="A990" t="s">
        <v>1976</v>
      </c>
      <c r="B990" s="1">
        <v>44990</v>
      </c>
      <c r="C990" t="s">
        <v>1590</v>
      </c>
      <c r="D990" t="s">
        <v>26</v>
      </c>
      <c r="E990">
        <v>55</v>
      </c>
      <c r="F990" t="s">
        <v>36</v>
      </c>
      <c r="G990">
        <v>4</v>
      </c>
      <c r="H990" s="7">
        <v>30</v>
      </c>
      <c r="I990" s="7">
        <v>120</v>
      </c>
      <c r="J990"/>
    </row>
    <row r="991" spans="1:10" x14ac:dyDescent="0.35">
      <c r="A991" t="s">
        <v>1977</v>
      </c>
      <c r="B991" s="1">
        <v>44986</v>
      </c>
      <c r="C991" t="s">
        <v>902</v>
      </c>
      <c r="D991" t="s">
        <v>26</v>
      </c>
      <c r="E991">
        <v>64</v>
      </c>
      <c r="F991" t="s">
        <v>36</v>
      </c>
      <c r="G991">
        <v>2</v>
      </c>
      <c r="H991" s="7">
        <v>30</v>
      </c>
      <c r="I991" s="7">
        <v>60</v>
      </c>
      <c r="J991"/>
    </row>
    <row r="992" spans="1:10" x14ac:dyDescent="0.35">
      <c r="A992" t="s">
        <v>1979</v>
      </c>
      <c r="B992" s="1">
        <v>45112</v>
      </c>
      <c r="C992" t="s">
        <v>2306</v>
      </c>
      <c r="D992" t="s">
        <v>34</v>
      </c>
      <c r="E992">
        <v>20</v>
      </c>
      <c r="F992" t="s">
        <v>56</v>
      </c>
      <c r="G992">
        <v>4</v>
      </c>
      <c r="H992" s="7">
        <v>50</v>
      </c>
      <c r="I992" s="7">
        <v>200</v>
      </c>
      <c r="J992"/>
    </row>
    <row r="993" spans="1:10" x14ac:dyDescent="0.35">
      <c r="A993" t="s">
        <v>1981</v>
      </c>
      <c r="B993" s="1">
        <v>45225</v>
      </c>
      <c r="C993" t="s">
        <v>1833</v>
      </c>
      <c r="D993" t="s">
        <v>26</v>
      </c>
      <c r="E993">
        <v>57</v>
      </c>
      <c r="F993" t="s">
        <v>36</v>
      </c>
      <c r="G993">
        <v>1</v>
      </c>
      <c r="H993" s="7">
        <v>50</v>
      </c>
      <c r="I993" s="7">
        <v>50</v>
      </c>
      <c r="J993"/>
    </row>
    <row r="994" spans="1:10" x14ac:dyDescent="0.35">
      <c r="A994" t="s">
        <v>1984</v>
      </c>
      <c r="B994" s="1">
        <v>45192</v>
      </c>
      <c r="C994" t="s">
        <v>2287</v>
      </c>
      <c r="D994" t="s">
        <v>34</v>
      </c>
      <c r="E994">
        <v>41</v>
      </c>
      <c r="F994" t="s">
        <v>56</v>
      </c>
      <c r="G994">
        <v>2</v>
      </c>
      <c r="H994" s="7">
        <v>50</v>
      </c>
      <c r="I994" s="7">
        <v>100</v>
      </c>
      <c r="J994"/>
    </row>
    <row r="995" spans="1:10" x14ac:dyDescent="0.35">
      <c r="A995" t="s">
        <v>1986</v>
      </c>
      <c r="B995" s="1">
        <v>44979</v>
      </c>
      <c r="C995" t="s">
        <v>501</v>
      </c>
      <c r="D995" t="s">
        <v>26</v>
      </c>
      <c r="E995">
        <v>28</v>
      </c>
      <c r="F995" t="s">
        <v>36</v>
      </c>
      <c r="G995">
        <v>3</v>
      </c>
      <c r="H995" s="7">
        <v>25</v>
      </c>
      <c r="I995" s="7">
        <v>75</v>
      </c>
      <c r="J995"/>
    </row>
    <row r="996" spans="1:10" x14ac:dyDescent="0.35">
      <c r="A996" t="s">
        <v>1987</v>
      </c>
      <c r="B996" s="1">
        <v>45086</v>
      </c>
      <c r="C996" t="s">
        <v>2254</v>
      </c>
      <c r="D996" t="s">
        <v>34</v>
      </c>
      <c r="E996">
        <v>21</v>
      </c>
      <c r="F996" t="s">
        <v>56</v>
      </c>
      <c r="G996">
        <v>3</v>
      </c>
      <c r="H996" s="7">
        <v>500</v>
      </c>
      <c r="I996" s="7">
        <v>1500</v>
      </c>
      <c r="J996"/>
    </row>
    <row r="997" spans="1:10" x14ac:dyDescent="0.35">
      <c r="A997" t="s">
        <v>1990</v>
      </c>
      <c r="B997" s="1">
        <v>45266</v>
      </c>
      <c r="C997" t="s">
        <v>1373</v>
      </c>
      <c r="D997" t="s">
        <v>26</v>
      </c>
      <c r="E997">
        <v>31</v>
      </c>
      <c r="F997" t="s">
        <v>56</v>
      </c>
      <c r="G997">
        <v>3</v>
      </c>
      <c r="H997" s="7">
        <v>500</v>
      </c>
      <c r="I997" s="7">
        <v>1500</v>
      </c>
      <c r="J997"/>
    </row>
    <row r="998" spans="1:10" x14ac:dyDescent="0.35">
      <c r="A998" t="s">
        <v>1991</v>
      </c>
      <c r="B998" s="1">
        <v>45224</v>
      </c>
      <c r="C998" t="s">
        <v>272</v>
      </c>
      <c r="D998" t="s">
        <v>34</v>
      </c>
      <c r="E998">
        <v>45</v>
      </c>
      <c r="F998" t="s">
        <v>36</v>
      </c>
      <c r="G998">
        <v>4</v>
      </c>
      <c r="H998" s="7">
        <v>500</v>
      </c>
      <c r="I998" s="7">
        <v>2000</v>
      </c>
      <c r="J998"/>
    </row>
    <row r="999" spans="1:10" x14ac:dyDescent="0.35">
      <c r="A999" t="s">
        <v>1992</v>
      </c>
      <c r="B999" s="1">
        <v>45186</v>
      </c>
      <c r="C999" t="s">
        <v>2232</v>
      </c>
      <c r="D999" t="s">
        <v>34</v>
      </c>
      <c r="E999">
        <v>18</v>
      </c>
      <c r="F999" t="s">
        <v>56</v>
      </c>
      <c r="G999">
        <v>3</v>
      </c>
      <c r="H999" s="7">
        <v>50</v>
      </c>
      <c r="I999" s="7">
        <v>150</v>
      </c>
      <c r="J999"/>
    </row>
    <row r="1000" spans="1:10" x14ac:dyDescent="0.35">
      <c r="A1000" t="s">
        <v>1994</v>
      </c>
      <c r="B1000" s="1">
        <v>44991</v>
      </c>
      <c r="C1000" t="s">
        <v>203</v>
      </c>
      <c r="D1000" t="s">
        <v>26</v>
      </c>
      <c r="E1000">
        <v>42</v>
      </c>
      <c r="F1000" t="s">
        <v>56</v>
      </c>
      <c r="G1000">
        <v>4</v>
      </c>
      <c r="H1000" s="7">
        <v>50</v>
      </c>
      <c r="I1000" s="7">
        <v>200</v>
      </c>
      <c r="J1000"/>
    </row>
    <row r="1001" spans="1:10" x14ac:dyDescent="0.35">
      <c r="A1001" t="s">
        <v>1996</v>
      </c>
      <c r="B1001" s="1">
        <v>45118</v>
      </c>
      <c r="C1001" t="s">
        <v>2212</v>
      </c>
      <c r="D1001" t="s">
        <v>26</v>
      </c>
      <c r="E1001">
        <v>43</v>
      </c>
      <c r="F1001" t="s">
        <v>36</v>
      </c>
      <c r="G1001">
        <v>2</v>
      </c>
      <c r="H1001" s="7">
        <v>50</v>
      </c>
      <c r="I1001" s="7">
        <v>100</v>
      </c>
      <c r="J100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4C10E9-6C5A-4DFF-8658-680B1E50CA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Sales</vt:lpstr>
      <vt:lpstr>Working Sales</vt:lpstr>
      <vt:lpstr>Clean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Hafiz Haikal Fahreza</cp:lastModifiedBy>
  <dcterms:created xsi:type="dcterms:W3CDTF">2026-07-15T12:36:01Z</dcterms:created>
  <dcterms:modified xsi:type="dcterms:W3CDTF">2026-08-05T12:51:19Z</dcterms:modified>
</cp:coreProperties>
</file>